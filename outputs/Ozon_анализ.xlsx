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cdee8ae6441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и" sheetId="1" r:id="R3cd96bd1f2174578"/>
    <x:sheet xmlns:r="http://schemas.openxmlformats.org/officeDocument/2006/relationships" name="Категории" sheetId="2" r:id="Ra73a47a2c9494d95"/>
    <x:sheet xmlns:r="http://schemas.openxmlformats.org/officeDocument/2006/relationships" name="Товары" sheetId="3" r:id="Ra3a03125a4064115"/>
    <x:sheet xmlns:r="http://schemas.openxmlformats.org/officeDocument/2006/relationships" name="Источник" sheetId="4" r:id="R9462d14d032c42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"/>
    <x:numFmt numFmtId="202" formatCode="0.00%"/>
    <x:numFmt numFmtId="203" formatCode="#,##0.00"/>
  </x:numFmts>
  <x:fonts count="4">
    <x:font>
      <x:sz val="11"/>
      <x:name val="Carlito"/>
    </x:font>
    <x:font>
      <x:sz val="10"/>
      <x:color rgb="FF20334D"/>
      <x:name val="Arial"/>
    </x:font>
    <x:font>
      <x:b/>
      <x:sz val="16"/>
      <x:color rgb="FF20334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0334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FD9E5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005BFF"/>
      </x:font>
      <x:fill>
        <x:patternFill patternType="solid">
          <x:bgColor rgb="FFE5F1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50e1fb60be4a53" /><Relationship Type="http://schemas.openxmlformats.org/officeDocument/2006/relationships/theme" Target="/xl/theme/theme1.xml" Id="Rcdb79eb1f6f647b5" /><Relationship Type="http://schemas.openxmlformats.org/officeDocument/2006/relationships/sharedStrings" Target="/xl/sharedStrings.xml" Id="Rf3806c209bd24605" /><Relationship Type="http://schemas.openxmlformats.org/officeDocument/2006/relationships/worksheet" Target="/xl/worksheets/sheet1.xml" Id="R3cd96bd1f2174578" /><Relationship Type="http://schemas.openxmlformats.org/officeDocument/2006/relationships/worksheet" Target="/xl/worksheets/sheet2.xml" Id="Ra73a47a2c9494d95" /><Relationship Type="http://schemas.openxmlformats.org/officeDocument/2006/relationships/worksheet" Target="/xl/worksheets/sheet3.xml" Id="Ra3a03125a4064115" /><Relationship Type="http://schemas.openxmlformats.org/officeDocument/2006/relationships/worksheet" Target="/xl/worksheets/sheet4.xml" Id="R9462d14d032c4223" /></Relationships>
</file>

<file path=xl/tables/table1.xml><?xml version="1.0" encoding="utf-8"?>
<x:table xmlns:x="http://schemas.openxmlformats.org/spreadsheetml/2006/main" id="1" name="CategoryAnalysis" displayName="CategoryAnalysis" ref="A5:P4593" headerRowCount="1" totalsRowCount="0" totalsRowShown="0">
  <x:tableColumns count="16">
    <x:tableColumn id="1" name="Категория 1 уровня"/>
    <x:tableColumn id="2" name="Категория 2 уровня"/>
    <x:tableColumn id="3" name="Категория 3 уровня"/>
    <x:tableColumn id="4" name="Категория 4 уровня"/>
    <x:tableColumn id="5" name="Товаров, шт."/>
    <x:tableColumn id="6" name="&gt;1 млн, шт."/>
    <x:tableColumn id="7" name="Заказы, ₽"/>
    <x:tableColumn id="8" name="Расходы расчетные, ₽"/>
    <x:tableColumn id="9" name="ДРР средняя"/>
    <x:tableColumn id="10" name="ДРР ноль, шт."/>
    <x:tableColumn id="11" name="Продавцов"/>
    <x:tableColumn id="12" name="Медианная цена, ₽"/>
    <x:tableColumn id="13" name="Доля лидера"/>
    <x:tableColumn id="14" name="ДРР взвеш."/>
    <x:tableColumn id="15" name="Доля &gt;1 млн"/>
    <x:tableColumn id="16" name="Отбо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Examples" displayName="ProductExamples" ref="A5:J35" headerRowCount="1" totalsRowCount="0" totalsRowShown="0">
  <x:tableColumns count="10">
    <x:tableColumn id="1" name="Категория"/>
    <x:tableColumn id="2" name="Название товара"/>
    <x:tableColumn id="3" name="Ссылка"/>
    <x:tableColumn id="4" name="Продавец"/>
    <x:tableColumn id="5" name="Заказы, ₽"/>
    <x:tableColumn id="6" name="ДРР"/>
    <x:tableColumn id="7" name="Цена, ₽"/>
    <x:tableColumn id="8" name="Доступность"/>
    <x:tableColumn id="9" name="Строка источника"/>
    <x:tableColumn id="10" name="Схем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542a3e921948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915779b26f4f71" /></Relationships>
</file>

<file path=xl/worksheets/sheet1.xml><?xml version="1.0" encoding="utf-8"?>
<x:worksheet xmlns:x="http://schemas.openxmlformats.org/spreadsheetml/2006/main">
  <x:sheetPr>
    <x:tabColor rgb="FF005BFF"/>
  </x:sheetPr>
  <x:sheetViews>
    <x:sheetView showGridLines="0" workbookViewId="0"/>
  </x:sheetViews>
  <x:sheetFormatPr defaultRowHeight="15"/>
  <x:cols>
    <x:col min="1" max="1" width="5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3" t="str">
        <x:v>Ozon  Выбор категорий</x:v>
      </x:c>
      <x:c r="B2" s="2"/>
      <x:c r="C2" s="2"/>
      <x:c r="D2" s="2"/>
      <x:c r="E2" s="2"/>
      <x:c r="F2" s="2"/>
      <x:c r="G2" s="2"/>
      <x:c r="H2" s="2"/>
    </x:row>
    <x:row r="3" ht="23" customHeight="1">
      <x:c r="A3" s="4"/>
      <x:c r="B3" s="4"/>
      <x:c r="C3" s="4"/>
      <x:c r="D3" s="4"/>
      <x:c r="E3" s="4"/>
      <x:c r="F3" s="4"/>
      <x:c r="G3" s="4"/>
      <x:c r="H3" s="4"/>
    </x:row>
    <x:row r="4" ht="23" customHeight="1">
      <x:c r="A4" s="2" t="str">
        <x:v>Период: 03.07.2024–30.07.2024. Сумма заказов используется как показатель выручки.</x:v>
      </x:c>
      <x:c r="B4" s="2"/>
      <x:c r="C4" s="2"/>
      <x:c r="D4" s="2"/>
      <x:c r="E4" s="2"/>
      <x:c r="F4" s="2"/>
      <x:c r="G4" s="2"/>
      <x:c r="H4" s="2"/>
    </x:row>
    <x:row r="5" ht="23" customHeight="1">
      <x:c r="A5" s="2" t="str">
        <x:v>ДРР ≤</x:v>
      </x:c>
      <x:c r="B5" s="6" t="n">
        <x:v>0.03</x:v>
      </x:c>
      <x:c r="C5" s="2" t="str">
        <x:v>Доля &gt;1 млн ≥</x:v>
      </x:c>
      <x:c r="D5" s="6" t="n">
        <x:v>0.1</x:v>
      </x:c>
      <x:c r="E5" s="2" t="str">
        <x:v>Товаров ≥</x:v>
      </x:c>
      <x:c r="F5" s="7" t="n">
        <x:v>30</x:v>
      </x:c>
      <x:c r="G5" s="2"/>
      <x:c r="H5" s="2"/>
    </x:row>
    <x:row r="6" ht="23" customHeight="1">
      <x:c r="A6" s="2"/>
      <x:c r="B6" s="2"/>
      <x:c r="C6" s="2"/>
      <x:c r="D6" s="2"/>
      <x:c r="E6" s="2"/>
      <x:c r="F6" s="2"/>
      <x:c r="G6" s="2"/>
      <x:c r="H6" s="2"/>
    </x:row>
    <x:row r="7" ht="46" customHeight="1">
      <x:c r="A7" s="11" t="str">
        <x:v>Категория 4 уровня</x:v>
      </x:c>
      <x:c r="B7" s="11" t="str">
        <x:v>Товаров</x:v>
      </x:c>
      <x:c r="C7" s="11" t="str">
        <x:v>&gt;1 млн, шт.</x:v>
      </x:c>
      <x:c r="D7" s="11" t="str">
        <x:v>Доля &gt;1 млн</x:v>
      </x:c>
      <x:c r="E7" s="11" t="str">
        <x:v>ДРР взвеш.</x:v>
      </x:c>
      <x:c r="F7" s="11" t="str">
        <x:v>Доля лидера</x:v>
      </x:c>
      <x:c r="G7" s="11" t="str">
        <x:v>Отбор</x:v>
      </x:c>
      <x:c r="H7" s="11" t="str">
        <x:v>Строка категорий</x:v>
      </x:c>
    </x:row>
    <x:row r="8" ht="42" customHeight="1">
      <x:c r="A8" s="14" t="str">
        <x:f>'Категории'!D6</x:f>
        <x:v>Смеси и заменители грудного молока для детей до 3 лет</x:v>
      </x:c>
      <x:c r="B8" s="2" t="n">
        <x:f>'Категории'!E6</x:f>
        <x:v>95</x:v>
      </x:c>
      <x:c r="C8" s="2" t="n">
        <x:f>'Категории'!F6</x:f>
        <x:v>31</x:v>
      </x:c>
      <x:c r="D8" s="13" t="n">
        <x:f>'Категории'!O6</x:f>
        <x:v>0.3263157894736842</x:v>
      </x:c>
      <x:c r="E8" s="13" t="n">
        <x:f>'Категории'!N6</x:f>
        <x:v>0.017804163167527944</x:v>
      </x:c>
      <x:c r="F8" s="13" t="n">
        <x:f>'Категории'!M6</x:f>
        <x:v>0.9593804821578058</x:v>
      </x:c>
      <x:c r="G8" s="2" t="str">
        <x:f>'Категории'!P6</x:f>
        <x:v>Да</x:v>
      </x:c>
      <x:c r="H8" s="2" t="n">
        <x:f>6</x:f>
        <x:v>6</x:v>
      </x:c>
    </x:row>
    <x:row r="9" ht="42" customHeight="1">
      <x:c r="A9" s="14" t="str">
        <x:f>'Категории'!D7</x:f>
        <x:v>Iphone Apple 15</x:v>
      </x:c>
      <x:c r="B9" s="2" t="n">
        <x:f>'Категории'!E7</x:f>
        <x:v>84</x:v>
      </x:c>
      <x:c r="C9" s="2" t="n">
        <x:f>'Категории'!F7</x:f>
        <x:v>17</x:v>
      </x:c>
      <x:c r="D9" s="13" t="n">
        <x:f>'Категории'!O7</x:f>
        <x:v>0.20238095238095238</x:v>
      </x:c>
      <x:c r="E9" s="13" t="n">
        <x:f>'Категории'!N7</x:f>
        <x:v>0.002771958530289338</x:v>
      </x:c>
      <x:c r="F9" s="13" t="n">
        <x:f>'Категории'!M7</x:f>
        <x:v>0.704317556538817</x:v>
      </x:c>
      <x:c r="G9" s="2" t="str">
        <x:f>'Категории'!P7</x:f>
        <x:v>Да</x:v>
      </x:c>
      <x:c r="H9" s="2" t="n">
        <x:f>7</x:f>
        <x:v>7</x:v>
      </x:c>
    </x:row>
    <x:row r="10" ht="42" customHeight="1">
      <x:c r="A10" s="14" t="str">
        <x:f>'Категории'!D8</x:f>
        <x:v>Фитнес-браслет</x:v>
      </x:c>
      <x:c r="B10" s="2" t="n">
        <x:f>'Категории'!E8</x:f>
        <x:v>92</x:v>
      </x:c>
      <x:c r="C10" s="2" t="n">
        <x:f>'Категории'!F8</x:f>
        <x:v>13</x:v>
      </x:c>
      <x:c r="D10" s="13" t="n">
        <x:f>'Категории'!O8</x:f>
        <x:v>0.14130434782608695</x:v>
      </x:c>
      <x:c r="E10" s="13" t="n">
        <x:f>'Категории'!N8</x:f>
        <x:v>0.019469260045963364</x:v>
      </x:c>
      <x:c r="F10" s="13" t="n">
        <x:f>'Категории'!M8</x:f>
        <x:v>0.5826291477566005</x:v>
      </x:c>
      <x:c r="G10" s="2" t="str">
        <x:f>'Категории'!P8</x:f>
        <x:v>Да</x:v>
      </x:c>
      <x:c r="H10" s="2" t="n">
        <x:f>8</x:f>
        <x:v>8</x:v>
      </x:c>
    </x:row>
    <x:row r="11" ht="42" customHeight="1">
      <x:c r="A11" s="14" t="str">
        <x:f>'Категории'!D9</x:f>
        <x:v>Встраиваемая стиральная машина</x:v>
      </x:c>
      <x:c r="B11" s="2" t="n">
        <x:f>'Категории'!E9</x:f>
        <x:v>45</x:v>
      </x:c>
      <x:c r="C11" s="2" t="n">
        <x:f>'Категории'!F9</x:f>
        <x:v>6</x:v>
      </x:c>
      <x:c r="D11" s="13" t="n">
        <x:f>'Категории'!O9</x:f>
        <x:v>0.13333333333333333</x:v>
      </x:c>
      <x:c r="E11" s="13" t="n">
        <x:f>'Категории'!N9</x:f>
        <x:v>0.014496501875258368</x:v>
      </x:c>
      <x:c r="F11" s="13" t="n">
        <x:f>'Категории'!M9</x:f>
        <x:v>1</x:v>
      </x:c>
      <x:c r="G11" s="2" t="str">
        <x:f>'Категории'!P9</x:f>
        <x:v>Да</x:v>
      </x:c>
      <x:c r="H11" s="2" t="n">
        <x:f>9</x:f>
        <x:v>9</x:v>
      </x:c>
    </x:row>
    <x:row r="12" ht="42" customHeight="1">
      <x:c r="A12" s="14" t="str">
        <x:f>'Категории'!D10</x:f>
        <x:v>Смартфон Samsung</x:v>
      </x:c>
      <x:c r="B12" s="2" t="n">
        <x:f>'Категории'!E10</x:f>
        <x:v>330</x:v>
      </x:c>
      <x:c r="C12" s="2" t="n">
        <x:f>'Категории'!F10</x:f>
        <x:v>39</x:v>
      </x:c>
      <x:c r="D12" s="13" t="n">
        <x:f>'Категории'!O10</x:f>
        <x:v>0.11818181818181818</x:v>
      </x:c>
      <x:c r="E12" s="13" t="n">
        <x:f>'Категории'!N10</x:f>
        <x:v>0.0030200902555519177</x:v>
      </x:c>
      <x:c r="F12" s="13" t="n">
        <x:f>'Категории'!M10</x:f>
        <x:v>0.5516388800578801</x:v>
      </x:c>
      <x:c r="G12" s="2" t="str">
        <x:f>'Категории'!P10</x:f>
        <x:v>Да</x:v>
      </x:c>
      <x:c r="H12" s="2" t="n">
        <x:f>10</x:f>
        <x:v>10</x:v>
      </x:c>
    </x:row>
    <x:row r="13" ht="42" customHeight="1">
      <x:c r="A13" s="14" t="str">
        <x:f>'Категории'!D11</x:f>
        <x:v>Телевизор Samsung</x:v>
      </x:c>
      <x:c r="B13" s="2" t="n">
        <x:f>'Категории'!E11</x:f>
        <x:v>119</x:v>
      </x:c>
      <x:c r="C13" s="2" t="n">
        <x:f>'Категории'!F11</x:f>
        <x:v>14</x:v>
      </x:c>
      <x:c r="D13" s="13" t="n">
        <x:f>'Категории'!O11</x:f>
        <x:v>0.11764705882352941</x:v>
      </x:c>
      <x:c r="E13" s="13" t="n">
        <x:f>'Категории'!N11</x:f>
        <x:v>0.0032980465183752796</x:v>
      </x:c>
      <x:c r="F13" s="13" t="n">
        <x:f>'Категории'!M11</x:f>
        <x:v>0.5403791555172122</x:v>
      </x:c>
      <x:c r="G13" s="2" t="str">
        <x:f>'Категории'!P11</x:f>
        <x:v>Да</x:v>
      </x:c>
      <x:c r="H13" s="2" t="n">
        <x:f>11</x:f>
        <x:v>11</x:v>
      </x:c>
    </x:row>
    <x:row r="14" ht="42" customHeight="1">
      <x:c r="A14" s="14" t="str">
        <x:f>'Категории'!D12</x:f>
        <x:v>Телевизор</x:v>
      </x:c>
      <x:c r="B14" s="2" t="n">
        <x:f>'Категории'!E12</x:f>
        <x:v>644</x:v>
      </x:c>
      <x:c r="C14" s="2" t="n">
        <x:f>'Категории'!F12</x:f>
        <x:v>71</x:v>
      </x:c>
      <x:c r="D14" s="13" t="n">
        <x:f>'Категории'!O12</x:f>
        <x:v>0.11024844720496894</x:v>
      </x:c>
      <x:c r="E14" s="13" t="n">
        <x:f>'Категории'!N12</x:f>
        <x:v>0.027532583228549786</x:v>
      </x:c>
      <x:c r="F14" s="13" t="n">
        <x:f>'Категории'!M12</x:f>
        <x:v>0.7545846818372569</x:v>
      </x:c>
      <x:c r="G14" s="2" t="str">
        <x:f>'Категории'!P12</x:f>
        <x:v>Да</x:v>
      </x:c>
      <x:c r="H14" s="2" t="n">
        <x:f>12</x:f>
        <x:v>12</x:v>
      </x:c>
    </x:row>
    <x:row r="15" ht="42" customHeight="1">
      <x:c r="A15" s="14" t="str">
        <x:f>'Категории'!D13</x:f>
        <x:v>Смартфон</x:v>
      </x:c>
      <x:c r="B15" s="2" t="n">
        <x:f>'Категории'!E13</x:f>
        <x:v>1625</x:v>
      </x:c>
      <x:c r="C15" s="2" t="n">
        <x:f>'Категории'!F13</x:f>
        <x:v>171</x:v>
      </x:c>
      <x:c r="D15" s="13" t="n">
        <x:f>'Категории'!O13</x:f>
        <x:v>0.10523076923076922</x:v>
      </x:c>
      <x:c r="E15" s="13" t="n">
        <x:f>'Категории'!N13</x:f>
        <x:v>0.008040812186069928</x:v>
      </x:c>
      <x:c r="F15" s="13" t="n">
        <x:f>'Категории'!M13</x:f>
        <x:v>0.6755361936779914</x:v>
      </x:c>
      <x:c r="G15" s="2" t="str">
        <x:f>'Категории'!P13</x:f>
        <x:v>Да</x:v>
      </x:c>
      <x:c r="H15" s="2" t="n">
        <x:f>13</x:f>
        <x:v>13</x:v>
      </x:c>
    </x:row>
    <x:row r="16" ht="42" customHeight="1">
      <x:c r="A16" s="14" t="str">
        <x:f>'Категории'!D14</x:f>
        <x:v>Сушильная машина</x:v>
      </x:c>
      <x:c r="B16" s="2" t="n">
        <x:f>'Категории'!E14</x:f>
        <x:v>59</x:v>
      </x:c>
      <x:c r="C16" s="2" t="n">
        <x:f>'Категории'!F14</x:f>
        <x:v>6</x:v>
      </x:c>
      <x:c r="D16" s="13" t="n">
        <x:f>'Категории'!O14</x:f>
        <x:v>0.1016949152542373</x:v>
      </x:c>
      <x:c r="E16" s="13" t="n">
        <x:f>'Категории'!N14</x:f>
        <x:v>0.02530584934127557</x:v>
      </x:c>
      <x:c r="F16" s="13" t="n">
        <x:f>'Категории'!M14</x:f>
        <x:v>0.8456949229462764</x:v>
      </x:c>
      <x:c r="G16" s="2" t="str">
        <x:f>'Категории'!P14</x:f>
        <x:v>Да</x:v>
      </x:c>
      <x:c r="H16" s="2" t="n">
        <x:f>14</x:f>
        <x:v>14</x:v>
      </x:c>
    </x:row>
    <x:row r="17" ht="42" customHeight="1">
      <x:c r="A17" s="14" t="str">
        <x:f>'Категории'!D15</x:f>
        <x:v>Смартфон Apple</x:v>
      </x:c>
      <x:c r="B17" s="2" t="n">
        <x:f>'Категории'!E15</x:f>
        <x:v>70</x:v>
      </x:c>
      <x:c r="C17" s="2" t="n">
        <x:f>'Категории'!F15</x:f>
        <x:v>7</x:v>
      </x:c>
      <x:c r="D17" s="13" t="n">
        <x:f>'Категории'!O15</x:f>
        <x:v>0.1</x:v>
      </x:c>
      <x:c r="E17" s="13" t="n">
        <x:f>'Категории'!N15</x:f>
        <x:v>0.02027710288169967</x:v>
      </x:c>
      <x:c r="F17" s="13" t="n">
        <x:f>'Категории'!M15</x:f>
        <x:v>0.7174194479349364</x:v>
      </x:c>
      <x:c r="G17" s="2" t="str">
        <x:f>'Категории'!P15</x:f>
        <x:v>Да</x:v>
      </x:c>
      <x:c r="H17" s="2" t="n">
        <x:f>15</x:f>
        <x:v>15</x:v>
      </x:c>
    </x:row>
    <x:row r="18" ht="23" customHeight="1">
      <x:c r="A18" s="2"/>
      <x:c r="B18" s="2"/>
      <x:c r="C18" s="2"/>
      <x:c r="D18" s="2"/>
      <x:c r="E18" s="2"/>
      <x:c r="F18" s="2"/>
      <x:c r="G18" s="2"/>
      <x:c r="H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</x:row>
    <x:row r="20" ht="23" customHeight="1">
      <x:c r="A20" s="2" t="str">
        <x:v>Пороги в жёлтых ячейках можно менять. Полный список фильтруйте на листе Категории.</x:v>
      </x:c>
      <x:c r="B20" s="2"/>
      <x:c r="C20" s="2"/>
      <x:c r="D20" s="2"/>
      <x:c r="E20" s="2"/>
      <x:c r="F20" s="2"/>
      <x:c r="G20" s="2"/>
      <x:c r="H20" s="2"/>
    </x:row>
    <x:row r="21" ht="23" customHeight="1">
      <x:c r="A21" s="2" t="str">
        <x:v>Состав короткого списка фиксирован для базового отбора; для нового списка перезапустите анализ.</x:v>
      </x:c>
      <x:c r="B21" s="2"/>
      <x:c r="C21" s="2"/>
      <x:c r="D21" s="2"/>
      <x:c r="E21" s="2"/>
      <x:c r="F21" s="2"/>
      <x:c r="G21" s="2"/>
      <x:c r="H21" s="2"/>
    </x:row>
    <x:row r="22" ht="23" customHeight="1">
      <x:c r="A22" s="2" t="str">
        <x:v>Доля лидера — часть заказов категории у крупнейшего продавца в этой выборке.</x:v>
      </x:c>
      <x:c r="B22" s="2"/>
      <x:c r="C22" s="2"/>
      <x:c r="D22" s="2"/>
      <x:c r="E22" s="2"/>
      <x:c r="F22" s="2"/>
      <x:c r="G22" s="2"/>
      <x:c r="H22" s="2"/>
    </x:row>
    <x:row r="23" ht="23" customHeight="1">
      <x:c r="A23" s="2" t="str">
        <x:v>Источник содержит ТОП товаров. Результаты описывают выгрузку, а не весь рынок Ozon.</x:v>
      </x:c>
      <x:c r="B23" s="2"/>
      <x:c r="C23" s="2"/>
      <x:c r="D23" s="2"/>
      <x:c r="E23" s="2"/>
      <x:c r="F23" s="2"/>
      <x:c r="G23" s="2"/>
      <x:c r="H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25" hidden="0" customWidth="1"/>
    <x:col min="2" max="2" width="30" hidden="0" customWidth="1"/>
    <x:col min="3" max="3" width="30" hidden="0" customWidth="1"/>
    <x:col min="4" max="4" width="4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3" customHeight="1">
      <x:c r="A2" s="3" t="str">
        <x:v>Категории и расчёты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3" customHeight="1">
      <x:c r="A4" s="2" t="str">
        <x:v>Агрегаты из products CSV. Ключ категории — полный путь из четырёх уровней.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46" customHeight="1">
      <x:c r="A5" s="11" t="str">
        <x:v>Категория 1 уровня</x:v>
      </x:c>
      <x:c r="B5" s="11" t="str">
        <x:v>Категория 2 уровня</x:v>
      </x:c>
      <x:c r="C5" s="11" t="str">
        <x:v>Категория 3 уровня</x:v>
      </x:c>
      <x:c r="D5" s="11" t="str">
        <x:v>Категория 4 уровня</x:v>
      </x:c>
      <x:c r="E5" s="11" t="str">
        <x:v>Товаров, шт.</x:v>
      </x:c>
      <x:c r="F5" s="11" t="str">
        <x:v>&gt;1 млн, шт.</x:v>
      </x:c>
      <x:c r="G5" s="11" t="str">
        <x:v>Заказы, ₽</x:v>
      </x:c>
      <x:c r="H5" s="11" t="str">
        <x:v>Расходы расчетные, ₽</x:v>
      </x:c>
      <x:c r="I5" s="11" t="str">
        <x:v>ДРР средняя</x:v>
      </x:c>
      <x:c r="J5" s="11" t="str">
        <x:v>ДРР ноль, шт.</x:v>
      </x:c>
      <x:c r="K5" s="11" t="str">
        <x:v>Продавцов</x:v>
      </x:c>
      <x:c r="L5" s="11" t="str">
        <x:v>Медианная цена, ₽</x:v>
      </x:c>
      <x:c r="M5" s="11" t="str">
        <x:v>Доля лидера</x:v>
      </x:c>
      <x:c r="N5" s="11" t="str">
        <x:v>ДРР взвеш.</x:v>
      </x:c>
      <x:c r="O5" s="11" t="str">
        <x:v>Доля &gt;1 млн</x:v>
      </x:c>
      <x:c r="P5" s="11" t="str">
        <x:v>Отбор</x:v>
      </x:c>
    </x:row>
    <x:row r="6" ht="60" customHeight="1">
      <x:c r="A6" s="14" t="str">
        <x:v>Детское питание</x:v>
      </x:c>
      <x:c r="B6" s="14" t="str">
        <x:v>Детское питание</x:v>
      </x:c>
      <x:c r="C6" s="14" t="str">
        <x:v>Смеси и заменители грудного молока для детей</x:v>
      </x:c>
      <x:c r="D6" s="14" t="str">
        <x:v>Смеси и заменители грудного молока для детей до 3 лет</x:v>
      </x:c>
      <x:c r="E6" s="2" t="n">
        <x:v>95</x:v>
      </x:c>
      <x:c r="F6" s="2" t="n">
        <x:v>31</x:v>
      </x:c>
      <x:c r="G6" s="12" t="n">
        <x:v>83851832.509</x:v>
      </x:c>
      <x:c r="H6" s="12" t="n">
        <x:v>1492911.70788646</x:v>
      </x:c>
      <x:c r="I6" s="13" t="n">
        <x:v>0.0110810526315789</x:v>
      </x:c>
      <x:c r="J6" s="2" t="n">
        <x:v>71</x:v>
      </x:c>
      <x:c r="K6" s="2" t="n">
        <x:v>8</x:v>
      </x:c>
      <x:c r="L6" s="12" t="n">
        <x:v>1457.0297</x:v>
      </x:c>
      <x:c r="M6" s="13" t="n">
        <x:v>0.9593804821578058</x:v>
      </x:c>
      <x:c r="N6" s="13" t="n">
        <x:f>H6/G6</x:f>
        <x:v>0.017804163167527944</x:v>
      </x:c>
      <x:c r="O6" s="13" t="n">
        <x:f>F6/E6</x:f>
        <x:v>0.3263157894736842</x:v>
      </x:c>
      <x:c r="P6" s="2" t="str">
        <x:f>IF(AND(E6&gt;='Итоги'!$F$5,N6&lt;='Итоги'!$B$5,O6&gt;='Итоги'!$D$5),"Да","Нет")</x:f>
        <x:v>Да</x:v>
      </x:c>
    </x:row>
    <x:row r="7" ht="60" customHeight="1">
      <x:c r="A7" s="14" t="str">
        <x:v>Смартфоны и планшеты</x:v>
      </x:c>
      <x:c r="B7" s="14" t="str">
        <x:v>Средства связи Smart&amp;Tablets</x:v>
      </x:c>
      <x:c r="C7" s="14" t="str">
        <x:v>Телефон Smart&amp;Tablets</x:v>
      </x:c>
      <x:c r="D7" s="14" t="str">
        <x:v>Iphone Apple 15</x:v>
      </x:c>
      <x:c r="E7" s="2" t="n">
        <x:v>84</x:v>
      </x:c>
      <x:c r="F7" s="2" t="n">
        <x:v>17</x:v>
      </x:c>
      <x:c r="G7" s="12" t="n">
        <x:v>49449323.9059</x:v>
      </x:c>
      <x:c r="H7" s="12" t="n">
        <x:v>137071.475218</x:v>
      </x:c>
      <x:c r="I7" s="13" t="n">
        <x:v>0.0041654761904761</x:v>
      </x:c>
      <x:c r="J7" s="2" t="n">
        <x:v>65</x:v>
      </x:c>
      <x:c r="K7" s="2" t="n">
        <x:v>8</x:v>
      </x:c>
      <x:c r="L7" s="12" t="n">
        <x:v>113555</x:v>
      </x:c>
      <x:c r="M7" s="13" t="n">
        <x:v>0.704317556538817</x:v>
      </x:c>
      <x:c r="N7" s="13" t="n">
        <x:f>H7/G7</x:f>
        <x:v>0.002771958530289338</x:v>
      </x:c>
      <x:c r="O7" s="13" t="n">
        <x:f>F7/E7</x:f>
        <x:v>0.20238095238095238</x:v>
      </x:c>
      <x:c r="P7" s="2" t="str">
        <x:f>IF(AND(E7&gt;='Итоги'!$F$5,N7&lt;='Итоги'!$B$5,O7&gt;='Итоги'!$D$5),"Да","Нет")</x:f>
        <x:v>Да</x:v>
      </x:c>
    </x:row>
    <x:row r="8" ht="60" customHeight="1">
      <x:c r="A8" s="14" t="str">
        <x:v>Смартфоны и планшеты</x:v>
      </x:c>
      <x:c r="B8" s="14" t="str">
        <x:v>Средства связи Smart&amp;Tablets</x:v>
      </x:c>
      <x:c r="C8" s="14" t="str">
        <x:v>Аксессуар к мобильным устройствам Smart&amp;Tablets</x:v>
      </x:c>
      <x:c r="D8" s="14" t="str">
        <x:v>Фитнес-браслет</x:v>
      </x:c>
      <x:c r="E8" s="2" t="n">
        <x:v>92</x:v>
      </x:c>
      <x:c r="F8" s="2" t="n">
        <x:v>13</x:v>
      </x:c>
      <x:c r="G8" s="12" t="n">
        <x:v>41128876.1305</x:v>
      </x:c>
      <x:c r="H8" s="12" t="n">
        <x:v>800748.78478292</x:v>
      </x:c>
      <x:c r="I8" s="13" t="n">
        <x:v>0.0263097826086956</x:v>
      </x:c>
      <x:c r="J8" s="2" t="n">
        <x:v>48</x:v>
      </x:c>
      <x:c r="K8" s="2" t="n">
        <x:v>16</x:v>
      </x:c>
      <x:c r="L8" s="12" t="n">
        <x:v>3210.96185</x:v>
      </x:c>
      <x:c r="M8" s="13" t="n">
        <x:v>0.5826291477566005</x:v>
      </x:c>
      <x:c r="N8" s="13" t="n">
        <x:f>H8/G8</x:f>
        <x:v>0.019469260045963364</x:v>
      </x:c>
      <x:c r="O8" s="13" t="n">
        <x:f>F8/E8</x:f>
        <x:v>0.14130434782608695</x:v>
      </x:c>
      <x:c r="P8" s="2" t="str">
        <x:f>IF(AND(E8&gt;='Итоги'!$F$5,N8&lt;='Итоги'!$B$5,O8&gt;='Итоги'!$D$5),"Да","Нет")</x:f>
        <x:v>Да</x:v>
      </x:c>
    </x:row>
    <x:row r="9" ht="60" customHeight="1">
      <x:c r="A9" s="14" t="str">
        <x:v>Крупная бытовая техника</x:v>
      </x:c>
      <x:c r="B9" s="14" t="str">
        <x:v>MDA Встраиваемая техника</x:v>
      </x:c>
      <x:c r="C9" s="14" t="str">
        <x:v>MDA Встраиваемая стиральная машина</x:v>
      </x:c>
      <x:c r="D9" s="14" t="str">
        <x:v>Встраиваемая стиральная машина</x:v>
      </x:c>
      <x:c r="E9" s="2" t="n">
        <x:v>45</x:v>
      </x:c>
      <x:c r="F9" s="2" t="n">
        <x:v>6</x:v>
      </x:c>
      <x:c r="G9" s="12" t="n">
        <x:v>19560779.29</x:v>
      </x:c>
      <x:c r="H9" s="12" t="n">
        <x:v>283562.87365900003</x:v>
      </x:c>
      <x:c r="I9" s="13" t="n">
        <x:v>0.02064</x:v>
      </x:c>
      <x:c r="J9" s="2" t="n">
        <x:v>23</x:v>
      </x:c>
      <x:c r="K9" s="2" t="n">
        <x:v>1</x:v>
      </x:c>
      <x:c r="L9" s="12" t="n">
        <x:v>26328</x:v>
      </x:c>
      <x:c r="M9" s="13" t="n">
        <x:v>1</x:v>
      </x:c>
      <x:c r="N9" s="13" t="n">
        <x:f>H9/G9</x:f>
        <x:v>0.014496501875258368</x:v>
      </x:c>
      <x:c r="O9" s="13" t="n">
        <x:f>F9/E9</x:f>
        <x:v>0.13333333333333333</x:v>
      </x:c>
      <x:c r="P9" s="2" t="str">
        <x:f>IF(AND(E9&gt;='Итоги'!$F$5,N9&lt;='Итоги'!$B$5,O9&gt;='Итоги'!$D$5),"Да","Нет")</x:f>
        <x:v>Да</x:v>
      </x:c>
    </x:row>
    <x:row r="10" ht="60" customHeight="1">
      <x:c r="A10" s="14" t="str">
        <x:v>Смартфоны и планшеты</x:v>
      </x:c>
      <x:c r="B10" s="14" t="str">
        <x:v>Средства связи Smart&amp;Tablets</x:v>
      </x:c>
      <x:c r="C10" s="14" t="str">
        <x:v>Телефон Smart&amp;Tablets</x:v>
      </x:c>
      <x:c r="D10" s="14" t="str">
        <x:v>Смартфон Samsung</x:v>
      </x:c>
      <x:c r="E10" s="2" t="n">
        <x:v>330</x:v>
      </x:c>
      <x:c r="F10" s="2" t="n">
        <x:v>39</x:v>
      </x:c>
      <x:c r="G10" s="12" t="n">
        <x:v>135803292.8675</x:v>
      </x:c>
      <x:c r="H10" s="12" t="n">
        <x:v>410138.201461</x:v>
      </x:c>
      <x:c r="I10" s="13" t="n">
        <x:v>0.002630606060606</x:v>
      </x:c>
      <x:c r="J10" s="2" t="n">
        <x:v>235</x:v>
      </x:c>
      <x:c r="K10" s="2" t="n">
        <x:v>9</x:v>
      </x:c>
      <x:c r="L10" s="12" t="n">
        <x:v>28257.0909</x:v>
      </x:c>
      <x:c r="M10" s="13" t="n">
        <x:v>0.5516388800578801</x:v>
      </x:c>
      <x:c r="N10" s="13" t="n">
        <x:f>H10/G10</x:f>
        <x:v>0.0030200902555519177</x:v>
      </x:c>
      <x:c r="O10" s="13" t="n">
        <x:f>F10/E10</x:f>
        <x:v>0.11818181818181818</x:v>
      </x:c>
      <x:c r="P10" s="2" t="str">
        <x:f>IF(AND(E10&gt;='Итоги'!$F$5,N10&lt;='Итоги'!$B$5,O10&gt;='Итоги'!$D$5),"Да","Нет")</x:f>
        <x:v>Да</x:v>
      </x:c>
    </x:row>
    <x:row r="11" ht="60" customHeight="1">
      <x:c r="A11" s="14" t="str">
        <x:v>Аудио и видеотехника</x:v>
      </x:c>
      <x:c r="B11" s="14" t="str">
        <x:v>Телевизор TV&amp;Audio</x:v>
      </x:c>
      <x:c r="C11" s="14" t="str">
        <x:v>Телевизор TV&amp;Audio</x:v>
      </x:c>
      <x:c r="D11" s="14" t="str">
        <x:v>Телевизор Samsung</x:v>
      </x:c>
      <x:c r="E11" s="2" t="n">
        <x:v>119</x:v>
      </x:c>
      <x:c r="F11" s="2" t="n">
        <x:v>14</x:v>
      </x:c>
      <x:c r="G11" s="12" t="n">
        <x:v>46969483.6434</x:v>
      </x:c>
      <x:c r="H11" s="12" t="n">
        <x:v>154907.54200000002</x:v>
      </x:c>
      <x:c r="I11" s="13" t="n">
        <x:v>0.0042369747899159</x:v>
      </x:c>
      <x:c r="J11" s="2" t="n">
        <x:v>95</x:v>
      </x:c>
      <x:c r="K11" s="2" t="n">
        <x:v>6</x:v>
      </x:c>
      <x:c r="L11" s="12" t="n">
        <x:v>52672.5</x:v>
      </x:c>
      <x:c r="M11" s="13" t="n">
        <x:v>0.5403791555172122</x:v>
      </x:c>
      <x:c r="N11" s="13" t="n">
        <x:f>H11/G11</x:f>
        <x:v>0.0032980465183752796</x:v>
      </x:c>
      <x:c r="O11" s="13" t="n">
        <x:f>F11/E11</x:f>
        <x:v>0.11764705882352941</x:v>
      </x:c>
      <x:c r="P11" s="2" t="str">
        <x:f>IF(AND(E11&gt;='Итоги'!$F$5,N11&lt;='Итоги'!$B$5,O11&gt;='Итоги'!$D$5),"Да","Нет")</x:f>
        <x:v>Да</x:v>
      </x:c>
    </x:row>
    <x:row r="12" ht="60" customHeight="1">
      <x:c r="A12" s="14" t="str">
        <x:v>Аудио и видеотехника</x:v>
      </x:c>
      <x:c r="B12" s="14" t="str">
        <x:v>Телевизор TV&amp;Audio</x:v>
      </x:c>
      <x:c r="C12" s="14" t="str">
        <x:v>Телевизор TV&amp;Audio</x:v>
      </x:c>
      <x:c r="D12" s="14" t="str">
        <x:v>Телевизор</x:v>
      </x:c>
      <x:c r="E12" s="2" t="n">
        <x:v>644</x:v>
      </x:c>
      <x:c r="F12" s="2" t="n">
        <x:v>71</x:v>
      </x:c>
      <x:c r="G12" s="12" t="n">
        <x:v>269780945.986</x:v>
      </x:c>
      <x:c r="H12" s="12" t="n">
        <x:v>7427766.34883644</x:v>
      </x:c>
      <x:c r="I12" s="13" t="n">
        <x:v>0.0287849378881987</x:v>
      </x:c>
      <x:c r="J12" s="2" t="n">
        <x:v>227</x:v>
      </x:c>
      <x:c r="K12" s="2" t="n">
        <x:v>40</x:v>
      </x:c>
      <x:c r="L12" s="12" t="n">
        <x:v>19324.17855</x:v>
      </x:c>
      <x:c r="M12" s="13" t="n">
        <x:v>0.7545846818372569</x:v>
      </x:c>
      <x:c r="N12" s="13" t="n">
        <x:f>H12/G12</x:f>
        <x:v>0.027532583228549786</x:v>
      </x:c>
      <x:c r="O12" s="13" t="n">
        <x:f>F12/E12</x:f>
        <x:v>0.11024844720496894</x:v>
      </x:c>
      <x:c r="P12" s="2" t="str">
        <x:f>IF(AND(E12&gt;='Итоги'!$F$5,N12&lt;='Итоги'!$B$5,O12&gt;='Итоги'!$D$5),"Да","Нет")</x:f>
        <x:v>Да</x:v>
      </x:c>
    </x:row>
    <x:row r="13" ht="60" customHeight="1">
      <x:c r="A13" s="14" t="str">
        <x:v>Смартфоны и планшеты</x:v>
      </x:c>
      <x:c r="B13" s="14" t="str">
        <x:v>Средства связи Smart&amp;Tablets</x:v>
      </x:c>
      <x:c r="C13" s="14" t="str">
        <x:v>Телефон Smart&amp;Tablets</x:v>
      </x:c>
      <x:c r="D13" s="14" t="str">
        <x:v>Смартфон</x:v>
      </x:c>
      <x:c r="E13" s="2" t="n">
        <x:v>1625</x:v>
      </x:c>
      <x:c r="F13" s="2" t="n">
        <x:v>171</x:v>
      </x:c>
      <x:c r="G13" s="12" t="n">
        <x:v>664169142.6437</x:v>
      </x:c>
      <x:c r="H13" s="12" t="n">
        <x:v>5340459.33578108</x:v>
      </x:c>
      <x:c r="I13" s="13" t="n">
        <x:v>0.0101467076923076</x:v>
      </x:c>
      <x:c r="J13" s="2" t="n">
        <x:v>1119</x:v>
      </x:c>
      <x:c r="K13" s="2" t="n">
        <x:v>64</x:v>
      </x:c>
      <x:c r="L13" s="12" t="n">
        <x:v>17840</x:v>
      </x:c>
      <x:c r="M13" s="13" t="n">
        <x:v>0.6755361936779914</x:v>
      </x:c>
      <x:c r="N13" s="13" t="n">
        <x:f>H13/G13</x:f>
        <x:v>0.008040812186069928</x:v>
      </x:c>
      <x:c r="O13" s="13" t="n">
        <x:f>F13/E13</x:f>
        <x:v>0.10523076923076922</x:v>
      </x:c>
      <x:c r="P13" s="2" t="str">
        <x:f>IF(AND(E13&gt;='Итоги'!$F$5,N13&lt;='Итоги'!$B$5,O13&gt;='Итоги'!$D$5),"Да","Нет")</x:f>
        <x:v>Да</x:v>
      </x:c>
    </x:row>
    <x:row r="14" ht="60" customHeight="1">
      <x:c r="A14" s="14" t="str">
        <x:v>Крупная бытовая техника</x:v>
      </x:c>
      <x:c r="B14" s="14" t="str">
        <x:v>MDA Отдельностоящая техника</x:v>
      </x:c>
      <x:c r="C14" s="14" t="str">
        <x:v>MDA Сушильная машина</x:v>
      </x:c>
      <x:c r="D14" s="14" t="str">
        <x:v>Сушильная машина</x:v>
      </x:c>
      <x:c r="E14" s="2" t="n">
        <x:v>59</x:v>
      </x:c>
      <x:c r="F14" s="2" t="n">
        <x:v>6</x:v>
      </x:c>
      <x:c r="G14" s="12" t="n">
        <x:v>22791602.63</x:v>
      </x:c>
      <x:c r="H14" s="12" t="n">
        <x:v>576760.862401</x:v>
      </x:c>
      <x:c r="I14" s="13" t="n">
        <x:v>0.0197610169491525</x:v>
      </x:c>
      <x:c r="J14" s="2" t="n">
        <x:v>32</x:v>
      </x:c>
      <x:c r="K14" s="2" t="n">
        <x:v>8</x:v>
      </x:c>
      <x:c r="L14" s="12" t="n">
        <x:v>47531.6667</x:v>
      </x:c>
      <x:c r="M14" s="13" t="n">
        <x:v>0.8456949229462764</x:v>
      </x:c>
      <x:c r="N14" s="13" t="n">
        <x:f>H14/G14</x:f>
        <x:v>0.02530584934127557</x:v>
      </x:c>
      <x:c r="O14" s="13" t="n">
        <x:f>F14/E14</x:f>
        <x:v>0.1016949152542373</x:v>
      </x:c>
      <x:c r="P14" s="2" t="str">
        <x:f>IF(AND(E14&gt;='Итоги'!$F$5,N14&lt;='Итоги'!$B$5,O14&gt;='Итоги'!$D$5),"Да","Нет")</x:f>
        <x:v>Да</x:v>
      </x:c>
    </x:row>
    <x:row r="15" ht="60" customHeight="1">
      <x:c r="A15" s="14" t="str">
        <x:v>Смартфоны и планшеты</x:v>
      </x:c>
      <x:c r="B15" s="14" t="str">
        <x:v>Средства связи Smart&amp;Tablets</x:v>
      </x:c>
      <x:c r="C15" s="14" t="str">
        <x:v>Телефон Smart&amp;Tablets</x:v>
      </x:c>
      <x:c r="D15" s="14" t="str">
        <x:v>Смартфон Apple</x:v>
      </x:c>
      <x:c r="E15" s="2" t="n">
        <x:v>70</x:v>
      </x:c>
      <x:c r="F15" s="2" t="n">
        <x:v>7</x:v>
      </x:c>
      <x:c r="G15" s="12" t="n">
        <x:v>26173404.1</x:v>
      </x:c>
      <x:c r="H15" s="12" t="n">
        <x:v>530720.8077</x:v>
      </x:c>
      <x:c r="I15" s="13" t="n">
        <x:v>0.0105671428571428</x:v>
      </x:c>
      <x:c r="J15" s="2" t="n">
        <x:v>63</x:v>
      </x:c>
      <x:c r="K15" s="2" t="n">
        <x:v>10</x:v>
      </x:c>
      <x:c r="L15" s="12" t="n">
        <x:v>61681.75</x:v>
      </x:c>
      <x:c r="M15" s="13" t="n">
        <x:v>0.7174194479349364</x:v>
      </x:c>
      <x:c r="N15" s="13" t="n">
        <x:f>H15/G15</x:f>
        <x:v>0.02027710288169967</x:v>
      </x:c>
      <x:c r="O15" s="13" t="n">
        <x:f>F15/E15</x:f>
        <x:v>0.1</x:v>
      </x:c>
      <x:c r="P15" s="2" t="str">
        <x:f>IF(AND(E15&gt;='Итоги'!$F$5,N15&lt;='Итоги'!$B$5,O15&gt;='Итоги'!$D$5),"Да","Нет")</x:f>
        <x:v>Да</x:v>
      </x:c>
    </x:row>
    <x:row r="16" ht="60" customHeight="1">
      <x:c r="A16" s="14" t="str">
        <x:v>Детское питание</x:v>
      </x:c>
      <x:c r="B16" s="14" t="str">
        <x:v>Детское питание</x:v>
      </x:c>
      <x:c r="C16" s="14" t="str">
        <x:v>Молочная стерилизованная продукция для детей</x:v>
      </x:c>
      <x:c r="D16" s="14" t="str">
        <x:v>Молоко для детей до 3 лет</x:v>
      </x:c>
      <x:c r="E16" s="2" t="n">
        <x:v>1</x:v>
      </x:c>
      <x:c r="F16" s="2" t="n">
        <x:v>1</x:v>
      </x:c>
      <x:c r="G16" s="12" t="n">
        <x:v>1179904.4749</x:v>
      </x:c>
      <x:c r="H16" s="12" t="n">
        <x:v>6725.45550693</x:v>
      </x:c>
      <x:c r="I16" s="13" t="n">
        <x:v>0.0057</x:v>
      </x:c>
      <x:c r="J16" s="2" t="n">
        <x:v>0</x:v>
      </x:c>
      <x:c r="K16" s="2" t="n">
        <x:v>1</x:v>
      </x:c>
      <x:c r="L16" s="12" t="n">
        <x:v>1328.7213</x:v>
      </x:c>
      <x:c r="M16" s="13" t="n">
        <x:v>1</x:v>
      </x:c>
      <x:c r="N16" s="13" t="n">
        <x:f>H16/G16</x:f>
        <x:v>0.0057</x:v>
      </x:c>
      <x:c r="O16" s="13" t="n">
        <x:f>F16/E16</x:f>
        <x:v>1</x:v>
      </x:c>
      <x:c r="P16" s="2" t="str">
        <x:f>IF(AND(E16&gt;='Итоги'!$F$5,N16&lt;='Итоги'!$B$5,O16&gt;='Итоги'!$D$5),"Да","Нет")</x:f>
        <x:v>Нет</x:v>
      </x:c>
    </x:row>
    <x:row r="17" ht="60" customHeight="1">
      <x:c r="A17" s="14" t="str">
        <x:v>Крупная бытовая техника</x:v>
      </x:c>
      <x:c r="B17" s="14" t="str">
        <x:v>MDA Встраиваемая техника</x:v>
      </x:c>
      <x:c r="C17" s="14" t="str">
        <x:v>MDA Встраиваемая техника прочее</x:v>
      </x:c>
      <x:c r="D17" s="14" t="str">
        <x:v>Встраиваемый винный шкаф</x:v>
      </x:c>
      <x:c r="E17" s="2" t="n">
        <x:v>4</x:v>
      </x:c>
      <x:c r="F17" s="2" t="n">
        <x:v>2</x:v>
      </x:c>
      <x:c r="G17" s="12" t="n">
        <x:v>3481051.2103</x:v>
      </x:c>
      <x:c r="H17" s="12" t="n">
        <x:v>15219.144530039996</x:v>
      </x:c>
      <x:c r="I17" s="13" t="n">
        <x:v>0.0057249999999999</x:v>
      </x:c>
      <x:c r="J17" s="2" t="n">
        <x:v>0</x:v>
      </x:c>
      <x:c r="K17" s="2" t="n">
        <x:v>1</x:v>
      </x:c>
      <x:c r="L17" s="12" t="n">
        <x:v>50451.75705</x:v>
      </x:c>
      <x:c r="M17" s="13" t="n">
        <x:v>1</x:v>
      </x:c>
      <x:c r="N17" s="13" t="n">
        <x:f>H17/G17</x:f>
        <x:v>0.0043719967362181944</x:v>
      </x:c>
      <x:c r="O17" s="13" t="n">
        <x:f>F17/E17</x:f>
        <x:v>0.5</x:v>
      </x:c>
      <x:c r="P17" s="2" t="str">
        <x:f>IF(AND(E17&gt;='Итоги'!$F$5,N17&lt;='Итоги'!$B$5,O17&gt;='Итоги'!$D$5),"Да","Нет")</x:f>
        <x:v>Нет</x:v>
      </x:c>
    </x:row>
    <x:row r="18" ht="60" customHeight="1">
      <x:c r="A18" s="14" t="str">
        <x:v>Мелкая бытовая техника</x:v>
      </x:c>
      <x:c r="B18" s="14" t="str">
        <x:v>Мелкая бытовая техника SDA</x:v>
      </x:c>
      <x:c r="C18" s="14" t="str">
        <x:v>Электронная техника для дома SDA</x:v>
      </x:c>
      <x:c r="D18" s="14" t="str">
        <x:v>Вышивальная машина</x:v>
      </x:c>
      <x:c r="E18" s="2" t="n">
        <x:v>2</x:v>
      </x:c>
      <x:c r="F18" s="2" t="n">
        <x:v>1</x:v>
      </x:c>
      <x:c r="G18" s="12" t="n">
        <x:v>1860457</x:v>
      </x:c>
      <x:c r="H18" s="12" t="n">
        <x:v>10522.5913</x:v>
      </x:c>
      <x:c r="I18" s="13" t="n">
        <x:v>0.00515</x:v>
      </x:c>
      <x:c r="J18" s="2" t="n">
        <x:v>0</x:v>
      </x:c>
      <x:c r="K18" s="2" t="n">
        <x:v>1</x:v>
      </x:c>
      <x:c r="L18" s="12" t="n">
        <x:v>141358.07145</x:v>
      </x:c>
      <x:c r="M18" s="13" t="n">
        <x:v>1</x:v>
      </x:c>
      <x:c r="N18" s="13" t="n">
        <x:f>H18/G18</x:f>
        <x:v>0.0056559174976900835</x:v>
      </x:c>
      <x:c r="O18" s="13" t="n">
        <x:f>F18/E18</x:f>
        <x:v>0.5</x:v>
      </x:c>
      <x:c r="P18" s="2" t="str">
        <x:f>IF(AND(E18&gt;='Итоги'!$F$5,N18&lt;='Итоги'!$B$5,O18&gt;='Итоги'!$D$5),"Да","Нет")</x:f>
        <x:v>Нет</x:v>
      </x:c>
    </x:row>
    <x:row r="19" ht="60" customHeight="1">
      <x:c r="A19" s="14" t="str">
        <x:v>Детское питание</x:v>
      </x:c>
      <x:c r="B19" s="14" t="str">
        <x:v>Детское питание</x:v>
      </x:c>
      <x:c r="C19" s="14" t="str">
        <x:v>Смеси и заменители грудного молока для детей</x:v>
      </x:c>
      <x:c r="D19" s="14" t="str">
        <x:v>Смеси и заменители грудного молока для детей с рождения специализированные</x:v>
      </x:c>
      <x:c r="E19" s="2" t="n">
        <x:v>15</x:v>
      </x:c>
      <x:c r="F19" s="2" t="n">
        <x:v>7</x:v>
      </x:c>
      <x:c r="G19" s="12" t="n">
        <x:v>18248794.5892</x:v>
      </x:c>
      <x:c r="H19" s="12" t="n">
        <x:v>21623.6664279</x:v>
      </x:c>
      <x:c r="I19" s="13" t="n">
        <x:v>0.0016</x:v>
      </x:c>
      <x:c r="J19" s="2" t="n">
        <x:v>12</x:v>
      </x:c>
      <x:c r="K19" s="2" t="n">
        <x:v>4</x:v>
      </x:c>
      <x:c r="L19" s="12" t="n">
        <x:v>1668.5005</x:v>
      </x:c>
      <x:c r="M19" s="13" t="n">
        <x:v>0.731724968037211</x:v>
      </x:c>
      <x:c r="N19" s="13" t="n">
        <x:f>H19/G19</x:f>
        <x:v>0.0011849366993640948</x:v>
      </x:c>
      <x:c r="O19" s="13" t="n">
        <x:f>F19/E19</x:f>
        <x:v>0.4666666666666667</x:v>
      </x:c>
      <x:c r="P19" s="2" t="str">
        <x:f>IF(AND(E19&gt;='Итоги'!$F$5,N19&lt;='Итоги'!$B$5,O19&gt;='Итоги'!$D$5),"Да","Нет")</x:f>
        <x:v>Нет</x:v>
      </x:c>
    </x:row>
    <x:row r="20" ht="60" customHeight="1">
      <x:c r="A20" s="14" t="str">
        <x:v>Детское питание</x:v>
      </x:c>
      <x:c r="B20" s="14" t="str">
        <x:v>Детское питание</x:v>
      </x:c>
      <x:c r="C20" s="14" t="str">
        <x:v>Смеси и заменители грудного молока для детей</x:v>
      </x:c>
      <x:c r="D20" s="14" t="str">
        <x:v>Смеси и заменители грудного молока для детей с 18 месяцев специализированные</x:v>
      </x:c>
      <x:c r="E20" s="2" t="n">
        <x:v>3</x:v>
      </x:c>
      <x:c r="F20" s="2" t="n">
        <x:v>1</x:v>
      </x:c>
      <x:c r="G20" s="12" t="n">
        <x:v>3079699.583</x:v>
      </x:c>
      <x:c r="H20" s="12" t="n">
        <x:v>0</x:v>
      </x:c>
      <x:c r="I20" s="13" t="n">
        <x:v>0</x:v>
      </x:c>
      <x:c r="J20" s="2" t="n">
        <x:v>3</x:v>
      </x:c>
      <x:c r="K20" s="2" t="n">
        <x:v>1</x:v>
      </x:c>
      <x:c r="L20" s="12" t="n">
        <x:v>2883.3194</x:v>
      </x:c>
      <x:c r="M20" s="13" t="n">
        <x:v>1</x:v>
      </x:c>
      <x:c r="N20" s="13" t="n">
        <x:f>H20/G20</x:f>
        <x:v>0</x:v>
      </x:c>
      <x:c r="O20" s="13" t="n">
        <x:f>F20/E20</x:f>
        <x:v>0.3333333333333333</x:v>
      </x:c>
      <x:c r="P20" s="2" t="str">
        <x:f>IF(AND(E20&gt;='Итоги'!$F$5,N20&lt;='Итоги'!$B$5,O20&gt;='Итоги'!$D$5),"Да","Нет")</x:f>
        <x:v>Нет</x:v>
      </x:c>
    </x:row>
    <x:row r="21" ht="60" customHeight="1">
      <x:c r="A21" s="14" t="str">
        <x:v>Детское питание</x:v>
      </x:c>
      <x:c r="B21" s="14" t="str">
        <x:v>Детское питание</x:v>
      </x:c>
      <x:c r="C21" s="14" t="str">
        <x:v>Смеси и заменители грудного молока для детей</x:v>
      </x:c>
      <x:c r="D21" s="14" t="str">
        <x:v>Специализированное питание для детей сухое</x:v>
      </x:c>
      <x:c r="E21" s="2" t="n">
        <x:v>3</x:v>
      </x:c>
      <x:c r="F21" s="2" t="n">
        <x:v>1</x:v>
      </x:c>
      <x:c r="G21" s="12" t="n">
        <x:v>2920860.8123</x:v>
      </x:c>
      <x:c r="H21" s="12" t="n">
        <x:v>0</x:v>
      </x:c>
      <x:c r="I21" s="13" t="n">
        <x:v>0</x:v>
      </x:c>
      <x:c r="J21" s="2" t="n">
        <x:v>3</x:v>
      </x:c>
      <x:c r="K21" s="2" t="n">
        <x:v>1</x:v>
      </x:c>
      <x:c r="L21" s="12" t="n">
        <x:v>1792.2391</x:v>
      </x:c>
      <x:c r="M21" s="13" t="n">
        <x:v>1</x:v>
      </x:c>
      <x:c r="N21" s="13" t="n">
        <x:f>H21/G21</x:f>
        <x:v>0</x:v>
      </x:c>
      <x:c r="O21" s="13" t="n">
        <x:f>F21/E21</x:f>
        <x:v>0.3333333333333333</x:v>
      </x:c>
      <x:c r="P21" s="2" t="str">
        <x:f>IF(AND(E21&gt;='Итоги'!$F$5,N21&lt;='Итоги'!$B$5,O21&gt;='Итоги'!$D$5),"Да","Нет")</x:f>
        <x:v>Нет</x:v>
      </x:c>
    </x:row>
    <x:row r="22" ht="60" customHeight="1">
      <x:c r="A22" s="14" t="str">
        <x:v>Детское питание</x:v>
      </x:c>
      <x:c r="B22" s="14" t="str">
        <x:v>Детское питание</x:v>
      </x:c>
      <x:c r="C22" s="14" t="str">
        <x:v>Смеси и заменители грудного молока для детей</x:v>
      </x:c>
      <x:c r="D22" s="14" t="str">
        <x:v>Смеси и заменители грудного молока для детей с 12 месяцев специализированные</x:v>
      </x:c>
      <x:c r="E22" s="2" t="n">
        <x:v>10</x:v>
      </x:c>
      <x:c r="F22" s="2" t="n">
        <x:v>3</x:v>
      </x:c>
      <x:c r="G22" s="12" t="n">
        <x:v>9494193.2919</x:v>
      </x:c>
      <x:c r="H22" s="12" t="n">
        <x:v>26609.21172096</x:v>
      </x:c>
      <x:c r="I22" s="13" t="n">
        <x:v>0.00088</x:v>
      </x:c>
      <x:c r="J22" s="2" t="n">
        <x:v>9</x:v>
      </x:c>
      <x:c r="K22" s="2" t="n">
        <x:v>5</x:v>
      </x:c>
      <x:c r="L22" s="12" t="n">
        <x:v>1820.2128</x:v>
      </x:c>
      <x:c r="M22" s="13" t="n">
        <x:v>0.5448154296598328</x:v>
      </x:c>
      <x:c r="N22" s="13" t="n">
        <x:f>H22/G22</x:f>
        <x:v>0.0028026827454273266</x:v>
      </x:c>
      <x:c r="O22" s="13" t="n">
        <x:f>F22/E22</x:f>
        <x:v>0.3</x:v>
      </x:c>
      <x:c r="P22" s="2" t="str">
        <x:f>IF(AND(E22&gt;='Итоги'!$F$5,N22&lt;='Итоги'!$B$5,O22&gt;='Итоги'!$D$5),"Да","Нет")</x:f>
        <x:v>Нет</x:v>
      </x:c>
    </x:row>
    <x:row r="23" ht="60" customHeight="1">
      <x:c r="A23" s="14" t="str">
        <x:v>Личная гигиена и детская продукция</x:v>
      </x:c>
      <x:c r="B23" s="14" t="str">
        <x:v>Детская продукция</x:v>
      </x:c>
      <x:c r="C23" s="14" t="str">
        <x:v>Гигиена детская NewBorn</x:v>
      </x:c>
      <x:c r="D23" s="14" t="str">
        <x:v>Салфетки влажные детские</x:v>
      </x:c>
      <x:c r="E23" s="2" t="n">
        <x:v>7</x:v>
      </x:c>
      <x:c r="F23" s="2" t="n">
        <x:v>2</x:v>
      </x:c>
      <x:c r="G23" s="12" t="n">
        <x:v>5175194.7614</x:v>
      </x:c>
      <x:c r="H23" s="12" t="n">
        <x:v>171166.92282699002</x:v>
      </x:c>
      <x:c r="I23" s="13" t="n">
        <x:v>0.0539428571428571</x:v>
      </x:c>
      <x:c r="J23" s="2" t="n">
        <x:v>3</x:v>
      </x:c>
      <x:c r="K23" s="2" t="n">
        <x:v>2</x:v>
      </x:c>
      <x:c r="L23" s="12" t="n">
        <x:v>896.4973</x:v>
      </x:c>
      <x:c r="M23" s="13" t="n">
        <x:v>0.5424498184761205</x:v>
      </x:c>
      <x:c r="N23" s="13" t="n">
        <x:f>H23/G23</x:f>
        <x:v>0.033074489119456006</x:v>
      </x:c>
      <x:c r="O23" s="13" t="n">
        <x:f>F23/E23</x:f>
        <x:v>0.2857142857142857</x:v>
      </x:c>
      <x:c r="P23" s="2" t="str">
        <x:f>IF(AND(E23&gt;='Итоги'!$F$5,N23&lt;='Итоги'!$B$5,O23&gt;='Итоги'!$D$5),"Да","Нет")</x:f>
        <x:v>Нет</x:v>
      </x:c>
    </x:row>
    <x:row r="24" ht="60" customHeight="1">
      <x:c r="A24" s="14" t="str">
        <x:v>Личная гигиена и детская продукция</x:v>
      </x:c>
      <x:c r="B24" s="14" t="str">
        <x:v>Личная гигиена</x:v>
      </x:c>
      <x:c r="C24" s="14" t="str">
        <x:v>Женская гигиена</x:v>
      </x:c>
      <x:c r="D24" s="14" t="str">
        <x:v>Гигиеническое нижнее белье</x:v>
      </x:c>
      <x:c r="E24" s="2" t="n">
        <x:v>8</x:v>
      </x:c>
      <x:c r="F24" s="2" t="n">
        <x:v>2</x:v>
      </x:c>
      <x:c r="G24" s="12" t="n">
        <x:v>4676478.3408</x:v>
      </x:c>
      <x:c r="H24" s="12" t="n">
        <x:v>8954.03139479</x:v>
      </x:c>
      <x:c r="I24" s="13" t="n">
        <x:v>0.0022749999999999</x:v>
      </x:c>
      <x:c r="J24" s="2" t="n">
        <x:v>1</x:v>
      </x:c>
      <x:c r="K24" s="2" t="n">
        <x:v>1</x:v>
      </x:c>
      <x:c r="L24" s="12" t="n">
        <x:v>1743.6745</x:v>
      </x:c>
      <x:c r="M24" s="13" t="n">
        <x:v>1</x:v>
      </x:c>
      <x:c r="N24" s="13" t="n">
        <x:f>H24/G24</x:f>
        <x:v>0.001914695363104845</x:v>
      </x:c>
      <x:c r="O24" s="13" t="n">
        <x:f>F24/E24</x:f>
        <x:v>0.25</x:v>
      </x:c>
      <x:c r="P24" s="2" t="str">
        <x:f>IF(AND(E24&gt;='Итоги'!$F$5,N24&lt;='Итоги'!$B$5,O24&gt;='Итоги'!$D$5),"Да","Нет")</x:f>
        <x:v>Нет</x:v>
      </x:c>
    </x:row>
    <x:row r="25" ht="60" customHeight="1">
      <x:c r="A25" s="14" t="str">
        <x:v>Смартфоны и планшеты</x:v>
      </x:c>
      <x:c r="B25" s="14" t="str">
        <x:v>Средства связи Smart&amp;Tablets</x:v>
      </x:c>
      <x:c r="C25" s="14" t="str">
        <x:v>Аксессуар к мобильным устройствам Smart&amp;Tablets</x:v>
      </x:c>
      <x:c r="D25" s="14" t="str">
        <x:v>Наушники TWS Samsung</x:v>
      </x:c>
      <x:c r="E25" s="2" t="n">
        <x:v>16</x:v>
      </x:c>
      <x:c r="F25" s="2" t="n">
        <x:v>3</x:v>
      </x:c>
      <x:c r="G25" s="12" t="n">
        <x:v>9133116.3102</x:v>
      </x:c>
      <x:c r="H25" s="12" t="n">
        <x:v>350417.99545000005</x:v>
      </x:c>
      <x:c r="I25" s="13" t="n">
        <x:v>0.022725</x:v>
      </x:c>
      <x:c r="J25" s="2" t="n">
        <x:v>8</x:v>
      </x:c>
      <x:c r="K25" s="2" t="n">
        <x:v>5</x:v>
      </x:c>
      <x:c r="L25" s="12" t="n">
        <x:v>6466.619699999999</x:v>
      </x:c>
      <x:c r="M25" s="13" t="n">
        <x:v>0.7787642529041927</x:v>
      </x:c>
      <x:c r="N25" s="13" t="n">
        <x:f>H25/G25</x:f>
        <x:v>0.038367845491976055</x:v>
      </x:c>
      <x:c r="O25" s="13" t="n">
        <x:f>F25/E25</x:f>
        <x:v>0.1875</x:v>
      </x:c>
      <x:c r="P25" s="2" t="str">
        <x:f>IF(AND(E25&gt;='Итоги'!$F$5,N25&lt;='Итоги'!$B$5,O25&gt;='Итоги'!$D$5),"Да","Нет")</x:f>
        <x:v>Нет</x:v>
      </x:c>
    </x:row>
    <x:row r="26" ht="60" customHeight="1">
      <x:c r="A26" s="14" t="str">
        <x:v>Личная гигиена и детская продукция</x:v>
      </x:c>
      <x:c r="B26" s="14" t="str">
        <x:v>Детская продукция</x:v>
      </x:c>
      <x:c r="C26" s="14" t="str">
        <x:v>Подгузники детские</x:v>
      </x:c>
      <x:c r="D26" s="14" t="str">
        <x:v>Подгузники детские</x:v>
      </x:c>
      <x:c r="E26" s="2" t="n">
        <x:v>750</x:v>
      </x:c>
      <x:c r="F26" s="2" t="n">
        <x:v>137</x:v>
      </x:c>
      <x:c r="G26" s="12" t="n">
        <x:v>402698388.0567</x:v>
      </x:c>
      <x:c r="H26" s="12" t="n">
        <x:v>25334039.36409439</x:v>
      </x:c>
      <x:c r="I26" s="13" t="n">
        <x:v>0.0624466666666666</x:v>
      </x:c>
      <x:c r="J26" s="2" t="n">
        <x:v>202</x:v>
      </x:c>
      <x:c r="K26" s="2" t="n">
        <x:v>37</x:v>
      </x:c>
      <x:c r="L26" s="12" t="n">
        <x:v>1259.4186</x:v>
      </x:c>
      <x:c r="M26" s="13" t="n">
        <x:v>0.6017262224255095</x:v>
      </x:c>
      <x:c r="N26" s="13" t="n">
        <x:f>H26/G26</x:f>
        <x:v>0.06291070467490263</x:v>
      </x:c>
      <x:c r="O26" s="13" t="n">
        <x:f>F26/E26</x:f>
        <x:v>0.18266666666666667</x:v>
      </x:c>
      <x:c r="P26" s="2" t="str">
        <x:f>IF(AND(E26&gt;='Итоги'!$F$5,N26&lt;='Итоги'!$B$5,O26&gt;='Итоги'!$D$5),"Да","Нет")</x:f>
        <x:v>Нет</x:v>
      </x:c>
    </x:row>
    <x:row r="27" ht="60" customHeight="1">
      <x:c r="A27" s="14" t="str">
        <x:v>Бытовая химия и гигиена рта</x:v>
      </x:c>
      <x:c r="B27" s="14" t="str">
        <x:v>Средства для стирки</x:v>
      </x:c>
      <x:c r="C27" s="14" t="str">
        <x:v>Капсулы, таблетки для стирки</x:v>
      </x:c>
      <x:c r="D27" s="14" t="str">
        <x:v>Капсулы, таблетки для стирки цветного белья</x:v>
      </x:c>
      <x:c r="E27" s="2" t="n">
        <x:v>6</x:v>
      </x:c>
      <x:c r="F27" s="2" t="n">
        <x:v>1</x:v>
      </x:c>
      <x:c r="G27" s="12" t="n">
        <x:v>2483906.9449</x:v>
      </x:c>
      <x:c r="H27" s="12" t="n">
        <x:v>284491.85000849003</x:v>
      </x:c>
      <x:c r="I27" s="13" t="n">
        <x:v>0.06635</x:v>
      </x:c>
      <x:c r="J27" s="2" t="n">
        <x:v>3</x:v>
      </x:c>
      <x:c r="K27" s="2" t="n">
        <x:v>2</x:v>
      </x:c>
      <x:c r="L27" s="12" t="n">
        <x:v>1210.7404</x:v>
      </x:c>
      <x:c r="M27" s="13" t="n">
        <x:v>0.6244498867740172</x:v>
      </x:c>
      <x:c r="N27" s="13" t="n">
        <x:f>H27/G27</x:f>
        <x:v>0.11453402092723865</x:v>
      </x:c>
      <x:c r="O27" s="13" t="n">
        <x:f>F27/E27</x:f>
        <x:v>0.16666666666666666</x:v>
      </x:c>
      <x:c r="P27" s="2" t="str">
        <x:f>IF(AND(E27&gt;='Итоги'!$F$5,N27&lt;='Итоги'!$B$5,O27&gt;='Итоги'!$D$5),"Да","Нет")</x:f>
        <x:v>Нет</x:v>
      </x:c>
    </x:row>
    <x:row r="28" ht="60" customHeight="1">
      <x:c r="A28" s="14" t="str">
        <x:v>Бытовая химия и гигиена рта</x:v>
      </x:c>
      <x:c r="B28" s="14" t="str">
        <x:v>Средства для стирки</x:v>
      </x:c>
      <x:c r="C28" s="14" t="str">
        <x:v>Капсулы, таблетки для стирки</x:v>
      </x:c>
      <x:c r="D28" s="14" t="str">
        <x:v>Капсулы, таблетки для стирки универсальные</x:v>
      </x:c>
      <x:c r="E28" s="2" t="n">
        <x:v>18</x:v>
      </x:c>
      <x:c r="F28" s="2" t="n">
        <x:v>3</x:v>
      </x:c>
      <x:c r="G28" s="12" t="n">
        <x:v>8220687.2494</x:v>
      </x:c>
      <x:c r="H28" s="12" t="n">
        <x:v>1104461.99586027</x:v>
      </x:c>
      <x:c r="I28" s="13" t="n">
        <x:v>0.1090777777777777</x:v>
      </x:c>
      <x:c r="J28" s="2" t="n">
        <x:v>5</x:v>
      </x:c>
      <x:c r="K28" s="2" t="n">
        <x:v>5</x:v>
      </x:c>
      <x:c r="L28" s="12" t="n">
        <x:v>1004.8849</x:v>
      </x:c>
      <x:c r="M28" s="13" t="n">
        <x:v>0.5092817358798766</x:v>
      </x:c>
      <x:c r="N28" s="13" t="n">
        <x:f>H28/G28</x:f>
        <x:v>0.13435154049205325</x:v>
      </x:c>
      <x:c r="O28" s="13" t="n">
        <x:f>F28/E28</x:f>
        <x:v>0.16666666666666666</x:v>
      </x:c>
      <x:c r="P28" s="2" t="str">
        <x:f>IF(AND(E28&gt;='Итоги'!$F$5,N28&lt;='Итоги'!$B$5,O28&gt;='Итоги'!$D$5),"Да","Нет")</x:f>
        <x:v>Нет</x:v>
      </x:c>
    </x:row>
    <x:row r="29" ht="60" customHeight="1">
      <x:c r="A29" s="14" t="str">
        <x:v>Крупная бытовая техника</x:v>
      </x:c>
      <x:c r="B29" s="14" t="str">
        <x:v>MDA Отдельностоящая техника</x:v>
      </x:c>
      <x:c r="C29" s="14" t="str">
        <x:v>MDA Холодильник</x:v>
      </x:c>
      <x:c r="D29" s="14" t="str">
        <x:v>Холодильник многодверный</x:v>
      </x:c>
      <x:c r="E29" s="2" t="n">
        <x:v>37</x:v>
      </x:c>
      <x:c r="F29" s="2" t="n">
        <x:v>6</x:v>
      </x:c>
      <x:c r="G29" s="12" t="n">
        <x:v>18904894.69</x:v>
      </x:c>
      <x:c r="H29" s="12" t="n">
        <x:v>605487.454727</x:v>
      </x:c>
      <x:c r="I29" s="13" t="n">
        <x:v>0.0349189189189189</x:v>
      </x:c>
      <x:c r="J29" s="2" t="n">
        <x:v>13</x:v>
      </x:c>
      <x:c r="K29" s="2" t="n">
        <x:v>4</x:v>
      </x:c>
      <x:c r="L29" s="12" t="n">
        <x:v>69998.25</x:v>
      </x:c>
      <x:c r="M29" s="13" t="n">
        <x:v>0.8926326735332901</x:v>
      </x:c>
      <x:c r="N29" s="13" t="n">
        <x:f>H29/G29</x:f>
        <x:v>0.03202807868838755</x:v>
      </x:c>
      <x:c r="O29" s="13" t="n">
        <x:f>F29/E29</x:f>
        <x:v>0.16216216216216217</x:v>
      </x:c>
      <x:c r="P29" s="2" t="str">
        <x:f>IF(AND(E29&gt;='Итоги'!$F$5,N29&lt;='Итоги'!$B$5,O29&gt;='Итоги'!$D$5),"Да","Нет")</x:f>
        <x:v>Нет</x:v>
      </x:c>
    </x:row>
    <x:row r="30" ht="60" customHeight="1">
      <x:c r="A30" s="14" t="str">
        <x:v>Смартфоны и планшеты</x:v>
      </x:c>
      <x:c r="B30" s="14" t="str">
        <x:v>Средства связи Smart&amp;Tablets</x:v>
      </x:c>
      <x:c r="C30" s="14" t="str">
        <x:v>Аксессуар к мобильным устройствам Smart&amp;Tablets</x:v>
      </x:c>
      <x:c r="D30" s="14" t="str">
        <x:v>SmartWatch Apple</x:v>
      </x:c>
      <x:c r="E30" s="2" t="n">
        <x:v>25</x:v>
      </x:c>
      <x:c r="F30" s="2" t="n">
        <x:v>4</x:v>
      </x:c>
      <x:c r="G30" s="12" t="n">
        <x:v>9986205.5406</x:v>
      </x:c>
      <x:c r="H30" s="12" t="n">
        <x:v>447.5432</x:v>
      </x:c>
      <x:c r="I30" s="13" t="n">
        <x:v>0.000184</x:v>
      </x:c>
      <x:c r="J30" s="2" t="n">
        <x:v>24</x:v>
      </x:c>
      <x:c r="K30" s="2" t="n">
        <x:v>5</x:v>
      </x:c>
      <x:c r="L30" s="12" t="n">
        <x:v>26984.4833</x:v>
      </x:c>
      <x:c r="M30" s="13" t="n">
        <x:v>0.9633791835634472</x:v>
      </x:c>
      <x:c r="N30" s="13" t="n">
        <x:f>H30/G30</x:f>
        <x:v>0.00004481614144436189</x:v>
      </x:c>
      <x:c r="O30" s="13" t="n">
        <x:f>F30/E30</x:f>
        <x:v>0.16</x:v>
      </x:c>
      <x:c r="P30" s="2" t="str">
        <x:f>IF(AND(E30&gt;='Итоги'!$F$5,N30&lt;='Итоги'!$B$5,O30&gt;='Итоги'!$D$5),"Да","Нет")</x:f>
        <x:v>Нет</x:v>
      </x:c>
    </x:row>
    <x:row r="31" ht="60" customHeight="1">
      <x:c r="A31" s="14" t="str">
        <x:v>Аудио и видеотехника</x:v>
      </x:c>
      <x:c r="B31" s="14" t="str">
        <x:v>Средства связи TV&amp;Audio</x:v>
      </x:c>
      <x:c r="C31" s="14" t="str">
        <x:v>Спутниковая связь TV&amp;Audio</x:v>
      </x:c>
      <x:c r="D31" s="14" t="str">
        <x:v>Спутниковое ТВ</x:v>
      </x:c>
      <x:c r="E31" s="2" t="n">
        <x:v>14</x:v>
      </x:c>
      <x:c r="F31" s="2" t="n">
        <x:v>2</x:v>
      </x:c>
      <x:c r="G31" s="12" t="n">
        <x:v>6189191.8092</x:v>
      </x:c>
      <x:c r="H31" s="12" t="n">
        <x:v>1191.3552</x:v>
      </x:c>
      <x:c r="I31" s="13" t="n">
        <x:v>0.0010285714285714</x:v>
      </x:c>
      <x:c r="J31" s="2" t="n">
        <x:v>13</x:v>
      </x:c>
      <x:c r="K31" s="2" t="n">
        <x:v>8</x:v>
      </x:c>
      <x:c r="L31" s="12" t="n">
        <x:v>4124.0018</x:v>
      </x:c>
      <x:c r="M31" s="13" t="n">
        <x:v>0.4334331903742933</x:v>
      </x:c>
      <x:c r="N31" s="13" t="n">
        <x:f>H31/G31</x:f>
        <x:v>0.00019248962331868522</x:v>
      </x:c>
      <x:c r="O31" s="13" t="n">
        <x:f>F31/E31</x:f>
        <x:v>0.14285714285714285</x:v>
      </x:c>
      <x:c r="P31" s="2" t="str">
        <x:f>IF(AND(E31&gt;='Итоги'!$F$5,N31&lt;='Итоги'!$B$5,O31&gt;='Итоги'!$D$5),"Да","Нет")</x:f>
        <x:v>Нет</x:v>
      </x:c>
    </x:row>
    <x:row r="32" ht="60" customHeight="1">
      <x:c r="A32" s="14" t="str">
        <x:v>Крупная бытовая техника</x:v>
      </x:c>
      <x:c r="B32" s="14" t="str">
        <x:v>MDA Встраиваемая техника</x:v>
      </x:c>
      <x:c r="C32" s="14" t="str">
        <x:v>MDA Встраиваемый морозильник</x:v>
      </x:c>
      <x:c r="D32" s="14" t="str">
        <x:v>Встраиваемый морозильник</x:v>
      </x:c>
      <x:c r="E32" s="2" t="n">
        <x:v>7</x:v>
      </x:c>
      <x:c r="F32" s="2" t="n">
        <x:v>1</x:v>
      </x:c>
      <x:c r="G32" s="12" t="n">
        <x:v>2650754</x:v>
      </x:c>
      <x:c r="H32" s="12" t="n">
        <x:v>27484.0912</x:v>
      </x:c>
      <x:c r="I32" s="13" t="n">
        <x:v>0.0169142857142857</x:v>
      </x:c>
      <x:c r="J32" s="2" t="n">
        <x:v>4</x:v>
      </x:c>
      <x:c r="K32" s="2" t="n">
        <x:v>2</x:v>
      </x:c>
      <x:c r="L32" s="12" t="n">
        <x:v>56987.3333</x:v>
      </x:c>
      <x:c r="M32" s="13" t="n">
        <x:v>0.9692317732992196</x:v>
      </x:c>
      <x:c r="N32" s="13" t="n">
        <x:f>H32/G32</x:f>
        <x:v>0.010368405065124866</x:v>
      </x:c>
      <x:c r="O32" s="13" t="n">
        <x:f>F32/E32</x:f>
        <x:v>0.14285714285714285</x:v>
      </x:c>
      <x:c r="P32" s="2" t="str">
        <x:f>IF(AND(E32&gt;='Итоги'!$F$5,N32&lt;='Итоги'!$B$5,O32&gt;='Итоги'!$D$5),"Да","Нет")</x:f>
        <x:v>Нет</x:v>
      </x:c>
    </x:row>
    <x:row r="33" ht="60" customHeight="1">
      <x:c r="A33" s="14" t="str">
        <x:v>Мелкая бытовая техника</x:v>
      </x:c>
      <x:c r="B33" s="14" t="str">
        <x:v>Мелкая бытовая техника SDA</x:v>
      </x:c>
      <x:c r="C33" s="14" t="str">
        <x:v>Электронная кухонная техника SDA</x:v>
      </x:c>
      <x:c r="D33" s="14" t="str">
        <x:v>Блинница</x:v>
      </x:c>
      <x:c r="E33" s="2" t="n">
        <x:v>7</x:v>
      </x:c>
      <x:c r="F33" s="2" t="n">
        <x:v>1</x:v>
      </x:c>
      <x:c r="G33" s="12" t="n">
        <x:v>2454649.6972000003</x:v>
      </x:c>
      <x:c r="H33" s="12" t="n">
        <x:v>76729.98090803</x:v>
      </x:c>
      <x:c r="I33" s="13" t="n">
        <x:v>0.0825142857142857</x:v>
      </x:c>
      <x:c r="J33" s="2" t="n">
        <x:v>1</x:v>
      </x:c>
      <x:c r="K33" s="2" t="n">
        <x:v>3</x:v>
      </x:c>
      <x:c r="L33" s="12" t="n">
        <x:v>2822.3</x:v>
      </x:c>
      <x:c r="M33" s="13" t="n">
        <x:v>0.9598135134261632</x:v>
      </x:c>
      <x:c r="N33" s="13" t="n">
        <x:f>H33/G33</x:f>
        <x:v>0.03125903504502304</x:v>
      </x:c>
      <x:c r="O33" s="13" t="n">
        <x:f>F33/E33</x:f>
        <x:v>0.14285714285714285</x:v>
      </x:c>
      <x:c r="P33" s="2" t="str">
        <x:f>IF(AND(E33&gt;='Итоги'!$F$5,N33&lt;='Итоги'!$B$5,O33&gt;='Итоги'!$D$5),"Да","Нет")</x:f>
        <x:v>Нет</x:v>
      </x:c>
    </x:row>
    <x:row r="34" ht="60" customHeight="1">
      <x:c r="A34" s="14" t="str">
        <x:v>Смартфоны и планшеты</x:v>
      </x:c>
      <x:c r="B34" s="14" t="str">
        <x:v>Средства связи Smart&amp;Tablets</x:v>
      </x:c>
      <x:c r="C34" s="14" t="str">
        <x:v>Телефон Smart&amp;Tablets</x:v>
      </x:c>
      <x:c r="D34" s="14" t="str">
        <x:v>SIM-карта</x:v>
      </x:c>
      <x:c r="E34" s="2" t="n">
        <x:v>7</x:v>
      </x:c>
      <x:c r="F34" s="2" t="n">
        <x:v>1</x:v>
      </x:c>
      <x:c r="G34" s="12" t="n">
        <x:v>2546864</x:v>
      </x:c>
      <x:c r="H34" s="12" t="n">
        <x:v>130714.988</x:v>
      </x:c>
      <x:c r="I34" s="13" t="n">
        <x:v>0.0665571428571428</x:v>
      </x:c>
      <x:c r="J34" s="2" t="n">
        <x:v>4</x:v>
      </x:c>
      <x:c r="K34" s="2" t="n">
        <x:v>3</x:v>
      </x:c>
      <x:c r="L34" s="12" t="n">
        <x:v>1497.2258</x:v>
      </x:c>
      <x:c r="M34" s="13" t="n">
        <x:v>0.6562851412560702</x:v>
      </x:c>
      <x:c r="N34" s="13" t="n">
        <x:f>H34/G34</x:f>
        <x:v>0.051323897938798456</x:v>
      </x:c>
      <x:c r="O34" s="13" t="n">
        <x:f>F34/E34</x:f>
        <x:v>0.14285714285714285</x:v>
      </x:c>
      <x:c r="P34" s="2" t="str">
        <x:f>IF(AND(E34&gt;='Итоги'!$F$5,N34&lt;='Итоги'!$B$5,O34&gt;='Итоги'!$D$5),"Да","Нет")</x:f>
        <x:v>Нет</x:v>
      </x:c>
    </x:row>
    <x:row r="35" ht="60" customHeight="1">
      <x:c r="A35" s="14" t="str">
        <x:v>Личная гигиена и детская продукция</x:v>
      </x:c>
      <x:c r="B35" s="14" t="str">
        <x:v>Личная гигиена</x:v>
      </x:c>
      <x:c r="C35" s="14" t="str">
        <x:v>Бумажная продукция</x:v>
      </x:c>
      <x:c r="D35" s="14" t="str">
        <x:v>Туалетная бумага влажная</x:v>
      </x:c>
      <x:c r="E35" s="2" t="n">
        <x:v>7</x:v>
      </x:c>
      <x:c r="F35" s="2" t="n">
        <x:v>1</x:v>
      </x:c>
      <x:c r="G35" s="12" t="n">
        <x:v>1918826.5769</x:v>
      </x:c>
      <x:c r="H35" s="12" t="n">
        <x:v>117098.00849938</x:v>
      </x:c>
      <x:c r="I35" s="13" t="n">
        <x:v>0.0814857142857142</x:v>
      </x:c>
      <x:c r="J35" s="2" t="n">
        <x:v>0</x:v>
      </x:c>
      <x:c r="K35" s="2" t="n">
        <x:v>1</x:v>
      </x:c>
      <x:c r="L35" s="12" t="n">
        <x:v>967.6755</x:v>
      </x:c>
      <x:c r="M35" s="13" t="n">
        <x:v>1</x:v>
      </x:c>
      <x:c r="N35" s="13" t="n">
        <x:f>H35/G35</x:f>
        <x:v>0.061025842517024184</x:v>
      </x:c>
      <x:c r="O35" s="13" t="n">
        <x:f>F35/E35</x:f>
        <x:v>0.14285714285714285</x:v>
      </x:c>
      <x:c r="P35" s="2" t="str">
        <x:f>IF(AND(E35&gt;='Итоги'!$F$5,N35&lt;='Итоги'!$B$5,O35&gt;='Итоги'!$D$5),"Да","Нет")</x:f>
        <x:v>Нет</x:v>
      </x:c>
    </x:row>
    <x:row r="36" ht="60" customHeight="1">
      <x:c r="A36" s="14" t="str">
        <x:v>Бытовая химия и гигиена рта</x:v>
      </x:c>
      <x:c r="B36" s="14" t="str">
        <x:v>Бытовая химия</x:v>
      </x:c>
      <x:c r="C36" s="14" t="str">
        <x:v>Чистящее и моющее средство</x:v>
      </x:c>
      <x:c r="D36" s="14" t="str">
        <x:v>Средство чистящее для туалета</x:v>
      </x:c>
      <x:c r="E36" s="2" t="n">
        <x:v>7</x:v>
      </x:c>
      <x:c r="F36" s="2" t="n">
        <x:v>1</x:v>
      </x:c>
      <x:c r="G36" s="12" t="n">
        <x:v>1771455.726</x:v>
      </x:c>
      <x:c r="H36" s="12" t="n">
        <x:v>142940.4314295</x:v>
      </x:c>
      <x:c r="I36" s="13" t="n">
        <x:v>0.0788714285714285</x:v>
      </x:c>
      <x:c r="J36" s="2" t="n">
        <x:v>2</x:v>
      </x:c>
      <x:c r="K36" s="2" t="n">
        <x:v>6</x:v>
      </x:c>
      <x:c r="L36" s="12" t="n">
        <x:v>956.487</x:v>
      </x:c>
      <x:c r="M36" s="13" t="n">
        <x:v>0.6614314958611617</x:v>
      </x:c>
      <x:c r="N36" s="13" t="n">
        <x:f>H36/G36</x:f>
        <x:v>0.0806909421057131</x:v>
      </x:c>
      <x:c r="O36" s="13" t="n">
        <x:f>F36/E36</x:f>
        <x:v>0.14285714285714285</x:v>
      </x:c>
      <x:c r="P36" s="2" t="str">
        <x:f>IF(AND(E36&gt;='Итоги'!$F$5,N36&lt;='Итоги'!$B$5,O36&gt;='Итоги'!$D$5),"Да","Нет")</x:f>
        <x:v>Нет</x:v>
      </x:c>
    </x:row>
    <x:row r="37" ht="60" customHeight="1">
      <x:c r="A37" s="14" t="str">
        <x:v>Личная гигиена и детская продукция</x:v>
      </x:c>
      <x:c r="B37" s="14" t="str">
        <x:v>Личная гигиена</x:v>
      </x:c>
      <x:c r="C37" s="14" t="str">
        <x:v>Женская гигиена</x:v>
      </x:c>
      <x:c r="D37" s="14" t="str">
        <x:v>Тампоны гигиенические</x:v>
      </x:c>
      <x:c r="E37" s="2" t="n">
        <x:v>29</x:v>
      </x:c>
      <x:c r="F37" s="2" t="n">
        <x:v>4</x:v>
      </x:c>
      <x:c r="G37" s="12" t="n">
        <x:v>12286579.8557</x:v>
      </x:c>
      <x:c r="H37" s="12" t="n">
        <x:v>261184.29982934</x:v>
      </x:c>
      <x:c r="I37" s="13" t="n">
        <x:v>0.0190758620689655</x:v>
      </x:c>
      <x:c r="J37" s="2" t="n">
        <x:v>11</x:v>
      </x:c>
      <x:c r="K37" s="2" t="n">
        <x:v>5</x:v>
      </x:c>
      <x:c r="L37" s="12" t="n">
        <x:v>956.4167</x:v>
      </x:c>
      <x:c r="M37" s="13" t="n">
        <x:v>0.8362494350967311</x:v>
      </x:c>
      <x:c r="N37" s="13" t="n">
        <x:f>H37/G37</x:f>
        <x:v>0.021257689519526557</x:v>
      </x:c>
      <x:c r="O37" s="13" t="n">
        <x:f>F37/E37</x:f>
        <x:v>0.13793103448275862</x:v>
      </x:c>
      <x:c r="P37" s="2" t="str">
        <x:f>IF(AND(E37&gt;='Итоги'!$F$5,N37&lt;='Итоги'!$B$5,O37&gt;='Итоги'!$D$5),"Да","Нет")</x:f>
        <x:v>Нет</x:v>
      </x:c>
    </x:row>
    <x:row r="38" ht="60" customHeight="1">
      <x:c r="A38" s="14" t="str">
        <x:v>Крупная бытовая техника</x:v>
      </x:c>
      <x:c r="B38" s="14" t="str">
        <x:v>MDA Отдельностоящая техника</x:v>
      </x:c>
      <x:c r="C38" s="14" t="str">
        <x:v>MDA Морозильник</x:v>
      </x:c>
      <x:c r="D38" s="14" t="str">
        <x:v>Морозильный ларь</x:v>
      </x:c>
      <x:c r="E38" s="2" t="n">
        <x:v>67</x:v>
      </x:c>
      <x:c r="F38" s="2" t="n">
        <x:v>9</x:v>
      </x:c>
      <x:c r="G38" s="12" t="n">
        <x:v>24116996.0021</x:v>
      </x:c>
      <x:c r="H38" s="12" t="n">
        <x:v>1200330.054567</x:v>
      </x:c>
      <x:c r="I38" s="13" t="n">
        <x:v>0.0251492537313432</x:v>
      </x:c>
      <x:c r="J38" s="2" t="n">
        <x:v>38</x:v>
      </x:c>
      <x:c r="K38" s="2" t="n">
        <x:v>4</x:v>
      </x:c>
      <x:c r="L38" s="12" t="n">
        <x:v>21158.9286</x:v>
      </x:c>
      <x:c r="M38" s="13" t="n">
        <x:v>0.804441136467024</x:v>
      </x:c>
      <x:c r="N38" s="13" t="n">
        <x:f>H38/G38</x:f>
        <x:v>0.04977112632363005</x:v>
      </x:c>
      <x:c r="O38" s="13" t="n">
        <x:f>F38/E38</x:f>
        <x:v>0.13432835820895522</x:v>
      </x:c>
      <x:c r="P38" s="2" t="str">
        <x:f>IF(AND(E38&gt;='Итоги'!$F$5,N38&lt;='Итоги'!$B$5,O38&gt;='Итоги'!$D$5),"Да","Нет")</x:f>
        <x:v>Нет</x:v>
      </x:c>
    </x:row>
    <x:row r="39" ht="60" customHeight="1">
      <x:c r="A39" s="14" t="str">
        <x:v>Строительство и ремонт (DIY)</x:v>
      </x:c>
      <x:c r="B39" s="14" t="str">
        <x:v>Сантехника</x:v>
      </x:c>
      <x:c r="C39" s="14" t="str">
        <x:v>Системы отопления</x:v>
      </x:c>
      <x:c r="D39" s="14" t="str">
        <x:v>Отопительная печь для дома</x:v>
      </x:c>
      <x:c r="E39" s="2" t="n">
        <x:v>8</x:v>
      </x:c>
      <x:c r="F39" s="2" t="n">
        <x:v>1</x:v>
      </x:c>
      <x:c r="G39" s="12" t="n">
        <x:v>2836966.5739</x:v>
      </x:c>
      <x:c r="H39" s="12" t="n">
        <x:v>192128.6354028</x:v>
      </x:c>
      <x:c r="I39" s="13" t="n">
        <x:v>0.048225</x:v>
      </x:c>
      <x:c r="J39" s="2" t="n">
        <x:v>0</x:v>
      </x:c>
      <x:c r="K39" s="2" t="n">
        <x:v>3</x:v>
      </x:c>
      <x:c r="L39" s="12" t="n">
        <x:v>10712.02275</x:v>
      </x:c>
      <x:c r="M39" s="13" t="n">
        <x:v>0.4101088150645975</x:v>
      </x:c>
      <x:c r="N39" s="13" t="n">
        <x:f>H39/G39</x:f>
        <x:v>0.06772326370369576</x:v>
      </x:c>
      <x:c r="O39" s="13" t="n">
        <x:f>F39/E39</x:f>
        <x:v>0.125</x:v>
      </x:c>
      <x:c r="P39" s="2" t="str">
        <x:f>IF(AND(E39&gt;='Итоги'!$F$5,N39&lt;='Итоги'!$B$5,O39&gt;='Итоги'!$D$5),"Да","Нет")</x:f>
        <x:v>Нет</x:v>
      </x:c>
    </x:row>
    <x:row r="40" ht="60" customHeight="1">
      <x:c r="A40" s="14" t="str">
        <x:v>Личная гигиена и детская продукция</x:v>
      </x:c>
      <x:c r="B40" s="14" t="str">
        <x:v>Личная гигиена</x:v>
      </x:c>
      <x:c r="C40" s="14" t="str">
        <x:v>Бумажная продукция</x:v>
      </x:c>
      <x:c r="D40" s="14" t="str">
        <x:v>Салфетки влажные косметические</x:v>
      </x:c>
      <x:c r="E40" s="2" t="n">
        <x:v>33</x:v>
      </x:c>
      <x:c r="F40" s="2" t="n">
        <x:v>4</x:v>
      </x:c>
      <x:c r="G40" s="12" t="n">
        <x:v>14566238.8629</x:v>
      </x:c>
      <x:c r="H40" s="12" t="n">
        <x:v>633005.51040318</x:v>
      </x:c>
      <x:c r="I40" s="13" t="n">
        <x:v>0.0567393939393939</x:v>
      </x:c>
      <x:c r="J40" s="2" t="n">
        <x:v>5</x:v>
      </x:c>
      <x:c r="K40" s="2" t="n">
        <x:v>6</x:v>
      </x:c>
      <x:c r="L40" s="12" t="n">
        <x:v>968.6388</x:v>
      </x:c>
      <x:c r="M40" s="13" t="n">
        <x:v>0.9497044228853088</x:v>
      </x:c>
      <x:c r="N40" s="13" t="n">
        <x:f>H40/G40</x:f>
        <x:v>0.04345703213857326</x:v>
      </x:c>
      <x:c r="O40" s="13" t="n">
        <x:f>F40/E40</x:f>
        <x:v>0.12121212121212122</x:v>
      </x:c>
      <x:c r="P40" s="2" t="str">
        <x:f>IF(AND(E40&gt;='Итоги'!$F$5,N40&lt;='Итоги'!$B$5,O40&gt;='Итоги'!$D$5),"Да","Нет")</x:f>
        <x:v>Нет</x:v>
      </x:c>
    </x:row>
    <x:row r="41" ht="60" customHeight="1">
      <x:c r="A41" s="14" t="str">
        <x:v>Крупная бытовая техника</x:v>
      </x:c>
      <x:c r="B41" s="14" t="str">
        <x:v>MDA Отдельностоящая техника</x:v>
      </x:c>
      <x:c r="C41" s="14" t="str">
        <x:v>MDA Посудомоечная машина</x:v>
      </x:c>
      <x:c r="D41" s="14" t="str">
        <x:v>Посудомоечная машина компактная</x:v>
      </x:c>
      <x:c r="E41" s="2" t="n">
        <x:v>53</x:v>
      </x:c>
      <x:c r="F41" s="2" t="n">
        <x:v>6</x:v>
      </x:c>
      <x:c r="G41" s="12" t="n">
        <x:v>22053218.8289</x:v>
      </x:c>
      <x:c r="H41" s="12" t="n">
        <x:v>854848.58511553</x:v>
      </x:c>
      <x:c r="I41" s="13" t="n">
        <x:v>0.0377867924528301</x:v>
      </x:c>
      <x:c r="J41" s="2" t="n">
        <x:v>24</x:v>
      </x:c>
      <x:c r="K41" s="2" t="n">
        <x:v>4</x:v>
      </x:c>
      <x:c r="L41" s="12" t="n">
        <x:v>19272.86</x:v>
      </x:c>
      <x:c r="M41" s="13" t="n">
        <x:v>0.9067193387659044</x:v>
      </x:c>
      <x:c r="N41" s="13" t="n">
        <x:f>H41/G41</x:f>
        <x:v>0.03876298474829805</x:v>
      </x:c>
      <x:c r="O41" s="13" t="n">
        <x:f>F41/E41</x:f>
        <x:v>0.11320754716981132</x:v>
      </x:c>
      <x:c r="P41" s="2" t="str">
        <x:f>IF(AND(E41&gt;='Итоги'!$F$5,N41&lt;='Итоги'!$B$5,O41&gt;='Итоги'!$D$5),"Да","Нет")</x:f>
        <x:v>Нет</x:v>
      </x:c>
    </x:row>
    <x:row r="42" ht="60" customHeight="1">
      <x:c r="A42" s="14" t="str">
        <x:v>Бытовая химия и гигиена рта</x:v>
      </x:c>
      <x:c r="B42" s="14" t="str">
        <x:v>Гигиена рта</x:v>
      </x:c>
      <x:c r="C42" s="14" t="str">
        <x:v>Гигиена рта</x:v>
      </x:c>
      <x:c r="D42" s="14" t="str">
        <x:v>Зубная паста детская</x:v>
      </x:c>
      <x:c r="E42" s="2" t="n">
        <x:v>18</x:v>
      </x:c>
      <x:c r="F42" s="2" t="n">
        <x:v>2</x:v>
      </x:c>
      <x:c r="G42" s="12" t="n">
        <x:v>6754556.0656</x:v>
      </x:c>
      <x:c r="H42" s="12" t="n">
        <x:v>413423.30820466</x:v>
      </x:c>
      <x:c r="I42" s="13" t="n">
        <x:v>0.0602777777777777</x:v>
      </x:c>
      <x:c r="J42" s="2" t="n">
        <x:v>0</x:v>
      </x:c>
      <x:c r="K42" s="2" t="n">
        <x:v>2</x:v>
      </x:c>
      <x:c r="L42" s="12" t="n">
        <x:v>1359.9348</x:v>
      </x:c>
      <x:c r="M42" s="13" t="n">
        <x:v>0.9220191253304504</x:v>
      </x:c>
      <x:c r="N42" s="13" t="n">
        <x:f>H42/G42</x:f>
        <x:v>0.06120658473917576</x:v>
      </x:c>
      <x:c r="O42" s="13" t="n">
        <x:f>F42/E42</x:f>
        <x:v>0.1111111111111111</x:v>
      </x:c>
      <x:c r="P42" s="2" t="str">
        <x:f>IF(AND(E42&gt;='Итоги'!$F$5,N42&lt;='Итоги'!$B$5,O42&gt;='Итоги'!$D$5),"Да","Нет")</x:f>
        <x:v>Нет</x:v>
      </x:c>
    </x:row>
    <x:row r="43" ht="60" customHeight="1">
      <x:c r="A43" s="14" t="str">
        <x:v>Крупная бытовая техника</x:v>
      </x:c>
      <x:c r="B43" s="14" t="str">
        <x:v>MDA Отдельностоящая техника</x:v>
      </x:c>
      <x:c r="C43" s="14" t="str">
        <x:v>MDA Стиральная машина</x:v>
      </x:c>
      <x:c r="D43" s="14" t="str">
        <x:v>Стиральная машина с сушкой</x:v>
      </x:c>
      <x:c r="E43" s="2" t="n">
        <x:v>19</x:v>
      </x:c>
      <x:c r="F43" s="2" t="n">
        <x:v>2</x:v>
      </x:c>
      <x:c r="G43" s="12" t="n">
        <x:v>8168446.8427</x:v>
      </x:c>
      <x:c r="H43" s="12" t="n">
        <x:v>352401.48527868</x:v>
      </x:c>
      <x:c r="I43" s="13" t="n">
        <x:v>0.0286578947368421</x:v>
      </x:c>
      <x:c r="J43" s="2" t="n">
        <x:v>7</x:v>
      </x:c>
      <x:c r="K43" s="2" t="n">
        <x:v>3</x:v>
      </x:c>
      <x:c r="L43" s="12" t="n">
        <x:v>42221.4333</x:v>
      </x:c>
      <x:c r="M43" s="13" t="n">
        <x:v>0.9053685462015574</x:v>
      </x:c>
      <x:c r="N43" s="13" t="n">
        <x:f>H43/G43</x:f>
        <x:v>0.04314179819797874</x:v>
      </x:c>
      <x:c r="O43" s="13" t="n">
        <x:f>F43/E43</x:f>
        <x:v>0.10526315789473684</x:v>
      </x:c>
      <x:c r="P43" s="2" t="str">
        <x:f>IF(AND(E43&gt;='Итоги'!$F$5,N43&lt;='Итоги'!$B$5,O43&gt;='Итоги'!$D$5),"Да","Нет")</x:f>
        <x:v>Нет</x:v>
      </x:c>
    </x:row>
    <x:row r="44" ht="60" customHeight="1">
      <x:c r="A44" s="14" t="str">
        <x:v>Смартфоны и планшеты</x:v>
      </x:c>
      <x:c r="B44" s="14" t="str">
        <x:v>Средства связи Smart&amp;Tablets</x:v>
      </x:c>
      <x:c r="C44" s="14" t="str">
        <x:v>Аксессуар к мобильным устройствам Smart&amp;Tablets</x:v>
      </x:c>
      <x:c r="D44" s="14" t="str">
        <x:v>SmartWatch Samsung</x:v>
      </x:c>
      <x:c r="E44" s="2" t="n">
        <x:v>20</x:v>
      </x:c>
      <x:c r="F44" s="2" t="n">
        <x:v>2</x:v>
      </x:c>
      <x:c r="G44" s="12" t="n">
        <x:v>7787647.1252</x:v>
      </x:c>
      <x:c r="H44" s="12" t="n">
        <x:v>0</x:v>
      </x:c>
      <x:c r="I44" s="13" t="n">
        <x:v>0</x:v>
      </x:c>
      <x:c r="J44" s="2" t="n">
        <x:v>20</x:v>
      </x:c>
      <x:c r="K44" s="2" t="n">
        <x:v>2</x:v>
      </x:c>
      <x:c r="L44" s="12" t="n">
        <x:v>18438.297250000003</x:v>
      </x:c>
      <x:c r="M44" s="13" t="n">
        <x:v>0.6339851262936113</x:v>
      </x:c>
      <x:c r="N44" s="13" t="n">
        <x:f>H44/G44</x:f>
        <x:v>0</x:v>
      </x:c>
      <x:c r="O44" s="13" t="n">
        <x:f>F44/E44</x:f>
        <x:v>0.1</x:v>
      </x:c>
      <x:c r="P44" s="2" t="str">
        <x:f>IF(AND(E44&gt;='Итоги'!$F$5,N44&lt;='Итоги'!$B$5,O44&gt;='Итоги'!$D$5),"Да","Нет")</x:f>
        <x:v>Нет</x:v>
      </x:c>
    </x:row>
    <x:row r="45" ht="60" customHeight="1">
      <x:c r="A45" s="14" t="str">
        <x:v>Крупная бытовая техника</x:v>
      </x:c>
      <x:c r="B45" s="14" t="str">
        <x:v>MDA Встраиваемая техника</x:v>
      </x:c>
      <x:c r="C45" s="14" t="str">
        <x:v>MDA Встраиваемая посудомоечная машина</x:v>
      </x:c>
      <x:c r="D45" s="14" t="str">
        <x:v>Встраиваемая посудомоечная машина 45 см</x:v>
      </x:c>
      <x:c r="E45" s="2" t="n">
        <x:v>92</x:v>
      </x:c>
      <x:c r="F45" s="2" t="n">
        <x:v>9</x:v>
      </x:c>
      <x:c r="G45" s="12" t="n">
        <x:v>33654988.2087</x:v>
      </x:c>
      <x:c r="H45" s="12" t="n">
        <x:v>684350.038519</x:v>
      </x:c>
      <x:c r="I45" s="13" t="n">
        <x:v>0.0196315217391304</x:v>
      </x:c>
      <x:c r="J45" s="2" t="n">
        <x:v>45</x:v>
      </x:c>
      <x:c r="K45" s="2" t="n">
        <x:v>8</x:v>
      </x:c>
      <x:c r="L45" s="12" t="n">
        <x:v>30903.3706</x:v>
      </x:c>
      <x:c r="M45" s="13" t="n">
        <x:v>0.7376861713557852</x:v>
      </x:c>
      <x:c r="N45" s="13" t="n">
        <x:f>H45/G45</x:f>
        <x:v>0.020334282522258967</x:v>
      </x:c>
      <x:c r="O45" s="13" t="n">
        <x:f>F45/E45</x:f>
        <x:v>0.09782608695652174</x:v>
      </x:c>
      <x:c r="P45" s="2" t="str">
        <x:f>IF(AND(E45&gt;='Итоги'!$F$5,N45&lt;='Итоги'!$B$5,O45&gt;='Итоги'!$D$5),"Да","Нет")</x:f>
        <x:v>Нет</x:v>
      </x:c>
    </x:row>
    <x:row r="46" ht="60" customHeight="1">
      <x:c r="A46" s="14" t="str">
        <x:v>Личная гигиена и детская продукция</x:v>
      </x:c>
      <x:c r="B46" s="14" t="str">
        <x:v>Личная гигиена</x:v>
      </x:c>
      <x:c r="C46" s="14" t="str">
        <x:v>Женская гигиена</x:v>
      </x:c>
      <x:c r="D46" s="14" t="str">
        <x:v>Прокладки гигиенические</x:v>
      </x:c>
      <x:c r="E46" s="2" t="n">
        <x:v>21</x:v>
      </x:c>
      <x:c r="F46" s="2" t="n">
        <x:v>2</x:v>
      </x:c>
      <x:c r="G46" s="12" t="n">
        <x:v>7648365.2407</x:v>
      </x:c>
      <x:c r="H46" s="12" t="n">
        <x:v>348681.73398218</x:v>
      </x:c>
      <x:c r="I46" s="13" t="n">
        <x:v>0.0375333333333333</x:v>
      </x:c>
      <x:c r="J46" s="2" t="n">
        <x:v>11</x:v>
      </x:c>
      <x:c r="K46" s="2" t="n">
        <x:v>6</x:v>
      </x:c>
      <x:c r="L46" s="12" t="n">
        <x:v>965.798</x:v>
      </x:c>
      <x:c r="M46" s="13" t="n">
        <x:v>0.5930822679285177</x:v>
      </x:c>
      <x:c r="N46" s="13" t="n">
        <x:f>H46/G46</x:f>
        <x:v>0.045589053740099326</x:v>
      </x:c>
      <x:c r="O46" s="13" t="n">
        <x:f>F46/E46</x:f>
        <x:v>0.09523809523809523</x:v>
      </x:c>
      <x:c r="P46" s="2" t="str">
        <x:f>IF(AND(E46&gt;='Итоги'!$F$5,N46&lt;='Итоги'!$B$5,O46&gt;='Итоги'!$D$5),"Да","Нет")</x:f>
        <x:v>Нет</x:v>
      </x:c>
    </x:row>
    <x:row r="47" ht="60" customHeight="1">
      <x:c r="A47" s="14" t="str">
        <x:v>Крупная бытовая техника</x:v>
      </x:c>
      <x:c r="B47" s="14" t="str">
        <x:v>Оборудование для предприятий общественного питания MDA</x:v>
      </x:c>
      <x:c r="C47" s="14" t="str">
        <x:v>Тепловое оборудование MDA</x:v>
      </x:c>
      <x:c r="D47" s="14" t="str">
        <x:v>Печь, шкаф жарочный для общепита</x:v>
      </x:c>
      <x:c r="E47" s="2" t="n">
        <x:v>11</x:v>
      </x:c>
      <x:c r="F47" s="2" t="n">
        <x:v>1</x:v>
      </x:c>
      <x:c r="G47" s="12" t="n">
        <x:v>2953904.4933</x:v>
      </x:c>
      <x:c r="H47" s="12" t="n">
        <x:v>136019.2743394</x:v>
      </x:c>
      <x:c r="I47" s="13" t="n">
        <x:v>0.0845272727272727</x:v>
      </x:c>
      <x:c r="J47" s="2" t="n">
        <x:v>5</x:v>
      </x:c>
      <x:c r="K47" s="2" t="n">
        <x:v>4</x:v>
      </x:c>
      <x:c r="L47" s="12" t="n">
        <x:v>16467.9163</x:v>
      </x:c>
      <x:c r="M47" s="13" t="n">
        <x:v>0.5649673159999861</x:v>
      </x:c>
      <x:c r="N47" s="13" t="n">
        <x:f>H47/G47</x:f>
        <x:v>0.04604728238435494</x:v>
      </x:c>
      <x:c r="O47" s="13" t="n">
        <x:f>F47/E47</x:f>
        <x:v>0.09090909090909091</x:v>
      </x:c>
      <x:c r="P47" s="2" t="str">
        <x:f>IF(AND(E47&gt;='Итоги'!$F$5,N47&lt;='Итоги'!$B$5,O47&gt;='Итоги'!$D$5),"Да","Нет")</x:f>
        <x:v>Нет</x:v>
      </x:c>
    </x:row>
    <x:row r="48" ht="60" customHeight="1">
      <x:c r="A48" s="14" t="str">
        <x:v>Аудио и видеотехника</x:v>
      </x:c>
      <x:c r="B48" s="14" t="str">
        <x:v>Домашняя Аудио и Видеотехника TV&amp;Audio</x:v>
      </x:c>
      <x:c r="C48" s="14" t="str">
        <x:v>Домашняя аудио и видеотехника TV&amp;Audio</x:v>
      </x:c>
      <x:c r="D48" s="14" t="str">
        <x:v>Проигрыватель виниловых пластинок</x:v>
      </x:c>
      <x:c r="E48" s="2" t="n">
        <x:v>59</x:v>
      </x:c>
      <x:c r="F48" s="2" t="n">
        <x:v>5</x:v>
      </x:c>
      <x:c r="G48" s="12" t="n">
        <x:v>15331930.9482</x:v>
      </x:c>
      <x:c r="H48" s="12" t="n">
        <x:v>403534.84187332</x:v>
      </x:c>
      <x:c r="I48" s="13" t="n">
        <x:v>0.0273983050847457</x:v>
      </x:c>
      <x:c r="J48" s="2" t="n">
        <x:v>37</x:v>
      </x:c>
      <x:c r="K48" s="2" t="n">
        <x:v>8</x:v>
      </x:c>
      <x:c r="L48" s="12" t="n">
        <x:v>6410.9647</x:v>
      </x:c>
      <x:c r="M48" s="13" t="n">
        <x:v>0.8674038177990442</x:v>
      </x:c>
      <x:c r="N48" s="13" t="n">
        <x:f>H48/G48</x:f>
        <x:v>0.02631989690252915</x:v>
      </x:c>
      <x:c r="O48" s="13" t="n">
        <x:f>F48/E48</x:f>
        <x:v>0.0847457627118644</x:v>
      </x:c>
      <x:c r="P48" s="2" t="str">
        <x:f>IF(AND(E48&gt;='Итоги'!$F$5,N48&lt;='Итоги'!$B$5,O48&gt;='Итоги'!$D$5),"Да","Нет")</x:f>
        <x:v>Нет</x:v>
      </x:c>
    </x:row>
    <x:row r="49" ht="60" customHeight="1">
      <x:c r="A49" s="14" t="str">
        <x:v>Строительство и ремонт (DIY)</x:v>
      </x:c>
      <x:c r="B49" s="14" t="str">
        <x:v>Инструменты</x:v>
      </x:c>
      <x:c r="C49" s="14" t="str">
        <x:v>Инструмент ручной для строительства, ремонта</x:v>
      </x:c>
      <x:c r="D49" s="14" t="str">
        <x:v>Инструмент для монтажа окон</x:v>
      </x:c>
      <x:c r="E49" s="2" t="n">
        <x:v>12</x:v>
      </x:c>
      <x:c r="F49" s="2" t="n">
        <x:v>1</x:v>
      </x:c>
      <x:c r="G49" s="12" t="n">
        <x:v>3354076.4587</x:v>
      </x:c>
      <x:c r="H49" s="12" t="n">
        <x:v>298755.16433851</x:v>
      </x:c>
      <x:c r="I49" s="13" t="n">
        <x:v>0.0875</x:v>
      </x:c>
      <x:c r="J49" s="2" t="n">
        <x:v>0</x:v>
      </x:c>
      <x:c r="K49" s="2" t="n">
        <x:v>6</x:v>
      </x:c>
      <x:c r="L49" s="12" t="n">
        <x:v>1337.81925</x:v>
      </x:c>
      <x:c r="M49" s="13" t="n">
        <x:v>0.3308080431863651</x:v>
      </x:c>
      <x:c r="N49" s="13" t="n">
        <x:f>H49/G49</x:f>
        <x:v>0.08907225819601738</x:v>
      </x:c>
      <x:c r="O49" s="13" t="n">
        <x:f>F49/E49</x:f>
        <x:v>0.08333333333333333</x:v>
      </x:c>
      <x:c r="P49" s="2" t="str">
        <x:f>IF(AND(E49&gt;='Итоги'!$F$5,N49&lt;='Итоги'!$B$5,O49&gt;='Итоги'!$D$5),"Да","Нет")</x:f>
        <x:v>Нет</x:v>
      </x:c>
    </x:row>
    <x:row r="50" ht="60" customHeight="1">
      <x:c r="A50" s="14" t="str">
        <x:v>Крупная бытовая техника</x:v>
      </x:c>
      <x:c r="B50" s="14" t="str">
        <x:v>MDA Отдельностоящая техника</x:v>
      </x:c>
      <x:c r="C50" s="14" t="str">
        <x:v>MDA Холодильник</x:v>
      </x:c>
      <x:c r="D50" s="14" t="str">
        <x:v>Холодильник однодверный</x:v>
      </x:c>
      <x:c r="E50" s="2" t="n">
        <x:v>99</x:v>
      </x:c>
      <x:c r="F50" s="2" t="n">
        <x:v>8</x:v>
      </x:c>
      <x:c r="G50" s="12" t="n">
        <x:v>41562686.2469</x:v>
      </x:c>
      <x:c r="H50" s="12" t="n">
        <x:v>2168718.577531</x:v>
      </x:c>
      <x:c r="I50" s="13" t="n">
        <x:v>0.0329484848484848</x:v>
      </x:c>
      <x:c r="J50" s="2" t="n">
        <x:v>48</x:v>
      </x:c>
      <x:c r="K50" s="2" t="n">
        <x:v>5</x:v>
      </x:c>
      <x:c r="L50" s="12" t="n">
        <x:v>16121</x:v>
      </x:c>
      <x:c r="M50" s="13" t="n">
        <x:v>0.8683494190559419</x:v>
      </x:c>
      <x:c r="N50" s="13" t="n">
        <x:f>H50/G50</x:f>
        <x:v>0.05217946127562331</x:v>
      </x:c>
      <x:c r="O50" s="13" t="n">
        <x:f>F50/E50</x:f>
        <x:v>0.08080808080808081</x:v>
      </x:c>
      <x:c r="P50" s="2" t="str">
        <x:f>IF(AND(E50&gt;='Итоги'!$F$5,N50&lt;='Итоги'!$B$5,O50&gt;='Итоги'!$D$5),"Да","Нет")</x:f>
        <x:v>Нет</x:v>
      </x:c>
    </x:row>
    <x:row r="51" ht="60" customHeight="1">
      <x:c r="A51" s="14" t="str">
        <x:v>Аудио и видеотехника</x:v>
      </x:c>
      <x:c r="B51" s="14" t="str">
        <x:v>Домашняя Аудио и Видеотехника TV&amp;Audio</x:v>
      </x:c>
      <x:c r="C51" s="14" t="str">
        <x:v>Проигрыватель дисков TV&amp;Audio</x:v>
      </x:c>
      <x:c r="D51" s="14" t="str">
        <x:v>Медиаплеер</x:v>
      </x:c>
      <x:c r="E51" s="2" t="n">
        <x:v>181</x:v>
      </x:c>
      <x:c r="F51" s="2" t="n">
        <x:v>14</x:v>
      </x:c>
      <x:c r="G51" s="12" t="n">
        <x:v>63243745.9685</x:v>
      </x:c>
      <x:c r="H51" s="12" t="n">
        <x:v>4946223.15324858</x:v>
      </x:c>
      <x:c r="I51" s="13" t="n">
        <x:v>0.0803994475138121</x:v>
      </x:c>
      <x:c r="J51" s="2" t="n">
        <x:v>50</x:v>
      </x:c>
      <x:c r="K51" s="2" t="n">
        <x:v>64</x:v>
      </x:c>
      <x:c r="L51" s="12" t="n">
        <x:v>2677.8955</x:v>
      </x:c>
      <x:c r="M51" s="13" t="n">
        <x:v>0.5819676418697902</x:v>
      </x:c>
      <x:c r="N51" s="13" t="n">
        <x:f>H51/G51</x:f>
        <x:v>0.07820888970922374</x:v>
      </x:c>
      <x:c r="O51" s="13" t="n">
        <x:f>F51/E51</x:f>
        <x:v>0.07734806629834254</x:v>
      </x:c>
      <x:c r="P51" s="2" t="str">
        <x:f>IF(AND(E51&gt;='Итоги'!$F$5,N51&lt;='Итоги'!$B$5,O51&gt;='Итоги'!$D$5),"Да","Нет")</x:f>
        <x:v>Нет</x:v>
      </x:c>
    </x:row>
    <x:row r="52" ht="60" customHeight="1">
      <x:c r="A52" s="14" t="str">
        <x:v>Мелкая бытовая техника</x:v>
      </x:c>
      <x:c r="B52" s="14" t="str">
        <x:v>SDA Климатическая техника</x:v>
      </x:c>
      <x:c r="C52" s="14" t="str">
        <x:v>Климатическая техника SDA</x:v>
      </x:c>
      <x:c r="D52" s="14" t="str">
        <x:v>Кондиционер настенный</x:v>
      </x:c>
      <x:c r="E52" s="2" t="n">
        <x:v>156</x:v>
      </x:c>
      <x:c r="F52" s="2" t="n">
        <x:v>12</x:v>
      </x:c>
      <x:c r="G52" s="12" t="n">
        <x:v>51586632.9228</x:v>
      </x:c>
      <x:c r="H52" s="12" t="n">
        <x:v>935274.97649215</x:v>
      </x:c>
      <x:c r="I52" s="13" t="n">
        <x:v>0.0194839743589743</x:v>
      </x:c>
      <x:c r="J52" s="2" t="n">
        <x:v>61</x:v>
      </x:c>
      <x:c r="K52" s="2" t="n">
        <x:v>15</x:v>
      </x:c>
      <x:c r="L52" s="12" t="n">
        <x:v>29744.9</x:v>
      </x:c>
      <x:c r="M52" s="13" t="n">
        <x:v>0.6700628730475365</x:v>
      </x:c>
      <x:c r="N52" s="13" t="n">
        <x:f>H52/G52</x:f>
        <x:v>0.018130180698007564</x:v>
      </x:c>
      <x:c r="O52" s="13" t="n">
        <x:f>F52/E52</x:f>
        <x:v>0.07692307692307693</x:v>
      </x:c>
      <x:c r="P52" s="2" t="str">
        <x:f>IF(AND(E52&gt;='Итоги'!$F$5,N52&lt;='Итоги'!$B$5,O52&gt;='Итоги'!$D$5),"Да","Нет")</x:f>
        <x:v>Нет</x:v>
      </x:c>
    </x:row>
    <x:row r="53" ht="60" customHeight="1">
      <x:c r="A53" s="14" t="str">
        <x:v>Крупная бытовая техника</x:v>
      </x:c>
      <x:c r="B53" s="14" t="str">
        <x:v>MDA Отдельностоящая техника</x:v>
      </x:c>
      <x:c r="C53" s="14" t="str">
        <x:v>MDA Стиральная машина</x:v>
      </x:c>
      <x:c r="D53" s="14" t="str">
        <x:v>Стиральная машина с вертикальной загрузкой</x:v>
      </x:c>
      <x:c r="E53" s="2" t="n">
        <x:v>27</x:v>
      </x:c>
      <x:c r="F53" s="2" t="n">
        <x:v>2</x:v>
      </x:c>
      <x:c r="G53" s="12" t="n">
        <x:v>6511874.4225</x:v>
      </x:c>
      <x:c r="H53" s="12" t="n">
        <x:v>319468.6817435</x:v>
      </x:c>
      <x:c r="I53" s="13" t="n">
        <x:v>0.0294444444444444</x:v>
      </x:c>
      <x:c r="J53" s="2" t="n">
        <x:v>19</x:v>
      </x:c>
      <x:c r="K53" s="2" t="n">
        <x:v>6</x:v>
      </x:c>
      <x:c r="L53" s="12" t="n">
        <x:v>44370.6667</x:v>
      </x:c>
      <x:c r="M53" s="13" t="n">
        <x:v>0.5454937134116701</x:v>
      </x:c>
      <x:c r="N53" s="13" t="n">
        <x:f>H53/G53</x:f>
        <x:v>0.04905940456094537</x:v>
      </x:c>
      <x:c r="O53" s="13" t="n">
        <x:f>F53/E53</x:f>
        <x:v>0.07407407407407407</x:v>
      </x:c>
      <x:c r="P53" s="2" t="str">
        <x:f>IF(AND(E53&gt;='Итоги'!$F$5,N53&lt;='Итоги'!$B$5,O53&gt;='Итоги'!$D$5),"Да","Нет")</x:f>
        <x:v>Нет</x:v>
      </x:c>
    </x:row>
    <x:row r="54" ht="60" customHeight="1">
      <x:c r="A54" s="14" t="str">
        <x:v>Аудио и видеотехника</x:v>
      </x:c>
      <x:c r="B54" s="14" t="str">
        <x:v>Портативная аудиотехника TV&amp;Audio</x:v>
      </x:c>
      <x:c r="C54" s="14" t="str">
        <x:v>Портативная акустика TV&amp;Audio</x:v>
      </x:c>
      <x:c r="D54" s="14" t="str">
        <x:v>Портативная акустическая система Яндекс</x:v>
      </x:c>
      <x:c r="E54" s="2" t="n">
        <x:v>193</x:v>
      </x:c>
      <x:c r="F54" s="2" t="n">
        <x:v>14</x:v>
      </x:c>
      <x:c r="G54" s="12" t="n">
        <x:v>64441066.1363</x:v>
      </x:c>
      <x:c r="H54" s="12" t="n">
        <x:v>491054.91961386</x:v>
      </x:c>
      <x:c r="I54" s="13" t="n">
        <x:v>0.0078689119170984</x:v>
      </x:c>
      <x:c r="J54" s="2" t="n">
        <x:v>127</x:v>
      </x:c>
      <x:c r="K54" s="2" t="n">
        <x:v>15</x:v>
      </x:c>
      <x:c r="L54" s="12" t="n">
        <x:v>7678.9721</x:v>
      </x:c>
      <x:c r="M54" s="13" t="n">
        <x:v>0.637430504627565</x:v>
      </x:c>
      <x:c r="N54" s="13" t="n">
        <x:f>H54/G54</x:f>
        <x:v>0.007620217185346134</x:v>
      </x:c>
      <x:c r="O54" s="13" t="n">
        <x:f>F54/E54</x:f>
        <x:v>0.07253886010362694</x:v>
      </x:c>
      <x:c r="P54" s="2" t="str">
        <x:f>IF(AND(E54&gt;='Итоги'!$F$5,N54&lt;='Итоги'!$B$5,O54&gt;='Итоги'!$D$5),"Да","Нет")</x:f>
        <x:v>Нет</x:v>
      </x:c>
    </x:row>
    <x:row r="55" ht="60" customHeight="1">
      <x:c r="A55" s="14" t="str">
        <x:v>Личная гигиена и детская продукция</x:v>
      </x:c>
      <x:c r="B55" s="14" t="str">
        <x:v>Личная гигиена</x:v>
      </x:c>
      <x:c r="C55" s="14" t="str">
        <x:v>Женская гигиена</x:v>
      </x:c>
      <x:c r="D55" s="14" t="str">
        <x:v>Прокладки ежедневные</x:v>
      </x:c>
      <x:c r="E55" s="2" t="n">
        <x:v>14</x:v>
      </x:c>
      <x:c r="F55" s="2" t="n">
        <x:v>1</x:v>
      </x:c>
      <x:c r="G55" s="12" t="n">
        <x:v>4759273.3567</x:v>
      </x:c>
      <x:c r="H55" s="12" t="n">
        <x:v>181680.05611344</x:v>
      </x:c>
      <x:c r="I55" s="13" t="n">
        <x:v>0.0401714285714285</x:v>
      </x:c>
      <x:c r="J55" s="2" t="n">
        <x:v>7</x:v>
      </x:c>
      <x:c r="K55" s="2" t="n">
        <x:v>3</x:v>
      </x:c>
      <x:c r="L55" s="12" t="n">
        <x:v>943.9063</x:v>
      </x:c>
      <x:c r="M55" s="13" t="n">
        <x:v>0.767254528416485</x:v>
      </x:c>
      <x:c r="N55" s="13" t="n">
        <x:f>H55/G55</x:f>
        <x:v>0.03817390649723341</x:v>
      </x:c>
      <x:c r="O55" s="13" t="n">
        <x:f>F55/E55</x:f>
        <x:v>0.07142857142857142</x:v>
      </x:c>
      <x:c r="P55" s="2" t="str">
        <x:f>IF(AND(E55&gt;='Итоги'!$F$5,N55&lt;='Итоги'!$B$5,O55&gt;='Итоги'!$D$5),"Да","Нет")</x:f>
        <x:v>Нет</x:v>
      </x:c>
    </x:row>
    <x:row r="56" ht="60" customHeight="1">
      <x:c r="A56" s="14" t="str">
        <x:v>Аудио и видеотехника</x:v>
      </x:c>
      <x:c r="B56" s="14" t="str">
        <x:v>Электронные товары хобби и отдых TV&amp;Audio</x:v>
      </x:c>
      <x:c r="C56" s="14" t="str">
        <x:v>Навигатор TV&amp;Audio</x:v>
      </x:c>
      <x:c r="D56" s="14" t="str">
        <x:v>GPS трекер</x:v>
      </x:c>
      <x:c r="E56" s="2" t="n">
        <x:v>29</x:v>
      </x:c>
      <x:c r="F56" s="2" t="n">
        <x:v>2</x:v>
      </x:c>
      <x:c r="G56" s="12" t="n">
        <x:v>9797255.8929</x:v>
      </x:c>
      <x:c r="H56" s="12" t="n">
        <x:v>744082.6767205701</x:v>
      </x:c>
      <x:c r="I56" s="13" t="n">
        <x:v>0.0659379310344827</x:v>
      </x:c>
      <x:c r="J56" s="2" t="n">
        <x:v>10</x:v>
      </x:c>
      <x:c r="K56" s="2" t="n">
        <x:v>13</x:v>
      </x:c>
      <x:c r="L56" s="12" t="n">
        <x:v>3620.4412</x:v>
      </x:c>
      <x:c r="M56" s="13" t="n">
        <x:v>0.2420900356311852</x:v>
      </x:c>
      <x:c r="N56" s="13" t="n">
        <x:f>H56/G56</x:f>
        <x:v>0.07594807003661111</x:v>
      </x:c>
      <x:c r="O56" s="13" t="n">
        <x:f>F56/E56</x:f>
        <x:v>0.06896551724137931</x:v>
      </x:c>
      <x:c r="P56" s="2" t="str">
        <x:f>IF(AND(E56&gt;='Итоги'!$F$5,N56&lt;='Итоги'!$B$5,O56&gt;='Итоги'!$D$5),"Да","Нет")</x:f>
        <x:v>Нет</x:v>
      </x:c>
    </x:row>
    <x:row r="57" ht="60" customHeight="1">
      <x:c r="A57" s="14" t="str">
        <x:v>Мелкая бытовая техника</x:v>
      </x:c>
      <x:c r="B57" s="14" t="str">
        <x:v>SDA Климатическая техника</x:v>
      </x:c>
      <x:c r="C57" s="14" t="str">
        <x:v>Климатическая техника SDA</x:v>
      </x:c>
      <x:c r="D57" s="14" t="str">
        <x:v>Электрокамин</x:v>
      </x:c>
      <x:c r="E57" s="2" t="n">
        <x:v>30</x:v>
      </x:c>
      <x:c r="F57" s="2" t="n">
        <x:v>2</x:v>
      </x:c>
      <x:c r="G57" s="12" t="n">
        <x:v>10544430.2751</x:v>
      </x:c>
      <x:c r="H57" s="12" t="n">
        <x:v>418123.0458274901</x:v>
      </x:c>
      <x:c r="I57" s="13" t="n">
        <x:v>0.0410233333333333</x:v>
      </x:c>
      <x:c r="J57" s="2" t="n">
        <x:v>4</x:v>
      </x:c>
      <x:c r="K57" s="2" t="n">
        <x:v>4</x:v>
      </x:c>
      <x:c r="L57" s="12" t="n">
        <x:v>19304.22855</x:v>
      </x:c>
      <x:c r="M57" s="13" t="n">
        <x:v>0.7876492212872293</x:v>
      </x:c>
      <x:c r="N57" s="13" t="n">
        <x:f>H57/G57</x:f>
        <x:v>0.03965345067669147</x:v>
      </x:c>
      <x:c r="O57" s="13" t="n">
        <x:f>F57/E57</x:f>
        <x:v>0.06666666666666667</x:v>
      </x:c>
      <x:c r="P57" s="2" t="str">
        <x:f>IF(AND(E57&gt;='Итоги'!$F$5,N57&lt;='Итоги'!$B$5,O57&gt;='Итоги'!$D$5),"Да","Нет")</x:f>
        <x:v>Нет</x:v>
      </x:c>
    </x:row>
    <x:row r="58" ht="60" customHeight="1">
      <x:c r="A58" s="14" t="str">
        <x:v>Строительство и ремонт (DIY)</x:v>
      </x:c>
      <x:c r="B58" s="14" t="str">
        <x:v>Инструменты</x:v>
      </x:c>
      <x:c r="C58" s="14" t="str">
        <x:v>Измерительный инструмент</x:v>
      </x:c>
      <x:c r="D58" s="14" t="str">
        <x:v>Аксессуары для нивелира, дальномера</x:v>
      </x:c>
      <x:c r="E58" s="2" t="n">
        <x:v>15</x:v>
      </x:c>
      <x:c r="F58" s="2" t="n">
        <x:v>1</x:v>
      </x:c>
      <x:c r="G58" s="12" t="n">
        <x:v>3350676.9016</x:v>
      </x:c>
      <x:c r="H58" s="12" t="n">
        <x:v>205638.7993616</x:v>
      </x:c>
      <x:c r="I58" s="13" t="n">
        <x:v>0.0423666666666666</x:v>
      </x:c>
      <x:c r="J58" s="2" t="n">
        <x:v>7</x:v>
      </x:c>
      <x:c r="K58" s="2" t="n">
        <x:v>6</x:v>
      </x:c>
      <x:c r="L58" s="12" t="n">
        <x:v>1405.4865</x:v>
      </x:c>
      <x:c r="M58" s="13" t="n">
        <x:v>0.308656773055662</x:v>
      </x:c>
      <x:c r="N58" s="13" t="n">
        <x:f>H58/G58</x:f>
        <x:v>0.06137231532631639</x:v>
      </x:c>
      <x:c r="O58" s="13" t="n">
        <x:f>F58/E58</x:f>
        <x:v>0.06666666666666667</x:v>
      </x:c>
      <x:c r="P58" s="2" t="str">
        <x:f>IF(AND(E58&gt;='Итоги'!$F$5,N58&lt;='Итоги'!$B$5,O58&gt;='Итоги'!$D$5),"Да","Нет")</x:f>
        <x:v>Нет</x:v>
      </x:c>
    </x:row>
    <x:row r="59" ht="60" customHeight="1">
      <x:c r="A59" s="14" t="str">
        <x:v>Бытовая химия и гигиена рта</x:v>
      </x:c>
      <x:c r="B59" s="14" t="str">
        <x:v>Бытовая химия</x:v>
      </x:c>
      <x:c r="C59" s="14" t="str">
        <x:v>Чистящее и моющее средство</x:v>
      </x:c>
      <x:c r="D59" s="14" t="str">
        <x:v>Средство от засоров, для чистки труб и стоков</x:v>
      </x:c>
      <x:c r="E59" s="2" t="n">
        <x:v>15</x:v>
      </x:c>
      <x:c r="F59" s="2" t="n">
        <x:v>1</x:v>
      </x:c>
      <x:c r="G59" s="12" t="n">
        <x:v>3056336.9022</x:v>
      </x:c>
      <x:c r="H59" s="12" t="n">
        <x:v>271883.24216562</x:v>
      </x:c>
      <x:c r="I59" s="13" t="n">
        <x:v>0.0738666666666666</x:v>
      </x:c>
      <x:c r="J59" s="2" t="n">
        <x:v>4</x:v>
      </x:c>
      <x:c r="K59" s="2" t="n">
        <x:v>8</x:v>
      </x:c>
      <x:c r="L59" s="12" t="n">
        <x:v>1790.4293</x:v>
      </x:c>
      <x:c r="M59" s="13" t="n">
        <x:v>0.4265616133684622</x:v>
      </x:c>
      <x:c r="N59" s="13" t="n">
        <x:f>H59/G59</x:f>
        <x:v>0.08895722260524162</x:v>
      </x:c>
      <x:c r="O59" s="13" t="n">
        <x:f>F59/E59</x:f>
        <x:v>0.06666666666666667</x:v>
      </x:c>
      <x:c r="P59" s="2" t="str">
        <x:f>IF(AND(E59&gt;='Итоги'!$F$5,N59&lt;='Итоги'!$B$5,O59&gt;='Итоги'!$D$5),"Да","Нет")</x:f>
        <x:v>Нет</x:v>
      </x:c>
    </x:row>
    <x:row r="60" ht="60" customHeight="1">
      <x:c r="A60" s="14" t="str">
        <x:v>Крупная бытовая техника</x:v>
      </x:c>
      <x:c r="B60" s="14" t="str">
        <x:v>MDA Отдельностоящая техника</x:v>
      </x:c>
      <x:c r="C60" s="14" t="str">
        <x:v>MDA Стиральная машина</x:v>
      </x:c>
      <x:c r="D60" s="14" t="str">
        <x:v>Стиральная машина с фронтальной загрузкой</x:v>
      </x:c>
      <x:c r="E60" s="2" t="n">
        <x:v>436</x:v>
      </x:c>
      <x:c r="F60" s="2" t="n">
        <x:v>29</x:v>
      </x:c>
      <x:c r="G60" s="12" t="n">
        <x:v>150809229.678</x:v>
      </x:c>
      <x:c r="H60" s="12" t="n">
        <x:v>3310898.902147</x:v>
      </x:c>
      <x:c r="I60" s="13" t="n">
        <x:v>0.0154534403669724</x:v>
      </x:c>
      <x:c r="J60" s="2" t="n">
        <x:v>241</x:v>
      </x:c>
      <x:c r="K60" s="2" t="n">
        <x:v>14</x:v>
      </x:c>
      <x:c r="L60" s="12" t="n">
        <x:v>33799.25</x:v>
      </x:c>
      <x:c r="M60" s="13" t="n">
        <x:v>0.7152483184902539</x:v>
      </x:c>
      <x:c r="N60" s="13" t="n">
        <x:f>H60/G60</x:f>
        <x:v>0.021954219308833144</x:v>
      </x:c>
      <x:c r="O60" s="13" t="n">
        <x:f>F60/E60</x:f>
        <x:v>0.06651376146788991</x:v>
      </x:c>
      <x:c r="P60" s="2" t="str">
        <x:f>IF(AND(E60&gt;='Итоги'!$F$5,N60&lt;='Итоги'!$B$5,O60&gt;='Итоги'!$D$5),"Да","Нет")</x:f>
        <x:v>Нет</x:v>
      </x:c>
    </x:row>
    <x:row r="61" ht="60" customHeight="1">
      <x:c r="A61" s="14" t="str">
        <x:v>Крупная бытовая техника</x:v>
      </x:c>
      <x:c r="B61" s="14" t="str">
        <x:v>MDA Отдельностоящая техника</x:v>
      </x:c>
      <x:c r="C61" s="14" t="str">
        <x:v>MDA Плита</x:v>
      </x:c>
      <x:c r="D61" s="14" t="str">
        <x:v>Плита электрическая</x:v>
      </x:c>
      <x:c r="E61" s="2" t="n">
        <x:v>61</x:v>
      </x:c>
      <x:c r="F61" s="2" t="n">
        <x:v>4</x:v>
      </x:c>
      <x:c r="G61" s="12" t="n">
        <x:v>19871896.0712</x:v>
      </x:c>
      <x:c r="H61" s="12" t="n">
        <x:v>251778.79716782</x:v>
      </x:c>
      <x:c r="I61" s="13" t="n">
        <x:v>0.0104737704918032</x:v>
      </x:c>
      <x:c r="J61" s="2" t="n">
        <x:v>37</x:v>
      </x:c>
      <x:c r="K61" s="2" t="n">
        <x:v>6</x:v>
      </x:c>
      <x:c r="L61" s="12" t="n">
        <x:v>31441.9091</x:v>
      </x:c>
      <x:c r="M61" s="13" t="n">
        <x:v>0.7585402084326497</x:v>
      </x:c>
      <x:c r="N61" s="13" t="n">
        <x:f>H61/G61</x:f>
        <x:v>0.01267009430130418</x:v>
      </x:c>
      <x:c r="O61" s="13" t="n">
        <x:f>F61/E61</x:f>
        <x:v>0.06557377049180328</x:v>
      </x:c>
      <x:c r="P61" s="2" t="str">
        <x:f>IF(AND(E61&gt;='Итоги'!$F$5,N61&lt;='Итоги'!$B$5,O61&gt;='Итоги'!$D$5),"Да","Нет")</x:f>
        <x:v>Нет</x:v>
      </x:c>
    </x:row>
    <x:row r="62" ht="60" customHeight="1">
      <x:c r="A62" s="14" t="str">
        <x:v>Смартфоны и планшеты</x:v>
      </x:c>
      <x:c r="B62" s="14" t="str">
        <x:v>Средства связи Smart&amp;Tablets</x:v>
      </x:c>
      <x:c r="C62" s="14" t="str">
        <x:v>Аксессуар к мобильным устройствам Smart&amp;Tablets</x:v>
      </x:c>
      <x:c r="D62" s="14" t="str">
        <x:v>Наушники TWS</x:v>
      </x:c>
      <x:c r="E62" s="2" t="n">
        <x:v>402</x:v>
      </x:c>
      <x:c r="F62" s="2" t="n">
        <x:v>26</x:v>
      </x:c>
      <x:c r="G62" s="12" t="n">
        <x:v>130456295.8117</x:v>
      </x:c>
      <x:c r="H62" s="12" t="n">
        <x:v>10676924.44719244</x:v>
      </x:c>
      <x:c r="I62" s="13" t="n">
        <x:v>0.0894639303482587</x:v>
      </x:c>
      <x:c r="J62" s="2" t="n">
        <x:v>140</x:v>
      </x:c>
      <x:c r="K62" s="2" t="n">
        <x:v>84</x:v>
      </x:c>
      <x:c r="L62" s="12" t="n">
        <x:v>2100.0673500000003</x:v>
      </x:c>
      <x:c r="M62" s="13" t="n">
        <x:v>0.5911086610017332</x:v>
      </x:c>
      <x:c r="N62" s="13" t="n">
        <x:f>H62/G62</x:f>
        <x:v>0.08184292203577098</x:v>
      </x:c>
      <x:c r="O62" s="13" t="n">
        <x:f>F62/E62</x:f>
        <x:v>0.06467661691542288</x:v>
      </x:c>
      <x:c r="P62" s="2" t="str">
        <x:f>IF(AND(E62&gt;='Итоги'!$F$5,N62&lt;='Итоги'!$B$5,O62&gt;='Итоги'!$D$5),"Да","Нет")</x:f>
        <x:v>Нет</x:v>
      </x:c>
    </x:row>
    <x:row r="63" ht="60" customHeight="1">
      <x:c r="A63" s="14" t="str">
        <x:v>Аудио и видеотехника</x:v>
      </x:c>
      <x:c r="B63" s="14" t="str">
        <x:v>Домашняя Аудио и Видеотехника TV&amp;Audio</x:v>
      </x:c>
      <x:c r="C63" s="14" t="str">
        <x:v>Видеотехника TV&amp;Audio</x:v>
      </x:c>
      <x:c r="D63" s="14" t="str">
        <x:v>DVB-T2 ресивер</x:v>
      </x:c>
      <x:c r="E63" s="2" t="n">
        <x:v>47</x:v>
      </x:c>
      <x:c r="F63" s="2" t="n">
        <x:v>3</x:v>
      </x:c>
      <x:c r="G63" s="12" t="n">
        <x:v>13877737.4101</x:v>
      </x:c>
      <x:c r="H63" s="12" t="n">
        <x:v>807426.0655655201</x:v>
      </x:c>
      <x:c r="I63" s="13" t="n">
        <x:v>0.0536361702127659</x:v>
      </x:c>
      <x:c r="J63" s="2" t="n">
        <x:v>12</x:v>
      </x:c>
      <x:c r="K63" s="2" t="n">
        <x:v>14</x:v>
      </x:c>
      <x:c r="L63" s="12" t="n">
        <x:v>1006.9902</x:v>
      </x:c>
      <x:c r="M63" s="13" t="n">
        <x:v>0.6927546124776204</x:v>
      </x:c>
      <x:c r="N63" s="13" t="n">
        <x:f>H63/G63</x:f>
        <x:v>0.05818139093609655</x:v>
      </x:c>
      <x:c r="O63" s="13" t="n">
        <x:f>F63/E63</x:f>
        <x:v>0.06382978723404255</x:v>
      </x:c>
      <x:c r="P63" s="2" t="str">
        <x:f>IF(AND(E63&gt;='Итоги'!$F$5,N63&lt;='Итоги'!$B$5,O63&gt;='Итоги'!$D$5),"Да","Нет")</x:f>
        <x:v>Нет</x:v>
      </x:c>
    </x:row>
    <x:row r="64" ht="60" customHeight="1">
      <x:c r="A64" s="14" t="str">
        <x:v>Строительство и ремонт (DIY)</x:v>
      </x:c>
      <x:c r="B64" s="14" t="str">
        <x:v>Ремонт и строительство</x:v>
      </x:c>
      <x:c r="C64" s="14" t="str">
        <x:v>Электротовары</x:v>
      </x:c>
      <x:c r="D64" s="14" t="str">
        <x:v>Молниезащита</x:v>
      </x:c>
      <x:c r="E64" s="2" t="n">
        <x:v>48</x:v>
      </x:c>
      <x:c r="F64" s="2" t="n">
        <x:v>3</x:v>
      </x:c>
      <x:c r="G64" s="12" t="n">
        <x:v>15478885.6668</x:v>
      </x:c>
      <x:c r="H64" s="12" t="n">
        <x:v>1217502.50622659</x:v>
      </x:c>
      <x:c r="I64" s="13" t="n">
        <x:v>0.0689</x:v>
      </x:c>
      <x:c r="J64" s="2" t="n">
        <x:v>3</x:v>
      </x:c>
      <x:c r="K64" s="2" t="n">
        <x:v>5</x:v>
      </x:c>
      <x:c r="L64" s="12" t="n">
        <x:v>5618.98695</x:v>
      </x:c>
      <x:c r="M64" s="13" t="n">
        <x:v>0.4045401785175488</x:v>
      </x:c>
      <x:c r="N64" s="13" t="n">
        <x:f>H64/G64</x:f>
        <x:v>0.0786556947596014</x:v>
      </x:c>
      <x:c r="O64" s="13" t="n">
        <x:f>F64/E64</x:f>
        <x:v>0.0625</x:v>
      </x:c>
      <x:c r="P64" s="2" t="str">
        <x:f>IF(AND(E64&gt;='Итоги'!$F$5,N64&lt;='Итоги'!$B$5,O64&gt;='Итоги'!$D$5),"Да","Нет")</x:f>
        <x:v>Нет</x:v>
      </x:c>
    </x:row>
    <x:row r="65" ht="60" customHeight="1">
      <x:c r="A65" s="14" t="str">
        <x:v>Крупная бытовая техника</x:v>
      </x:c>
      <x:c r="B65" s="14" t="str">
        <x:v>MDA Встраиваемая техника</x:v>
      </x:c>
      <x:c r="C65" s="14" t="str">
        <x:v>MDA Встраиваемая техника прочее</x:v>
      </x:c>
      <x:c r="D65" s="14" t="str">
        <x:v>Встраиваемая микроволновая печь</x:v>
      </x:c>
      <x:c r="E65" s="2" t="n">
        <x:v>98</x:v>
      </x:c>
      <x:c r="F65" s="2" t="n">
        <x:v>6</x:v>
      </x:c>
      <x:c r="G65" s="12" t="n">
        <x:v>32004884.0411</x:v>
      </x:c>
      <x:c r="H65" s="12" t="n">
        <x:v>1109407.29389802</x:v>
      </x:c>
      <x:c r="I65" s="13" t="n">
        <x:v>0.0325459183673469</x:v>
      </x:c>
      <x:c r="J65" s="2" t="n">
        <x:v>41</x:v>
      </x:c>
      <x:c r="K65" s="2" t="n">
        <x:v>8</x:v>
      </x:c>
      <x:c r="L65" s="12" t="n">
        <x:v>19330.7871</x:v>
      </x:c>
      <x:c r="M65" s="13" t="n">
        <x:v>0.876450480969651</x:v>
      </x:c>
      <x:c r="N65" s="13" t="n">
        <x:f>H65/G65</x:f>
        <x:v>0.034663687344510995</x:v>
      </x:c>
      <x:c r="O65" s="13" t="n">
        <x:f>F65/E65</x:f>
        <x:v>0.061224489795918366</x:v>
      </x:c>
      <x:c r="P65" s="2" t="str">
        <x:f>IF(AND(E65&gt;='Итоги'!$F$5,N65&lt;='Итоги'!$B$5,O65&gt;='Итоги'!$D$5),"Да","Нет")</x:f>
        <x:v>Нет</x:v>
      </x:c>
    </x:row>
    <x:row r="66" ht="60" customHeight="1">
      <x:c r="A66" s="14" t="str">
        <x:v>Крупная бытовая техника</x:v>
      </x:c>
      <x:c r="B66" s="14" t="str">
        <x:v>MDA Отдельностоящая техника</x:v>
      </x:c>
      <x:c r="C66" s="14" t="str">
        <x:v>MDA Холодильник</x:v>
      </x:c>
      <x:c r="D66" s="14" t="str">
        <x:v>Холодильник с нижней морозильной камерой</x:v>
      </x:c>
      <x:c r="E66" s="2" t="n">
        <x:v>331</x:v>
      </x:c>
      <x:c r="F66" s="2" t="n">
        <x:v>20</x:v>
      </x:c>
      <x:c r="G66" s="12" t="n">
        <x:v>111122128.73</x:v>
      </x:c>
      <x:c r="H66" s="12" t="n">
        <x:v>1803882.582369</x:v>
      </x:c>
      <x:c r="I66" s="13" t="n">
        <x:v>0.0106960725075528</x:v>
      </x:c>
      <x:c r="J66" s="2" t="n">
        <x:v>202</x:v>
      </x:c>
      <x:c r="K66" s="2" t="n">
        <x:v>10</x:v>
      </x:c>
      <x:c r="L66" s="12" t="n">
        <x:v>37111.3333</x:v>
      </x:c>
      <x:c r="M66" s="13" t="n">
        <x:v>0.7355629048342115</x:v>
      </x:c>
      <x:c r="N66" s="13" t="n">
        <x:f>H66/G66</x:f>
        <x:v>0.016233333567178144</x:v>
      </x:c>
      <x:c r="O66" s="13" t="n">
        <x:f>F66/E66</x:f>
        <x:v>0.06042296072507553</x:v>
      </x:c>
      <x:c r="P66" s="2" t="str">
        <x:f>IF(AND(E66&gt;='Итоги'!$F$5,N66&lt;='Итоги'!$B$5,O66&gt;='Итоги'!$D$5),"Да","Нет")</x:f>
        <x:v>Нет</x:v>
      </x:c>
    </x:row>
    <x:row r="67" ht="60" customHeight="1">
      <x:c r="A67" s="14" t="str">
        <x:v>Смартфоны и планшеты</x:v>
      </x:c>
      <x:c r="B67" s="14" t="str">
        <x:v>Компьютеры Smart&amp;Tablets</x:v>
      </x:c>
      <x:c r="C67" s="14" t="str">
        <x:v>Мобильный компьютер Smart&amp;Tablets</x:v>
      </x:c>
      <x:c r="D67" s="14" t="str">
        <x:v>Планшетный компьютер</x:v>
      </x:c>
      <x:c r="E67" s="2" t="n">
        <x:v>615</x:v>
      </x:c>
      <x:c r="F67" s="2" t="n">
        <x:v>37</x:v>
      </x:c>
      <x:c r="G67" s="12" t="n">
        <x:v>211845960.2912</x:v>
      </x:c>
      <x:c r="H67" s="12" t="n">
        <x:v>7081936.50361009</x:v>
      </x:c>
      <x:c r="I67" s="13" t="n">
        <x:v>0.0361463414634146</x:v>
      </x:c>
      <x:c r="J67" s="2" t="n">
        <x:v>241</x:v>
      </x:c>
      <x:c r="K67" s="2" t="n">
        <x:v>66</x:v>
      </x:c>
      <x:c r="L67" s="12" t="n">
        <x:v>10533.2593</x:v>
      </x:c>
      <x:c r="M67" s="13" t="n">
        <x:v>0.6348831384611819</x:v>
      </x:c>
      <x:c r="N67" s="13" t="n">
        <x:f>H67/G67</x:f>
        <x:v>0.033429650930682724</x:v>
      </x:c>
      <x:c r="O67" s="13" t="n">
        <x:f>F67/E67</x:f>
        <x:v>0.06016260162601626</x:v>
      </x:c>
      <x:c r="P67" s="2" t="str">
        <x:f>IF(AND(E67&gt;='Итоги'!$F$5,N67&lt;='Итоги'!$B$5,O67&gt;='Итоги'!$D$5),"Да","Нет")</x:f>
        <x:v>Нет</x:v>
      </x:c>
    </x:row>
    <x:row r="68" ht="60" customHeight="1">
      <x:c r="A68" s="14" t="str">
        <x:v>Строительство и ремонт (DIY)</x:v>
      </x:c>
      <x:c r="B68" s="14" t="str">
        <x:v>Сад и огород</x:v>
      </x:c>
      <x:c r="C68" s="14" t="str">
        <x:v>Садовый инструмент</x:v>
      </x:c>
      <x:c r="D68" s="14" t="str">
        <x:v>Бур бензиновый, аккумуляторный</x:v>
      </x:c>
      <x:c r="E68" s="2" t="n">
        <x:v>34</x:v>
      </x:c>
      <x:c r="F68" s="2" t="n">
        <x:v>2</x:v>
      </x:c>
      <x:c r="G68" s="12" t="n">
        <x:v>10789893.2634</x:v>
      </x:c>
      <x:c r="H68" s="12" t="n">
        <x:v>279801.62426605</x:v>
      </x:c>
      <x:c r="I68" s="13" t="n">
        <x:v>0.0176058823529411</x:v>
      </x:c>
      <x:c r="J68" s="2" t="n">
        <x:v>20</x:v>
      </x:c>
      <x:c r="K68" s="2" t="n">
        <x:v>8</x:v>
      </x:c>
      <x:c r="L68" s="12" t="n">
        <x:v>9092.24305</x:v>
      </x:c>
      <x:c r="M68" s="13" t="n">
        <x:v>0.8026290851250796</x:v>
      </x:c>
      <x:c r="N68" s="13" t="n">
        <x:f>H68/G68</x:f>
        <x:v>0.025931825036226708</x:v>
      </x:c>
      <x:c r="O68" s="13" t="n">
        <x:f>F68/E68</x:f>
        <x:v>0.058823529411764705</x:v>
      </x:c>
      <x:c r="P68" s="2" t="str">
        <x:f>IF(AND(E68&gt;='Итоги'!$F$5,N68&lt;='Итоги'!$B$5,O68&gt;='Итоги'!$D$5),"Да","Нет")</x:f>
        <x:v>Нет</x:v>
      </x:c>
    </x:row>
    <x:row r="69" ht="60" customHeight="1">
      <x:c r="A69" s="14" t="str">
        <x:v>Личная гигиена и детская продукция</x:v>
      </x:c>
      <x:c r="B69" s="14" t="str">
        <x:v>Детская продукция</x:v>
      </x:c>
      <x:c r="C69" s="14" t="str">
        <x:v>Гигиена детская NewBorn</x:v>
      </x:c>
      <x:c r="D69" s="14" t="str">
        <x:v>Одноразовые простыни, пеленки детские</x:v>
      </x:c>
      <x:c r="E69" s="2" t="n">
        <x:v>17</x:v>
      </x:c>
      <x:c r="F69" s="2" t="n">
        <x:v>1</x:v>
      </x:c>
      <x:c r="G69" s="12" t="n">
        <x:v>4220103.9594</x:v>
      </x:c>
      <x:c r="H69" s="12" t="n">
        <x:v>126118.00999661</x:v>
      </x:c>
      <x:c r="I69" s="13" t="n">
        <x:v>0.0050588235294117</x:v>
      </x:c>
      <x:c r="J69" s="2" t="n">
        <x:v>14</x:v>
      </x:c>
      <x:c r="K69" s="2" t="n">
        <x:v>6</x:v>
      </x:c>
      <x:c r="L69" s="12" t="n">
        <x:v>1171.2583</x:v>
      </x:c>
      <x:c r="M69" s="13" t="n">
        <x:v>0.3673067540782536</x:v>
      </x:c>
      <x:c r="N69" s="13" t="n">
        <x:f>H69/G69</x:f>
        <x:v>0.029885048143349774</x:v>
      </x:c>
      <x:c r="O69" s="13" t="n">
        <x:f>F69/E69</x:f>
        <x:v>0.058823529411764705</x:v>
      </x:c>
      <x:c r="P69" s="2" t="str">
        <x:f>IF(AND(E69&gt;='Итоги'!$F$5,N69&lt;='Итоги'!$B$5,O69&gt;='Итоги'!$D$5),"Да","Нет")</x:f>
        <x:v>Нет</x:v>
      </x:c>
    </x:row>
    <x:row r="70" ht="60" customHeight="1">
      <x:c r="A70" s="14" t="str">
        <x:v>Крупная бытовая техника</x:v>
      </x:c>
      <x:c r="B70" s="14" t="str">
        <x:v>MDA Встраиваемая техника</x:v>
      </x:c>
      <x:c r="C70" s="14" t="str">
        <x:v>MDA Встраиваемая посудомоечная машина</x:v>
      </x:c>
      <x:c r="D70" s="14" t="str">
        <x:v>Встраиваемая посудомоечная машина 60 см</x:v>
      </x:c>
      <x:c r="E70" s="2" t="n">
        <x:v>103</x:v>
      </x:c>
      <x:c r="F70" s="2" t="n">
        <x:v>6</x:v>
      </x:c>
      <x:c r="G70" s="12" t="n">
        <x:v>32456685.7076</x:v>
      </x:c>
      <x:c r="H70" s="12" t="n">
        <x:v>1005726.2835632</x:v>
      </x:c>
      <x:c r="I70" s="13" t="n">
        <x:v>0.0363825242718446</x:v>
      </x:c>
      <x:c r="J70" s="2" t="n">
        <x:v>44</x:v>
      </x:c>
      <x:c r="K70" s="2" t="n">
        <x:v>9</x:v>
      </x:c>
      <x:c r="L70" s="12" t="n">
        <x:v>41262.6667</x:v>
      </x:c>
      <x:c r="M70" s="13" t="n">
        <x:v>0.694205532388171</x:v>
      </x:c>
      <x:c r="N70" s="13" t="n">
        <x:f>H70/G70</x:f>
        <x:v>0.030986721584074152</x:v>
      </x:c>
      <x:c r="O70" s="13" t="n">
        <x:f>F70/E70</x:f>
        <x:v>0.05825242718446602</x:v>
      </x:c>
      <x:c r="P70" s="2" t="str">
        <x:f>IF(AND(E70&gt;='Итоги'!$F$5,N70&lt;='Итоги'!$B$5,O70&gt;='Итоги'!$D$5),"Да","Нет")</x:f>
        <x:v>Нет</x:v>
      </x:c>
    </x:row>
    <x:row r="71" ht="60" customHeight="1">
      <x:c r="A71" s="14" t="str">
        <x:v>Крупная бытовая техника</x:v>
      </x:c>
      <x:c r="B71" s="14" t="str">
        <x:v>MDA Отдельностоящая техника</x:v>
      </x:c>
      <x:c r="C71" s="14" t="str">
        <x:v>MDA Посудомоечная машина</x:v>
      </x:c>
      <x:c r="D71" s="14" t="str">
        <x:v>Посудомоечная машина 60 см</x:v>
      </x:c>
      <x:c r="E71" s="2" t="n">
        <x:v>52</x:v>
      </x:c>
      <x:c r="F71" s="2" t="n">
        <x:v>3</x:v>
      </x:c>
      <x:c r="G71" s="12" t="n">
        <x:v>15674869.0739</x:v>
      </x:c>
      <x:c r="H71" s="12" t="n">
        <x:v>456260.243168</x:v>
      </x:c>
      <x:c r="I71" s="13" t="n">
        <x:v>0.0350961538461538</x:v>
      </x:c>
      <x:c r="J71" s="2" t="n">
        <x:v>26</x:v>
      </x:c>
      <x:c r="K71" s="2" t="n">
        <x:v>5</x:v>
      </x:c>
      <x:c r="L71" s="12" t="n">
        <x:v>31760.16665</x:v>
      </x:c>
      <x:c r="M71" s="13" t="n">
        <x:v>0.8407165005188273</x:v>
      </x:c>
      <x:c r="N71" s="13" t="n">
        <x:f>H71/G71</x:f>
        <x:v>0.029107754649620163</x:v>
      </x:c>
      <x:c r="O71" s="13" t="n">
        <x:f>F71/E71</x:f>
        <x:v>0.057692307692307696</x:v>
      </x:c>
      <x:c r="P71" s="2" t="str">
        <x:f>IF(AND(E71&gt;='Итоги'!$F$5,N71&lt;='Итоги'!$B$5,O71&gt;='Итоги'!$D$5),"Да","Нет")</x:f>
        <x:v>Нет</x:v>
      </x:c>
    </x:row>
    <x:row r="72" ht="60" customHeight="1">
      <x:c r="A72" s="14" t="str">
        <x:v>Крупная бытовая техника</x:v>
      </x:c>
      <x:c r="B72" s="14" t="str">
        <x:v>MDA Встраиваемая техника</x:v>
      </x:c>
      <x:c r="C72" s="14" t="str">
        <x:v>MDA Встраиваемый духовой шкаф</x:v>
      </x:c>
      <x:c r="D72" s="14" t="str">
        <x:v>Встраиваемый духовой шкаф электрический</x:v>
      </x:c>
      <x:c r="E72" s="2" t="n">
        <x:v>401</x:v>
      </x:c>
      <x:c r="F72" s="2" t="n">
        <x:v>23</x:v>
      </x:c>
      <x:c r="G72" s="12" t="n">
        <x:v>131930330.2158</x:v>
      </x:c>
      <x:c r="H72" s="12" t="n">
        <x:v>3730222.49759746</x:v>
      </x:c>
      <x:c r="I72" s="13" t="n">
        <x:v>0.0297224438902743</x:v>
      </x:c>
      <x:c r="J72" s="2" t="n">
        <x:v>176</x:v>
      </x:c>
      <x:c r="K72" s="2" t="n">
        <x:v>15</x:v>
      </x:c>
      <x:c r="L72" s="12" t="n">
        <x:v>25827.5385</x:v>
      </x:c>
      <x:c r="M72" s="13" t="n">
        <x:v>0.8677728666337347</x:v>
      </x:c>
      <x:c r="N72" s="13" t="n">
        <x:f>H72/G72</x:f>
        <x:v>0.028274184499469463</x:v>
      </x:c>
      <x:c r="O72" s="13" t="n">
        <x:f>F72/E72</x:f>
        <x:v>0.057356608478802994</x:v>
      </x:c>
      <x:c r="P72" s="2" t="str">
        <x:f>IF(AND(E72&gt;='Итоги'!$F$5,N72&lt;='Итоги'!$B$5,O72&gt;='Итоги'!$D$5),"Да","Нет")</x:f>
        <x:v>Нет</x:v>
      </x:c>
    </x:row>
    <x:row r="73" ht="60" customHeight="1">
      <x:c r="A73" s="14" t="str">
        <x:v>Бытовая химия и гигиена рта</x:v>
      </x:c>
      <x:c r="B73" s="14" t="str">
        <x:v>Средства для стирки</x:v>
      </x:c>
      <x:c r="C73" s="14" t="str">
        <x:v>Стиральный порошок</x:v>
      </x:c>
      <x:c r="D73" s="14" t="str">
        <x:v>Стиральный порошок для детского белья</x:v>
      </x:c>
      <x:c r="E73" s="2" t="n">
        <x:v>18</x:v>
      </x:c>
      <x:c r="F73" s="2" t="n">
        <x:v>1</x:v>
      </x:c>
      <x:c r="G73" s="12" t="n">
        <x:v>4540276.4928</x:v>
      </x:c>
      <x:c r="H73" s="12" t="n">
        <x:v>189656.21986531</x:v>
      </x:c>
      <x:c r="I73" s="13" t="n">
        <x:v>0.0552055555555555</x:v>
      </x:c>
      <x:c r="J73" s="2" t="n">
        <x:v>10</x:v>
      </x:c>
      <x:c r="K73" s="2" t="n">
        <x:v>8</x:v>
      </x:c>
      <x:c r="L73" s="12" t="n">
        <x:v>1084.04815</x:v>
      </x:c>
      <x:c r="M73" s="13" t="n">
        <x:v>0.6539322202311494</x:v>
      </x:c>
      <x:c r="N73" s="13" t="n">
        <x:f>H73/G73</x:f>
        <x:v>0.0417719537931375</x:v>
      </x:c>
      <x:c r="O73" s="13" t="n">
        <x:f>F73/E73</x:f>
        <x:v>0.05555555555555555</x:v>
      </x:c>
      <x:c r="P73" s="2" t="str">
        <x:f>IF(AND(E73&gt;='Итоги'!$F$5,N73&lt;='Итоги'!$B$5,O73&gt;='Итоги'!$D$5),"Да","Нет")</x:f>
        <x:v>Нет</x:v>
      </x:c>
    </x:row>
    <x:row r="74" ht="60" customHeight="1">
      <x:c r="A74" s="14" t="str">
        <x:v>Строительство и ремонт (DIY)</x:v>
      </x:c>
      <x:c r="B74" s="14" t="str">
        <x:v>Фильтры для воды</x:v>
      </x:c>
      <x:c r="C74" s="14" t="str">
        <x:v>Фильтры для воды</x:v>
      </x:c>
      <x:c r="D74" s="14" t="str">
        <x:v>Фильтр-кувшин для воды</x:v>
      </x:c>
      <x:c r="E74" s="2" t="n">
        <x:v>19</x:v>
      </x:c>
      <x:c r="F74" s="2" t="n">
        <x:v>1</x:v>
      </x:c>
      <x:c r="G74" s="12" t="n">
        <x:v>5371215.0199</x:v>
      </x:c>
      <x:c r="H74" s="12" t="n">
        <x:v>216267.9807839</x:v>
      </x:c>
      <x:c r="I74" s="13" t="n">
        <x:v>0.0260263157894736</x:v>
      </x:c>
      <x:c r="J74" s="2" t="n">
        <x:v>8</x:v>
      </x:c>
      <x:c r="K74" s="2" t="n">
        <x:v>5</x:v>
      </x:c>
      <x:c r="L74" s="12" t="n">
        <x:v>1027.6183</x:v>
      </x:c>
      <x:c r="M74" s="13" t="n">
        <x:v>0.7868958695454887</x:v>
      </x:c>
      <x:c r="N74" s="13" t="n">
        <x:f>H74/G74</x:f>
        <x:v>0.04026425678038234</x:v>
      </x:c>
      <x:c r="O74" s="13" t="n">
        <x:f>F74/E74</x:f>
        <x:v>0.05263157894736842</x:v>
      </x:c>
      <x:c r="P74" s="2" t="str">
        <x:f>IF(AND(E74&gt;='Итоги'!$F$5,N74&lt;='Итоги'!$B$5,O74&gt;='Итоги'!$D$5),"Да","Нет")</x:f>
        <x:v>Нет</x:v>
      </x:c>
    </x:row>
    <x:row r="75" ht="60" customHeight="1">
      <x:c r="A75" s="14" t="str">
        <x:v>Бытовая химия и гигиена рта</x:v>
      </x:c>
      <x:c r="B75" s="14" t="str">
        <x:v>Бытовая химия</x:v>
      </x:c>
      <x:c r="C75" s="14" t="str">
        <x:v>Товары для защиты от насекомых и грызунов</x:v>
      </x:c>
      <x:c r="D75" s="14" t="str">
        <x:v>Мухобойка</x:v>
      </x:c>
      <x:c r="E75" s="2" t="n">
        <x:v>38</x:v>
      </x:c>
      <x:c r="F75" s="2" t="n">
        <x:v>2</x:v>
      </x:c>
      <x:c r="G75" s="12" t="n">
        <x:v>12452411.1873</x:v>
      </x:c>
      <x:c r="H75" s="12" t="n">
        <x:v>918630.7140041</x:v>
      </x:c>
      <x:c r="I75" s="13" t="n">
        <x:v>0.0914394736842105</x:v>
      </x:c>
      <x:c r="J75" s="2" t="n">
        <x:v>8</x:v>
      </x:c>
      <x:c r="K75" s="2" t="n">
        <x:v>22</x:v>
      </x:c>
      <x:c r="L75" s="12" t="n">
        <x:v>1186.02115</x:v>
      </x:c>
      <x:c r="M75" s="13" t="n">
        <x:v>0.5089778349324039</x:v>
      </x:c>
      <x:c r="N75" s="13" t="n">
        <x:f>H75/G75</x:f>
        <x:v>0.07377131225324422</x:v>
      </x:c>
      <x:c r="O75" s="13" t="n">
        <x:f>F75/E75</x:f>
        <x:v>0.05263157894736842</x:v>
      </x:c>
      <x:c r="P75" s="2" t="str">
        <x:f>IF(AND(E75&gt;='Итоги'!$F$5,N75&lt;='Итоги'!$B$5,O75&gt;='Итоги'!$D$5),"Да","Нет")</x:f>
        <x:v>Нет</x:v>
      </x:c>
    </x:row>
    <x:row r="76" ht="60" customHeight="1">
      <x:c r="A76" s="14" t="str">
        <x:v>Аудио и видеотехника</x:v>
      </x:c>
      <x:c r="B76" s="14" t="str">
        <x:v>Электронные товары хобби и отдых TV&amp;Audio</x:v>
      </x:c>
      <x:c r="C76" s="14" t="str">
        <x:v>Оборудование для сцены TV&amp;Audio</x:v>
      </x:c>
      <x:c r="D76" s="14" t="str">
        <x:v>Генератор спецэффектов</x:v>
      </x:c>
      <x:c r="E76" s="2" t="n">
        <x:v>19</x:v>
      </x:c>
      <x:c r="F76" s="2" t="n">
        <x:v>1</x:v>
      </x:c>
      <x:c r="G76" s="12" t="n">
        <x:v>4840593.347800001</x:v>
      </x:c>
      <x:c r="H76" s="12" t="n">
        <x:v>363018.30706408</x:v>
      </x:c>
      <x:c r="I76" s="13" t="n">
        <x:v>0.0970894736842105</x:v>
      </x:c>
      <x:c r="J76" s="2" t="n">
        <x:v>2</x:v>
      </x:c>
      <x:c r="K76" s="2" t="n">
        <x:v>13</x:v>
      </x:c>
      <x:c r="L76" s="12" t="n">
        <x:v>2825.7508</x:v>
      </x:c>
      <x:c r="M76" s="13" t="n">
        <x:v>0.250265205948478</x:v>
      </x:c>
      <x:c r="N76" s="13" t="n">
        <x:f>H76/G76</x:f>
        <x:v>0.07499458867559451</x:v>
      </x:c>
      <x:c r="O76" s="13" t="n">
        <x:f>F76/E76</x:f>
        <x:v>0.05263157894736842</x:v>
      </x:c>
      <x:c r="P76" s="2" t="str">
        <x:f>IF(AND(E76&gt;='Итоги'!$F$5,N76&lt;='Итоги'!$B$5,O76&gt;='Итоги'!$D$5),"Да","Нет")</x:f>
        <x:v>Нет</x:v>
      </x:c>
    </x:row>
    <x:row r="77" ht="60" customHeight="1">
      <x:c r="A77" s="14" t="str">
        <x:v>Мелкая бытовая техника</x:v>
      </x:c>
      <x:c r="B77" s="14" t="str">
        <x:v>Мелкая бытовая техника SDA</x:v>
      </x:c>
      <x:c r="C77" s="14" t="str">
        <x:v>Электронная техника для дома SDA</x:v>
      </x:c>
      <x:c r="D77" s="14" t="str">
        <x:v>Робот-пылесос</x:v>
      </x:c>
      <x:c r="E77" s="2" t="n">
        <x:v>410</x:v>
      </x:c>
      <x:c r="F77" s="2" t="n">
        <x:v>20</x:v>
      </x:c>
      <x:c r="G77" s="12" t="n">
        <x:v>147489558.275</x:v>
      </x:c>
      <x:c r="H77" s="12" t="n">
        <x:v>6707863.80230253</x:v>
      </x:c>
      <x:c r="I77" s="13" t="n">
        <x:v>0.0492085365853658</x:v>
      </x:c>
      <x:c r="J77" s="2" t="n">
        <x:v>164</x:v>
      </x:c>
      <x:c r="K77" s="2" t="n">
        <x:v>47</x:v>
      </x:c>
      <x:c r="L77" s="12" t="n">
        <x:v>17612.78775</x:v>
      </x:c>
      <x:c r="M77" s="13" t="n">
        <x:v>0.7201801100159949</x:v>
      </x:c>
      <x:c r="N77" s="13" t="n">
        <x:f>H77/G77</x:f>
        <x:v>0.04548026233691376</x:v>
      </x:c>
      <x:c r="O77" s="13" t="n">
        <x:f>F77/E77</x:f>
        <x:v>0.04878048780487805</x:v>
      </x:c>
      <x:c r="P77" s="2" t="str">
        <x:f>IF(AND(E77&gt;='Итоги'!$F$5,N77&lt;='Итоги'!$B$5,O77&gt;='Итоги'!$D$5),"Да","Нет")</x:f>
        <x:v>Нет</x:v>
      </x:c>
    </x:row>
    <x:row r="78" ht="60" customHeight="1">
      <x:c r="A78" s="14" t="str">
        <x:v>Крупная бытовая техника</x:v>
      </x:c>
      <x:c r="B78" s="14" t="str">
        <x:v>MDA Отдельностоящая техника</x:v>
      </x:c>
      <x:c r="C78" s="14" t="str">
        <x:v>MDA Посудомоечная машина</x:v>
      </x:c>
      <x:c r="D78" s="14" t="str">
        <x:v>Посудомоечная машина 45 см</x:v>
      </x:c>
      <x:c r="E78" s="2" t="n">
        <x:v>62</x:v>
      </x:c>
      <x:c r="F78" s="2" t="n">
        <x:v>3</x:v>
      </x:c>
      <x:c r="G78" s="12" t="n">
        <x:v>17716305.89</x:v>
      </x:c>
      <x:c r="H78" s="12" t="n">
        <x:v>602561.736636</x:v>
      </x:c>
      <x:c r="I78" s="13" t="n">
        <x:v>0.0241983870967741</x:v>
      </x:c>
      <x:c r="J78" s="2" t="n">
        <x:v>33</x:v>
      </x:c>
      <x:c r="K78" s="2" t="n">
        <x:v>5</x:v>
      </x:c>
      <x:c r="L78" s="12" t="n">
        <x:v>23593.7592</x:v>
      </x:c>
      <x:c r="M78" s="13" t="n">
        <x:v>0.8829959601696626</x:v>
      </x:c>
      <x:c r="N78" s="13" t="n">
        <x:f>H78/G78</x:f>
        <x:v>0.03401170313818735</x:v>
      </x:c>
      <x:c r="O78" s="13" t="n">
        <x:f>F78/E78</x:f>
        <x:v>0.04838709677419355</x:v>
      </x:c>
      <x:c r="P78" s="2" t="str">
        <x:f>IF(AND(E78&gt;='Итоги'!$F$5,N78&lt;='Итоги'!$B$5,O78&gt;='Итоги'!$D$5),"Да","Нет")</x:f>
        <x:v>Нет</x:v>
      </x:c>
    </x:row>
    <x:row r="79" ht="60" customHeight="1">
      <x:c r="A79" s="14" t="str">
        <x:v>Мелкая бытовая техника</x:v>
      </x:c>
      <x:c r="B79" s="14" t="str">
        <x:v>Мелкая бытовая техника SDA</x:v>
      </x:c>
      <x:c r="C79" s="14" t="str">
        <x:v>Электронная кухонная техника SDA</x:v>
      </x:c>
      <x:c r="D79" s="14" t="str">
        <x:v>Аэрогриль</x:v>
      </x:c>
      <x:c r="E79" s="2" t="n">
        <x:v>186</x:v>
      </x:c>
      <x:c r="F79" s="2" t="n">
        <x:v>9</x:v>
      </x:c>
      <x:c r="G79" s="12" t="n">
        <x:v>60425849.183</x:v>
      </x:c>
      <x:c r="H79" s="12" t="n">
        <x:v>3827557.7172893</x:v>
      </x:c>
      <x:c r="I79" s="13" t="n">
        <x:v>0.0809983870967741</x:v>
      </x:c>
      <x:c r="J79" s="2" t="n">
        <x:v>45</x:v>
      </x:c>
      <x:c r="K79" s="2" t="n">
        <x:v>53</x:v>
      </x:c>
      <x:c r="L79" s="12" t="n">
        <x:v>5660.82865</x:v>
      </x:c>
      <x:c r="M79" s="13" t="n">
        <x:v>0.6206370403322496</x:v>
      </x:c>
      <x:c r="N79" s="13" t="n">
        <x:f>H79/G79</x:f>
        <x:v>0.0633430521712243</x:v>
      </x:c>
      <x:c r="O79" s="13" t="n">
        <x:f>F79/E79</x:f>
        <x:v>0.04838709677419355</x:v>
      </x:c>
      <x:c r="P79" s="2" t="str">
        <x:f>IF(AND(E79&gt;='Итоги'!$F$5,N79&lt;='Итоги'!$B$5,O79&gt;='Итоги'!$D$5),"Да","Нет")</x:f>
        <x:v>Нет</x:v>
      </x:c>
    </x:row>
    <x:row r="80" ht="60" customHeight="1">
      <x:c r="A80" s="14" t="str">
        <x:v>Бытовая химия и гигиена рта</x:v>
      </x:c>
      <x:c r="B80" s="14" t="str">
        <x:v>Средства для стирки</x:v>
      </x:c>
      <x:c r="C80" s="14" t="str">
        <x:v>Пятновыводитель</x:v>
      </x:c>
      <x:c r="D80" s="14" t="str">
        <x:v>Пятновыводитель универсальный</x:v>
      </x:c>
      <x:c r="E80" s="2" t="n">
        <x:v>21</x:v>
      </x:c>
      <x:c r="F80" s="2" t="n">
        <x:v>1</x:v>
      </x:c>
      <x:c r="G80" s="12" t="n">
        <x:v>5670521.438</x:v>
      </x:c>
      <x:c r="H80" s="12" t="n">
        <x:v>126903.4247681</x:v>
      </x:c>
      <x:c r="I80" s="13" t="n">
        <x:v>0.0382095238095238</x:v>
      </x:c>
      <x:c r="J80" s="2" t="n">
        <x:v>7</x:v>
      </x:c>
      <x:c r="K80" s="2" t="n">
        <x:v>13</x:v>
      </x:c>
      <x:c r="L80" s="12" t="n">
        <x:v>1176.2836</x:v>
      </x:c>
      <x:c r="M80" s="13" t="n">
        <x:v>0.3971368111244234</x:v>
      </x:c>
      <x:c r="N80" s="13" t="n">
        <x:f>H80/G80</x:f>
        <x:v>0.02237949827994284</x:v>
      </x:c>
      <x:c r="O80" s="13" t="n">
        <x:f>F80/E80</x:f>
        <x:v>0.047619047619047616</x:v>
      </x:c>
      <x:c r="P80" s="2" t="str">
        <x:f>IF(AND(E80&gt;='Итоги'!$F$5,N80&lt;='Итоги'!$B$5,O80&gt;='Итоги'!$D$5),"Да","Нет")</x:f>
        <x:v>Нет</x:v>
      </x:c>
    </x:row>
    <x:row r="81" ht="60" customHeight="1">
      <x:c r="A81" s="14" t="str">
        <x:v>Мелкая бытовая техника</x:v>
      </x:c>
      <x:c r="B81" s="14" t="str">
        <x:v>Мелкая бытовая техника SDA</x:v>
      </x:c>
      <x:c r="C81" s="14" t="str">
        <x:v>Электронная кухонная техника SDA</x:v>
      </x:c>
      <x:c r="D81" s="14" t="str">
        <x:v>Кофемашина</x:v>
      </x:c>
      <x:c r="E81" s="2" t="n">
        <x:v>349</x:v>
      </x:c>
      <x:c r="F81" s="2" t="n">
        <x:v>16</x:v>
      </x:c>
      <x:c r="G81" s="12" t="n">
        <x:v>116792107.0828</x:v>
      </x:c>
      <x:c r="H81" s="12" t="n">
        <x:v>5969388.17635354</x:v>
      </x:c>
      <x:c r="I81" s="13" t="n">
        <x:v>0.0579647564469914</x:v>
      </x:c>
      <x:c r="J81" s="2" t="n">
        <x:v>99</x:v>
      </x:c>
      <x:c r="K81" s="2" t="n">
        <x:v>30</x:v>
      </x:c>
      <x:c r="L81" s="12" t="n">
        <x:v>23019</x:v>
      </x:c>
      <x:c r="M81" s="13" t="n">
        <x:v>0.8186853104577765</x:v>
      </x:c>
      <x:c r="N81" s="13" t="n">
        <x:f>H81/G81</x:f>
        <x:v>0.051111229392595256</x:v>
      </x:c>
      <x:c r="O81" s="13" t="n">
        <x:f>F81/E81</x:f>
        <x:v>0.045845272206303724</x:v>
      </x:c>
      <x:c r="P81" s="2" t="str">
        <x:f>IF(AND(E81&gt;='Итоги'!$F$5,N81&lt;='Итоги'!$B$5,O81&gt;='Итоги'!$D$5),"Да","Нет")</x:f>
        <x:v>Нет</x:v>
      </x:c>
    </x:row>
    <x:row r="82" ht="60" customHeight="1">
      <x:c r="A82" s="14" t="str">
        <x:v>Бытовая химия и гигиена рта</x:v>
      </x:c>
      <x:c r="B82" s="14" t="str">
        <x:v>Бытовая химия</x:v>
      </x:c>
      <x:c r="C82" s="14" t="str">
        <x:v>Товары для защиты от насекомых и грызунов</x:v>
      </x:c>
      <x:c r="D82" s="14" t="str">
        <x:v>Средство от комаров</x:v>
      </x:c>
      <x:c r="E82" s="2" t="n">
        <x:v>66</x:v>
      </x:c>
      <x:c r="F82" s="2" t="n">
        <x:v>3</x:v>
      </x:c>
      <x:c r="G82" s="12" t="n">
        <x:v>16779350.4488</x:v>
      </x:c>
      <x:c r="H82" s="12" t="n">
        <x:v>1132045.63172525</x:v>
      </x:c>
      <x:c r="I82" s="13" t="n">
        <x:v>0.0655272727272727</x:v>
      </x:c>
      <x:c r="J82" s="2" t="n">
        <x:v>20</x:v>
      </x:c>
      <x:c r="K82" s="2" t="n">
        <x:v>32</x:v>
      </x:c>
      <x:c r="L82" s="12" t="n">
        <x:v>1104.67135</x:v>
      </x:c>
      <x:c r="M82" s="13" t="n">
        <x:v>0.4594566314306492</x:v>
      </x:c>
      <x:c r="N82" s="13" t="n">
        <x:f>H82/G82</x:f>
        <x:v>0.06746659444175385</x:v>
      </x:c>
      <x:c r="O82" s="13" t="n">
        <x:f>F82/E82</x:f>
        <x:v>0.045454545454545456</x:v>
      </x:c>
      <x:c r="P82" s="2" t="str">
        <x:f>IF(AND(E82&gt;='Итоги'!$F$5,N82&lt;='Итоги'!$B$5,O82&gt;='Итоги'!$D$5),"Да","Нет")</x:f>
        <x:v>Нет</x:v>
      </x:c>
    </x:row>
    <x:row r="83" ht="60" customHeight="1">
      <x:c r="A83" s="14" t="str">
        <x:v>Бытовая химия и гигиена рта</x:v>
      </x:c>
      <x:c r="B83" s="14" t="str">
        <x:v>Бытовая химия</x:v>
      </x:c>
      <x:c r="C83" s="14" t="str">
        <x:v>Товары для защиты от насекомых и грызунов</x:v>
      </x:c>
      <x:c r="D83" s="14" t="str">
        <x:v>Средство от клопов</x:v>
      </x:c>
      <x:c r="E83" s="2" t="n">
        <x:v>22</x:v>
      </x:c>
      <x:c r="F83" s="2" t="n">
        <x:v>1</x:v>
      </x:c>
      <x:c r="G83" s="12" t="n">
        <x:v>3985159.0007</x:v>
      </x:c>
      <x:c r="H83" s="12" t="n">
        <x:v>335507.3449292</x:v>
      </x:c>
      <x:c r="I83" s="13" t="n">
        <x:v>0.0734454545454545</x:v>
      </x:c>
      <x:c r="J83" s="2" t="n">
        <x:v>5</x:v>
      </x:c>
      <x:c r="K83" s="2" t="n">
        <x:v>7</x:v>
      </x:c>
      <x:c r="L83" s="12" t="n">
        <x:v>1247.8416</x:v>
      </x:c>
      <x:c r="M83" s="13" t="n">
        <x:v>0.7629808797003866</x:v>
      </x:c>
      <x:c r="N83" s="13" t="n">
        <x:f>H83/G83</x:f>
        <x:v>0.08418919919387596</x:v>
      </x:c>
      <x:c r="O83" s="13" t="n">
        <x:f>F83/E83</x:f>
        <x:v>0.045454545454545456</x:v>
      </x:c>
      <x:c r="P83" s="2" t="str">
        <x:f>IF(AND(E83&gt;='Итоги'!$F$5,N83&lt;='Итоги'!$B$5,O83&gt;='Итоги'!$D$5),"Да","Нет")</x:f>
        <x:v>Нет</x:v>
      </x:c>
    </x:row>
    <x:row r="84" ht="60" customHeight="1">
      <x:c r="A84" s="14" t="str">
        <x:v>Аудио и видеотехника</x:v>
      </x:c>
      <x:c r="B84" s="14" t="str">
        <x:v>Домашняя Аудио и Видеотехника TV&amp;Audio</x:v>
      </x:c>
      <x:c r="C84" s="14" t="str">
        <x:v>Hi-Fi TV&amp;Audio</x:v>
      </x:c>
      <x:c r="D84" s="14" t="str">
        <x:v>Hi-Fi акустическая система</x:v>
      </x:c>
      <x:c r="E84" s="2" t="n">
        <x:v>67</x:v>
      </x:c>
      <x:c r="F84" s="2" t="n">
        <x:v>3</x:v>
      </x:c>
      <x:c r="G84" s="12" t="n">
        <x:v>21113265.1373</x:v>
      </x:c>
      <x:c r="H84" s="12" t="n">
        <x:v>907009.01707251</x:v>
      </x:c>
      <x:c r="I84" s="13" t="n">
        <x:v>0.0434865671641791</x:v>
      </x:c>
      <x:c r="J84" s="2" t="n">
        <x:v>40</x:v>
      </x:c>
      <x:c r="K84" s="2" t="n">
        <x:v>5</x:v>
      </x:c>
      <x:c r="L84" s="12" t="n">
        <x:v>15226.75</x:v>
      </x:c>
      <x:c r="M84" s="13" t="n">
        <x:v>0.7079146114115142</x:v>
      </x:c>
      <x:c r="N84" s="13" t="n">
        <x:f>H84/G84</x:f>
        <x:v>0.04295920177074515</x:v>
      </x:c>
      <x:c r="O84" s="13" t="n">
        <x:f>F84/E84</x:f>
        <x:v>0.04477611940298507</x:v>
      </x:c>
      <x:c r="P84" s="2" t="str">
        <x:f>IF(AND(E84&gt;='Итоги'!$F$5,N84&lt;='Итоги'!$B$5,O84&gt;='Итоги'!$D$5),"Да","Нет")</x:f>
        <x:v>Нет</x:v>
      </x:c>
    </x:row>
    <x:row r="85" ht="60" customHeight="1">
      <x:c r="A85" s="14" t="str">
        <x:v>Мелкая бытовая техника</x:v>
      </x:c>
      <x:c r="B85" s="14" t="str">
        <x:v>Мелкая бытовая техника SDA</x:v>
      </x:c>
      <x:c r="C85" s="14" t="str">
        <x:v>Электронная техника для дома SDA</x:v>
      </x:c>
      <x:c r="D85" s="14" t="str">
        <x:v>Оверлок</x:v>
      </x:c>
      <x:c r="E85" s="2" t="n">
        <x:v>45</x:v>
      </x:c>
      <x:c r="F85" s="2" t="n">
        <x:v>2</x:v>
      </x:c>
      <x:c r="G85" s="12" t="n">
        <x:v>15879239.3001</x:v>
      </x:c>
      <x:c r="H85" s="12" t="n">
        <x:v>909589.89340205</x:v>
      </x:c>
      <x:c r="I85" s="13" t="n">
        <x:v>0.0517066666666666</x:v>
      </x:c>
      <x:c r="J85" s="2" t="n">
        <x:v>11</x:v>
      </x:c>
      <x:c r="K85" s="2" t="n">
        <x:v>6</x:v>
      </x:c>
      <x:c r="L85" s="12" t="n">
        <x:v>22714.6</x:v>
      </x:c>
      <x:c r="M85" s="13" t="n">
        <x:v>0.908688824911728</x:v>
      </x:c>
      <x:c r="N85" s="13" t="n">
        <x:f>H85/G85</x:f>
        <x:v>0.057281704508119716</x:v>
      </x:c>
      <x:c r="O85" s="13" t="n">
        <x:f>F85/E85</x:f>
        <x:v>0.044444444444444446</x:v>
      </x:c>
      <x:c r="P85" s="2" t="str">
        <x:f>IF(AND(E85&gt;='Итоги'!$F$5,N85&lt;='Итоги'!$B$5,O85&gt;='Итоги'!$D$5),"Да","Нет")</x:f>
        <x:v>Нет</x:v>
      </x:c>
    </x:row>
    <x:row r="86" ht="60" customHeight="1">
      <x:c r="A86" s="14" t="str">
        <x:v>Мелкая бытовая техника</x:v>
      </x:c>
      <x:c r="B86" s="14" t="str">
        <x:v>Мелкая бытовая техника SDA</x:v>
      </x:c>
      <x:c r="C86" s="14" t="str">
        <x:v>Электронная техника для дома SDA</x:v>
      </x:c>
      <x:c r="D86" s="14" t="str">
        <x:v>Пылесос вертикальный</x:v>
      </x:c>
      <x:c r="E86" s="2" t="n">
        <x:v>608</x:v>
      </x:c>
      <x:c r="F86" s="2" t="n">
        <x:v>26</x:v>
      </x:c>
      <x:c r="G86" s="12" t="n">
        <x:v>198815995.9499</x:v>
      </x:c>
      <x:c r="H86" s="12" t="n">
        <x:v>14210659.43076005</x:v>
      </x:c>
      <x:c r="I86" s="13" t="n">
        <x:v>0.0779243421052631</x:v>
      </x:c>
      <x:c r="J86" s="2" t="n">
        <x:v>152</x:v>
      </x:c>
      <x:c r="K86" s="2" t="n">
        <x:v>91</x:v>
      </x:c>
      <x:c r="L86" s="12" t="n">
        <x:v>8873.938549999999</x:v>
      </x:c>
      <x:c r="M86" s="13" t="n">
        <x:v>0.7184284964027405</x:v>
      </x:c>
      <x:c r="N86" s="13" t="n">
        <x:f>H86/G86</x:f>
        <x:v>0.0714764391208292</x:v>
      </x:c>
      <x:c r="O86" s="13" t="n">
        <x:f>F86/E86</x:f>
        <x:v>0.04276315789473684</x:v>
      </x:c>
      <x:c r="P86" s="2" t="str">
        <x:f>IF(AND(E86&gt;='Итоги'!$F$5,N86&lt;='Итоги'!$B$5,O86&gt;='Итоги'!$D$5),"Да","Нет")</x:f>
        <x:v>Нет</x:v>
      </x:c>
    </x:row>
    <x:row r="87" ht="60" customHeight="1">
      <x:c r="A87" s="14" t="str">
        <x:v>Крупная бытовая техника</x:v>
      </x:c>
      <x:c r="B87" s="14" t="str">
        <x:v>MDA Встраиваемая техника</x:v>
      </x:c>
      <x:c r="C87" s="14" t="str">
        <x:v>MDA Встраиваемая варочная панель</x:v>
      </x:c>
      <x:c r="D87" s="14" t="str">
        <x:v>Встраиваемая панель электрическая</x:v>
      </x:c>
      <x:c r="E87" s="2" t="n">
        <x:v>332</x:v>
      </x:c>
      <x:c r="F87" s="2" t="n">
        <x:v>14</x:v>
      </x:c>
      <x:c r="G87" s="12" t="n">
        <x:v>99228049.337</x:v>
      </x:c>
      <x:c r="H87" s="12" t="n">
        <x:v>3695953.70884556</x:v>
      </x:c>
      <x:c r="I87" s="13" t="n">
        <x:v>0.0311912650602409</x:v>
      </x:c>
      <x:c r="J87" s="2" t="n">
        <x:v>142</x:v>
      </x:c>
      <x:c r="K87" s="2" t="n">
        <x:v>17</x:v>
      </x:c>
      <x:c r="L87" s="12" t="n">
        <x:v>13598.4426</x:v>
      </x:c>
      <x:c r="M87" s="13" t="n">
        <x:v>0.8334189751653569</x:v>
      </x:c>
      <x:c r="N87" s="13" t="n">
        <x:f>H87/G87</x:f>
        <x:v>0.03724706606186824</x:v>
      </x:c>
      <x:c r="O87" s="13" t="n">
        <x:f>F87/E87</x:f>
        <x:v>0.04216867469879518</x:v>
      </x:c>
      <x:c r="P87" s="2" t="str">
        <x:f>IF(AND(E87&gt;='Итоги'!$F$5,N87&lt;='Итоги'!$B$5,O87&gt;='Итоги'!$D$5),"Да","Нет")</x:f>
        <x:v>Нет</x:v>
      </x:c>
    </x:row>
    <x:row r="88" ht="60" customHeight="1">
      <x:c r="A88" s="14" t="str">
        <x:v>Крупная бытовая техника</x:v>
      </x:c>
      <x:c r="B88" s="14" t="str">
        <x:v>MDA Отдельностоящая техника</x:v>
      </x:c>
      <x:c r="C88" s="14" t="str">
        <x:v>MDA Холодильник</x:v>
      </x:c>
      <x:c r="D88" s="14" t="str">
        <x:v>Холодильник с верхней морозильной камерой</x:v>
      </x:c>
      <x:c r="E88" s="2" t="n">
        <x:v>238</x:v>
      </x:c>
      <x:c r="F88" s="2" t="n">
        <x:v>10</x:v>
      </x:c>
      <x:c r="G88" s="12" t="n">
        <x:v>76412430.7015</x:v>
      </x:c>
      <x:c r="H88" s="12" t="n">
        <x:v>892594.32002163</x:v>
      </x:c>
      <x:c r="I88" s="13" t="n">
        <x:v>0.0069365546218487</x:v>
      </x:c>
      <x:c r="J88" s="2" t="n">
        <x:v>164</x:v>
      </x:c>
      <x:c r="K88" s="2" t="n">
        <x:v>3</x:v>
      </x:c>
      <x:c r="L88" s="12" t="n">
        <x:v>21222.75</x:v>
      </x:c>
      <x:c r="M88" s="13" t="n">
        <x:v>0.9950942013418684</x:v>
      </x:c>
      <x:c r="N88" s="13" t="n">
        <x:f>H88/G88</x:f>
        <x:v>0.011681271120774701</x:v>
      </x:c>
      <x:c r="O88" s="13" t="n">
        <x:f>F88/E88</x:f>
        <x:v>0.04201680672268908</x:v>
      </x:c>
      <x:c r="P88" s="2" t="str">
        <x:f>IF(AND(E88&gt;='Итоги'!$F$5,N88&lt;='Итоги'!$B$5,O88&gt;='Итоги'!$D$5),"Да","Нет")</x:f>
        <x:v>Нет</x:v>
      </x:c>
    </x:row>
    <x:row r="89" ht="60" customHeight="1">
      <x:c r="A89" s="14" t="str">
        <x:v>Строительство и ремонт (DIY)</x:v>
      </x:c>
      <x:c r="B89" s="14" t="str">
        <x:v>Сад и огород</x:v>
      </x:c>
      <x:c r="C89" s="14" t="str">
        <x:v>Садовый инструмент</x:v>
      </x:c>
      <x:c r="D89" s="14" t="str">
        <x:v>Пила, ножовка садовые</x:v>
      </x:c>
      <x:c r="E89" s="2" t="n">
        <x:v>24</x:v>
      </x:c>
      <x:c r="F89" s="2" t="n">
        <x:v>1</x:v>
      </x:c>
      <x:c r="G89" s="12" t="n">
        <x:v>5043483.8782</x:v>
      </x:c>
      <x:c r="H89" s="12" t="n">
        <x:v>415556.67213304</x:v>
      </x:c>
      <x:c r="I89" s="13" t="n">
        <x:v>0.0789</x:v>
      </x:c>
      <x:c r="J89" s="2" t="n">
        <x:v>5</x:v>
      </x:c>
      <x:c r="K89" s="2" t="n">
        <x:v>16</x:v>
      </x:c>
      <x:c r="L89" s="12" t="n">
        <x:v>1811.23645</x:v>
      </x:c>
      <x:c r="M89" s="13" t="n">
        <x:v>0.2054339958889253</x:v>
      </x:c>
      <x:c r="N89" s="13" t="n">
        <x:f>H89/G89</x:f>
        <x:v>0.08239476563596165</x:v>
      </x:c>
      <x:c r="O89" s="13" t="n">
        <x:f>F89/E89</x:f>
        <x:v>0.041666666666666664</x:v>
      </x:c>
      <x:c r="P89" s="2" t="str">
        <x:f>IF(AND(E89&gt;='Итоги'!$F$5,N89&lt;='Итоги'!$B$5,O89&gt;='Итоги'!$D$5),"Да","Нет")</x:f>
        <x:v>Нет</x:v>
      </x:c>
    </x:row>
    <x:row r="90" ht="60" customHeight="1">
      <x:c r="A90" s="14" t="str">
        <x:v>Смартфоны и планшеты</x:v>
      </x:c>
      <x:c r="B90" s="14" t="str">
        <x:v>Средства связи Smart&amp;Tablets</x:v>
      </x:c>
      <x:c r="C90" s="14" t="str">
        <x:v>Аксессуар к мобильным устройствам Smart&amp;Tablets</x:v>
      </x:c>
      <x:c r="D90" s="14" t="str">
        <x:v>SmartWatch</x:v>
      </x:c>
      <x:c r="E90" s="2" t="n">
        <x:v>816</x:v>
      </x:c>
      <x:c r="F90" s="2" t="n">
        <x:v>34</x:v>
      </x:c>
      <x:c r="G90" s="12" t="n">
        <x:v>214258220.459</x:v>
      </x:c>
      <x:c r="H90" s="12" t="n">
        <x:v>19679086.47000177</x:v>
      </x:c>
      <x:c r="I90" s="13" t="n">
        <x:v>0.1029698529411764</x:v>
      </x:c>
      <x:c r="J90" s="2" t="n">
        <x:v>226</x:v>
      </x:c>
      <x:c r="K90" s="2" t="n">
        <x:v>144</x:v>
      </x:c>
      <x:c r="L90" s="12" t="n">
        <x:v>3309.99175</x:v>
      </x:c>
      <x:c r="M90" s="13" t="n">
        <x:v>0.5235303414090697</x:v>
      </x:c>
      <x:c r="N90" s="13" t="n">
        <x:f>H90/G90</x:f>
        <x:v>0.09184752131257208</x:v>
      </x:c>
      <x:c r="O90" s="13" t="n">
        <x:f>F90/E90</x:f>
        <x:v>0.041666666666666664</x:v>
      </x:c>
      <x:c r="P90" s="2" t="str">
        <x:f>IF(AND(E90&gt;='Итоги'!$F$5,N90&lt;='Итоги'!$B$5,O90&gt;='Итоги'!$D$5),"Да","Нет")</x:f>
        <x:v>Нет</x:v>
      </x:c>
    </x:row>
    <x:row r="91" ht="60" customHeight="1">
      <x:c r="A91" s="14" t="str">
        <x:v>Мелкая бытовая техника</x:v>
      </x:c>
      <x:c r="B91" s="14" t="str">
        <x:v>Мелкая бытовая техника SDA</x:v>
      </x:c>
      <x:c r="C91" s="14" t="str">
        <x:v>Электронная техника для дома SDA</x:v>
      </x:c>
      <x:c r="D91" s="14" t="str">
        <x:v>Робот-мойщик окон</x:v>
      </x:c>
      <x:c r="E91" s="2" t="n">
        <x:v>172</x:v>
      </x:c>
      <x:c r="F91" s="2" t="n">
        <x:v>7</x:v>
      </x:c>
      <x:c r="G91" s="12" t="n">
        <x:v>65572984.7565</x:v>
      </x:c>
      <x:c r="H91" s="12" t="n">
        <x:v>5732685.29749844</x:v>
      </x:c>
      <x:c r="I91" s="13" t="n">
        <x:v>0.0915901162790697</x:v>
      </x:c>
      <x:c r="J91" s="2" t="n">
        <x:v>28</x:v>
      </x:c>
      <x:c r="K91" s="2" t="n">
        <x:v>65</x:v>
      </x:c>
      <x:c r="L91" s="12" t="n">
        <x:v>7234.6384</x:v>
      </x:c>
      <x:c r="M91" s="13" t="n">
        <x:v>0.5359394176260429</x:v>
      </x:c>
      <x:c r="N91" s="13" t="n">
        <x:f>H91/G91</x:f>
        <x:v>0.08742449834770075</x:v>
      </x:c>
      <x:c r="O91" s="13" t="n">
        <x:f>F91/E91</x:f>
        <x:v>0.040697674418604654</x:v>
      </x:c>
      <x:c r="P91" s="2" t="str">
        <x:f>IF(AND(E91&gt;='Итоги'!$F$5,N91&lt;='Итоги'!$B$5,O91&gt;='Итоги'!$D$5),"Да","Нет")</x:f>
        <x:v>Нет</x:v>
      </x:c>
    </x:row>
    <x:row r="92" ht="60" customHeight="1">
      <x:c r="A92" s="14" t="str">
        <x:v>Мелкая бытовая техника</x:v>
      </x:c>
      <x:c r="B92" s="14" t="str">
        <x:v>Мелкая бытовая техника SDA</x:v>
      </x:c>
      <x:c r="C92" s="14" t="str">
        <x:v>Электронные товары для красоты и здоровья SDA</x:v>
      </x:c>
      <x:c r="D92" s="14" t="str">
        <x:v>Весы напольные электронные</x:v>
      </x:c>
      <x:c r="E92" s="2" t="n">
        <x:v>99</x:v>
      </x:c>
      <x:c r="F92" s="2" t="n">
        <x:v>4</x:v>
      </x:c>
      <x:c r="G92" s="12" t="n">
        <x:v>24373766.3452</x:v>
      </x:c>
      <x:c r="H92" s="12" t="n">
        <x:v>1173446.2680087</x:v>
      </x:c>
      <x:c r="I92" s="13" t="n">
        <x:v>0.0509777777777777</x:v>
      </x:c>
      <x:c r="J92" s="2" t="n">
        <x:v>38</x:v>
      </x:c>
      <x:c r="K92" s="2" t="n">
        <x:v>20</x:v>
      </x:c>
      <x:c r="L92" s="12" t="n">
        <x:v>1752.2021</x:v>
      </x:c>
      <x:c r="M92" s="13" t="n">
        <x:v>0.6915921439617658</x:v>
      </x:c>
      <x:c r="N92" s="13" t="n">
        <x:f>H92/G92</x:f>
        <x:v>0.04814382198423719</x:v>
      </x:c>
      <x:c r="O92" s="13" t="n">
        <x:f>F92/E92</x:f>
        <x:v>0.04040404040404041</x:v>
      </x:c>
      <x:c r="P92" s="2" t="str">
        <x:f>IF(AND(E92&gt;='Итоги'!$F$5,N92&lt;='Итоги'!$B$5,O92&gt;='Итоги'!$D$5),"Да","Нет")</x:f>
        <x:v>Нет</x:v>
      </x:c>
    </x:row>
    <x:row r="93" ht="60" customHeight="1">
      <x:c r="A93" s="14" t="str">
        <x:v>Бытовая химия и гигиена рта</x:v>
      </x:c>
      <x:c r="B93" s="14" t="str">
        <x:v>Гигиена рта</x:v>
      </x:c>
      <x:c r="C93" s="14" t="str">
        <x:v>Гигиена рта</x:v>
      </x:c>
      <x:c r="D93" s="14" t="str">
        <x:v>Ополаскиватель и освежитель полости рта</x:v>
      </x:c>
      <x:c r="E93" s="2" t="n">
        <x:v>25</x:v>
      </x:c>
      <x:c r="F93" s="2" t="n">
        <x:v>1</x:v>
      </x:c>
      <x:c r="G93" s="12" t="n">
        <x:v>4076080.7455</x:v>
      </x:c>
      <x:c r="H93" s="12" t="n">
        <x:v>139423.35269327</x:v>
      </x:c>
      <x:c r="I93" s="13" t="n">
        <x:v>0.014152</x:v>
      </x:c>
      <x:c r="J93" s="2" t="n">
        <x:v>17</x:v>
      </x:c>
      <x:c r="K93" s="2" t="n">
        <x:v>12</x:v>
      </x:c>
      <x:c r="L93" s="12" t="n">
        <x:v>1023.0256</x:v>
      </x:c>
      <x:c r="M93" s="13" t="n">
        <x:v>0.7600351912851968</x:v>
      </x:c>
      <x:c r="N93" s="13" t="n">
        <x:f>H93/G93</x:f>
        <x:v>0.03420524798170242</x:v>
      </x:c>
      <x:c r="O93" s="13" t="n">
        <x:f>F93/E93</x:f>
        <x:v>0.04</x:v>
      </x:c>
      <x:c r="P93" s="2" t="str">
        <x:f>IF(AND(E93&gt;='Итоги'!$F$5,N93&lt;='Итоги'!$B$5,O93&gt;='Итоги'!$D$5),"Да","Нет")</x:f>
        <x:v>Нет</x:v>
      </x:c>
    </x:row>
    <x:row r="94" ht="60" customHeight="1">
      <x:c r="A94" s="14" t="str">
        <x:v>Крупная бытовая техника</x:v>
      </x:c>
      <x:c r="B94" s="14" t="str">
        <x:v>MDA Отдельностоящая техника</x:v>
      </x:c>
      <x:c r="C94" s="14" t="str">
        <x:v>MDA Плита</x:v>
      </x:c>
      <x:c r="D94" s="14" t="str">
        <x:v>Плита газовая</x:v>
      </x:c>
      <x:c r="E94" s="2" t="n">
        <x:v>76</x:v>
      </x:c>
      <x:c r="F94" s="2" t="n">
        <x:v>3</x:v>
      </x:c>
      <x:c r="G94" s="12" t="n">
        <x:v>20654372.41</x:v>
      </x:c>
      <x:c r="H94" s="12" t="n">
        <x:v>285954.540814</x:v>
      </x:c>
      <x:c r="I94" s="13" t="n">
        <x:v>0.0130026315789473</x:v>
      </x:c>
      <x:c r="J94" s="2" t="n">
        <x:v>56</x:v>
      </x:c>
      <x:c r="K94" s="2" t="n">
        <x:v>2</x:v>
      </x:c>
      <x:c r="L94" s="12" t="n">
        <x:v>27242.25</x:v>
      </x:c>
      <x:c r="M94" s="13" t="n">
        <x:v>0.5370849159584801</x:v>
      </x:c>
      <x:c r="N94" s="13" t="n">
        <x:f>H94/G94</x:f>
        <x:v>0.013844746048810109</x:v>
      </x:c>
      <x:c r="O94" s="13" t="n">
        <x:f>F94/E94</x:f>
        <x:v>0.039473684210526314</x:v>
      </x:c>
      <x:c r="P94" s="2" t="str">
        <x:f>IF(AND(E94&gt;='Итоги'!$F$5,N94&lt;='Итоги'!$B$5,O94&gt;='Итоги'!$D$5),"Да","Нет")</x:f>
        <x:v>Нет</x:v>
      </x:c>
    </x:row>
    <x:row r="95" ht="60" customHeight="1">
      <x:c r="A95" s="14" t="str">
        <x:v>Крупная бытовая техника</x:v>
      </x:c>
      <x:c r="B95" s="14" t="str">
        <x:v>MDA Отдельностоящая техника</x:v>
      </x:c>
      <x:c r="C95" s="14" t="str">
        <x:v>MDA Морозильник</x:v>
      </x:c>
      <x:c r="D95" s="14" t="str">
        <x:v>Морозильная камера</x:v>
      </x:c>
      <x:c r="E95" s="2" t="n">
        <x:v>102</x:v>
      </x:c>
      <x:c r="F95" s="2" t="n">
        <x:v>4</x:v>
      </x:c>
      <x:c r="G95" s="12" t="n">
        <x:v>31964632.9482</x:v>
      </x:c>
      <x:c r="H95" s="12" t="n">
        <x:v>259703.466906</x:v>
      </x:c>
      <x:c r="I95" s="13" t="n">
        <x:v>0.0092117647058823</x:v>
      </x:c>
      <x:c r="J95" s="2" t="n">
        <x:v>78</x:v>
      </x:c>
      <x:c r="K95" s="2" t="n">
        <x:v>4</x:v>
      </x:c>
      <x:c r="L95" s="12" t="n">
        <x:v>28456.34845</x:v>
      </x:c>
      <x:c r="M95" s="13" t="n">
        <x:v>0.778639410267389</x:v>
      </x:c>
      <x:c r="N95" s="13" t="n">
        <x:f>H95/G95</x:f>
        <x:v>0.008124712939042976</x:v>
      </x:c>
      <x:c r="O95" s="13" t="n">
        <x:f>F95/E95</x:f>
        <x:v>0.0392156862745098</x:v>
      </x:c>
      <x:c r="P95" s="2" t="str">
        <x:f>IF(AND(E95&gt;='Итоги'!$F$5,N95&lt;='Итоги'!$B$5,O95&gt;='Итоги'!$D$5),"Да","Нет")</x:f>
        <x:v>Нет</x:v>
      </x:c>
    </x:row>
    <x:row r="96" ht="60" customHeight="1">
      <x:c r="A96" s="14" t="str">
        <x:v>Аудио и видеотехника</x:v>
      </x:c>
      <x:c r="B96" s="14" t="str">
        <x:v>Домашняя Аудио и Видеотехника TV&amp;Audio</x:v>
      </x:c>
      <x:c r="C96" s="14" t="str">
        <x:v>Аудиотехника TV&amp;Audio</x:v>
      </x:c>
      <x:c r="D96" s="14" t="str">
        <x:v>Музыкальный центр</x:v>
      </x:c>
      <x:c r="E96" s="2" t="n">
        <x:v>26</x:v>
      </x:c>
      <x:c r="F96" s="2" t="n">
        <x:v>1</x:v>
      </x:c>
      <x:c r="G96" s="12" t="n">
        <x:v>6882395.7558</x:v>
      </x:c>
      <x:c r="H96" s="12" t="n">
        <x:v>293177.07260218</x:v>
      </x:c>
      <x:c r="I96" s="13" t="n">
        <x:v>0.0243307692307692</x:v>
      </x:c>
      <x:c r="J96" s="2" t="n">
        <x:v>16</x:v>
      </x:c>
      <x:c r="K96" s="2" t="n">
        <x:v>6</x:v>
      </x:c>
      <x:c r="L96" s="12" t="n">
        <x:v>15461.75</x:v>
      </x:c>
      <x:c r="M96" s="13" t="n">
        <x:v>0.7928881026350815</x:v>
      </x:c>
      <x:c r="N96" s="13" t="n">
        <x:f>H96/G96</x:f>
        <x:v>0.04259811307059914</x:v>
      </x:c>
      <x:c r="O96" s="13" t="n">
        <x:f>F96/E96</x:f>
        <x:v>0.038461538461538464</x:v>
      </x:c>
      <x:c r="P96" s="2" t="str">
        <x:f>IF(AND(E96&gt;='Итоги'!$F$5,N96&lt;='Итоги'!$B$5,O96&gt;='Итоги'!$D$5),"Да","Нет")</x:f>
        <x:v>Нет</x:v>
      </x:c>
    </x:row>
    <x:row r="97" ht="60" customHeight="1">
      <x:c r="A97" s="14" t="str">
        <x:v>Аудио и видеотехника</x:v>
      </x:c>
      <x:c r="B97" s="14" t="str">
        <x:v>Система безопасности TV&amp;Audio</x:v>
      </x:c>
      <x:c r="C97" s="14" t="str">
        <x:v>Умный дом TV&amp;Audio</x:v>
      </x:c>
      <x:c r="D97" s="14" t="str">
        <x:v>Умный светильник для умного дома</x:v>
      </x:c>
      <x:c r="E97" s="2" t="n">
        <x:v>26</x:v>
      </x:c>
      <x:c r="F97" s="2" t="n">
        <x:v>1</x:v>
      </x:c>
      <x:c r="G97" s="12" t="n">
        <x:v>6384102.7018</x:v>
      </x:c>
      <x:c r="H97" s="12" t="n">
        <x:v>740486.68559532</x:v>
      </x:c>
      <x:c r="I97" s="13" t="n">
        <x:v>0.0964653846153846</x:v>
      </x:c>
      <x:c r="J97" s="2" t="n">
        <x:v>4</x:v>
      </x:c>
      <x:c r="K97" s="2" t="n">
        <x:v>6</x:v>
      </x:c>
      <x:c r="L97" s="12" t="n">
        <x:v>2366.40315</x:v>
      </x:c>
      <x:c r="M97" s="13" t="n">
        <x:v>0.873770591429742</x:v>
      </x:c>
      <x:c r="N97" s="13" t="n">
        <x:f>H97/G97</x:f>
        <x:v>0.11598915621870236</x:v>
      </x:c>
      <x:c r="O97" s="13" t="n">
        <x:f>F97/E97</x:f>
        <x:v>0.038461538461538464</x:v>
      </x:c>
      <x:c r="P97" s="2" t="str">
        <x:f>IF(AND(E97&gt;='Итоги'!$F$5,N97&lt;='Итоги'!$B$5,O97&gt;='Итоги'!$D$5),"Да","Нет")</x:f>
        <x:v>Нет</x:v>
      </x:c>
    </x:row>
    <x:row r="98" ht="60" customHeight="1">
      <x:c r="A98" s="14" t="str">
        <x:v>Строительство и ремонт (DIY)</x:v>
      </x:c>
      <x:c r="B98" s="14" t="str">
        <x:v>Инструменты</x:v>
      </x:c>
      <x:c r="C98" s="14" t="str">
        <x:v>Техника для строительства, ремонта</x:v>
      </x:c>
      <x:c r="D98" s="14" t="str">
        <x:v>Генератор (электростанция)</x:v>
      </x:c>
      <x:c r="E98" s="2" t="n">
        <x:v>184</x:v>
      </x:c>
      <x:c r="F98" s="2" t="n">
        <x:v>7</x:v>
      </x:c>
      <x:c r="G98" s="12" t="n">
        <x:v>60171813.91</x:v>
      </x:c>
      <x:c r="H98" s="12" t="n">
        <x:v>2951362.778394</x:v>
      </x:c>
      <x:c r="I98" s="13" t="n">
        <x:v>0.0452684782608695</x:v>
      </x:c>
      <x:c r="J98" s="2" t="n">
        <x:v>87</x:v>
      </x:c>
      <x:c r="K98" s="2" t="n">
        <x:v>25</x:v>
      </x:c>
      <x:c r="L98" s="12" t="n">
        <x:v>28930.131</x:v>
      </x:c>
      <x:c r="M98" s="13" t="n">
        <x:v>0.8166668592291404</x:v>
      </x:c>
      <x:c r="N98" s="13" t="n">
        <x:f>H98/G98</x:f>
        <x:v>0.04904892484724498</x:v>
      </x:c>
      <x:c r="O98" s="13" t="n">
        <x:f>F98/E98</x:f>
        <x:v>0.03804347826086957</x:v>
      </x:c>
      <x:c r="P98" s="2" t="str">
        <x:f>IF(AND(E98&gt;='Итоги'!$F$5,N98&lt;='Итоги'!$B$5,O98&gt;='Итоги'!$D$5),"Да","Нет")</x:f>
        <x:v>Нет</x:v>
      </x:c>
    </x:row>
    <x:row r="99" ht="60" customHeight="1">
      <x:c r="A99" s="14" t="str">
        <x:v>Бытовая химия и гигиена рта</x:v>
      </x:c>
      <x:c r="B99" s="14" t="str">
        <x:v>Бытовая химия</x:v>
      </x:c>
      <x:c r="C99" s="14" t="str">
        <x:v>Чистящее и моющее средство</x:v>
      </x:c>
      <x:c r="D99" s="14" t="str">
        <x:v>Средство для посудомоечных машин</x:v>
      </x:c>
      <x:c r="E99" s="2" t="n">
        <x:v>132</x:v>
      </x:c>
      <x:c r="F99" s="2" t="n">
        <x:v>5</x:v>
      </x:c>
      <x:c r="G99" s="12" t="n">
        <x:v>36970110.4198</x:v>
      </x:c>
      <x:c r="H99" s="12" t="n">
        <x:v>1557175.06726876</x:v>
      </x:c>
      <x:c r="I99" s="13" t="n">
        <x:v>0.0418136363636363</x:v>
      </x:c>
      <x:c r="J99" s="2" t="n">
        <x:v>69</x:v>
      </x:c>
      <x:c r="K99" s="2" t="n">
        <x:v>36</x:v>
      </x:c>
      <x:c r="L99" s="12" t="n">
        <x:v>1410.13175</x:v>
      </x:c>
      <x:c r="M99" s="13" t="n">
        <x:v>0.4543273842077658</x:v>
      </x:c>
      <x:c r="N99" s="13" t="n">
        <x:f>H99/G99</x:f>
        <x:v>0.042119838149977155</x:v>
      </x:c>
      <x:c r="O99" s="13" t="n">
        <x:f>F99/E99</x:f>
        <x:v>0.03787878787878788</x:v>
      </x:c>
      <x:c r="P99" s="2" t="str">
        <x:f>IF(AND(E99&gt;='Итоги'!$F$5,N99&lt;='Итоги'!$B$5,O99&gt;='Итоги'!$D$5),"Да","Нет")</x:f>
        <x:v>Нет</x:v>
      </x:c>
    </x:row>
    <x:row r="100" ht="60" customHeight="1">
      <x:c r="A100" s="14" t="str">
        <x:v>Смартфоны и планшеты</x:v>
      </x:c>
      <x:c r="B100" s="14" t="str">
        <x:v>Средства связи Smart&amp;Tablets</x:v>
      </x:c>
      <x:c r="C100" s="14" t="str">
        <x:v>Аксессуар к мобильным устройствам Smart&amp;Tablets</x:v>
      </x:c>
      <x:c r="D100" s="14" t="str">
        <x:v>Наушники Bluetooth</x:v>
      </x:c>
      <x:c r="E100" s="2" t="n">
        <x:v>539</x:v>
      </x:c>
      <x:c r="F100" s="2" t="n">
        <x:v>20</x:v>
      </x:c>
      <x:c r="G100" s="12" t="n">
        <x:v>138355384.2348</x:v>
      </x:c>
      <x:c r="H100" s="12" t="n">
        <x:v>12408156.46872057</x:v>
      </x:c>
      <x:c r="I100" s="13" t="n">
        <x:v>0.0890328385899814</x:v>
      </x:c>
      <x:c r="J100" s="2" t="n">
        <x:v>173</x:v>
      </x:c>
      <x:c r="K100" s="2" t="n">
        <x:v>129</x:v>
      </x:c>
      <x:c r="L100" s="12" t="n">
        <x:v>2108.0976</x:v>
      </x:c>
      <x:c r="M100" s="13" t="n">
        <x:v>0.580568398818383</x:v>
      </x:c>
      <x:c r="N100" s="13" t="n">
        <x:f>H100/G100</x:f>
        <x:v>0.08968322076763524</x:v>
      </x:c>
      <x:c r="O100" s="13" t="n">
        <x:f>F100/E100</x:f>
        <x:v>0.03710575139146568</x:v>
      </x:c>
      <x:c r="P100" s="2" t="str">
        <x:f>IF(AND(E100&gt;='Итоги'!$F$5,N100&lt;='Итоги'!$B$5,O100&gt;='Итоги'!$D$5),"Да","Нет")</x:f>
        <x:v>Нет</x:v>
      </x:c>
    </x:row>
    <x:row r="101" ht="60" customHeight="1">
      <x:c r="A101" s="14" t="str">
        <x:v>Аудио и видеотехника</x:v>
      </x:c>
      <x:c r="B101" s="14" t="str">
        <x:v>Система безопасности TV&amp;Audio</x:v>
      </x:c>
      <x:c r="C101" s="14" t="str">
        <x:v>Умный дом TV&amp;Audio</x:v>
      </x:c>
      <x:c r="D101" s="14" t="str">
        <x:v>Умная лампа для умного дома</x:v>
      </x:c>
      <x:c r="E101" s="2" t="n">
        <x:v>28</x:v>
      </x:c>
      <x:c r="F101" s="2" t="n">
        <x:v>1</x:v>
      </x:c>
      <x:c r="G101" s="12" t="n">
        <x:v>6885851.6834</x:v>
      </x:c>
      <x:c r="H101" s="12" t="n">
        <x:v>781248.48238073</x:v>
      </x:c>
      <x:c r="I101" s="13" t="n">
        <x:v>0.0843392857142857</x:v>
      </x:c>
      <x:c r="J101" s="2" t="n">
        <x:v>11</x:v>
      </x:c>
      <x:c r="K101" s="2" t="n">
        <x:v>8</x:v>
      </x:c>
      <x:c r="L101" s="12" t="n">
        <x:v>1958.38575</x:v>
      </x:c>
      <x:c r="M101" s="13" t="n">
        <x:v>0.339963984316334</x:v>
      </x:c>
      <x:c r="N101" s="13" t="n">
        <x:f>H101/G101</x:f>
        <x:v>0.11345705924281191</x:v>
      </x:c>
      <x:c r="O101" s="13" t="n">
        <x:f>F101/E101</x:f>
        <x:v>0.03571428571428571</x:v>
      </x:c>
      <x:c r="P101" s="2" t="str">
        <x:f>IF(AND(E101&gt;='Итоги'!$F$5,N101&lt;='Итоги'!$B$5,O101&gt;='Итоги'!$D$5),"Да","Нет")</x:f>
        <x:v>Нет</x:v>
      </x:c>
    </x:row>
    <x:row r="102" ht="60" customHeight="1">
      <x:c r="A102" s="14" t="str">
        <x:v>Аудио и видеотехника</x:v>
      </x:c>
      <x:c r="B102" s="14" t="str">
        <x:v>Система безопасности TV&amp;Audio</x:v>
      </x:c>
      <x:c r="C102" s="14" t="str">
        <x:v>Безопасность дома TV&amp;Audio</x:v>
      </x:c>
      <x:c r="D102" s="14" t="str">
        <x:v>Видеонаблюдение</x:v>
      </x:c>
      <x:c r="E102" s="2" t="n">
        <x:v>673</x:v>
      </x:c>
      <x:c r="F102" s="2" t="n">
        <x:v>24</x:v>
      </x:c>
      <x:c r="G102" s="12" t="n">
        <x:v>183364420.7119</x:v>
      </x:c>
      <x:c r="H102" s="12" t="n">
        <x:v>15244741.48447071</x:v>
      </x:c>
      <x:c r="I102" s="13" t="n">
        <x:v>0.0834979197622585</x:v>
      </x:c>
      <x:c r="J102" s="2" t="n">
        <x:v>147</x:v>
      </x:c>
      <x:c r="K102" s="2" t="n">
        <x:v>144</x:v>
      </x:c>
      <x:c r="L102" s="12" t="n">
        <x:v>3199.0535</x:v>
      </x:c>
      <x:c r="M102" s="13" t="n">
        <x:v>0.5209521283323896</x:v>
      </x:c>
      <x:c r="N102" s="13" t="n">
        <x:f>H102/G102</x:f>
        <x:v>0.0831390376894494</x:v>
      </x:c>
      <x:c r="O102" s="13" t="n">
        <x:f>F102/E102</x:f>
        <x:v>0.03566121842496285</x:v>
      </x:c>
      <x:c r="P102" s="2" t="str">
        <x:f>IF(AND(E102&gt;='Итоги'!$F$5,N102&lt;='Итоги'!$B$5,O102&gt;='Итоги'!$D$5),"Да","Нет")</x:f>
        <x:v>Нет</x:v>
      </x:c>
    </x:row>
    <x:row r="103" ht="60" customHeight="1">
      <x:c r="A103" s="14" t="str">
        <x:v>Крупная бытовая техника</x:v>
      </x:c>
      <x:c r="B103" s="14" t="str">
        <x:v>MDA Отдельностоящая техника</x:v>
      </x:c>
      <x:c r="C103" s="14" t="str">
        <x:v>MDA Отдельностоящая техника прочее</x:v>
      </x:c>
      <x:c r="D103" s="14" t="str">
        <x:v>Винный шкаф</x:v>
      </x:c>
      <x:c r="E103" s="2" t="n">
        <x:v>29</x:v>
      </x:c>
      <x:c r="F103" s="2" t="n">
        <x:v>1</x:v>
      </x:c>
      <x:c r="G103" s="12" t="n">
        <x:v>5995757.32</x:v>
      </x:c>
      <x:c r="H103" s="12" t="n">
        <x:v>221237.0606</x:v>
      </x:c>
      <x:c r="I103" s="13" t="n">
        <x:v>0.034251724137931</x:v>
      </x:c>
      <x:c r="J103" s="2" t="n">
        <x:v>9</x:v>
      </x:c>
      <x:c r="K103" s="2" t="n">
        <x:v>2</x:v>
      </x:c>
      <x:c r="L103" s="12" t="n">
        <x:v>18423.6667</x:v>
      </x:c>
      <x:c r="M103" s="13" t="n">
        <x:v>0.9843387590610488</x:v>
      </x:c>
      <x:c r="N103" s="13" t="n">
        <x:f>H103/G103</x:f>
        <x:v>0.03689893516237245</x:v>
      </x:c>
      <x:c r="O103" s="13" t="n">
        <x:f>F103/E103</x:f>
        <x:v>0.034482758620689655</x:v>
      </x:c>
      <x:c r="P103" s="2" t="str">
        <x:f>IF(AND(E103&gt;='Итоги'!$F$5,N103&lt;='Итоги'!$B$5,O103&gt;='Итоги'!$D$5),"Да","Нет")</x:f>
        <x:v>Нет</x:v>
      </x:c>
    </x:row>
    <x:row r="104" ht="60" customHeight="1">
      <x:c r="A104" s="14" t="str">
        <x:v>Бытовая химия и гигиена рта</x:v>
      </x:c>
      <x:c r="B104" s="14" t="str">
        <x:v>Средства для стирки</x:v>
      </x:c>
      <x:c r="C104" s="14" t="str">
        <x:v>Стиральный порошок</x:v>
      </x:c>
      <x:c r="D104" s="14" t="str">
        <x:v>Стиральный порошок универсальный</x:v>
      </x:c>
      <x:c r="E104" s="2" t="n">
        <x:v>117</x:v>
      </x:c>
      <x:c r="F104" s="2" t="n">
        <x:v>4</x:v>
      </x:c>
      <x:c r="G104" s="12" t="n">
        <x:v>30087061.4075</x:v>
      </x:c>
      <x:c r="H104" s="12" t="n">
        <x:v>1675492.1929361802</x:v>
      </x:c>
      <x:c r="I104" s="13" t="n">
        <x:v>0.059217094017094</x:v>
      </x:c>
      <x:c r="J104" s="2" t="n">
        <x:v>50</x:v>
      </x:c>
      <x:c r="K104" s="2" t="n">
        <x:v>38</x:v>
      </x:c>
      <x:c r="L104" s="12" t="n">
        <x:v>1389.697</x:v>
      </x:c>
      <x:c r="M104" s="13" t="n">
        <x:v>0.3528633857726473</x:v>
      </x:c>
      <x:c r="N104" s="13" t="n">
        <x:f>H104/G104</x:f>
        <x:v>0.0556881301980033</x:v>
      </x:c>
      <x:c r="O104" s="13" t="n">
        <x:f>F104/E104</x:f>
        <x:v>0.03418803418803419</x:v>
      </x:c>
      <x:c r="P104" s="2" t="str">
        <x:f>IF(AND(E104&gt;='Итоги'!$F$5,N104&lt;='Итоги'!$B$5,O104&gt;='Итоги'!$D$5),"Да","Нет")</x:f>
        <x:v>Нет</x:v>
      </x:c>
    </x:row>
    <x:row r="105" ht="60" customHeight="1">
      <x:c r="A105" s="14" t="str">
        <x:v>Крупная бытовая техника</x:v>
      </x:c>
      <x:c r="B105" s="14" t="str">
        <x:v>MDA Встраиваемая техника</x:v>
      </x:c>
      <x:c r="C105" s="14" t="str">
        <x:v>MDA Встраиваемый холодильник</x:v>
      </x:c>
      <x:c r="D105" s="14" t="str">
        <x:v>Встраиваемый холодильник</x:v>
      </x:c>
      <x:c r="E105" s="2" t="n">
        <x:v>60</x:v>
      </x:c>
      <x:c r="F105" s="2" t="n">
        <x:v>2</x:v>
      </x:c>
      <x:c r="G105" s="12" t="n">
        <x:v>19285485.5933</x:v>
      </x:c>
      <x:c r="H105" s="12" t="n">
        <x:v>607117.1408</x:v>
      </x:c>
      <x:c r="I105" s="13" t="n">
        <x:v>0.0182266666666666</x:v>
      </x:c>
      <x:c r="J105" s="2" t="n">
        <x:v>38</x:v>
      </x:c>
      <x:c r="K105" s="2" t="n">
        <x:v>3</x:v>
      </x:c>
      <x:c r="L105" s="12" t="n">
        <x:v>59665.75</x:v>
      </x:c>
      <x:c r="M105" s="13" t="n">
        <x:v>0.917938441718584</x:v>
      </x:c>
      <x:c r="N105" s="13" t="n">
        <x:f>H105/G105</x:f>
        <x:v>0.031480521341444447</x:v>
      </x:c>
      <x:c r="O105" s="13" t="n">
        <x:f>F105/E105</x:f>
        <x:v>0.03333333333333333</x:v>
      </x:c>
      <x:c r="P105" s="2" t="str">
        <x:f>IF(AND(E105&gt;='Итоги'!$F$5,N105&lt;='Итоги'!$B$5,O105&gt;='Итоги'!$D$5),"Да","Нет")</x:f>
        <x:v>Нет</x:v>
      </x:c>
    </x:row>
    <x:row r="106" ht="60" customHeight="1">
      <x:c r="A106" s="14" t="str">
        <x:v>Бытовая химия и гигиена рта</x:v>
      </x:c>
      <x:c r="B106" s="14" t="str">
        <x:v>Бытовая химия</x:v>
      </x:c>
      <x:c r="C106" s="14" t="str">
        <x:v>Чистящее и моющее средство</x:v>
      </x:c>
      <x:c r="D106" s="14" t="str">
        <x:v>Универсальное чистящее средство</x:v>
      </x:c>
      <x:c r="E106" s="2" t="n">
        <x:v>60</x:v>
      </x:c>
      <x:c r="F106" s="2" t="n">
        <x:v>2</x:v>
      </x:c>
      <x:c r="G106" s="12" t="n">
        <x:v>17774227.0892</x:v>
      </x:c>
      <x:c r="H106" s="12" t="n">
        <x:v>865044.38639894</x:v>
      </x:c>
      <x:c r="I106" s="13" t="n">
        <x:v>0.0529133333333333</x:v>
      </x:c>
      <x:c r="J106" s="2" t="n">
        <x:v>26</x:v>
      </x:c>
      <x:c r="K106" s="2" t="n">
        <x:v>19</x:v>
      </x:c>
      <x:c r="L106" s="12" t="n">
        <x:v>953.7662</x:v>
      </x:c>
      <x:c r="M106" s="13" t="n">
        <x:v>0.712427339819137</x:v>
      </x:c>
      <x:c r="N106" s="13" t="n">
        <x:f>H106/G106</x:f>
        <x:v>0.04866846710451671</x:v>
      </x:c>
      <x:c r="O106" s="13" t="n">
        <x:f>F106/E106</x:f>
        <x:v>0.03333333333333333</x:v>
      </x:c>
      <x:c r="P106" s="2" t="str">
        <x:f>IF(AND(E106&gt;='Итоги'!$F$5,N106&lt;='Итоги'!$B$5,O106&gt;='Итоги'!$D$5),"Да","Нет")</x:f>
        <x:v>Нет</x:v>
      </x:c>
    </x:row>
    <x:row r="107" ht="60" customHeight="1">
      <x:c r="A107" s="14" t="str">
        <x:v>Строительство и ремонт (DIY)</x:v>
      </x:c>
      <x:c r="B107" s="14" t="str">
        <x:v>Ремонт и строительство</x:v>
      </x:c>
      <x:c r="C107" s="14" t="str">
        <x:v>Строительная химия</x:v>
      </x:c>
      <x:c r="D107" s="14" t="str">
        <x:v>Пена монтажная</x:v>
      </x:c>
      <x:c r="E107" s="2" t="n">
        <x:v>30</x:v>
      </x:c>
      <x:c r="F107" s="2" t="n">
        <x:v>1</x:v>
      </x:c>
      <x:c r="G107" s="12" t="n">
        <x:v>7032680.1294</x:v>
      </x:c>
      <x:c r="H107" s="12" t="n">
        <x:v>409885.63010418</x:v>
      </x:c>
      <x:c r="I107" s="13" t="n">
        <x:v>0.04758</x:v>
      </x:c>
      <x:c r="J107" s="2" t="n">
        <x:v>11</x:v>
      </x:c>
      <x:c r="K107" s="2" t="n">
        <x:v>11</x:v>
      </x:c>
      <x:c r="L107" s="12" t="n">
        <x:v>3848.53225</x:v>
      </x:c>
      <x:c r="M107" s="13" t="n">
        <x:v>0.6182707852761338</x:v>
      </x:c>
      <x:c r="N107" s="13" t="n">
        <x:f>H107/G107</x:f>
        <x:v>0.058282990632640905</x:v>
      </x:c>
      <x:c r="O107" s="13" t="n">
        <x:f>F107/E107</x:f>
        <x:v>0.03333333333333333</x:v>
      </x:c>
      <x:c r="P107" s="2" t="str">
        <x:f>IF(AND(E107&gt;='Итоги'!$F$5,N107&lt;='Итоги'!$B$5,O107&gt;='Итоги'!$D$5),"Да","Нет")</x:f>
        <x:v>Нет</x:v>
      </x:c>
    </x:row>
    <x:row r="108" ht="60" customHeight="1">
      <x:c r="A108" s="14" t="str">
        <x:v>Мелкая бытовая техника</x:v>
      </x:c>
      <x:c r="B108" s="14" t="str">
        <x:v>Мелкая бытовая техника SDA</x:v>
      </x:c>
      <x:c r="C108" s="14" t="str">
        <x:v>Электронная кухонная техника SDA</x:v>
      </x:c>
      <x:c r="D108" s="14" t="str">
        <x:v>Бутербродница</x:v>
      </x:c>
      <x:c r="E108" s="2" t="n">
        <x:v>60</x:v>
      </x:c>
      <x:c r="F108" s="2" t="n">
        <x:v>2</x:v>
      </x:c>
      <x:c r="G108" s="12" t="n">
        <x:v>14891687.5107</x:v>
      </x:c>
      <x:c r="H108" s="12" t="n">
        <x:v>1078704.5968044</x:v>
      </x:c>
      <x:c r="I108" s="13" t="n">
        <x:v>0.0758666666666666</x:v>
      </x:c>
      <x:c r="J108" s="2" t="n">
        <x:v>11</x:v>
      </x:c>
      <x:c r="K108" s="2" t="n">
        <x:v>19</x:v>
      </x:c>
      <x:c r="L108" s="12" t="n">
        <x:v>3354.7225500000004</x:v>
      </x:c>
      <x:c r="M108" s="13" t="n">
        <x:v>0.503914991085336</x:v>
      </x:c>
      <x:c r="N108" s="13" t="n">
        <x:f>H108/G108</x:f>
        <x:v>0.07243669302282413</x:v>
      </x:c>
      <x:c r="O108" s="13" t="n">
        <x:f>F108/E108</x:f>
        <x:v>0.03333333333333333</x:v>
      </x:c>
      <x:c r="P108" s="2" t="str">
        <x:f>IF(AND(E108&gt;='Итоги'!$F$5,N108&lt;='Итоги'!$B$5,O108&gt;='Итоги'!$D$5),"Да","Нет")</x:f>
        <x:v>Нет</x:v>
      </x:c>
    </x:row>
    <x:row r="109" ht="60" customHeight="1">
      <x:c r="A109" s="14" t="str">
        <x:v>Ноутбуки и компьютеры</x:v>
      </x:c>
      <x:c r="B109" s="14" t="str">
        <x:v>Ноутбуки и стационарные компьютеры Lap&amp;Comp</x:v>
      </x:c>
      <x:c r="C109" s="14" t="str">
        <x:v>Мобильный компьютер Lap&amp;Comp</x:v>
      </x:c>
      <x:c r="D109" s="14" t="str">
        <x:v>Ноутбук Apple</x:v>
      </x:c>
      <x:c r="E109" s="2" t="n">
        <x:v>31</x:v>
      </x:c>
      <x:c r="F109" s="2" t="n">
        <x:v>1</x:v>
      </x:c>
      <x:c r="G109" s="12" t="n">
        <x:v>14007264</x:v>
      </x:c>
      <x:c r="H109" s="12" t="n">
        <x:v>857.7972</x:v>
      </x:c>
      <x:c r="I109" s="13" t="n">
        <x:v>0.0001451612903225</x:v>
      </x:c>
      <x:c r="J109" s="2" t="n">
        <x:v>28</x:v>
      </x:c>
      <x:c r="K109" s="2" t="n">
        <x:v>5</x:v>
      </x:c>
      <x:c r="L109" s="12" t="n">
        <x:v>123123.5</x:v>
      </x:c>
      <x:c r="M109" s="13" t="n">
        <x:v>0.84185005722745</x:v>
      </x:c>
      <x:c r="N109" s="13" t="n">
        <x:f>H109/G109</x:f>
        <x:v>0.00006123945404327355</x:v>
      </x:c>
      <x:c r="O109" s="13" t="n">
        <x:f>F109/E109</x:f>
        <x:v>0.03225806451612903</x:v>
      </x:c>
      <x:c r="P109" s="2" t="str">
        <x:f>IF(AND(E109&gt;='Итоги'!$F$5,N109&lt;='Итоги'!$B$5,O109&gt;='Итоги'!$D$5),"Да","Нет")</x:f>
        <x:v>Нет</x:v>
      </x:c>
    </x:row>
    <x:row r="110" ht="60" customHeight="1">
      <x:c r="A110" s="14" t="str">
        <x:v>Смартфоны и планшеты</x:v>
      </x:c>
      <x:c r="B110" s="14" t="str">
        <x:v>Средства связи Smart&amp;Tablets</x:v>
      </x:c>
      <x:c r="C110" s="14" t="str">
        <x:v>Аксессуар к мобильным устройствам Smart&amp;Tablets</x:v>
      </x:c>
      <x:c r="D110" s="14" t="str">
        <x:v>SmartWatch Apple 9</x:v>
      </x:c>
      <x:c r="E110" s="2" t="n">
        <x:v>32</x:v>
      </x:c>
      <x:c r="F110" s="2" t="n">
        <x:v>1</x:v>
      </x:c>
      <x:c r="G110" s="12" t="n">
        <x:v>9896703.9404</x:v>
      </x:c>
      <x:c r="H110" s="12" t="n">
        <x:v>0</x:v>
      </x:c>
      <x:c r="I110" s="13" t="n">
        <x:v>0</x:v>
      </x:c>
      <x:c r="J110" s="2" t="n">
        <x:v>32</x:v>
      </x:c>
      <x:c r="K110" s="2" t="n">
        <x:v>3</x:v>
      </x:c>
      <x:c r="L110" s="12" t="n">
        <x:v>41857.25</x:v>
      </x:c>
      <x:c r="M110" s="13" t="n">
        <x:v>0.988747869930168</x:v>
      </x:c>
      <x:c r="N110" s="13" t="n">
        <x:f>H110/G110</x:f>
        <x:v>0</x:v>
      </x:c>
      <x:c r="O110" s="13" t="n">
        <x:f>F110/E110</x:f>
        <x:v>0.03125</x:v>
      </x:c>
      <x:c r="P110" s="2" t="str">
        <x:f>IF(AND(E110&gt;='Итоги'!$F$5,N110&lt;='Итоги'!$B$5,O110&gt;='Итоги'!$D$5),"Да","Нет")</x:f>
        <x:v>Нет</x:v>
      </x:c>
    </x:row>
    <x:row r="111" ht="60" customHeight="1">
      <x:c r="A111" s="14" t="str">
        <x:v>Аудио и видеотехника</x:v>
      </x:c>
      <x:c r="B111" s="14" t="str">
        <x:v>Домашняя Аудио и Видеотехника TV&amp;Audio</x:v>
      </x:c>
      <x:c r="C111" s="14" t="str">
        <x:v>Акустическая система TV&amp;Audio</x:v>
      </x:c>
      <x:c r="D111" s="14" t="str">
        <x:v>Саундбар</x:v>
      </x:c>
      <x:c r="E111" s="2" t="n">
        <x:v>66</x:v>
      </x:c>
      <x:c r="F111" s="2" t="n">
        <x:v>2</x:v>
      </x:c>
      <x:c r="G111" s="12" t="n">
        <x:v>19212582.3227</x:v>
      </x:c>
      <x:c r="H111" s="12" t="n">
        <x:v>595324.45768426</x:v>
      </x:c>
      <x:c r="I111" s="13" t="n">
        <x:v>0.0381030303030303</x:v>
      </x:c>
      <x:c r="J111" s="2" t="n">
        <x:v>36</x:v>
      </x:c>
      <x:c r="K111" s="2" t="n">
        <x:v>16</x:v>
      </x:c>
      <x:c r="L111" s="12" t="n">
        <x:v>8391.0153</x:v>
      </x:c>
      <x:c r="M111" s="13" t="n">
        <x:v>0.6605117085539502</x:v>
      </x:c>
      <x:c r="N111" s="13" t="n">
        <x:f>H111/G111</x:f>
        <x:v>0.03098617602178723</x:v>
      </x:c>
      <x:c r="O111" s="13" t="n">
        <x:f>F111/E111</x:f>
        <x:v>0.030303030303030304</x:v>
      </x:c>
      <x:c r="P111" s="2" t="str">
        <x:f>IF(AND(E111&gt;='Итоги'!$F$5,N111&lt;='Итоги'!$B$5,O111&gt;='Итоги'!$D$5),"Да","Нет")</x:f>
        <x:v>Нет</x:v>
      </x:c>
    </x:row>
    <x:row r="112" ht="60" customHeight="1">
      <x:c r="A112" s="14" t="str">
        <x:v>Мелкая бытовая техника</x:v>
      </x:c>
      <x:c r="B112" s="14" t="str">
        <x:v>Мелкая бытовая техника SDA</x:v>
      </x:c>
      <x:c r="C112" s="14" t="str">
        <x:v>Электронная кухонная техника SDA</x:v>
      </x:c>
      <x:c r="D112" s="14" t="str">
        <x:v>Соковыжималка электрическая</x:v>
      </x:c>
      <x:c r="E112" s="2" t="n">
        <x:v>132</x:v>
      </x:c>
      <x:c r="F112" s="2" t="n">
        <x:v>4</x:v>
      </x:c>
      <x:c r="G112" s="12" t="n">
        <x:v>32002807.0518</x:v>
      </x:c>
      <x:c r="H112" s="12" t="n">
        <x:v>2398925.25772645</x:v>
      </x:c>
      <x:c r="I112" s="13" t="n">
        <x:v>0.0796522727272727</x:v>
      </x:c>
      <x:c r="J112" s="2" t="n">
        <x:v>35</x:v>
      </x:c>
      <x:c r="K112" s="2" t="n">
        <x:v>32</x:v>
      </x:c>
      <x:c r="L112" s="12" t="n">
        <x:v>4893.6198</x:v>
      </x:c>
      <x:c r="M112" s="13" t="n">
        <x:v>0.6747521723437522</x:v>
      </x:c>
      <x:c r="N112" s="13" t="n">
        <x:f>H112/G112</x:f>
        <x:v>0.07495983879925065</x:v>
      </x:c>
      <x:c r="O112" s="13" t="n">
        <x:f>F112/E112</x:f>
        <x:v>0.030303030303030304</x:v>
      </x:c>
      <x:c r="P112" s="2" t="str">
        <x:f>IF(AND(E112&gt;='Итоги'!$F$5,N112&lt;='Итоги'!$B$5,O112&gt;='Итоги'!$D$5),"Да","Нет")</x:f>
        <x:v>Нет</x:v>
      </x:c>
    </x:row>
    <x:row r="113" ht="60" customHeight="1">
      <x:c r="A113" s="14" t="str">
        <x:v>Мелкая бытовая техника</x:v>
      </x:c>
      <x:c r="B113" s="14" t="str">
        <x:v>Мелкая бытовая техника SDA</x:v>
      </x:c>
      <x:c r="C113" s="14" t="str">
        <x:v>Электронные товары для красоты и здоровья SDA</x:v>
      </x:c>
      <x:c r="D113" s="14" t="str">
        <x:v>Фен-щетка</x:v>
      </x:c>
      <x:c r="E113" s="2" t="n">
        <x:v>100</x:v>
      </x:c>
      <x:c r="F113" s="2" t="n">
        <x:v>3</x:v>
      </x:c>
      <x:c r="G113" s="12" t="n">
        <x:v>23354532.4043</x:v>
      </x:c>
      <x:c r="H113" s="12" t="n">
        <x:v>2489587.49898755</x:v>
      </x:c>
      <x:c r="I113" s="13" t="n">
        <x:v>0.110606</x:v>
      </x:c>
      <x:c r="J113" s="2" t="n">
        <x:v>26</x:v>
      </x:c>
      <x:c r="K113" s="2" t="n">
        <x:v>30</x:v>
      </x:c>
      <x:c r="L113" s="12" t="n">
        <x:v>2035.82655</x:v>
      </x:c>
      <x:c r="M113" s="13" t="n">
        <x:v>0.5857381295710004</x:v>
      </x:c>
      <x:c r="N113" s="13" t="n">
        <x:f>H113/G113</x:f>
        <x:v>0.10659975784953721</x:v>
      </x:c>
      <x:c r="O113" s="13" t="n">
        <x:f>F113/E113</x:f>
        <x:v>0.03</x:v>
      </x:c>
      <x:c r="P113" s="2" t="str">
        <x:f>IF(AND(E113&gt;='Итоги'!$F$5,N113&lt;='Итоги'!$B$5,O113&gt;='Итоги'!$D$5),"Да","Нет")</x:f>
        <x:v>Нет</x:v>
      </x:c>
    </x:row>
    <x:row r="114" ht="60" customHeight="1">
      <x:c r="A114" s="14" t="str">
        <x:v>Мелкая бытовая техника</x:v>
      </x:c>
      <x:c r="B114" s="14" t="str">
        <x:v>Мелкая бытовая техника SDA</x:v>
      </x:c>
      <x:c r="C114" s="14" t="str">
        <x:v>Электронные товары для красоты и здоровья SDA</x:v>
      </x:c>
      <x:c r="D114" s="14" t="str">
        <x:v>Электрическая зубная щетка</x:v>
      </x:c>
      <x:c r="E114" s="2" t="n">
        <x:v>201</x:v>
      </x:c>
      <x:c r="F114" s="2" t="n">
        <x:v>6</x:v>
      </x:c>
      <x:c r="G114" s="12" t="n">
        <x:v>43482532.8006</x:v>
      </x:c>
      <x:c r="H114" s="12" t="n">
        <x:v>4252967.18505295</x:v>
      </x:c>
      <x:c r="I114" s="13" t="n">
        <x:v>0.0865452736318407</x:v>
      </x:c>
      <x:c r="J114" s="2" t="n">
        <x:v>45</x:v>
      </x:c>
      <x:c r="K114" s="2" t="n">
        <x:v>34</x:v>
      </x:c>
      <x:c r="L114" s="12" t="n">
        <x:v>3188.3548</x:v>
      </x:c>
      <x:c r="M114" s="13" t="n">
        <x:v>0.669289048111715</x:v>
      </x:c>
      <x:c r="N114" s="13" t="n">
        <x:f>H114/G114</x:f>
        <x:v>0.09780863512610896</x:v>
      </x:c>
      <x:c r="O114" s="13" t="n">
        <x:f>F114/E114</x:f>
        <x:v>0.029850746268656716</x:v>
      </x:c>
      <x:c r="P114" s="2" t="str">
        <x:f>IF(AND(E114&gt;='Итоги'!$F$5,N114&lt;='Итоги'!$B$5,O114&gt;='Итоги'!$D$5),"Да","Нет")</x:f>
        <x:v>Нет</x:v>
      </x:c>
    </x:row>
    <x:row r="115" ht="60" customHeight="1">
      <x:c r="A115" s="14" t="str">
        <x:v>Мелкая бытовая техника</x:v>
      </x:c>
      <x:c r="B115" s="14" t="str">
        <x:v>SDA Климатическая техника</x:v>
      </x:c>
      <x:c r="C115" s="14" t="str">
        <x:v>Климатическая техника SDA</x:v>
      </x:c>
      <x:c r="D115" s="14" t="str">
        <x:v>Водонагреватель проточный</x:v>
      </x:c>
      <x:c r="E115" s="2" t="n">
        <x:v>168</x:v>
      </x:c>
      <x:c r="F115" s="2" t="n">
        <x:v>5</x:v>
      </x:c>
      <x:c r="G115" s="12" t="n">
        <x:v>44807316.2736</x:v>
      </x:c>
      <x:c r="H115" s="12" t="n">
        <x:v>3186180.3290446103</x:v>
      </x:c>
      <x:c r="I115" s="13" t="n">
        <x:v>0.0840309523809523</x:v>
      </x:c>
      <x:c r="J115" s="2" t="n">
        <x:v>38</x:v>
      </x:c>
      <x:c r="K115" s="2" t="n">
        <x:v>39</x:v>
      </x:c>
      <x:c r="L115" s="12" t="n">
        <x:v>2133.5667</x:v>
      </x:c>
      <x:c r="M115" s="13" t="n">
        <x:v>0.6769684146508897</x:v>
      </x:c>
      <x:c r="N115" s="13" t="n">
        <x:f>H115/G115</x:f>
        <x:v>0.07110848392680627</x:v>
      </x:c>
      <x:c r="O115" s="13" t="n">
        <x:f>F115/E115</x:f>
        <x:v>0.02976190476190476</x:v>
      </x:c>
      <x:c r="P115" s="2" t="str">
        <x:f>IF(AND(E115&gt;='Итоги'!$F$5,N115&lt;='Итоги'!$B$5,O115&gt;='Итоги'!$D$5),"Да","Нет")</x:f>
        <x:v>Нет</x:v>
      </x:c>
    </x:row>
    <x:row r="116" ht="60" customHeight="1">
      <x:c r="A116" s="14" t="str">
        <x:v>Аудио и видеотехника</x:v>
      </x:c>
      <x:c r="B116" s="14" t="str">
        <x:v>Портативная аудиотехника TV&amp;Audio</x:v>
      </x:c>
      <x:c r="C116" s="14" t="str">
        <x:v>Портативная акустика TV&amp;Audio</x:v>
      </x:c>
      <x:c r="D116" s="14" t="str">
        <x:v>Портативная акустическая система</x:v>
      </x:c>
      <x:c r="E116" s="2" t="n">
        <x:v>580</x:v>
      </x:c>
      <x:c r="F116" s="2" t="n">
        <x:v>17</x:v>
      </x:c>
      <x:c r="G116" s="12" t="n">
        <x:v>160283651.892</x:v>
      </x:c>
      <x:c r="H116" s="12" t="n">
        <x:v>9706865.75267358</x:v>
      </x:c>
      <x:c r="I116" s="13" t="n">
        <x:v>0.0617231034482758</x:v>
      </x:c>
      <x:c r="J116" s="2" t="n">
        <x:v>266</x:v>
      </x:c>
      <x:c r="K116" s="2" t="n">
        <x:v>101</x:v>
      </x:c>
      <x:c r="L116" s="12" t="n">
        <x:v>3902.5053</x:v>
      </x:c>
      <x:c r="M116" s="13" t="n">
        <x:v>0.6793807340705784</x:v>
      </x:c>
      <x:c r="N116" s="13" t="n">
        <x:f>H116/G116</x:f>
        <x:v>0.060560547742037465</x:v>
      </x:c>
      <x:c r="O116" s="13" t="n">
        <x:f>F116/E116</x:f>
        <x:v>0.029310344827586206</x:v>
      </x:c>
      <x:c r="P116" s="2" t="str">
        <x:f>IF(AND(E116&gt;='Итоги'!$F$5,N116&lt;='Итоги'!$B$5,O116&gt;='Итоги'!$D$5),"Да","Нет")</x:f>
        <x:v>Нет</x:v>
      </x:c>
    </x:row>
    <x:row r="117" ht="60" customHeight="1">
      <x:c r="A117" s="14" t="str">
        <x:v>Строительство и ремонт (DIY)</x:v>
      </x:c>
      <x:c r="B117" s="14" t="str">
        <x:v>Ремонт и строительство</x:v>
      </x:c>
      <x:c r="C117" s="14" t="str">
        <x:v>Аксессуары для ремонта</x:v>
      </x:c>
      <x:c r="D117" s="14" t="str">
        <x:v>Баллон газовый пустой, чехол для баллона для ремонта и строительства</x:v>
      </x:c>
      <x:c r="E117" s="2" t="n">
        <x:v>35</x:v>
      </x:c>
      <x:c r="F117" s="2" t="n">
        <x:v>1</x:v>
      </x:c>
      <x:c r="G117" s="12" t="n">
        <x:v>9634680.0704</x:v>
      </x:c>
      <x:c r="H117" s="12" t="n">
        <x:v>41376.776036</x:v>
      </x:c>
      <x:c r="I117" s="13" t="n">
        <x:v>0.00436</x:v>
      </x:c>
      <x:c r="J117" s="2" t="n">
        <x:v>27</x:v>
      </x:c>
      <x:c r="K117" s="2" t="n">
        <x:v>8</x:v>
      </x:c>
      <x:c r="L117" s="12" t="n">
        <x:v>4813.8936</x:v>
      </x:c>
      <x:c r="M117" s="13" t="n">
        <x:v>0.5707069261067552</x:v>
      </x:c>
      <x:c r="N117" s="13" t="n">
        <x:f>H117/G117</x:f>
        <x:v>0.004294566683445897</x:v>
      </x:c>
      <x:c r="O117" s="13" t="n">
        <x:f>F117/E117</x:f>
        <x:v>0.02857142857142857</x:v>
      </x:c>
      <x:c r="P117" s="2" t="str">
        <x:f>IF(AND(E117&gt;='Итоги'!$F$5,N117&lt;='Итоги'!$B$5,O117&gt;='Итоги'!$D$5),"Да","Нет")</x:f>
        <x:v>Нет</x:v>
      </x:c>
    </x:row>
    <x:row r="118" ht="60" customHeight="1">
      <x:c r="A118" s="14" t="str">
        <x:v>Мелкая бытовая техника</x:v>
      </x:c>
      <x:c r="B118" s="14" t="str">
        <x:v>Мелкая бытовая техника SDA</x:v>
      </x:c>
      <x:c r="C118" s="14" t="str">
        <x:v>Электронная кухонная техника SDA</x:v>
      </x:c>
      <x:c r="D118" s="14" t="str">
        <x:v>Экотестеры и дозиметры</x:v>
      </x:c>
      <x:c r="E118" s="2" t="n">
        <x:v>35</x:v>
      </x:c>
      <x:c r="F118" s="2" t="n">
        <x:v>1</x:v>
      </x:c>
      <x:c r="G118" s="12" t="n">
        <x:v>11872768.3122</x:v>
      </x:c>
      <x:c r="H118" s="12" t="n">
        <x:v>752734.91725432</x:v>
      </x:c>
      <x:c r="I118" s="13" t="n">
        <x:v>0.0605657142857142</x:v>
      </x:c>
      <x:c r="J118" s="2" t="n">
        <x:v>16</x:v>
      </x:c>
      <x:c r="K118" s="2" t="n">
        <x:v>5</x:v>
      </x:c>
      <x:c r="L118" s="12" t="n">
        <x:v>6806.5955</x:v>
      </x:c>
      <x:c r="M118" s="13" t="n">
        <x:v>0.7341469363335766</x:v>
      </x:c>
      <x:c r="N118" s="13" t="n">
        <x:f>H118/G118</x:f>
        <x:v>0.06340011844422488</x:v>
      </x:c>
      <x:c r="O118" s="13" t="n">
        <x:f>F118/E118</x:f>
        <x:v>0.02857142857142857</x:v>
      </x:c>
      <x:c r="P118" s="2" t="str">
        <x:f>IF(AND(E118&gt;='Итоги'!$F$5,N118&lt;='Итоги'!$B$5,O118&gt;='Итоги'!$D$5),"Да","Нет")</x:f>
        <x:v>Нет</x:v>
      </x:c>
    </x:row>
    <x:row r="119" ht="60" customHeight="1">
      <x:c r="A119" s="14" t="str">
        <x:v>Строительство и ремонт (DIY)</x:v>
      </x:c>
      <x:c r="B119" s="14" t="str">
        <x:v>Сад и огород</x:v>
      </x:c>
      <x:c r="C119" s="14" t="str">
        <x:v>Садовый инструмент</x:v>
      </x:c>
      <x:c r="D119" s="14" t="str">
        <x:v>Сучкорез аккумуляторный</x:v>
      </x:c>
      <x:c r="E119" s="2" t="n">
        <x:v>35</x:v>
      </x:c>
      <x:c r="F119" s="2" t="n">
        <x:v>1</x:v>
      </x:c>
      <x:c r="G119" s="12" t="n">
        <x:v>8114942.0356</x:v>
      </x:c>
      <x:c r="H119" s="12" t="n">
        <x:v>1042423.71649375</x:v>
      </x:c>
      <x:c r="I119" s="13" t="n">
        <x:v>0.1323342857142857</x:v>
      </x:c>
      <x:c r="J119" s="2" t="n">
        <x:v>2</x:v>
      </x:c>
      <x:c r="K119" s="2" t="n">
        <x:v>19</x:v>
      </x:c>
      <x:c r="L119" s="12" t="n">
        <x:v>2734.9148</x:v>
      </x:c>
      <x:c r="M119" s="13" t="n">
        <x:v>0.4929253419743306</x:v>
      </x:c>
      <x:c r="N119" s="13" t="n">
        <x:f>H119/G119</x:f>
        <x:v>0.12845732131180596</x:v>
      </x:c>
      <x:c r="O119" s="13" t="n">
        <x:f>F119/E119</x:f>
        <x:v>0.02857142857142857</x:v>
      </x:c>
      <x:c r="P119" s="2" t="str">
        <x:f>IF(AND(E119&gt;='Итоги'!$F$5,N119&lt;='Итоги'!$B$5,O119&gt;='Итоги'!$D$5),"Да","Нет")</x:f>
        <x:v>Нет</x:v>
      </x:c>
    </x:row>
    <x:row r="120" ht="60" customHeight="1">
      <x:c r="A120" s="14" t="str">
        <x:v>Смартфоны и планшеты</x:v>
      </x:c>
      <x:c r="B120" s="14" t="str">
        <x:v>Компьютеры Smart&amp;Tablets</x:v>
      </x:c>
      <x:c r="C120" s="14" t="str">
        <x:v>Мобильный компьютер Smart&amp;Tablets</x:v>
      </x:c>
      <x:c r="D120" s="14" t="str">
        <x:v>Планшетный компьютер Apple</x:v>
      </x:c>
      <x:c r="E120" s="2" t="n">
        <x:v>36</x:v>
      </x:c>
      <x:c r="F120" s="2" t="n">
        <x:v>1</x:v>
      </x:c>
      <x:c r="G120" s="12" t="n">
        <x:v>11063127.45</x:v>
      </x:c>
      <x:c r="H120" s="12" t="n">
        <x:v>0</x:v>
      </x:c>
      <x:c r="I120" s="13" t="n">
        <x:v>0</x:v>
      </x:c>
      <x:c r="J120" s="2" t="n">
        <x:v>36</x:v>
      </x:c>
      <x:c r="K120" s="2" t="n">
        <x:v>2</x:v>
      </x:c>
      <x:c r="L120" s="12" t="n">
        <x:v>70873.33335</x:v>
      </x:c>
      <x:c r="M120" s="13" t="n">
        <x:v>0.9797617806527212</x:v>
      </x:c>
      <x:c r="N120" s="13" t="n">
        <x:f>H120/G120</x:f>
        <x:v>0</x:v>
      </x:c>
      <x:c r="O120" s="13" t="n">
        <x:f>F120/E120</x:f>
        <x:v>0.027777777777777776</x:v>
      </x:c>
      <x:c r="P120" s="2" t="str">
        <x:f>IF(AND(E120&gt;='Итоги'!$F$5,N120&lt;='Итоги'!$B$5,O120&gt;='Итоги'!$D$5),"Да","Нет")</x:f>
        <x:v>Нет</x:v>
      </x:c>
    </x:row>
    <x:row r="121" ht="60" customHeight="1">
      <x:c r="A121" s="14" t="str">
        <x:v>Мелкая бытовая техника</x:v>
      </x:c>
      <x:c r="B121" s="14" t="str">
        <x:v>Мелкая бытовая техника SDA</x:v>
      </x:c>
      <x:c r="C121" s="14" t="str">
        <x:v>Электронная кухонная техника SDA</x:v>
      </x:c>
      <x:c r="D121" s="14" t="str">
        <x:v>Сушильная машина для овощей, фруктов электрическая</x:v>
      </x:c>
      <x:c r="E121" s="2" t="n">
        <x:v>324</x:v>
      </x:c>
      <x:c r="F121" s="2" t="n">
        <x:v>9</x:v>
      </x:c>
      <x:c r="G121" s="12" t="n">
        <x:v>80507390.5762</x:v>
      </x:c>
      <x:c r="H121" s="12" t="n">
        <x:v>4853487.39848777</x:v>
      </x:c>
      <x:c r="I121" s="13" t="n">
        <x:v>0.062316049382716</x:v>
      </x:c>
      <x:c r="J121" s="2" t="n">
        <x:v>83</x:v>
      </x:c>
      <x:c r="K121" s="2" t="n">
        <x:v>28</x:v>
      </x:c>
      <x:c r="L121" s="12" t="n">
        <x:v>4138.0193500000005</x:v>
      </x:c>
      <x:c r="M121" s="13" t="n">
        <x:v>0.7298761130816114</x:v>
      </x:c>
      <x:c r="N121" s="13" t="n">
        <x:f>H121/G121</x:f>
        <x:v>0.06028623414261526</x:v>
      </x:c>
      <x:c r="O121" s="13" t="n">
        <x:f>F121/E121</x:f>
        <x:v>0.027777777777777776</x:v>
      </x:c>
      <x:c r="P121" s="2" t="str">
        <x:f>IF(AND(E121&gt;='Итоги'!$F$5,N121&lt;='Итоги'!$B$5,O121&gt;='Итоги'!$D$5),"Да","Нет")</x:f>
        <x:v>Нет</x:v>
      </x:c>
    </x:row>
    <x:row r="122" ht="60" customHeight="1">
      <x:c r="A122" s="14" t="str">
        <x:v>Мелкая бытовая техника</x:v>
      </x:c>
      <x:c r="B122" s="14" t="str">
        <x:v>Мелкая бытовая техника SDA</x:v>
      </x:c>
      <x:c r="C122" s="14" t="str">
        <x:v>Электронная кухонная техника SDA</x:v>
      </x:c>
      <x:c r="D122" s="14" t="str">
        <x:v>Вакуумный упаковщик</x:v>
      </x:c>
      <x:c r="E122" s="2" t="n">
        <x:v>217</x:v>
      </x:c>
      <x:c r="F122" s="2" t="n">
        <x:v>6</x:v>
      </x:c>
      <x:c r="G122" s="12" t="n">
        <x:v>62222463.9581</x:v>
      </x:c>
      <x:c r="H122" s="12" t="n">
        <x:v>7987868.48028547</x:v>
      </x:c>
      <x:c r="I122" s="13" t="n">
        <x:v>0.1366447004608295</x:v>
      </x:c>
      <x:c r="J122" s="2" t="n">
        <x:v>18</x:v>
      </x:c>
      <x:c r="K122" s="2" t="n">
        <x:v>96</x:v>
      </x:c>
      <x:c r="L122" s="12" t="n">
        <x:v>2710.0256</x:v>
      </x:c>
      <x:c r="M122" s="13" t="n">
        <x:v>0.5733901914833371</x:v>
      </x:c>
      <x:c r="N122" s="13" t="n">
        <x:f>H122/G122</x:f>
        <x:v>0.12837595897302337</x:v>
      </x:c>
      <x:c r="O122" s="13" t="n">
        <x:f>F122/E122</x:f>
        <x:v>0.027649769585253458</x:v>
      </x:c>
      <x:c r="P122" s="2" t="str">
        <x:f>IF(AND(E122&gt;='Итоги'!$F$5,N122&lt;='Итоги'!$B$5,O122&gt;='Итоги'!$D$5),"Да","Нет")</x:f>
        <x:v>Нет</x:v>
      </x:c>
    </x:row>
    <x:row r="123" ht="60" customHeight="1">
      <x:c r="A123" s="14" t="str">
        <x:v>Строительство и ремонт (DIY)</x:v>
      </x:c>
      <x:c r="B123" s="14" t="str">
        <x:v>Сад и огород</x:v>
      </x:c>
      <x:c r="C123" s="14" t="str">
        <x:v>Растения</x:v>
      </x:c>
      <x:c r="D123" s="14" t="str">
        <x:v>Семена</x:v>
      </x:c>
      <x:c r="E123" s="2" t="n">
        <x:v>145</x:v>
      </x:c>
      <x:c r="F123" s="2" t="n">
        <x:v>4</x:v>
      </x:c>
      <x:c r="G123" s="12" t="n">
        <x:v>40494400.7433</x:v>
      </x:c>
      <x:c r="H123" s="12" t="n">
        <x:v>3600150.12420402</x:v>
      </x:c>
      <x:c r="I123" s="13" t="n">
        <x:v>0.0783986206896551</x:v>
      </x:c>
      <x:c r="J123" s="2" t="n">
        <x:v>30</x:v>
      </x:c>
      <x:c r="K123" s="2" t="n">
        <x:v>28</x:v>
      </x:c>
      <x:c r="L123" s="12" t="n">
        <x:v>2257.6414</x:v>
      </x:c>
      <x:c r="M123" s="13" t="n">
        <x:v>0.3610996042439118</x:v>
      </x:c>
      <x:c r="N123" s="13" t="n">
        <x:f>H123/G123</x:f>
        <x:v>0.08890488704909859</x:v>
      </x:c>
      <x:c r="O123" s="13" t="n">
        <x:f>F123/E123</x:f>
        <x:v>0.027586206896551724</x:v>
      </x:c>
      <x:c r="P123" s="2" t="str">
        <x:f>IF(AND(E123&gt;='Итоги'!$F$5,N123&lt;='Итоги'!$B$5,O123&gt;='Итоги'!$D$5),"Да","Нет")</x:f>
        <x:v>Нет</x:v>
      </x:c>
    </x:row>
    <x:row r="124" ht="60" customHeight="1">
      <x:c r="A124" s="14" t="str">
        <x:v>Мелкая бытовая техника</x:v>
      </x:c>
      <x:c r="B124" s="14" t="str">
        <x:v>Мелкая бытовая техника SDA</x:v>
      </x:c>
      <x:c r="C124" s="14" t="str">
        <x:v>Электронная техника для дома SDA</x:v>
      </x:c>
      <x:c r="D124" s="14" t="str">
        <x:v>Пароочиститель</x:v>
      </x:c>
      <x:c r="E124" s="2" t="n">
        <x:v>218</x:v>
      </x:c>
      <x:c r="F124" s="2" t="n">
        <x:v>6</x:v>
      </x:c>
      <x:c r="G124" s="12" t="n">
        <x:v>65150442.3414</x:v>
      </x:c>
      <x:c r="H124" s="12" t="n">
        <x:v>2803246.6201639</x:v>
      </x:c>
      <x:c r="I124" s="13" t="n">
        <x:v>0.054945871559633</x:v>
      </x:c>
      <x:c r="J124" s="2" t="n">
        <x:v>46</x:v>
      </x:c>
      <x:c r="K124" s="2" t="n">
        <x:v>40</x:v>
      </x:c>
      <x:c r="L124" s="12" t="n">
        <x:v>5399.74565</x:v>
      </x:c>
      <x:c r="M124" s="13" t="n">
        <x:v>0.5662430957227368</x:v>
      </x:c>
      <x:c r="N124" s="13" t="n">
        <x:f>H124/G124</x:f>
        <x:v>0.043027284534376375</x:v>
      </x:c>
      <x:c r="O124" s="13" t="n">
        <x:f>F124/E124</x:f>
        <x:v>0.027522935779816515</x:v>
      </x:c>
      <x:c r="P124" s="2" t="str">
        <x:f>IF(AND(E124&gt;='Итоги'!$F$5,N124&lt;='Итоги'!$B$5,O124&gt;='Итоги'!$D$5),"Да","Нет")</x:f>
        <x:v>Нет</x:v>
      </x:c>
    </x:row>
    <x:row r="125" ht="60" customHeight="1">
      <x:c r="A125" s="14" t="str">
        <x:v>Бытовая химия и гигиена рта</x:v>
      </x:c>
      <x:c r="B125" s="14" t="str">
        <x:v>Гигиена рта</x:v>
      </x:c>
      <x:c r="C125" s="14" t="str">
        <x:v>Гигиена рта</x:v>
      </x:c>
      <x:c r="D125" s="14" t="str">
        <x:v>Зубная паста</x:v>
      </x:c>
      <x:c r="E125" s="2" t="n">
        <x:v>182</x:v>
      </x:c>
      <x:c r="F125" s="2" t="n">
        <x:v>5</x:v>
      </x:c>
      <x:c r="G125" s="12" t="n">
        <x:v>49429512.8962</x:v>
      </x:c>
      <x:c r="H125" s="12" t="n">
        <x:v>2852389.02647307</x:v>
      </x:c>
      <x:c r="I125" s="13" t="n">
        <x:v>0.0556098901098901</x:v>
      </x:c>
      <x:c r="J125" s="2" t="n">
        <x:v>67</x:v>
      </x:c>
      <x:c r="K125" s="2" t="n">
        <x:v>29</x:v>
      </x:c>
      <x:c r="L125" s="12" t="n">
        <x:v>1195.3198</x:v>
      </x:c>
      <x:c r="M125" s="13" t="n">
        <x:v>0.8091412826318735</x:v>
      </x:c>
      <x:c r="N125" s="13" t="n">
        <x:f>H125/G125</x:f>
        <x:v>0.05770619331133149</x:v>
      </x:c>
      <x:c r="O125" s="13" t="n">
        <x:f>F125/E125</x:f>
        <x:v>0.027472527472527472</x:v>
      </x:c>
      <x:c r="P125" s="2" t="str">
        <x:f>IF(AND(E125&gt;='Итоги'!$F$5,N125&lt;='Итоги'!$B$5,O125&gt;='Итоги'!$D$5),"Да","Нет")</x:f>
        <x:v>Нет</x:v>
      </x:c>
    </x:row>
    <x:row r="126" ht="60" customHeight="1">
      <x:c r="A126" s="14" t="str">
        <x:v>Строительство и ремонт (DIY)</x:v>
      </x:c>
      <x:c r="B126" s="14" t="str">
        <x:v>Ремонт и строительство</x:v>
      </x:c>
      <x:c r="C126" s="14" t="str">
        <x:v>Стройматериалы</x:v>
      </x:c>
      <x:c r="D126" s="14" t="str">
        <x:v>Поликарбонат и оргстекло</x:v>
      </x:c>
      <x:c r="E126" s="2" t="n">
        <x:v>37</x:v>
      </x:c>
      <x:c r="F126" s="2" t="n">
        <x:v>1</x:v>
      </x:c>
      <x:c r="G126" s="12" t="n">
        <x:v>6796359.7719</x:v>
      </x:c>
      <x:c r="H126" s="12" t="n">
        <x:v>248071.2502132</x:v>
      </x:c>
      <x:c r="I126" s="13" t="n">
        <x:v>0.0373297297297297</x:v>
      </x:c>
      <x:c r="J126" s="2" t="n">
        <x:v>28</x:v>
      </x:c>
      <x:c r="K126" s="2" t="n">
        <x:v>2</x:v>
      </x:c>
      <x:c r="L126" s="12" t="n">
        <x:v>8744.6667</x:v>
      </x:c>
      <x:c r="M126" s="13" t="n">
        <x:v>0.8530951829348373</x:v>
      </x:c>
      <x:c r="N126" s="13" t="n">
        <x:f>H126/G126</x:f>
        <x:v>0.03650060599188216</x:v>
      </x:c>
      <x:c r="O126" s="13" t="n">
        <x:f>F126/E126</x:f>
        <x:v>0.02702702702702703</x:v>
      </x:c>
      <x:c r="P126" s="2" t="str">
        <x:f>IF(AND(E126&gt;='Итоги'!$F$5,N126&lt;='Итоги'!$B$5,O126&gt;='Итоги'!$D$5),"Да","Нет")</x:f>
        <x:v>Нет</x:v>
      </x:c>
    </x:row>
    <x:row r="127" ht="60" customHeight="1">
      <x:c r="A127" s="14" t="str">
        <x:v>Мелкая бытовая техника</x:v>
      </x:c>
      <x:c r="B127" s="14" t="str">
        <x:v>SDA Климатическая техника</x:v>
      </x:c>
      <x:c r="C127" s="14" t="str">
        <x:v>Климатическая техника SDA</x:v>
      </x:c>
      <x:c r="D127" s="14" t="str">
        <x:v>Вентилятор напольный</x:v>
      </x:c>
      <x:c r="E127" s="2" t="n">
        <x:v>484</x:v>
      </x:c>
      <x:c r="F127" s="2" t="n">
        <x:v>13</x:v>
      </x:c>
      <x:c r="G127" s="12" t="n">
        <x:v>116504701.1847</x:v>
      </x:c>
      <x:c r="H127" s="12" t="n">
        <x:v>4178391.35853139</x:v>
      </x:c>
      <x:c r="I127" s="13" t="n">
        <x:v>0.0265314049586776</x:v>
      </x:c>
      <x:c r="J127" s="2" t="n">
        <x:v>330</x:v>
      </x:c>
      <x:c r="K127" s="2" t="n">
        <x:v>60</x:v>
      </x:c>
      <x:c r="L127" s="12" t="n">
        <x:v>2930.5648</x:v>
      </x:c>
      <x:c r="M127" s="13" t="n">
        <x:v>0.6207093155988186</x:v>
      </x:c>
      <x:c r="N127" s="13" t="n">
        <x:f>H127/G127</x:f>
        <x:v>0.035864572983258444</x:v>
      </x:c>
      <x:c r="O127" s="13" t="n">
        <x:f>F127/E127</x:f>
        <x:v>0.026859504132231406</x:v>
      </x:c>
      <x:c r="P127" s="2" t="str">
        <x:f>IF(AND(E127&gt;='Итоги'!$F$5,N127&lt;='Итоги'!$B$5,O127&gt;='Итоги'!$D$5),"Да","Нет")</x:f>
        <x:v>Нет</x:v>
      </x:c>
    </x:row>
    <x:row r="128" ht="60" customHeight="1">
      <x:c r="A128" s="14" t="str">
        <x:v>Мелкая бытовая техника</x:v>
      </x:c>
      <x:c r="B128" s="14" t="str">
        <x:v>Мелкая бытовая техника SDA</x:v>
      </x:c>
      <x:c r="C128" s="14" t="str">
        <x:v>Электронная кухонная техника SDA</x:v>
      </x:c>
      <x:c r="D128" s="14" t="str">
        <x:v>Блендер погружной</x:v>
      </x:c>
      <x:c r="E128" s="2" t="n">
        <x:v>262</x:v>
      </x:c>
      <x:c r="F128" s="2" t="n">
        <x:v>7</x:v>
      </x:c>
      <x:c r="G128" s="12" t="n">
        <x:v>69818077.2055</x:v>
      </x:c>
      <x:c r="H128" s="12" t="n">
        <x:v>4224815.97268509</x:v>
      </x:c>
      <x:c r="I128" s="13" t="n">
        <x:v>0.0603416030534351</x:v>
      </x:c>
      <x:c r="J128" s="2" t="n">
        <x:v>83</x:v>
      </x:c>
      <x:c r="K128" s="2" t="n">
        <x:v>33</x:v>
      </x:c>
      <x:c r="L128" s="12" t="n">
        <x:v>2291.64745</x:v>
      </x:c>
      <x:c r="M128" s="13" t="n">
        <x:v>0.7260045245976349</x:v>
      </x:c>
      <x:c r="N128" s="13" t="n">
        <x:f>H128/G128</x:f>
        <x:v>0.060511777777120954</x:v>
      </x:c>
      <x:c r="O128" s="13" t="n">
        <x:f>F128/E128</x:f>
        <x:v>0.026717557251908396</x:v>
      </x:c>
      <x:c r="P128" s="2" t="str">
        <x:f>IF(AND(E128&gt;='Итоги'!$F$5,N128&lt;='Итоги'!$B$5,O128&gt;='Итоги'!$D$5),"Да","Нет")</x:f>
        <x:v>Нет</x:v>
      </x:c>
    </x:row>
    <x:row r="129" ht="60" customHeight="1">
      <x:c r="A129" s="14" t="str">
        <x:v>Аудио и видеотехника</x:v>
      </x:c>
      <x:c r="B129" s="14" t="str">
        <x:v>Портативная аудиотехника TV&amp;Audio</x:v>
      </x:c>
      <x:c r="C129" s="14" t="str">
        <x:v>Портативное аудио TV&amp;Audio</x:v>
      </x:c>
      <x:c r="D129" s="14" t="str">
        <x:v>MP3-плеер</x:v>
      </x:c>
      <x:c r="E129" s="2" t="n">
        <x:v>38</x:v>
      </x:c>
      <x:c r="F129" s="2" t="n">
        <x:v>1</x:v>
      </x:c>
      <x:c r="G129" s="12" t="n">
        <x:v>8383983.7733</x:v>
      </x:c>
      <x:c r="H129" s="12" t="n">
        <x:v>559848.91641969</x:v>
      </x:c>
      <x:c r="I129" s="13" t="n">
        <x:v>0.0769842105263157</x:v>
      </x:c>
      <x:c r="J129" s="2" t="n">
        <x:v>10</x:v>
      </x:c>
      <x:c r="K129" s="2" t="n">
        <x:v>11</x:v>
      </x:c>
      <x:c r="L129" s="12" t="n">
        <x:v>2153.71965</x:v>
      </x:c>
      <x:c r="M129" s="13" t="n">
        <x:v>0.3066106097660283</x:v>
      </x:c>
      <x:c r="N129" s="13" t="n">
        <x:f>H129/G129</x:f>
        <x:v>0.06677600190527673</x:v>
      </x:c>
      <x:c r="O129" s="13" t="n">
        <x:f>F129/E129</x:f>
        <x:v>0.02631578947368421</x:v>
      </x:c>
      <x:c r="P129" s="2" t="str">
        <x:f>IF(AND(E129&gt;='Итоги'!$F$5,N129&lt;='Итоги'!$B$5,O129&gt;='Итоги'!$D$5),"Да","Нет")</x:f>
        <x:v>Нет</x:v>
      </x:c>
    </x:row>
    <x:row r="130" ht="60" customHeight="1">
      <x:c r="A130" s="14" t="str">
        <x:v>Строительство и ремонт (DIY)</x:v>
      </x:c>
      <x:c r="B130" s="14" t="str">
        <x:v>Сад и огород</x:v>
      </x:c>
      <x:c r="C130" s="14" t="str">
        <x:v>Садовый инструмент</x:v>
      </x:c>
      <x:c r="D130" s="14" t="str">
        <x:v>Газонокосилка, триммер электрические</x:v>
      </x:c>
      <x:c r="E130" s="2" t="n">
        <x:v>534</x:v>
      </x:c>
      <x:c r="F130" s="2" t="n">
        <x:v>14</x:v>
      </x:c>
      <x:c r="G130" s="12" t="n">
        <x:v>154265366.6464</x:v>
      </x:c>
      <x:c r="H130" s="12" t="n">
        <x:v>14140307.274302669</x:v>
      </x:c>
      <x:c r="I130" s="13" t="n">
        <x:v>0.08365468164794</x:v>
      </x:c>
      <x:c r="J130" s="2" t="n">
        <x:v>160</x:v>
      </x:c>
      <x:c r="K130" s="2" t="n">
        <x:v>118</x:v>
      </x:c>
      <x:c r="L130" s="12" t="n">
        <x:v>4696.32805</x:v>
      </x:c>
      <x:c r="M130" s="13" t="n">
        <x:v>0.641528068223792</x:v>
      </x:c>
      <x:c r="N130" s="13" t="n">
        <x:f>H130/G130</x:f>
        <x:v>0.0916622284165339</x:v>
      </x:c>
      <x:c r="O130" s="13" t="n">
        <x:f>F130/E130</x:f>
        <x:v>0.026217228464419477</x:v>
      </x:c>
      <x:c r="P130" s="2" t="str">
        <x:f>IF(AND(E130&gt;='Итоги'!$F$5,N130&lt;='Итоги'!$B$5,O130&gt;='Итоги'!$D$5),"Да","Нет")</x:f>
        <x:v>Нет</x:v>
      </x:c>
    </x:row>
    <x:row r="131" ht="60" customHeight="1">
      <x:c r="A131" s="14" t="str">
        <x:v>Крупная бытовая техника</x:v>
      </x:c>
      <x:c r="B131" s="14" t="str">
        <x:v>MDA Встраиваемая техника</x:v>
      </x:c>
      <x:c r="C131" s="14" t="str">
        <x:v>MDA Встраиваемая вытяжка</x:v>
      </x:c>
      <x:c r="D131" s="14" t="str">
        <x:v>Вытяжка</x:v>
      </x:c>
      <x:c r="E131" s="2" t="n">
        <x:v>192</x:v>
      </x:c>
      <x:c r="F131" s="2" t="n">
        <x:v>5</x:v>
      </x:c>
      <x:c r="G131" s="12" t="n">
        <x:v>45218157.2078</x:v>
      </x:c>
      <x:c r="H131" s="12" t="n">
        <x:v>1872279.09487948</x:v>
      </x:c>
      <x:c r="I131" s="13" t="n">
        <x:v>0.0457703125</x:v>
      </x:c>
      <x:c r="J131" s="2" t="n">
        <x:v>56</x:v>
      </x:c>
      <x:c r="K131" s="2" t="n">
        <x:v>9</x:v>
      </x:c>
      <x:c r="L131" s="12" t="n">
        <x:v>8425.0331</x:v>
      </x:c>
      <x:c r="M131" s="13" t="n">
        <x:v>0.9184651211756144</x:v>
      </x:c>
      <x:c r="N131" s="13" t="n">
        <x:f>H131/G131</x:f>
        <x:v>0.04140547095440938</x:v>
      </x:c>
      <x:c r="O131" s="13" t="n">
        <x:f>F131/E131</x:f>
        <x:v>0.026041666666666668</x:v>
      </x:c>
      <x:c r="P131" s="2" t="str">
        <x:f>IF(AND(E131&gt;='Итоги'!$F$5,N131&lt;='Итоги'!$B$5,O131&gt;='Итоги'!$D$5),"Да","Нет")</x:f>
        <x:v>Нет</x:v>
      </x:c>
    </x:row>
    <x:row r="132" ht="60" customHeight="1">
      <x:c r="A132" s="14" t="str">
        <x:v>Мелкая бытовая техника</x:v>
      </x:c>
      <x:c r="B132" s="14" t="str">
        <x:v>Мелкая бытовая техника SDA</x:v>
      </x:c>
      <x:c r="C132" s="14" t="str">
        <x:v>Электронная кухонная техника SDA</x:v>
      </x:c>
      <x:c r="D132" s="14" t="str">
        <x:v>Мультиварка, скороварка</x:v>
      </x:c>
      <x:c r="E132" s="2" t="n">
        <x:v>236</x:v>
      </x:c>
      <x:c r="F132" s="2" t="n">
        <x:v>6</x:v>
      </x:c>
      <x:c r="G132" s="12" t="n">
        <x:v>61750011.8104</x:v>
      </x:c>
      <x:c r="H132" s="12" t="n">
        <x:v>4150835.32702553</x:v>
      </x:c>
      <x:c r="I132" s="13" t="n">
        <x:v>0.0711025423728813</x:v>
      </x:c>
      <x:c r="J132" s="2" t="n">
        <x:v>70</x:v>
      </x:c>
      <x:c r="K132" s="2" t="n">
        <x:v>36</x:v>
      </x:c>
      <x:c r="L132" s="12" t="n">
        <x:v>4580.0988</x:v>
      </x:c>
      <x:c r="M132" s="13" t="n">
        <x:v>0.7227061560121655</x:v>
      </x:c>
      <x:c r="N132" s="13" t="n">
        <x:f>H132/G132</x:f>
        <x:v>0.06721999243936083</x:v>
      </x:c>
      <x:c r="O132" s="13" t="n">
        <x:f>F132/E132</x:f>
        <x:v>0.025423728813559324</x:v>
      </x:c>
      <x:c r="P132" s="2" t="str">
        <x:f>IF(AND(E132&gt;='Итоги'!$F$5,N132&lt;='Итоги'!$B$5,O132&gt;='Итоги'!$D$5),"Да","Нет")</x:f>
        <x:v>Нет</x:v>
      </x:c>
    </x:row>
    <x:row r="133" ht="60" customHeight="1">
      <x:c r="A133" s="14" t="str">
        <x:v>Строительство и ремонт (DIY)</x:v>
      </x:c>
      <x:c r="B133" s="14" t="str">
        <x:v>Ремонт и строительство</x:v>
      </x:c>
      <x:c r="C133" s="14" t="str">
        <x:v>Вентиляционные системы</x:v>
      </x:c>
      <x:c r="D133" s="14" t="str">
        <x:v>Приточно-вытяжной вентилятор для вентиляционных систем</x:v>
      </x:c>
      <x:c r="E133" s="2" t="n">
        <x:v>40</x:v>
      </x:c>
      <x:c r="F133" s="2" t="n">
        <x:v>1</x:v>
      </x:c>
      <x:c r="G133" s="12" t="n">
        <x:v>9316355.5479</x:v>
      </x:c>
      <x:c r="H133" s="12" t="n">
        <x:v>571367.46995721</x:v>
      </x:c>
      <x:c r="I133" s="13" t="n">
        <x:v>0.0684775</x:v>
      </x:c>
      <x:c r="J133" s="2" t="n">
        <x:v>10</x:v>
      </x:c>
      <x:c r="K133" s="2" t="n">
        <x:v>7</x:v>
      </x:c>
      <x:c r="L133" s="12" t="n">
        <x:v>6021.5844</x:v>
      </x:c>
      <x:c r="M133" s="13" t="n">
        <x:v>0.6628689563261703</x:v>
      </x:c>
      <x:c r="N133" s="13" t="n">
        <x:f>H133/G133</x:f>
        <x:v>0.06132950454923352</x:v>
      </x:c>
      <x:c r="O133" s="13" t="n">
        <x:f>F133/E133</x:f>
        <x:v>0.025</x:v>
      </x:c>
      <x:c r="P133" s="2" t="str">
        <x:f>IF(AND(E133&gt;='Итоги'!$F$5,N133&lt;='Итоги'!$B$5,O133&gt;='Итоги'!$D$5),"Да","Нет")</x:f>
        <x:v>Нет</x:v>
      </x:c>
    </x:row>
    <x:row r="134" ht="60" customHeight="1">
      <x:c r="A134" s="14" t="str">
        <x:v>Личная гигиена и детская продукция</x:v>
      </x:c>
      <x:c r="B134" s="14" t="str">
        <x:v>Личная гигиена</x:v>
      </x:c>
      <x:c r="C134" s="14" t="str">
        <x:v>Бумажная продукция</x:v>
      </x:c>
      <x:c r="D134" s="14" t="str">
        <x:v>Полотенца бумажные</x:v>
      </x:c>
      <x:c r="E134" s="2" t="n">
        <x:v>81</x:v>
      </x:c>
      <x:c r="F134" s="2" t="n">
        <x:v>2</x:v>
      </x:c>
      <x:c r="G134" s="12" t="n">
        <x:v>17912080.4755</x:v>
      </x:c>
      <x:c r="H134" s="12" t="n">
        <x:v>392049.99031403</x:v>
      </x:c>
      <x:c r="I134" s="13" t="n">
        <x:v>0.0277691358024691</x:v>
      </x:c>
      <x:c r="J134" s="2" t="n">
        <x:v>36</x:v>
      </x:c>
      <x:c r="K134" s="2" t="n">
        <x:v>15</x:v>
      </x:c>
      <x:c r="L134" s="12" t="n">
        <x:v>1939.4038</x:v>
      </x:c>
      <x:c r="M134" s="13" t="n">
        <x:v>0.5921689489508569</x:v>
      </x:c>
      <x:c r="N134" s="13" t="n">
        <x:f>H134/G134</x:f>
        <x:v>0.021887462534029636</x:v>
      </x:c>
      <x:c r="O134" s="13" t="n">
        <x:f>F134/E134</x:f>
        <x:v>0.024691358024691357</x:v>
      </x:c>
      <x:c r="P134" s="2" t="str">
        <x:f>IF(AND(E134&gt;='Итоги'!$F$5,N134&lt;='Итоги'!$B$5,O134&gt;='Итоги'!$D$5),"Да","Нет")</x:f>
        <x:v>Нет</x:v>
      </x:c>
    </x:row>
    <x:row r="135" ht="60" customHeight="1">
      <x:c r="A135" s="14" t="str">
        <x:v>Строительство и ремонт (DIY)</x:v>
      </x:c>
      <x:c r="B135" s="14" t="str">
        <x:v>Инструменты</x:v>
      </x:c>
      <x:c r="C135" s="14" t="str">
        <x:v>Техника для строительства, ремонта</x:v>
      </x:c>
      <x:c r="D135" s="14" t="str">
        <x:v>Маска сварочная</x:v>
      </x:c>
      <x:c r="E135" s="2" t="n">
        <x:v>81</x:v>
      </x:c>
      <x:c r="F135" s="2" t="n">
        <x:v>2</x:v>
      </x:c>
      <x:c r="G135" s="12" t="n">
        <x:v>23020500.7625</x:v>
      </x:c>
      <x:c r="H135" s="12" t="n">
        <x:v>1880656.16503191</x:v>
      </x:c>
      <x:c r="I135" s="13" t="n">
        <x:v>0.0904481481481481</x:v>
      </x:c>
      <x:c r="J135" s="2" t="n">
        <x:v>21</x:v>
      </x:c>
      <x:c r="K135" s="2" t="n">
        <x:v>10</x:v>
      </x:c>
      <x:c r="L135" s="12" t="n">
        <x:v>2795.741</x:v>
      </x:c>
      <x:c r="M135" s="13" t="n">
        <x:v>0.7928658802475953</x:v>
      </x:c>
      <x:c r="N135" s="13" t="n">
        <x:f>H135/G135</x:f>
        <x:v>0.08169484167327352</x:v>
      </x:c>
      <x:c r="O135" s="13" t="n">
        <x:f>F135/E135</x:f>
        <x:v>0.024691358024691357</x:v>
      </x:c>
      <x:c r="P135" s="2" t="str">
        <x:f>IF(AND(E135&gt;='Итоги'!$F$5,N135&lt;='Итоги'!$B$5,O135&gt;='Итоги'!$D$5),"Да","Нет")</x:f>
        <x:v>Нет</x:v>
      </x:c>
    </x:row>
    <x:row r="136" ht="60" customHeight="1">
      <x:c r="A136" s="14" t="str">
        <x:v>Мелкая бытовая техника</x:v>
      </x:c>
      <x:c r="B136" s="14" t="str">
        <x:v>Мелкая бытовая техника SDA</x:v>
      </x:c>
      <x:c r="C136" s="14" t="str">
        <x:v>Электронная кухонная техника SDA</x:v>
      </x:c>
      <x:c r="D136" s="14" t="str">
        <x:v>Кофемолка электрическая</x:v>
      </x:c>
      <x:c r="E136" s="2" t="n">
        <x:v>81</x:v>
      </x:c>
      <x:c r="F136" s="2" t="n">
        <x:v>2</x:v>
      </x:c>
      <x:c r="G136" s="12" t="n">
        <x:v>19388229.7403</x:v>
      </x:c>
      <x:c r="H136" s="12" t="n">
        <x:v>1723497.10721856</x:v>
      </x:c>
      <x:c r="I136" s="13" t="n">
        <x:v>0.0985024691358024</x:v>
      </x:c>
      <x:c r="J136" s="2" t="n">
        <x:v>17</x:v>
      </x:c>
      <x:c r="K136" s="2" t="n">
        <x:v>18</x:v>
      </x:c>
      <x:c r="L136" s="12" t="n">
        <x:v>2223.7289</x:v>
      </x:c>
      <x:c r="M136" s="13" t="n">
        <x:v>0.6813751216564441</x:v>
      </x:c>
      <x:c r="N136" s="13" t="n">
        <x:f>H136/G136</x:f>
        <x:v>0.08889399033869154</x:v>
      </x:c>
      <x:c r="O136" s="13" t="n">
        <x:f>F136/E136</x:f>
        <x:v>0.024691358024691357</x:v>
      </x:c>
      <x:c r="P136" s="2" t="str">
        <x:f>IF(AND(E136&gt;='Итоги'!$F$5,N136&lt;='Итоги'!$B$5,O136&gt;='Итоги'!$D$5),"Да","Нет")</x:f>
        <x:v>Нет</x:v>
      </x:c>
    </x:row>
    <x:row r="137" ht="60" customHeight="1">
      <x:c r="A137" s="14" t="str">
        <x:v>Строительство и ремонт (DIY)</x:v>
      </x:c>
      <x:c r="B137" s="14" t="str">
        <x:v>Инструменты</x:v>
      </x:c>
      <x:c r="C137" s="14" t="str">
        <x:v>Техника для строительства, ремонта</x:v>
      </x:c>
      <x:c r="D137" s="14" t="str">
        <x:v>Компрессор строительный</x:v>
      </x:c>
      <x:c r="E137" s="2" t="n">
        <x:v>164</x:v>
      </x:c>
      <x:c r="F137" s="2" t="n">
        <x:v>4</x:v>
      </x:c>
      <x:c r="G137" s="12" t="n">
        <x:v>46296664.5218</x:v>
      </x:c>
      <x:c r="H137" s="12" t="n">
        <x:v>1635458.97808655</x:v>
      </x:c>
      <x:c r="I137" s="13" t="n">
        <x:v>0.0337115853658536</x:v>
      </x:c>
      <x:c r="J137" s="2" t="n">
        <x:v>84</x:v>
      </x:c>
      <x:c r="K137" s="2" t="n">
        <x:v>18</x:v>
      </x:c>
      <x:c r="L137" s="12" t="n">
        <x:v>11673.95835</x:v>
      </x:c>
      <x:c r="M137" s="13" t="n">
        <x:v>0.9234048602306928</x:v>
      </x:c>
      <x:c r="N137" s="13" t="n">
        <x:f>H137/G137</x:f>
        <x:v>0.035325632958211305</x:v>
      </x:c>
      <x:c r="O137" s="13" t="n">
        <x:f>F137/E137</x:f>
        <x:v>0.024390243902439025</x:v>
      </x:c>
      <x:c r="P137" s="2" t="str">
        <x:f>IF(AND(E137&gt;='Итоги'!$F$5,N137&lt;='Итоги'!$B$5,O137&gt;='Итоги'!$D$5),"Да","Нет")</x:f>
        <x:v>Нет</x:v>
      </x:c>
    </x:row>
    <x:row r="138" ht="60" customHeight="1">
      <x:c r="A138" s="14" t="str">
        <x:v>Аудио и видеотехника</x:v>
      </x:c>
      <x:c r="B138" s="14" t="str">
        <x:v>Домашняя Аудио и Видеотехника TV&amp;Audio</x:v>
      </x:c>
      <x:c r="C138" s="14" t="str">
        <x:v>Музыкальные инструменты TV&amp;Audio</x:v>
      </x:c>
      <x:c r="D138" s="14" t="str">
        <x:v>Акустическая гитара, электрогитара</x:v>
      </x:c>
      <x:c r="E138" s="2" t="n">
        <x:v>123</x:v>
      </x:c>
      <x:c r="F138" s="2" t="n">
        <x:v>3</x:v>
      </x:c>
      <x:c r="G138" s="12" t="n">
        <x:v>27899684.7565</x:v>
      </x:c>
      <x:c r="H138" s="12" t="n">
        <x:v>1211263.15284764</x:v>
      </x:c>
      <x:c r="I138" s="13" t="n">
        <x:v>0.0518512195121951</x:v>
      </x:c>
      <x:c r="J138" s="2" t="n">
        <x:v>23</x:v>
      </x:c>
      <x:c r="K138" s="2" t="n">
        <x:v>21</x:v>
      </x:c>
      <x:c r="L138" s="12" t="n">
        <x:v>11306.75</x:v>
      </x:c>
      <x:c r="M138" s="13" t="n">
        <x:v>0.813908139836942</x:v>
      </x:c>
      <x:c r="N138" s="13" t="n">
        <x:f>H138/G138</x:f>
        <x:v>0.04341494047044538</x:v>
      </x:c>
      <x:c r="O138" s="13" t="n">
        <x:f>F138/E138</x:f>
        <x:v>0.024390243902439025</x:v>
      </x:c>
      <x:c r="P138" s="2" t="str">
        <x:f>IF(AND(E138&gt;='Итоги'!$F$5,N138&lt;='Итоги'!$B$5,O138&gt;='Итоги'!$D$5),"Да","Нет")</x:f>
        <x:v>Нет</x:v>
      </x:c>
    </x:row>
    <x:row r="139" ht="60" customHeight="1">
      <x:c r="A139" s="14" t="str">
        <x:v>Бытовая химия и гигиена рта</x:v>
      </x:c>
      <x:c r="B139" s="14" t="str">
        <x:v>Бритвы и лезвия</x:v>
      </x:c>
      <x:c r="C139" s="14" t="str">
        <x:v>Бритвы и лезвия</x:v>
      </x:c>
      <x:c r="D139" s="14" t="str">
        <x:v>Сменные кассеты для бритья</x:v>
      </x:c>
      <x:c r="E139" s="2" t="n">
        <x:v>82</x:v>
      </x:c>
      <x:c r="F139" s="2" t="n">
        <x:v>2</x:v>
      </x:c>
      <x:c r="G139" s="12" t="n">
        <x:v>18131817.2</x:v>
      </x:c>
      <x:c r="H139" s="12" t="n">
        <x:v>1241074.99863388</x:v>
      </x:c>
      <x:c r="I139" s="13" t="n">
        <x:v>0.0597390243902439</x:v>
      </x:c>
      <x:c r="J139" s="2" t="n">
        <x:v>35</x:v>
      </x:c>
      <x:c r="K139" s="2" t="n">
        <x:v>20</x:v>
      </x:c>
      <x:c r="L139" s="12" t="n">
        <x:v>1134.24645</x:v>
      </x:c>
      <x:c r="M139" s="13" t="n">
        <x:v>0.3343672147323436</x:v>
      </x:c>
      <x:c r="N139" s="13" t="n">
        <x:f>H139/G139</x:f>
        <x:v>0.06844735885787995</x:v>
      </x:c>
      <x:c r="O139" s="13" t="n">
        <x:f>F139/E139</x:f>
        <x:v>0.024390243902439025</x:v>
      </x:c>
      <x:c r="P139" s="2" t="str">
        <x:f>IF(AND(E139&gt;='Итоги'!$F$5,N139&lt;='Итоги'!$B$5,O139&gt;='Итоги'!$D$5),"Да","Нет")</x:f>
        <x:v>Нет</x:v>
      </x:c>
    </x:row>
    <x:row r="140" ht="60" customHeight="1">
      <x:c r="A140" s="14" t="str">
        <x:v>Строительство и ремонт (DIY)</x:v>
      </x:c>
      <x:c r="B140" s="14" t="str">
        <x:v>Сад и огород</x:v>
      </x:c>
      <x:c r="C140" s="14" t="str">
        <x:v>Аксессуары для садовых растений</x:v>
      </x:c>
      <x:c r="D140" s="14" t="str">
        <x:v>Опора для садовых растений</x:v>
      </x:c>
      <x:c r="E140" s="2" t="n">
        <x:v>83</x:v>
      </x:c>
      <x:c r="F140" s="2" t="n">
        <x:v>2</x:v>
      </x:c>
      <x:c r="G140" s="12" t="n">
        <x:v>17675338.0534</x:v>
      </x:c>
      <x:c r="H140" s="12" t="n">
        <x:v>1607705.68795339</x:v>
      </x:c>
      <x:c r="I140" s="13" t="n">
        <x:v>0.0880373493975903</x:v>
      </x:c>
      <x:c r="J140" s="2" t="n">
        <x:v>21</x:v>
      </x:c>
      <x:c r="K140" s="2" t="n">
        <x:v>33</x:v>
      </x:c>
      <x:c r="L140" s="12" t="n">
        <x:v>1285.1513</x:v>
      </x:c>
      <x:c r="M140" s="13" t="n">
        <x:v>0.5035124965142072</x:v>
      </x:c>
      <x:c r="N140" s="13" t="n">
        <x:f>H140/G140</x:f>
        <x:v>0.09095756375896495</x:v>
      </x:c>
      <x:c r="O140" s="13" t="n">
        <x:f>F140/E140</x:f>
        <x:v>0.024096385542168676</x:v>
      </x:c>
      <x:c r="P140" s="2" t="str">
        <x:f>IF(AND(E140&gt;='Итоги'!$F$5,N140&lt;='Итоги'!$B$5,O140&gt;='Итоги'!$D$5),"Да","Нет")</x:f>
        <x:v>Нет</x:v>
      </x:c>
    </x:row>
    <x:row r="141" ht="60" customHeight="1">
      <x:c r="A141" s="14" t="str">
        <x:v>Мелкая бытовая техника</x:v>
      </x:c>
      <x:c r="B141" s="14" t="str">
        <x:v>Мелкая бытовая техника SDA</x:v>
      </x:c>
      <x:c r="C141" s="14" t="str">
        <x:v>Электронная кухонная техника SDA</x:v>
      </x:c>
      <x:c r="D141" s="14" t="str">
        <x:v>Блендер стационарный</x:v>
      </x:c>
      <x:c r="E141" s="2" t="n">
        <x:v>250</x:v>
      </x:c>
      <x:c r="F141" s="2" t="n">
        <x:v>6</x:v>
      </x:c>
      <x:c r="G141" s="12" t="n">
        <x:v>53998620.223</x:v>
      </x:c>
      <x:c r="H141" s="12" t="n">
        <x:v>4879150.5364455</x:v>
      </x:c>
      <x:c r="I141" s="13" t="n">
        <x:v>0.0798712</x:v>
      </x:c>
      <x:c r="J141" s="2" t="n">
        <x:v>54</x:v>
      </x:c>
      <x:c r="K141" s="2" t="n">
        <x:v>69</x:v>
      </x:c>
      <x:c r="L141" s="12" t="n">
        <x:v>2903.82155</x:v>
      </x:c>
      <x:c r="M141" s="13" t="n">
        <x:v>0.4968268029480683</x:v>
      </x:c>
      <x:c r="N141" s="13" t="n">
        <x:f>H141/G141</x:f>
        <x:v>0.09035694831267727</x:v>
      </x:c>
      <x:c r="O141" s="13" t="n">
        <x:f>F141/E141</x:f>
        <x:v>0.024</x:v>
      </x:c>
      <x:c r="P141" s="2" t="str">
        <x:f>IF(AND(E141&gt;='Итоги'!$F$5,N141&lt;='Итоги'!$B$5,O141&gt;='Итоги'!$D$5),"Да","Нет")</x:f>
        <x:v>Нет</x:v>
      </x:c>
    </x:row>
    <x:row r="142" ht="60" customHeight="1">
      <x:c r="A142" s="14" t="str">
        <x:v>Строительство и ремонт (DIY)</x:v>
      </x:c>
      <x:c r="B142" s="14" t="str">
        <x:v>Сантехника</x:v>
      </x:c>
      <x:c r="C142" s="14" t="str">
        <x:v>Унитаз, биде</x:v>
      </x:c>
      <x:c r="D142" s="14" t="str">
        <x:v>Инсталляция к унитазу</x:v>
      </x:c>
      <x:c r="E142" s="2" t="n">
        <x:v>42</x:v>
      </x:c>
      <x:c r="F142" s="2" t="n">
        <x:v>1</x:v>
      </x:c>
      <x:c r="G142" s="12" t="n">
        <x:v>11525915.97</x:v>
      </x:c>
      <x:c r="H142" s="12" t="n">
        <x:v>815104.75738907</x:v>
      </x:c>
      <x:c r="I142" s="13" t="n">
        <x:v>0.0768428571428571</x:v>
      </x:c>
      <x:c r="J142" s="2" t="n">
        <x:v>10</x:v>
      </x:c>
      <x:c r="K142" s="2" t="n">
        <x:v>14</x:v>
      </x:c>
      <x:c r="L142" s="12" t="n">
        <x:v>15202.74245</x:v>
      </x:c>
      <x:c r="M142" s="13" t="n">
        <x:v>0.6701686363153314</x:v>
      </x:c>
      <x:c r="N142" s="13" t="n">
        <x:f>H142/G142</x:f>
        <x:v>0.07071930417596736</x:v>
      </x:c>
      <x:c r="O142" s="13" t="n">
        <x:f>F142/E142</x:f>
        <x:v>0.023809523809523808</x:v>
      </x:c>
      <x:c r="P142" s="2" t="str">
        <x:f>IF(AND(E142&gt;='Итоги'!$F$5,N142&lt;='Итоги'!$B$5,O142&gt;='Итоги'!$D$5),"Да","Нет")</x:f>
        <x:v>Нет</x:v>
      </x:c>
    </x:row>
    <x:row r="143" ht="60" customHeight="1">
      <x:c r="A143" s="14" t="str">
        <x:v>Строительство и ремонт (DIY)</x:v>
      </x:c>
      <x:c r="B143" s="14" t="str">
        <x:v>Инструменты</x:v>
      </x:c>
      <x:c r="C143" s="14" t="str">
        <x:v>Электроинструмент для строительства, ремонта</x:v>
      </x:c>
      <x:c r="D143" s="14" t="str">
        <x:v>Электроточило</x:v>
      </x:c>
      <x:c r="E143" s="2" t="n">
        <x:v>43</x:v>
      </x:c>
      <x:c r="F143" s="2" t="n">
        <x:v>1</x:v>
      </x:c>
      <x:c r="G143" s="12" t="n">
        <x:v>10998757.9045</x:v>
      </x:c>
      <x:c r="H143" s="12" t="n">
        <x:v>325429.08297697</x:v>
      </x:c>
      <x:c r="I143" s="13" t="n">
        <x:v>0.0399720930232558</x:v>
      </x:c>
      <x:c r="J143" s="2" t="n">
        <x:v>10</x:v>
      </x:c>
      <x:c r="K143" s="2" t="n">
        <x:v>13</x:v>
      </x:c>
      <x:c r="L143" s="12" t="n">
        <x:v>3373.3409</x:v>
      </x:c>
      <x:c r="M143" s="13" t="n">
        <x:v>0.8086292147644389</x:v>
      </x:c>
      <x:c r="N143" s="13" t="n">
        <x:f>H143/G143</x:f>
        <x:v>0.029587803077638874</x:v>
      </x:c>
      <x:c r="O143" s="13" t="n">
        <x:f>F143/E143</x:f>
        <x:v>0.023255813953488372</x:v>
      </x:c>
      <x:c r="P143" s="2" t="str">
        <x:f>IF(AND(E143&gt;='Итоги'!$F$5,N143&lt;='Итоги'!$B$5,O143&gt;='Итоги'!$D$5),"Да","Нет")</x:f>
        <x:v>Нет</x:v>
      </x:c>
    </x:row>
    <x:row r="144" ht="60" customHeight="1">
      <x:c r="A144" s="14" t="str">
        <x:v>Крупная бытовая техника</x:v>
      </x:c>
      <x:c r="B144" s="14" t="str">
        <x:v>MDA Встраиваемая техника</x:v>
      </x:c>
      <x:c r="C144" s="14" t="str">
        <x:v>MDA Встраиваемая вытяжка</x:v>
      </x:c>
      <x:c r="D144" s="14" t="str">
        <x:v>Вытяжка встраиваемая</x:v>
      </x:c>
      <x:c r="E144" s="2" t="n">
        <x:v>262</x:v>
      </x:c>
      <x:c r="F144" s="2" t="n">
        <x:v>6</x:v>
      </x:c>
      <x:c r="G144" s="12" t="n">
        <x:v>60556392.4006</x:v>
      </x:c>
      <x:c r="H144" s="12" t="n">
        <x:v>1803603.97661068</x:v>
      </x:c>
      <x:c r="I144" s="13" t="n">
        <x:v>0.0341908396946564</x:v>
      </x:c>
      <x:c r="J144" s="2" t="n">
        <x:v>105</x:v>
      </x:c>
      <x:c r="K144" s="2" t="n">
        <x:v>9</x:v>
      </x:c>
      <x:c r="L144" s="12" t="n">
        <x:v>7850.2981</x:v>
      </x:c>
      <x:c r="M144" s="13" t="n">
        <x:v>0.8563194143148165</x:v>
      </x:c>
      <x:c r="N144" s="13" t="n">
        <x:f>H144/G144</x:f>
        <x:v>0.02978387425524394</x:v>
      </x:c>
      <x:c r="O144" s="13" t="n">
        <x:f>F144/E144</x:f>
        <x:v>0.022900763358778626</x:v>
      </x:c>
      <x:c r="P144" s="2" t="str">
        <x:f>IF(AND(E144&gt;='Итоги'!$F$5,N144&lt;='Итоги'!$B$5,O144&gt;='Итоги'!$D$5),"Да","Нет")</x:f>
        <x:v>Нет</x:v>
      </x:c>
    </x:row>
    <x:row r="145" ht="60" customHeight="1">
      <x:c r="A145" s="14" t="str">
        <x:v>Мелкая бытовая техника</x:v>
      </x:c>
      <x:c r="B145" s="14" t="str">
        <x:v>SDA Климатическая техника</x:v>
      </x:c>
      <x:c r="C145" s="14" t="str">
        <x:v>Климатическая техника SDA</x:v>
      </x:c>
      <x:c r="D145" s="14" t="str">
        <x:v>Увлажнитель воздуха</x:v>
      </x:c>
      <x:c r="E145" s="2" t="n">
        <x:v>175</x:v>
      </x:c>
      <x:c r="F145" s="2" t="n">
        <x:v>4</x:v>
      </x:c>
      <x:c r="G145" s="12" t="n">
        <x:v>40467739.6372</x:v>
      </x:c>
      <x:c r="H145" s="12" t="n">
        <x:v>3754611.56671357</x:v>
      </x:c>
      <x:c r="I145" s="13" t="n">
        <x:v>0.0873571428571428</x:v>
      </x:c>
      <x:c r="J145" s="2" t="n">
        <x:v>46</x:v>
      </x:c>
      <x:c r="K145" s="2" t="n">
        <x:v>54</x:v>
      </x:c>
      <x:c r="L145" s="12" t="n">
        <x:v>2645.7558</x:v>
      </x:c>
      <x:c r="M145" s="13" t="n">
        <x:v>0.541860413178175</x:v>
      </x:c>
      <x:c r="N145" s="13" t="n">
        <x:f>H145/G145</x:f>
        <x:v>0.09278036283652821</x:v>
      </x:c>
      <x:c r="O145" s="13" t="n">
        <x:f>F145/E145</x:f>
        <x:v>0.022857142857142857</x:v>
      </x:c>
      <x:c r="P145" s="2" t="str">
        <x:f>IF(AND(E145&gt;='Итоги'!$F$5,N145&lt;='Итоги'!$B$5,O145&gt;='Итоги'!$D$5),"Да","Нет")</x:f>
        <x:v>Нет</x:v>
      </x:c>
    </x:row>
    <x:row r="146" ht="60" customHeight="1">
      <x:c r="A146" s="14" t="str">
        <x:v>Мелкая бытовая техника</x:v>
      </x:c>
      <x:c r="B146" s="14" t="str">
        <x:v>Мелкая бытовая техника SDA</x:v>
      </x:c>
      <x:c r="C146" s="14" t="str">
        <x:v>Электронная кухонная техника SDA</x:v>
      </x:c>
      <x:c r="D146" s="14" t="str">
        <x:v>Фритюрница электрическая</x:v>
      </x:c>
      <x:c r="E146" s="2" t="n">
        <x:v>44</x:v>
      </x:c>
      <x:c r="F146" s="2" t="n">
        <x:v>1</x:v>
      </x:c>
      <x:c r="G146" s="12" t="n">
        <x:v>11901277.5324</x:v>
      </x:c>
      <x:c r="H146" s="12" t="n">
        <x:v>272932.96359065</x:v>
      </x:c>
      <x:c r="I146" s="13" t="n">
        <x:v>0.0302727272727272</x:v>
      </x:c>
      <x:c r="J146" s="2" t="n">
        <x:v>16</x:v>
      </x:c>
      <x:c r="K146" s="2" t="n">
        <x:v>11</x:v>
      </x:c>
      <x:c r="L146" s="12" t="n">
        <x:v>4189.29515</x:v>
      </x:c>
      <x:c r="M146" s="13" t="n">
        <x:v>0.6173301731766612</x:v>
      </x:c>
      <x:c r="N146" s="13" t="n">
        <x:f>H146/G146</x:f>
        <x:v>0.022933081162725442</x:v>
      </x:c>
      <x:c r="O146" s="13" t="n">
        <x:f>F146/E146</x:f>
        <x:v>0.022727272727272728</x:v>
      </x:c>
      <x:c r="P146" s="2" t="str">
        <x:f>IF(AND(E146&gt;='Итоги'!$F$5,N146&lt;='Итоги'!$B$5,O146&gt;='Итоги'!$D$5),"Да","Нет")</x:f>
        <x:v>Нет</x:v>
      </x:c>
    </x:row>
    <x:row r="147" ht="60" customHeight="1">
      <x:c r="A147" s="14" t="str">
        <x:v>Мелкая бытовая техника</x:v>
      </x:c>
      <x:c r="B147" s="14" t="str">
        <x:v>Мелкая бытовая техника SDA</x:v>
      </x:c>
      <x:c r="C147" s="14" t="str">
        <x:v>Электронная кухонная техника SDA</x:v>
      </x:c>
      <x:c r="D147" s="14" t="str">
        <x:v>Кухонный комбайн</x:v>
      </x:c>
      <x:c r="E147" s="2" t="n">
        <x:v>44</x:v>
      </x:c>
      <x:c r="F147" s="2" t="n">
        <x:v>1</x:v>
      </x:c>
      <x:c r="G147" s="12" t="n">
        <x:v>11301759.3116</x:v>
      </x:c>
      <x:c r="H147" s="12" t="n">
        <x:v>946830.58652421</x:v>
      </x:c>
      <x:c r="I147" s="13" t="n">
        <x:v>0.071865909090909</x:v>
      </x:c>
      <x:c r="J147" s="2" t="n">
        <x:v>10</x:v>
      </x:c>
      <x:c r="K147" s="2" t="n">
        <x:v>11</x:v>
      </x:c>
      <x:c r="L147" s="12" t="n">
        <x:v>6874.478950000001</x:v>
      </x:c>
      <x:c r="M147" s="13" t="n">
        <x:v>0.8330237856363587</x:v>
      </x:c>
      <x:c r="N147" s="13" t="n">
        <x:f>H147/G147</x:f>
        <x:v>0.08377727399949084</x:v>
      </x:c>
      <x:c r="O147" s="13" t="n">
        <x:f>F147/E147</x:f>
        <x:v>0.022727272727272728</x:v>
      </x:c>
      <x:c r="P147" s="2" t="str">
        <x:f>IF(AND(E147&gt;='Итоги'!$F$5,N147&lt;='Итоги'!$B$5,O147&gt;='Итоги'!$D$5),"Да","Нет")</x:f>
        <x:v>Нет</x:v>
      </x:c>
    </x:row>
    <x:row r="148" ht="60" customHeight="1">
      <x:c r="A148" s="14" t="str">
        <x:v>Мелкая бытовая техника</x:v>
      </x:c>
      <x:c r="B148" s="14" t="str">
        <x:v>Мелкая бытовая техника SDA</x:v>
      </x:c>
      <x:c r="C148" s="14" t="str">
        <x:v>Электронная кухонная техника SDA</x:v>
      </x:c>
      <x:c r="D148" s="14" t="str">
        <x:v>Ледогенератор</x:v>
      </x:c>
      <x:c r="E148" s="2" t="n">
        <x:v>45</x:v>
      </x:c>
      <x:c r="F148" s="2" t="n">
        <x:v>1</x:v>
      </x:c>
      <x:c r="G148" s="12" t="n">
        <x:v>13848697.1597</x:v>
      </x:c>
      <x:c r="H148" s="12" t="n">
        <x:v>184803.182224</x:v>
      </x:c>
      <x:c r="I148" s="13" t="n">
        <x:v>0.0164577777777777</x:v>
      </x:c>
      <x:c r="J148" s="2" t="n">
        <x:v>30</x:v>
      </x:c>
      <x:c r="K148" s="2" t="n">
        <x:v>13</x:v>
      </x:c>
      <x:c r="L148" s="12" t="n">
        <x:v>12852.6934</x:v>
      </x:c>
      <x:c r="M148" s="13" t="n">
        <x:v>0.756474047008978</x:v>
      </x:c>
      <x:c r="N148" s="13" t="n">
        <x:f>H148/G148</x:f>
        <x:v>0.013344445336112997</x:v>
      </x:c>
      <x:c r="O148" s="13" t="n">
        <x:f>F148/E148</x:f>
        <x:v>0.022222222222222223</x:v>
      </x:c>
      <x:c r="P148" s="2" t="str">
        <x:f>IF(AND(E148&gt;='Итоги'!$F$5,N148&lt;='Итоги'!$B$5,O148&gt;='Итоги'!$D$5),"Да","Нет")</x:f>
        <x:v>Нет</x:v>
      </x:c>
    </x:row>
    <x:row r="149" ht="60" customHeight="1">
      <x:c r="A149" s="14" t="str">
        <x:v>Строительство и ремонт (DIY)</x:v>
      </x:c>
      <x:c r="B149" s="14" t="str">
        <x:v>Сантехника</x:v>
      </x:c>
      <x:c r="C149" s="14" t="str">
        <x:v>Системы отопления</x:v>
      </x:c>
      <x:c r="D149" s="14" t="str">
        <x:v>Котел отопительный</x:v>
      </x:c>
      <x:c r="E149" s="2" t="n">
        <x:v>140</x:v>
      </x:c>
      <x:c r="F149" s="2" t="n">
        <x:v>3</x:v>
      </x:c>
      <x:c r="G149" s="12" t="n">
        <x:v>28504843.9107</x:v>
      </x:c>
      <x:c r="H149" s="12" t="n">
        <x:v>699276.15926721</x:v>
      </x:c>
      <x:c r="I149" s="13" t="n">
        <x:v>0.0299014285714285</x:v>
      </x:c>
      <x:c r="J149" s="2" t="n">
        <x:v>45</x:v>
      </x:c>
      <x:c r="K149" s="2" t="n">
        <x:v>33</x:v>
      </x:c>
      <x:c r="L149" s="12" t="n">
        <x:v>9581.2138</x:v>
      </x:c>
      <x:c r="M149" s="13" t="n">
        <x:v>0.5494669666344218</x:v>
      </x:c>
      <x:c r="N149" s="13" t="n">
        <x:f>H149/G149</x:f>
        <x:v>0.02453183611381641</x:v>
      </x:c>
      <x:c r="O149" s="13" t="n">
        <x:f>F149/E149</x:f>
        <x:v>0.02142857142857143</x:v>
      </x:c>
      <x:c r="P149" s="2" t="str">
        <x:f>IF(AND(E149&gt;='Итоги'!$F$5,N149&lt;='Итоги'!$B$5,O149&gt;='Итоги'!$D$5),"Да","Нет")</x:f>
        <x:v>Нет</x:v>
      </x:c>
    </x:row>
    <x:row r="150" ht="60" customHeight="1">
      <x:c r="A150" s="14" t="str">
        <x:v>Мелкая бытовая техника</x:v>
      </x:c>
      <x:c r="B150" s="14" t="str">
        <x:v>Мелкая бытовая техника SDA</x:v>
      </x:c>
      <x:c r="C150" s="14" t="str">
        <x:v>Электронная кухонная техника SDA</x:v>
      </x:c>
      <x:c r="D150" s="14" t="str">
        <x:v>Электрогриль</x:v>
      </x:c>
      <x:c r="E150" s="2" t="n">
        <x:v>190</x:v>
      </x:c>
      <x:c r="F150" s="2" t="n">
        <x:v>4</x:v>
      </x:c>
      <x:c r="G150" s="12" t="n">
        <x:v>51416161.7624</x:v>
      </x:c>
      <x:c r="H150" s="12" t="n">
        <x:v>2971179.28463613</x:v>
      </x:c>
      <x:c r="I150" s="13" t="n">
        <x:v>0.0648194736842105</x:v>
      </x:c>
      <x:c r="J150" s="2" t="n">
        <x:v>64</x:v>
      </x:c>
      <x:c r="K150" s="2" t="n">
        <x:v>28</x:v>
      </x:c>
      <x:c r="L150" s="12" t="n">
        <x:v>5501.7299</x:v>
      </x:c>
      <x:c r="M150" s="13" t="n">
        <x:v>0.7931434340713894</x:v>
      </x:c>
      <x:c r="N150" s="13" t="n">
        <x:f>H150/G150</x:f>
        <x:v>0.05778687445333418</x:v>
      </x:c>
      <x:c r="O150" s="13" t="n">
        <x:f>F150/E150</x:f>
        <x:v>0.021052631578947368</x:v>
      </x:c>
      <x:c r="P150" s="2" t="str">
        <x:f>IF(AND(E150&gt;='Итоги'!$F$5,N150&lt;='Итоги'!$B$5,O150&gt;='Итоги'!$D$5),"Да","Нет")</x:f>
        <x:v>Нет</x:v>
      </x:c>
    </x:row>
    <x:row r="151" ht="60" customHeight="1">
      <x:c r="A151" s="14" t="str">
        <x:v>Мелкая бытовая техника</x:v>
      </x:c>
      <x:c r="B151" s="14" t="str">
        <x:v>Мелкая бытовая техника SDA</x:v>
      </x:c>
      <x:c r="C151" s="14" t="str">
        <x:v>Электронная техника для дома SDA</x:v>
      </x:c>
      <x:c r="D151" s="14" t="str">
        <x:v>Пылесос бытовой</x:v>
      </x:c>
      <x:c r="E151" s="2" t="n">
        <x:v>485</x:v>
      </x:c>
      <x:c r="F151" s="2" t="n">
        <x:v>10</x:v>
      </x:c>
      <x:c r="G151" s="12" t="n">
        <x:v>132386597.0277</x:v>
      </x:c>
      <x:c r="H151" s="12" t="n">
        <x:v>7450563.33665209</x:v>
      </x:c>
      <x:c r="I151" s="13" t="n">
        <x:v>0.0625121649484536</x:v>
      </x:c>
      <x:c r="J151" s="2" t="n">
        <x:v>152</x:v>
      </x:c>
      <x:c r="K151" s="2" t="n">
        <x:v>49</x:v>
      </x:c>
      <x:c r="L151" s="12" t="n">
        <x:v>7168.1615</x:v>
      </x:c>
      <x:c r="M151" s="13" t="n">
        <x:v>0.72833107022628</x:v>
      </x:c>
      <x:c r="N151" s="13" t="n">
        <x:f>H151/G151</x:f>
        <x:v>0.05627883414129276</x:v>
      </x:c>
      <x:c r="O151" s="13" t="n">
        <x:f>F151/E151</x:f>
        <x:v>0.020618556701030927</x:v>
      </x:c>
      <x:c r="P151" s="2" t="str">
        <x:f>IF(AND(E151&gt;='Итоги'!$F$5,N151&lt;='Итоги'!$B$5,O151&gt;='Итоги'!$D$5),"Да","Нет")</x:f>
        <x:v>Нет</x:v>
      </x:c>
    </x:row>
    <x:row r="152" ht="60" customHeight="1">
      <x:c r="A152" s="14" t="str">
        <x:v>Бытовая химия и гигиена рта</x:v>
      </x:c>
      <x:c r="B152" s="14" t="str">
        <x:v>Бытовая химия</x:v>
      </x:c>
      <x:c r="C152" s="14" t="str">
        <x:v>Товары для защиты от насекомых и грызунов</x:v>
      </x:c>
      <x:c r="D152" s="14" t="str">
        <x:v>Средство от муравьев, тараканов</x:v>
      </x:c>
      <x:c r="E152" s="2" t="n">
        <x:v>97</x:v>
      </x:c>
      <x:c r="F152" s="2" t="n">
        <x:v>2</x:v>
      </x:c>
      <x:c r="G152" s="12" t="n">
        <x:v>24782879.9503</x:v>
      </x:c>
      <x:c r="H152" s="12" t="n">
        <x:v>1810772.50161689</x:v>
      </x:c>
      <x:c r="I152" s="13" t="n">
        <x:v>0.0692144329896907</x:v>
      </x:c>
      <x:c r="J152" s="2" t="n">
        <x:v>21</x:v>
      </x:c>
      <x:c r="K152" s="2" t="n">
        <x:v>26</x:v>
      </x:c>
      <x:c r="L152" s="12" t="n">
        <x:v>1387.2244</x:v>
      </x:c>
      <x:c r="M152" s="13" t="n">
        <x:v>0.5464076321539892</x:v>
      </x:c>
      <x:c r="N152" s="13" t="n">
        <x:f>H152/G152</x:f>
        <x:v>0.07306545910920133</x:v>
      </x:c>
      <x:c r="O152" s="13" t="n">
        <x:f>F152/E152</x:f>
        <x:v>0.020618556701030927</x:v>
      </x:c>
      <x:c r="P152" s="2" t="str">
        <x:f>IF(AND(E152&gt;='Итоги'!$F$5,N152&lt;='Итоги'!$B$5,O152&gt;='Итоги'!$D$5),"Да","Нет")</x:f>
        <x:v>Нет</x:v>
      </x:c>
    </x:row>
    <x:row r="153" ht="60" customHeight="1">
      <x:c r="A153" s="14" t="str">
        <x:v>Строительство и ремонт (DIY)</x:v>
      </x:c>
      <x:c r="B153" s="14" t="str">
        <x:v>Инструменты</x:v>
      </x:c>
      <x:c r="C153" s="14" t="str">
        <x:v>Электроинструмент для строительства, ремонта</x:v>
      </x:c>
      <x:c r="D153" s="14" t="str">
        <x:v>Рубанок электрический</x:v>
      </x:c>
      <x:c r="E153" s="2" t="n">
        <x:v>49</x:v>
      </x:c>
      <x:c r="F153" s="2" t="n">
        <x:v>1</x:v>
      </x:c>
      <x:c r="G153" s="12" t="n">
        <x:v>10172376.4475</x:v>
      </x:c>
      <x:c r="H153" s="12" t="n">
        <x:v>246527.98224636</x:v>
      </x:c>
      <x:c r="I153" s="13" t="n">
        <x:v>0.0288489795918367</x:v>
      </x:c>
      <x:c r="J153" s="2" t="n">
        <x:v>24</x:v>
      </x:c>
      <x:c r="K153" s="2" t="n">
        <x:v>16</x:v>
      </x:c>
      <x:c r="L153" s="12" t="n">
        <x:v>5200.0833</x:v>
      </x:c>
      <x:c r="M153" s="13" t="n">
        <x:v>0.5409162353062829</x:v>
      </x:c>
      <x:c r="N153" s="13" t="n">
        <x:f>H153/G153</x:f>
        <x:v>0.024235043160140583</x:v>
      </x:c>
      <x:c r="O153" s="13" t="n">
        <x:f>F153/E153</x:f>
        <x:v>0.02040816326530612</x:v>
      </x:c>
      <x:c r="P153" s="2" t="str">
        <x:f>IF(AND(E153&gt;='Итоги'!$F$5,N153&lt;='Итоги'!$B$5,O153&gt;='Итоги'!$D$5),"Да","Нет")</x:f>
        <x:v>Нет</x:v>
      </x:c>
    </x:row>
    <x:row r="154" ht="60" customHeight="1">
      <x:c r="A154" s="14" t="str">
        <x:v>Мелкая бытовая техника</x:v>
      </x:c>
      <x:c r="B154" s="14" t="str">
        <x:v>Мелкая бытовая техника SDA</x:v>
      </x:c>
      <x:c r="C154" s="14" t="str">
        <x:v>Электронная техника для дома SDA</x:v>
      </x:c>
      <x:c r="D154" s="14" t="str">
        <x:v>Швейная машина</x:v>
      </x:c>
      <x:c r="E154" s="2" t="n">
        <x:v>245</x:v>
      </x:c>
      <x:c r="F154" s="2" t="n">
        <x:v>5</x:v>
      </x:c>
      <x:c r="G154" s="12" t="n">
        <x:v>65985429.5577</x:v>
      </x:c>
      <x:c r="H154" s="12" t="n">
        <x:v>4588072.9422143</x:v>
      </x:c>
      <x:c r="I154" s="13" t="n">
        <x:v>0.0654363265306122</x:v>
      </x:c>
      <x:c r="J154" s="2" t="n">
        <x:v>55</x:v>
      </x:c>
      <x:c r="K154" s="2" t="n">
        <x:v>27</x:v>
      </x:c>
      <x:c r="L154" s="12" t="n">
        <x:v>11206.2997</x:v>
      </x:c>
      <x:c r="M154" s="13" t="n">
        <x:v>0.8732530143872641</x:v>
      </x:c>
      <x:c r="N154" s="13" t="n">
        <x:f>H154/G154</x:f>
        <x:v>0.06953160679513841</x:v>
      </x:c>
      <x:c r="O154" s="13" t="n">
        <x:f>F154/E154</x:f>
        <x:v>0.02040816326530612</x:v>
      </x:c>
      <x:c r="P154" s="2" t="str">
        <x:f>IF(AND(E154&gt;='Итоги'!$F$5,N154&lt;='Итоги'!$B$5,O154&gt;='Итоги'!$D$5),"Да","Нет")</x:f>
        <x:v>Нет</x:v>
      </x:c>
    </x:row>
    <x:row r="155" ht="60" customHeight="1">
      <x:c r="A155" s="14" t="str">
        <x:v>Бытовая химия и гигиена рта</x:v>
      </x:c>
      <x:c r="B155" s="14" t="str">
        <x:v>Бытовая химия</x:v>
      </x:c>
      <x:c r="C155" s="14" t="str">
        <x:v>Чистящее и моющее средство</x:v>
      </x:c>
      <x:c r="D155" s="14" t="str">
        <x:v>Химия для бассейна</x:v>
      </x:c>
      <x:c r="E155" s="2" t="n">
        <x:v>348</x:v>
      </x:c>
      <x:c r="F155" s="2" t="n">
        <x:v>7</x:v>
      </x:c>
      <x:c r="G155" s="12" t="n">
        <x:v>83364366.4472</x:v>
      </x:c>
      <x:c r="H155" s="12" t="n">
        <x:v>5498057.21535739</x:v>
      </x:c>
      <x:c r="I155" s="13" t="n">
        <x:v>0.0354387931034482</x:v>
      </x:c>
      <x:c r="J155" s="2" t="n">
        <x:v>184</x:v>
      </x:c>
      <x:c r="K155" s="2" t="n">
        <x:v>57</x:v>
      </x:c>
      <x:c r="L155" s="12" t="n">
        <x:v>1369.624</x:v>
      </x:c>
      <x:c r="M155" s="13" t="n">
        <x:v>0.3217612384026092</x:v>
      </x:c>
      <x:c r="N155" s="13" t="n">
        <x:f>H155/G155</x:f>
        <x:v>0.06595212618618847</x:v>
      </x:c>
      <x:c r="O155" s="13" t="n">
        <x:f>F155/E155</x:f>
        <x:v>0.020114942528735632</x:v>
      </x:c>
      <x:c r="P155" s="2" t="str">
        <x:f>IF(AND(E155&gt;='Итоги'!$F$5,N155&lt;='Итоги'!$B$5,O155&gt;='Итоги'!$D$5),"Да","Нет")</x:f>
        <x:v>Нет</x:v>
      </x:c>
    </x:row>
    <x:row r="156" ht="60" customHeight="1">
      <x:c r="A156" s="14" t="str">
        <x:v>Строительство и ремонт (DIY)</x:v>
      </x:c>
      <x:c r="B156" s="14" t="str">
        <x:v>Сантехника</x:v>
      </x:c>
      <x:c r="C156" s="14" t="str">
        <x:v>Системы отопления</x:v>
      </x:c>
      <x:c r="D156" s="14" t="str">
        <x:v>Радиатор отопления</x:v>
      </x:c>
      <x:c r="E156" s="2" t="n">
        <x:v>252</x:v>
      </x:c>
      <x:c r="F156" s="2" t="n">
        <x:v>5</x:v>
      </x:c>
      <x:c r="G156" s="12" t="n">
        <x:v>63098900.2775</x:v>
      </x:c>
      <x:c r="H156" s="12" t="n">
        <x:v>698843.39203283</x:v>
      </x:c>
      <x:c r="I156" s="13" t="n">
        <x:v>0.0146400793650793</x:v>
      </x:c>
      <x:c r="J156" s="2" t="n">
        <x:v>107</x:v>
      </x:c>
      <x:c r="K156" s="2" t="n">
        <x:v>14</x:v>
      </x:c>
      <x:c r="L156" s="12" t="n">
        <x:v>5929.75525</x:v>
      </x:c>
      <x:c r="M156" s="13" t="n">
        <x:v>0.8614706168180729</x:v>
      </x:c>
      <x:c r="N156" s="13" t="n">
        <x:f>H156/G156</x:f>
        <x:v>0.01107536563964532</x:v>
      </x:c>
      <x:c r="O156" s="13" t="n">
        <x:f>F156/E156</x:f>
        <x:v>0.01984126984126984</x:v>
      </x:c>
      <x:c r="P156" s="2" t="str">
        <x:f>IF(AND(E156&gt;='Итоги'!$F$5,N156&lt;='Итоги'!$B$5,O156&gt;='Итоги'!$D$5),"Да","Нет")</x:f>
        <x:v>Нет</x:v>
      </x:c>
    </x:row>
    <x:row r="157" ht="60" customHeight="1">
      <x:c r="A157" s="14" t="str">
        <x:v>Мелкая бытовая техника</x:v>
      </x:c>
      <x:c r="B157" s="14" t="str">
        <x:v>Мелкая бытовая техника SDA</x:v>
      </x:c>
      <x:c r="C157" s="14" t="str">
        <x:v>Электронные товары для красоты и здоровья SDA</x:v>
      </x:c>
      <x:c r="D157" s="14" t="str">
        <x:v>Выпрямитель для волос</x:v>
      </x:c>
      <x:c r="E157" s="2" t="n">
        <x:v>103</x:v>
      </x:c>
      <x:c r="F157" s="2" t="n">
        <x:v>2</x:v>
      </x:c>
      <x:c r="G157" s="12" t="n">
        <x:v>21709306.7874</x:v>
      </x:c>
      <x:c r="H157" s="12" t="n">
        <x:v>2014855.17808158</x:v>
      </x:c>
      <x:c r="I157" s="13" t="n">
        <x:v>0.0857368932038834</x:v>
      </x:c>
      <x:c r="J157" s="2" t="n">
        <x:v>39</x:v>
      </x:c>
      <x:c r="K157" s="2" t="n">
        <x:v>36</x:v>
      </x:c>
      <x:c r="L157" s="12" t="n">
        <x:v>2909.9037</x:v>
      </x:c>
      <x:c r="M157" s="13" t="n">
        <x:v>0.5376422754813293</x:v>
      </x:c>
      <x:c r="N157" s="13" t="n">
        <x:f>H157/G157</x:f>
        <x:v>0.09281066400752117</x:v>
      </x:c>
      <x:c r="O157" s="13" t="n">
        <x:f>F157/E157</x:f>
        <x:v>0.019417475728155338</x:v>
      </x:c>
      <x:c r="P157" s="2" t="str">
        <x:f>IF(AND(E157&gt;='Итоги'!$F$5,N157&lt;='Итоги'!$B$5,O157&gt;='Итоги'!$D$5),"Да","Нет")</x:f>
        <x:v>Нет</x:v>
      </x:c>
    </x:row>
    <x:row r="158" ht="60" customHeight="1">
      <x:c r="A158" s="14" t="str">
        <x:v>Строительство и ремонт (DIY)</x:v>
      </x:c>
      <x:c r="B158" s="14" t="str">
        <x:v>Сантехника</x:v>
      </x:c>
      <x:c r="C158" s="14" t="str">
        <x:v>Унитаз, биде</x:v>
      </x:c>
      <x:c r="D158" s="14" t="str">
        <x:v>Унитаз</x:v>
      </x:c>
      <x:c r="E158" s="2" t="n">
        <x:v>52</x:v>
      </x:c>
      <x:c r="F158" s="2" t="n">
        <x:v>1</x:v>
      </x:c>
      <x:c r="G158" s="12" t="n">
        <x:v>17582298.7345</x:v>
      </x:c>
      <x:c r="H158" s="12" t="n">
        <x:v>775325.22272838</x:v>
      </x:c>
      <x:c r="I158" s="13" t="n">
        <x:v>0.0502846153846153</x:v>
      </x:c>
      <x:c r="J158" s="2" t="n">
        <x:v>6</x:v>
      </x:c>
      <x:c r="K158" s="2" t="n">
        <x:v>9</x:v>
      </x:c>
      <x:c r="L158" s="12" t="n">
        <x:v>13227.5061</x:v>
      </x:c>
      <x:c r="M158" s="13" t="n">
        <x:v>0.883714750222725</x:v>
      </x:c>
      <x:c r="N158" s="13" t="n">
        <x:f>H158/G158</x:f>
        <x:v>0.04409692011471949</x:v>
      </x:c>
      <x:c r="O158" s="13" t="n">
        <x:f>F158/E158</x:f>
        <x:v>0.019230769230769232</x:v>
      </x:c>
      <x:c r="P158" s="2" t="str">
        <x:f>IF(AND(E158&gt;='Итоги'!$F$5,N158&lt;='Итоги'!$B$5,O158&gt;='Итоги'!$D$5),"Да","Нет")</x:f>
        <x:v>Нет</x:v>
      </x:c>
    </x:row>
    <x:row r="159" ht="60" customHeight="1">
      <x:c r="A159" s="14" t="str">
        <x:v>Строительство и ремонт (DIY)</x:v>
      </x:c>
      <x:c r="B159" s="14" t="str">
        <x:v>Сад и огород</x:v>
      </x:c>
      <x:c r="C159" s="14" t="str">
        <x:v>Садовый инструмент</x:v>
      </x:c>
      <x:c r="D159" s="14" t="str">
        <x:v>Мотокультиватор</x:v>
      </x:c>
      <x:c r="E159" s="2" t="n">
        <x:v>52</x:v>
      </x:c>
      <x:c r="F159" s="2" t="n">
        <x:v>1</x:v>
      </x:c>
      <x:c r="G159" s="12" t="n">
        <x:v>14669008.8651</x:v>
      </x:c>
      <x:c r="H159" s="12" t="n">
        <x:v>935774.53367624</x:v>
      </x:c>
      <x:c r="I159" s="13" t="n">
        <x:v>0.0613538461538461</x:v>
      </x:c>
      <x:c r="J159" s="2" t="n">
        <x:v>17</x:v>
      </x:c>
      <x:c r="K159" s="2" t="n">
        <x:v>10</x:v>
      </x:c>
      <x:c r="L159" s="12" t="n">
        <x:v>13009.21425</x:v>
      </x:c>
      <x:c r="M159" s="13" t="n">
        <x:v>0.6863329189372173</x:v>
      </x:c>
      <x:c r="N159" s="13" t="n">
        <x:f>H159/G159</x:f>
        <x:v>0.06379262172937958</x:v>
      </x:c>
      <x:c r="O159" s="13" t="n">
        <x:f>F159/E159</x:f>
        <x:v>0.019230769230769232</x:v>
      </x:c>
      <x:c r="P159" s="2" t="str">
        <x:f>IF(AND(E159&gt;='Итоги'!$F$5,N159&lt;='Итоги'!$B$5,O159&gt;='Итоги'!$D$5),"Да","Нет")</x:f>
        <x:v>Нет</x:v>
      </x:c>
    </x:row>
    <x:row r="160" ht="60" customHeight="1">
      <x:c r="A160" s="14" t="str">
        <x:v>Мелкая бытовая техника</x:v>
      </x:c>
      <x:c r="B160" s="14" t="str">
        <x:v>Мелкая бытовая техника SDA</x:v>
      </x:c>
      <x:c r="C160" s="14" t="str">
        <x:v>Электронная кухонная техника SDA</x:v>
      </x:c>
      <x:c r="D160" s="14" t="str">
        <x:v>Овощерезка, терка, измельчитель электрические</x:v>
      </x:c>
      <x:c r="E160" s="2" t="n">
        <x:v>156</x:v>
      </x:c>
      <x:c r="F160" s="2" t="n">
        <x:v>3</x:v>
      </x:c>
      <x:c r="G160" s="12" t="n">
        <x:v>26322660.6447</x:v>
      </x:c>
      <x:c r="H160" s="12" t="n">
        <x:v>2399106.16351342</x:v>
      </x:c>
      <x:c r="I160" s="13" t="n">
        <x:v>0.0934365384615384</x:v>
      </x:c>
      <x:c r="J160" s="2" t="n">
        <x:v>14</x:v>
      </x:c>
      <x:c r="K160" s="2" t="n">
        <x:v>59</x:v>
      </x:c>
      <x:c r="L160" s="12" t="n">
        <x:v>2190.3110500000003</x:v>
      </x:c>
      <x:c r="M160" s="13" t="n">
        <x:v>0.413967103188485</x:v>
      </x:c>
      <x:c r="N160" s="13" t="n">
        <x:f>H160/G160</x:f>
        <x:v>0.09114223656553025</x:v>
      </x:c>
      <x:c r="O160" s="13" t="n">
        <x:f>F160/E160</x:f>
        <x:v>0.019230769230769232</x:v>
      </x:c>
      <x:c r="P160" s="2" t="str">
        <x:f>IF(AND(E160&gt;='Итоги'!$F$5,N160&lt;='Итоги'!$B$5,O160&gt;='Итоги'!$D$5),"Да","Нет")</x:f>
        <x:v>Нет</x:v>
      </x:c>
    </x:row>
    <x:row r="161" ht="60" customHeight="1">
      <x:c r="A161" s="14" t="str">
        <x:v>Мелкая бытовая техника</x:v>
      </x:c>
      <x:c r="B161" s="14" t="str">
        <x:v>SDA Климатическая техника</x:v>
      </x:c>
      <x:c r="C161" s="14" t="str">
        <x:v>Климатическая техника SDA</x:v>
      </x:c>
      <x:c r="D161" s="14" t="str">
        <x:v>Вентилятор настольный</x:v>
      </x:c>
      <x:c r="E161" s="2" t="n">
        <x:v>734</x:v>
      </x:c>
      <x:c r="F161" s="2" t="n">
        <x:v>14</x:v>
      </x:c>
      <x:c r="G161" s="12" t="n">
        <x:v>178188089.8984</x:v>
      </x:c>
      <x:c r="H161" s="12" t="n">
        <x:v>22291989.63147036</x:v>
      </x:c>
      <x:c r="I161" s="13" t="n">
        <x:v>0.1190863760217983</x:v>
      </x:c>
      <x:c r="J161" s="2" t="n">
        <x:v>130</x:v>
      </x:c>
      <x:c r="K161" s="2" t="n">
        <x:v>284</x:v>
      </x:c>
      <x:c r="L161" s="12" t="n">
        <x:v>1198.7005</x:v>
      </x:c>
      <x:c r="M161" s="13" t="n">
        <x:v>0.3869029518005907</x:v>
      </x:c>
      <x:c r="N161" s="13" t="n">
        <x:f>H161/G161</x:f>
        <x:v>0.1251037016232729</x:v>
      </x:c>
      <x:c r="O161" s="13" t="n">
        <x:f>F161/E161</x:f>
        <x:v>0.01907356948228883</x:v>
      </x:c>
      <x:c r="P161" s="2" t="str">
        <x:f>IF(AND(E161&gt;='Итоги'!$F$5,N161&lt;='Итоги'!$B$5,O161&gt;='Итоги'!$D$5),"Да","Нет")</x:f>
        <x:v>Нет</x:v>
      </x:c>
    </x:row>
    <x:row r="162" ht="60" customHeight="1">
      <x:c r="A162" s="14" t="str">
        <x:v>Мелкая бытовая техника</x:v>
      </x:c>
      <x:c r="B162" s="14" t="str">
        <x:v>SDA Климатическая техника</x:v>
      </x:c>
      <x:c r="C162" s="14" t="str">
        <x:v>Климатическая техника SDA</x:v>
      </x:c>
      <x:c r="D162" s="14" t="str">
        <x:v>Водонагреватель накопительный</x:v>
      </x:c>
      <x:c r="E162" s="2" t="n">
        <x:v>420</x:v>
      </x:c>
      <x:c r="F162" s="2" t="n">
        <x:v>8</x:v>
      </x:c>
      <x:c r="G162" s="12" t="n">
        <x:v>98951218.3066</x:v>
      </x:c>
      <x:c r="H162" s="12" t="n">
        <x:v>2332627.90104575</x:v>
      </x:c>
      <x:c r="I162" s="13" t="n">
        <x:v>0.0202914285714285</x:v>
      </x:c>
      <x:c r="J162" s="2" t="n">
        <x:v>173</x:v>
      </x:c>
      <x:c r="K162" s="2" t="n">
        <x:v>15</x:v>
      </x:c>
      <x:c r="L162" s="12" t="n">
        <x:v>13394.2308</x:v>
      </x:c>
      <x:c r="M162" s="13" t="n">
        <x:v>0.7864938808530986</x:v>
      </x:c>
      <x:c r="N162" s="13" t="n">
        <x:f>H162/G162</x:f>
        <x:v>0.023573513706704553</x:v>
      </x:c>
      <x:c r="O162" s="13" t="n">
        <x:f>F162/E162</x:f>
        <x:v>0.01904761904761905</x:v>
      </x:c>
      <x:c r="P162" s="2" t="str">
        <x:f>IF(AND(E162&gt;='Итоги'!$F$5,N162&lt;='Итоги'!$B$5,O162&gt;='Итоги'!$D$5),"Да","Нет")</x:f>
        <x:v>Нет</x:v>
      </x:c>
    </x:row>
    <x:row r="163" ht="60" customHeight="1">
      <x:c r="A163" s="14" t="str">
        <x:v>Строительство и ремонт (DIY)</x:v>
      </x:c>
      <x:c r="B163" s="14" t="str">
        <x:v>Сад и огород</x:v>
      </x:c>
      <x:c r="C163" s="14" t="str">
        <x:v>Загородный отдых</x:v>
      </x:c>
      <x:c r="D163" s="14" t="str">
        <x:v>Шампур</x:v>
      </x:c>
      <x:c r="E163" s="2" t="n">
        <x:v>105</x:v>
      </x:c>
      <x:c r="F163" s="2" t="n">
        <x:v>2</x:v>
      </x:c>
      <x:c r="G163" s="12" t="n">
        <x:v>29205762.9595</x:v>
      </x:c>
      <x:c r="H163" s="12" t="n">
        <x:v>2037071.95185333</x:v>
      </x:c>
      <x:c r="I163" s="13" t="n">
        <x:v>0.0799647619047619</x:v>
      </x:c>
      <x:c r="J163" s="2" t="n">
        <x:v>9</x:v>
      </x:c>
      <x:c r="K163" s="2" t="n">
        <x:v>16</x:v>
      </x:c>
      <x:c r="L163" s="12" t="n">
        <x:v>1850.5129</x:v>
      </x:c>
      <x:c r="M163" s="13" t="n">
        <x:v>0.6559632883368435</x:v>
      </x:c>
      <x:c r="N163" s="13" t="n">
        <x:f>H163/G163</x:f>
        <x:v>0.0697489723065329</x:v>
      </x:c>
      <x:c r="O163" s="13" t="n">
        <x:f>F163/E163</x:f>
        <x:v>0.01904761904761905</x:v>
      </x:c>
      <x:c r="P163" s="2" t="str">
        <x:f>IF(AND(E163&gt;='Итоги'!$F$5,N163&lt;='Итоги'!$B$5,O163&gt;='Итоги'!$D$5),"Да","Нет")</x:f>
        <x:v>Нет</x:v>
      </x:c>
    </x:row>
    <x:row r="164" ht="60" customHeight="1">
      <x:c r="A164" s="14" t="str">
        <x:v>Строительство и ремонт (DIY)</x:v>
      </x:c>
      <x:c r="B164" s="14" t="str">
        <x:v>Сад и огород</x:v>
      </x:c>
      <x:c r="C164" s="14" t="str">
        <x:v>Полив</x:v>
      </x:c>
      <x:c r="D164" s="14" t="str">
        <x:v>Лейка, опрыскиватель ручной садовый</x:v>
      </x:c>
      <x:c r="E164" s="2" t="n">
        <x:v>106</x:v>
      </x:c>
      <x:c r="F164" s="2" t="n">
        <x:v>2</x:v>
      </x:c>
      <x:c r="G164" s="12" t="n">
        <x:v>23867991.6025</x:v>
      </x:c>
      <x:c r="H164" s="12" t="n">
        <x:v>2271850.16274956</x:v>
      </x:c>
      <x:c r="I164" s="13" t="n">
        <x:v>0.0967613207547169</x:v>
      </x:c>
      <x:c r="J164" s="2" t="n">
        <x:v>19</x:v>
      </x:c>
      <x:c r="K164" s="2" t="n">
        <x:v>31</x:v>
      </x:c>
      <x:c r="L164" s="12" t="n">
        <x:v>2241.7738</x:v>
      </x:c>
      <x:c r="M164" s="13" t="n">
        <x:v>0.6351636384609793</x:v>
      </x:c>
      <x:c r="N164" s="13" t="n">
        <x:f>H164/G164</x:f>
        <x:v>0.09518396857955992</x:v>
      </x:c>
      <x:c r="O164" s="13" t="n">
        <x:f>F164/E164</x:f>
        <x:v>0.018867924528301886</x:v>
      </x:c>
      <x:c r="P164" s="2" t="str">
        <x:f>IF(AND(E164&gt;='Итоги'!$F$5,N164&lt;='Итоги'!$B$5,O164&gt;='Итоги'!$D$5),"Да","Нет")</x:f>
        <x:v>Нет</x:v>
      </x:c>
    </x:row>
    <x:row r="165" ht="60" customHeight="1">
      <x:c r="A165" s="14" t="str">
        <x:v>Мелкая бытовая техника</x:v>
      </x:c>
      <x:c r="B165" s="14" t="str">
        <x:v>Мелкая бытовая техника SDA</x:v>
      </x:c>
      <x:c r="C165" s="14" t="str">
        <x:v>Электронная техника для дома SDA</x:v>
      </x:c>
      <x:c r="D165" s="14" t="str">
        <x:v>Отпариватель</x:v>
      </x:c>
      <x:c r="E165" s="2" t="n">
        <x:v>479</x:v>
      </x:c>
      <x:c r="F165" s="2" t="n">
        <x:v>9</x:v>
      </x:c>
      <x:c r="G165" s="12" t="n">
        <x:v>120373525.0246</x:v>
      </x:c>
      <x:c r="H165" s="12" t="n">
        <x:v>11335810.33070866</x:v>
      </x:c>
      <x:c r="I165" s="13" t="n">
        <x:v>0.1035632567849686</x:v>
      </x:c>
      <x:c r="J165" s="2" t="n">
        <x:v>87</x:v>
      </x:c>
      <x:c r="K165" s="2" t="n">
        <x:v>127</x:v>
      </x:c>
      <x:c r="L165" s="12" t="n">
        <x:v>2462.945</x:v>
      </x:c>
      <x:c r="M165" s="13" t="n">
        <x:v>0.5468029468776349</x:v>
      </x:c>
      <x:c r="N165" s="13" t="n">
        <x:f>H165/G165</x:f>
        <x:v>0.0941719562369884</x:v>
      </x:c>
      <x:c r="O165" s="13" t="n">
        <x:f>F165/E165</x:f>
        <x:v>0.018789144050104383</x:v>
      </x:c>
      <x:c r="P165" s="2" t="str">
        <x:f>IF(AND(E165&gt;='Итоги'!$F$5,N165&lt;='Итоги'!$B$5,O165&gt;='Итоги'!$D$5),"Да","Нет")</x:f>
        <x:v>Нет</x:v>
      </x:c>
    </x:row>
    <x:row r="166" ht="60" customHeight="1">
      <x:c r="A166" s="14" t="str">
        <x:v>Крупная бытовая техника</x:v>
      </x:c>
      <x:c r="B166" s="14" t="str">
        <x:v>MDA Встраиваемая техника</x:v>
      </x:c>
      <x:c r="C166" s="14" t="str">
        <x:v>MDA Встраиваемая варочная панель</x:v>
      </x:c>
      <x:c r="D166" s="14" t="str">
        <x:v>Встраиваемая панель газовая</x:v>
      </x:c>
      <x:c r="E166" s="2" t="n">
        <x:v>272</x:v>
      </x:c>
      <x:c r="F166" s="2" t="n">
        <x:v>5</x:v>
      </x:c>
      <x:c r="G166" s="12" t="n">
        <x:v>61405475.0762</x:v>
      </x:c>
      <x:c r="H166" s="12" t="n">
        <x:v>3260357.8624625</x:v>
      </x:c>
      <x:c r="I166" s="13" t="n">
        <x:v>0.0510345588235294</x:v>
      </x:c>
      <x:c r="J166" s="2" t="n">
        <x:v>101</x:v>
      </x:c>
      <x:c r="K166" s="2" t="n">
        <x:v>10</x:v>
      </x:c>
      <x:c r="L166" s="12" t="n">
        <x:v>11534.07865</x:v>
      </x:c>
      <x:c r="M166" s="13" t="n">
        <x:v>0.8841589639153037</x:v>
      </x:c>
      <x:c r="N166" s="13" t="n">
        <x:f>H166/G166</x:f>
        <x:v>0.05309555635579105</x:v>
      </x:c>
      <x:c r="O166" s="13" t="n">
        <x:f>F166/E166</x:f>
        <x:v>0.01838235294117647</x:v>
      </x:c>
      <x:c r="P166" s="2" t="str">
        <x:f>IF(AND(E166&gt;='Итоги'!$F$5,N166&lt;='Итоги'!$B$5,O166&gt;='Итоги'!$D$5),"Да","Нет")</x:f>
        <x:v>Нет</x:v>
      </x:c>
    </x:row>
    <x:row r="167" ht="60" customHeight="1">
      <x:c r="A167" s="14" t="str">
        <x:v>Строительство и ремонт (DIY)</x:v>
      </x:c>
      <x:c r="B167" s="14" t="str">
        <x:v>Сад и огород</x:v>
      </x:c>
      <x:c r="C167" s="14" t="str">
        <x:v>Аксессуары для садовых растений</x:v>
      </x:c>
      <x:c r="D167" s="14" t="str">
        <x:v>Укрывной материал для садовых растений</x:v>
      </x:c>
      <x:c r="E167" s="2" t="n">
        <x:v>110</x:v>
      </x:c>
      <x:c r="F167" s="2" t="n">
        <x:v>2</x:v>
      </x:c>
      <x:c r="G167" s="12" t="n">
        <x:v>27148271.337</x:v>
      </x:c>
      <x:c r="H167" s="12" t="n">
        <x:v>1524956.89396617</x:v>
      </x:c>
      <x:c r="I167" s="13" t="n">
        <x:v>0.0695363636363636</x:v>
      </x:c>
      <x:c r="J167" s="2" t="n">
        <x:v>25</x:v>
      </x:c>
      <x:c r="K167" s="2" t="n">
        <x:v>20</x:v>
      </x:c>
      <x:c r="L167" s="12" t="n">
        <x:v>1571.5569</x:v>
      </x:c>
      <x:c r="M167" s="13" t="n">
        <x:v>0.5948458677805648</x:v>
      </x:c>
      <x:c r="N167" s="13" t="n">
        <x:f>H167/G167</x:f>
        <x:v>0.056171417879112895</x:v>
      </x:c>
      <x:c r="O167" s="13" t="n">
        <x:f>F167/E167</x:f>
        <x:v>0.01818181818181818</x:v>
      </x:c>
      <x:c r="P167" s="2" t="str">
        <x:f>IF(AND(E167&gt;='Итоги'!$F$5,N167&lt;='Итоги'!$B$5,O167&gt;='Итоги'!$D$5),"Да","Нет")</x:f>
        <x:v>Нет</x:v>
      </x:c>
    </x:row>
    <x:row r="168" ht="60" customHeight="1">
      <x:c r="A168" s="14" t="str">
        <x:v>Строительство и ремонт (DIY)</x:v>
      </x:c>
      <x:c r="B168" s="14" t="str">
        <x:v>Инструменты</x:v>
      </x:c>
      <x:c r="C168" s="14" t="str">
        <x:v>Инструмент ручной для строительства, ремонта</x:v>
      </x:c>
      <x:c r="D168" s="14" t="str">
        <x:v>Шарнирно-губцевый инструмент</x:v>
      </x:c>
      <x:c r="E168" s="2" t="n">
        <x:v>110</x:v>
      </x:c>
      <x:c r="F168" s="2" t="n">
        <x:v>2</x:v>
      </x:c>
      <x:c r="G168" s="12" t="n">
        <x:v>23482699.8026</x:v>
      </x:c>
      <x:c r="H168" s="12" t="n">
        <x:v>2149561.93068651</x:v>
      </x:c>
      <x:c r="I168" s="13" t="n">
        <x:v>0.09456</x:v>
      </x:c>
      <x:c r="J168" s="2" t="n">
        <x:v>18</x:v>
      </x:c>
      <x:c r="K168" s="2" t="n">
        <x:v>38</x:v>
      </x:c>
      <x:c r="L168" s="12" t="n">
        <x:v>1442.65235</x:v>
      </x:c>
      <x:c r="M168" s="13" t="n">
        <x:v>0.5104422264586821</x:v>
      </x:c>
      <x:c r="N168" s="13" t="n">
        <x:f>H168/G168</x:f>
        <x:v>0.09153810885273554</x:v>
      </x:c>
      <x:c r="O168" s="13" t="n">
        <x:f>F168/E168</x:f>
        <x:v>0.01818181818181818</x:v>
      </x:c>
      <x:c r="P168" s="2" t="str">
        <x:f>IF(AND(E168&gt;='Итоги'!$F$5,N168&lt;='Итоги'!$B$5,O168&gt;='Итоги'!$D$5),"Да","Нет")</x:f>
        <x:v>Нет</x:v>
      </x:c>
    </x:row>
    <x:row r="169" ht="60" customHeight="1">
      <x:c r="A169" s="14" t="str">
        <x:v>Ноутбуки и компьютеры</x:v>
      </x:c>
      <x:c r="B169" s="14" t="str">
        <x:v>Компьютерная офисная техника Lap&amp;Comp</x:v>
      </x:c>
      <x:c r="C169" s="14" t="str">
        <x:v>Кассовое и складское оборудование Lap&amp;Comp</x:v>
      </x:c>
      <x:c r="D169" s="14" t="str">
        <x:v>Детектор, счетчик банкнот</x:v>
      </x:c>
      <x:c r="E169" s="2" t="n">
        <x:v>55</x:v>
      </x:c>
      <x:c r="F169" s="2" t="n">
        <x:v>1</x:v>
      </x:c>
      <x:c r="G169" s="12" t="n">
        <x:v>11582359.2696</x:v>
      </x:c>
      <x:c r="H169" s="12" t="n">
        <x:v>1315894.64560168</x:v>
      </x:c>
      <x:c r="I169" s="13" t="n">
        <x:v>0.1196036363636363</x:v>
      </x:c>
      <x:c r="J169" s="2" t="n">
        <x:v>13</x:v>
      </x:c>
      <x:c r="K169" s="2" t="n">
        <x:v>9</x:v>
      </x:c>
      <x:c r="L169" s="12" t="n">
        <x:v>8278.3243</x:v>
      </x:c>
      <x:c r="M169" s="13" t="n">
        <x:v>0.6995348238303969</x:v>
      </x:c>
      <x:c r="N169" s="13" t="n">
        <x:f>H169/G169</x:f>
        <x:v>0.11361196928638571</x:v>
      </x:c>
      <x:c r="O169" s="13" t="n">
        <x:f>F169/E169</x:f>
        <x:v>0.01818181818181818</x:v>
      </x:c>
      <x:c r="P169" s="2" t="str">
        <x:f>IF(AND(E169&gt;='Итоги'!$F$5,N169&lt;='Итоги'!$B$5,O169&gt;='Итоги'!$D$5),"Да","Нет")</x:f>
        <x:v>Нет</x:v>
      </x:c>
    </x:row>
    <x:row r="170" ht="60" customHeight="1">
      <x:c r="A170" s="14" t="str">
        <x:v>Строительство и ремонт (DIY)</x:v>
      </x:c>
      <x:c r="B170" s="14" t="str">
        <x:v>Сантехника</x:v>
      </x:c>
      <x:c r="C170" s="14" t="str">
        <x:v>Раковина, мойка</x:v>
      </x:c>
      <x:c r="D170" s="14" t="str">
        <x:v>Раковина</x:v>
      </x:c>
      <x:c r="E170" s="2" t="n">
        <x:v>111</x:v>
      </x:c>
      <x:c r="F170" s="2" t="n">
        <x:v>2</x:v>
      </x:c>
      <x:c r="G170" s="12" t="n">
        <x:v>22849865.1464</x:v>
      </x:c>
      <x:c r="H170" s="12" t="n">
        <x:v>392471.91549395</x:v>
      </x:c>
      <x:c r="I170" s="13" t="n">
        <x:v>0.0194972972972972</x:v>
      </x:c>
      <x:c r="J170" s="2" t="n">
        <x:v>49</x:v>
      </x:c>
      <x:c r="K170" s="2" t="n">
        <x:v>15</x:v>
      </x:c>
      <x:c r="L170" s="12" t="n">
        <x:v>7171.6779</x:v>
      </x:c>
      <x:c r="M170" s="13" t="n">
        <x:v>0.5594360229086065</x:v>
      </x:c>
      <x:c r="N170" s="13" t="n">
        <x:f>H170/G170</x:f>
        <x:v>0.01717611517526982</x:v>
      </x:c>
      <x:c r="O170" s="13" t="n">
        <x:f>F170/E170</x:f>
        <x:v>0.018018018018018018</x:v>
      </x:c>
      <x:c r="P170" s="2" t="str">
        <x:f>IF(AND(E170&gt;='Итоги'!$F$5,N170&lt;='Итоги'!$B$5,O170&gt;='Итоги'!$D$5),"Да","Нет")</x:f>
        <x:v>Нет</x:v>
      </x:c>
    </x:row>
    <x:row r="171" ht="60" customHeight="1">
      <x:c r="A171" s="14" t="str">
        <x:v>Мелкая бытовая техника</x:v>
      </x:c>
      <x:c r="B171" s="14" t="str">
        <x:v>Мелкая бытовая техника SDA</x:v>
      </x:c>
      <x:c r="C171" s="14" t="str">
        <x:v>Электронные товары для красоты и здоровья SDA</x:v>
      </x:c>
      <x:c r="D171" s="14" t="str">
        <x:v>Триммер электрический</x:v>
      </x:c>
      <x:c r="E171" s="2" t="n">
        <x:v>222</x:v>
      </x:c>
      <x:c r="F171" s="2" t="n">
        <x:v>4</x:v>
      </x:c>
      <x:c r="G171" s="12" t="n">
        <x:v>51096154.7633</x:v>
      </x:c>
      <x:c r="H171" s="12" t="n">
        <x:v>5335721.35139993</x:v>
      </x:c>
      <x:c r="I171" s="13" t="n">
        <x:v>0.1081193693693693</x:v>
      </x:c>
      <x:c r="J171" s="2" t="n">
        <x:v>50</x:v>
      </x:c>
      <x:c r="K171" s="2" t="n">
        <x:v>87</x:v>
      </x:c>
      <x:c r="L171" s="12" t="n">
        <x:v>1756.3365</x:v>
      </x:c>
      <x:c r="M171" s="13" t="n">
        <x:v>0.4995288007666813</x:v>
      </x:c>
      <x:c r="N171" s="13" t="n">
        <x:f>H171/G171</x:f>
        <x:v>0.10442510549213248</x:v>
      </x:c>
      <x:c r="O171" s="13" t="n">
        <x:f>F171/E171</x:f>
        <x:v>0.018018018018018018</x:v>
      </x:c>
      <x:c r="P171" s="2" t="str">
        <x:f>IF(AND(E171&gt;='Итоги'!$F$5,N171&lt;='Итоги'!$B$5,O171&gt;='Итоги'!$D$5),"Да","Нет")</x:f>
        <x:v>Нет</x:v>
      </x:c>
    </x:row>
    <x:row r="172" ht="60" customHeight="1">
      <x:c r="A172" s="14" t="str">
        <x:v>Мелкая бытовая техника</x:v>
      </x:c>
      <x:c r="B172" s="14" t="str">
        <x:v>Мелкая бытовая техника SDA</x:v>
      </x:c>
      <x:c r="C172" s="14" t="str">
        <x:v>Электронная кухонная техника SDA</x:v>
      </x:c>
      <x:c r="D172" s="14" t="str">
        <x:v>Микроволновая/СВЧ-печь</x:v>
      </x:c>
      <x:c r="E172" s="2" t="n">
        <x:v>280</x:v>
      </x:c>
      <x:c r="F172" s="2" t="n">
        <x:v>5</x:v>
      </x:c>
      <x:c r="G172" s="12" t="n">
        <x:v>76150831.6037</x:v>
      </x:c>
      <x:c r="H172" s="12" t="n">
        <x:v>2345140.19121484</x:v>
      </x:c>
      <x:c r="I172" s="13" t="n">
        <x:v>0.0278596428571428</x:v>
      </x:c>
      <x:c r="J172" s="2" t="n">
        <x:v>151</x:v>
      </x:c>
      <x:c r="K172" s="2" t="n">
        <x:v>14</x:v>
      </x:c>
      <x:c r="L172" s="12" t="n">
        <x:v>7126.3195</x:v>
      </x:c>
      <x:c r="M172" s="13" t="n">
        <x:v>0.8262426309411821</x:v>
      </x:c>
      <x:c r="N172" s="13" t="n">
        <x:f>H172/G172</x:f>
        <x:v>0.03079598924696306</x:v>
      </x:c>
      <x:c r="O172" s="13" t="n">
        <x:f>F172/E172</x:f>
        <x:v>0.017857142857142856</x:v>
      </x:c>
      <x:c r="P172" s="2" t="str">
        <x:f>IF(AND(E172&gt;='Итоги'!$F$5,N172&lt;='Итоги'!$B$5,O172&gt;='Итоги'!$D$5),"Да","Нет")</x:f>
        <x:v>Нет</x:v>
      </x:c>
    </x:row>
    <x:row r="173" ht="60" customHeight="1">
      <x:c r="A173" s="14" t="str">
        <x:v>Строительство и ремонт (DIY)</x:v>
      </x:c>
      <x:c r="B173" s="14" t="str">
        <x:v>Сад и огород</x:v>
      </x:c>
      <x:c r="C173" s="14" t="str">
        <x:v>Биотуалет и аксессуар</x:v>
      </x:c>
      <x:c r="D173" s="14" t="str">
        <x:v>Расходные средства для биотуалета, септика</x:v>
      </x:c>
      <x:c r="E173" s="2" t="n">
        <x:v>57</x:v>
      </x:c>
      <x:c r="F173" s="2" t="n">
        <x:v>1</x:v>
      </x:c>
      <x:c r="G173" s="12" t="n">
        <x:v>16200032.9637</x:v>
      </x:c>
      <x:c r="H173" s="12" t="n">
        <x:v>978858.42515054</x:v>
      </x:c>
      <x:c r="I173" s="13" t="n">
        <x:v>0.0877754385964912</x:v>
      </x:c>
      <x:c r="J173" s="2" t="n">
        <x:v>18</x:v>
      </x:c>
      <x:c r="K173" s="2" t="n">
        <x:v>20</x:v>
      </x:c>
      <x:c r="L173" s="12" t="n">
        <x:v>1025.6756</x:v>
      </x:c>
      <x:c r="M173" s="13" t="n">
        <x:v>0.5729016918913888</x:v>
      </x:c>
      <x:c r="N173" s="13" t="n">
        <x:f>H173/G173</x:f>
        <x:v>0.06042323662821572</x:v>
      </x:c>
      <x:c r="O173" s="13" t="n">
        <x:f>F173/E173</x:f>
        <x:v>0.017543859649122806</x:v>
      </x:c>
      <x:c r="P173" s="2" t="str">
        <x:f>IF(AND(E173&gt;='Итоги'!$F$5,N173&lt;='Итоги'!$B$5,O173&gt;='Итоги'!$D$5),"Да","Нет")</x:f>
        <x:v>Нет</x:v>
      </x:c>
    </x:row>
    <x:row r="174" ht="60" customHeight="1">
      <x:c r="A174" s="14" t="str">
        <x:v>Личная гигиена и детская продукция</x:v>
      </x:c>
      <x:c r="B174" s="14" t="str">
        <x:v>Личная гигиена</x:v>
      </x:c>
      <x:c r="C174" s="14" t="str">
        <x:v>Бумажная продукция</x:v>
      </x:c>
      <x:c r="D174" s="14" t="str">
        <x:v>Туалетная бумага сухая</x:v>
      </x:c>
      <x:c r="E174" s="2" t="n">
        <x:v>58</x:v>
      </x:c>
      <x:c r="F174" s="2" t="n">
        <x:v>1</x:v>
      </x:c>
      <x:c r="G174" s="12" t="n">
        <x:v>13328812.7665</x:v>
      </x:c>
      <x:c r="H174" s="12" t="n">
        <x:v>401233.58617886</x:v>
      </x:c>
      <x:c r="I174" s="13" t="n">
        <x:v>0.0284810344827586</x:v>
      </x:c>
      <x:c r="J174" s="2" t="n">
        <x:v>28</x:v>
      </x:c>
      <x:c r="K174" s="2" t="n">
        <x:v>14</x:v>
      </x:c>
      <x:c r="L174" s="12" t="n">
        <x:v>1287.69515</x:v>
      </x:c>
      <x:c r="M174" s="13" t="n">
        <x:v>0.5764507727133134</x:v>
      </x:c>
      <x:c r="N174" s="13" t="n">
        <x:f>H174/G174</x:f>
        <x:v>0.030102725066954297</x:v>
      </x:c>
      <x:c r="O174" s="13" t="n">
        <x:f>F174/E174</x:f>
        <x:v>0.017241379310344827</x:v>
      </x:c>
      <x:c r="P174" s="2" t="str">
        <x:f>IF(AND(E174&gt;='Итоги'!$F$5,N174&lt;='Итоги'!$B$5,O174&gt;='Итоги'!$D$5),"Да","Нет")</x:f>
        <x:v>Нет</x:v>
      </x:c>
    </x:row>
    <x:row r="175" ht="60" customHeight="1">
      <x:c r="A175" s="14" t="str">
        <x:v>Строительство и ремонт (DIY)</x:v>
      </x:c>
      <x:c r="B175" s="14" t="str">
        <x:v>Ремонт и строительство</x:v>
      </x:c>
      <x:c r="C175" s="14" t="str">
        <x:v>Изоляционные материалы</x:v>
      </x:c>
      <x:c r="D175" s="14" t="str">
        <x:v>Геотекстиль</x:v>
      </x:c>
      <x:c r="E175" s="2" t="n">
        <x:v>59</x:v>
      </x:c>
      <x:c r="F175" s="2" t="n">
        <x:v>1</x:v>
      </x:c>
      <x:c r="G175" s="12" t="n">
        <x:v>17813942.8084</x:v>
      </x:c>
      <x:c r="H175" s="12" t="n">
        <x:v>1347842.62074073</x:v>
      </x:c>
      <x:c r="I175" s="13" t="n">
        <x:v>0.0626457627118644</x:v>
      </x:c>
      <x:c r="J175" s="2" t="n">
        <x:v>10</x:v>
      </x:c>
      <x:c r="K175" s="2" t="n">
        <x:v>9</x:v>
      </x:c>
      <x:c r="L175" s="12" t="n">
        <x:v>2787.6827</x:v>
      </x:c>
      <x:c r="M175" s="13" t="n">
        <x:v>0.7204150053321442</x:v>
      </x:c>
      <x:c r="N175" s="13" t="n">
        <x:f>H175/G175</x:f>
        <x:v>0.07566222903248389</x:v>
      </x:c>
      <x:c r="O175" s="13" t="n">
        <x:f>F175/E175</x:f>
        <x:v>0.01694915254237288</x:v>
      </x:c>
      <x:c r="P175" s="2" t="str">
        <x:f>IF(AND(E175&gt;='Итоги'!$F$5,N175&lt;='Итоги'!$B$5,O175&gt;='Итоги'!$D$5),"Да","Нет")</x:f>
        <x:v>Нет</x:v>
      </x:c>
    </x:row>
    <x:row r="176" ht="60" customHeight="1">
      <x:c r="A176" s="14" t="str">
        <x:v>Ноутбуки и компьютеры</x:v>
      </x:c>
      <x:c r="B176" s="14" t="str">
        <x:v>Компьютерная офисная техника Lap&amp;Comp</x:v>
      </x:c>
      <x:c r="C176" s="14" t="str">
        <x:v>Компьютерная офисная техника Lap&amp;Comp</x:v>
      </x:c>
      <x:c r="D176" s="14" t="str">
        <x:v>3D принтер (не ручка)</x:v>
      </x:c>
      <x:c r="E176" s="2" t="n">
        <x:v>61</x:v>
      </x:c>
      <x:c r="F176" s="2" t="n">
        <x:v>1</x:v>
      </x:c>
      <x:c r="G176" s="12" t="n">
        <x:v>17385840.5166</x:v>
      </x:c>
      <x:c r="H176" s="12" t="n">
        <x:v>138508.71415632</x:v>
      </x:c>
      <x:c r="I176" s="13" t="n">
        <x:v>0.0114344262295081</x:v>
      </x:c>
      <x:c r="J176" s="2" t="n">
        <x:v>39</x:v>
      </x:c>
      <x:c r="K176" s="2" t="n">
        <x:v>14</x:v>
      </x:c>
      <x:c r="L176" s="12" t="n">
        <x:v>27917.3333</x:v>
      </x:c>
      <x:c r="M176" s="13" t="n">
        <x:v>0.7494329287249248</x:v>
      </x:c>
      <x:c r="N176" s="13" t="n">
        <x:f>H176/G176</x:f>
        <x:v>0.007966753981440925</x:v>
      </x:c>
      <x:c r="O176" s="13" t="n">
        <x:f>F176/E176</x:f>
        <x:v>0.01639344262295082</x:v>
      </x:c>
      <x:c r="P176" s="2" t="str">
        <x:f>IF(AND(E176&gt;='Итоги'!$F$5,N176&lt;='Итоги'!$B$5,O176&gt;='Итоги'!$D$5),"Да","Нет")</x:f>
        <x:v>Нет</x:v>
      </x:c>
    </x:row>
    <x:row r="177" ht="60" customHeight="1">
      <x:c r="A177" s="14" t="str">
        <x:v>Строительство и ремонт (DIY)</x:v>
      </x:c>
      <x:c r="B177" s="14" t="str">
        <x:v>Инструменты</x:v>
      </x:c>
      <x:c r="C177" s="14" t="str">
        <x:v>Инструмент ручной для строительства, ремонта</x:v>
      </x:c>
      <x:c r="D177" s="14" t="str">
        <x:v>Отвертка, набор отверток</x:v>
      </x:c>
      <x:c r="E177" s="2" t="n">
        <x:v>61</x:v>
      </x:c>
      <x:c r="F177" s="2" t="n">
        <x:v>1</x:v>
      </x:c>
      <x:c r="G177" s="12" t="n">
        <x:v>12113431.0445</x:v>
      </x:c>
      <x:c r="H177" s="12" t="n">
        <x:v>929344.18034081</x:v>
      </x:c>
      <x:c r="I177" s="13" t="n">
        <x:v>0.0813065573770491</x:v>
      </x:c>
      <x:c r="J177" s="2" t="n">
        <x:v>22</x:v>
      </x:c>
      <x:c r="K177" s="2" t="n">
        <x:v>19</x:v>
      </x:c>
      <x:c r="L177" s="12" t="n">
        <x:v>1507.3708</x:v>
      </x:c>
      <x:c r="M177" s="13" t="n">
        <x:v>0.513267156940062</x:v>
      </x:c>
      <x:c r="N177" s="13" t="n">
        <x:f>H177/G177</x:f>
        <x:v>0.07672014451783013</x:v>
      </x:c>
      <x:c r="O177" s="13" t="n">
        <x:f>F177/E177</x:f>
        <x:v>0.01639344262295082</x:v>
      </x:c>
      <x:c r="P177" s="2" t="str">
        <x:f>IF(AND(E177&gt;='Итоги'!$F$5,N177&lt;='Итоги'!$B$5,O177&gt;='Итоги'!$D$5),"Да","Нет")</x:f>
        <x:v>Нет</x:v>
      </x:c>
    </x:row>
    <x:row r="178" ht="60" customHeight="1">
      <x:c r="A178" s="14" t="str">
        <x:v>Строительство и ремонт (DIY)</x:v>
      </x:c>
      <x:c r="B178" s="14" t="str">
        <x:v>Инструменты</x:v>
      </x:c>
      <x:c r="C178" s="14" t="str">
        <x:v>Электроинструмент для строительства, ремонта</x:v>
      </x:c>
      <x:c r="D178" s="14" t="str">
        <x:v>Гайковерт электрический</x:v>
      </x:c>
      <x:c r="E178" s="2" t="n">
        <x:v>188</x:v>
      </x:c>
      <x:c r="F178" s="2" t="n">
        <x:v>3</x:v>
      </x:c>
      <x:c r="G178" s="12" t="n">
        <x:v>52519751.2751</x:v>
      </x:c>
      <x:c r="H178" s="12" t="n">
        <x:v>3941174.32775574</x:v>
      </x:c>
      <x:c r="I178" s="13" t="n">
        <x:v>0.0877734042553191</x:v>
      </x:c>
      <x:c r="J178" s="2" t="n">
        <x:v>27</x:v>
      </x:c>
      <x:c r="K178" s="2" t="n">
        <x:v>45</x:v>
      </x:c>
      <x:c r="L178" s="12" t="n">
        <x:v>5315.7734</x:v>
      </x:c>
      <x:c r="M178" s="13" t="n">
        <x:v>0.667832607638967</x:v>
      </x:c>
      <x:c r="N178" s="13" t="n">
        <x:f>H178/G178</x:f>
        <x:v>0.07504175537907164</x:v>
      </x:c>
      <x:c r="O178" s="13" t="n">
        <x:f>F178/E178</x:f>
        <x:v>0.015957446808510637</x:v>
      </x:c>
      <x:c r="P178" s="2" t="str">
        <x:f>IF(AND(E178&gt;='Итоги'!$F$5,N178&lt;='Итоги'!$B$5,O178&gt;='Итоги'!$D$5),"Да","Нет")</x:f>
        <x:v>Нет</x:v>
      </x:c>
    </x:row>
    <x:row r="179" ht="60" customHeight="1">
      <x:c r="A179" s="14" t="str">
        <x:v>Строительство и ремонт (DIY)</x:v>
      </x:c>
      <x:c r="B179" s="14" t="str">
        <x:v>Ремонт и строительство</x:v>
      </x:c>
      <x:c r="C179" s="14" t="str">
        <x:v>Строительная химия</x:v>
      </x:c>
      <x:c r="D179" s="14" t="str">
        <x:v>Гидроизоляционные состав, смесь</x:v>
      </x:c>
      <x:c r="E179" s="2" t="n">
        <x:v>63</x:v>
      </x:c>
      <x:c r="F179" s="2" t="n">
        <x:v>1</x:v>
      </x:c>
      <x:c r="G179" s="12" t="n">
        <x:v>17939965.1803</x:v>
      </x:c>
      <x:c r="H179" s="12" t="n">
        <x:v>1015617.24320464</x:v>
      </x:c>
      <x:c r="I179" s="13" t="n">
        <x:v>0.0693523809523809</x:v>
      </x:c>
      <x:c r="J179" s="2" t="n">
        <x:v>16</x:v>
      </x:c>
      <x:c r="K179" s="2" t="n">
        <x:v>22</x:v>
      </x:c>
      <x:c r="L179" s="12" t="n">
        <x:v>1956.7799</x:v>
      </x:c>
      <x:c r="M179" s="13" t="n">
        <x:v>0.3290497340419746</x:v>
      </x:c>
      <x:c r="N179" s="13" t="n">
        <x:f>H179/G179</x:f>
        <x:v>0.056611996344334954</x:v>
      </x:c>
      <x:c r="O179" s="13" t="n">
        <x:f>F179/E179</x:f>
        <x:v>0.015873015873015872</x:v>
      </x:c>
      <x:c r="P179" s="2" t="str">
        <x:f>IF(AND(E179&gt;='Итоги'!$F$5,N179&lt;='Итоги'!$B$5,O179&gt;='Итоги'!$D$5),"Да","Нет")</x:f>
        <x:v>Нет</x:v>
      </x:c>
    </x:row>
    <x:row r="180" ht="60" customHeight="1">
      <x:c r="A180" s="14" t="str">
        <x:v>Мелкая бытовая техника</x:v>
      </x:c>
      <x:c r="B180" s="14" t="str">
        <x:v>SDA Климатическая техника</x:v>
      </x:c>
      <x:c r="C180" s="14" t="str">
        <x:v>Климатическая техника SDA</x:v>
      </x:c>
      <x:c r="D180" s="14" t="str">
        <x:v>Очиститель воздуха</x:v>
      </x:c>
      <x:c r="E180" s="2" t="n">
        <x:v>126</x:v>
      </x:c>
      <x:c r="F180" s="2" t="n">
        <x:v>2</x:v>
      </x:c>
      <x:c r="G180" s="12" t="n">
        <x:v>34223974.1094</x:v>
      </x:c>
      <x:c r="H180" s="12" t="n">
        <x:v>2749322.04414104</x:v>
      </x:c>
      <x:c r="I180" s="13" t="n">
        <x:v>0.0805484126984127</x:v>
      </x:c>
      <x:c r="J180" s="2" t="n">
        <x:v>42</x:v>
      </x:c>
      <x:c r="K180" s="2" t="n">
        <x:v>36</x:v>
      </x:c>
      <x:c r="L180" s="12" t="n">
        <x:v>12818.26425</x:v>
      </x:c>
      <x:c r="M180" s="13" t="n">
        <x:v>0.578815105632608</x:v>
      </x:c>
      <x:c r="N180" s="13" t="n">
        <x:f>H180/G180</x:f>
        <x:v>0.0803332200799529</x:v>
      </x:c>
      <x:c r="O180" s="13" t="n">
        <x:f>F180/E180</x:f>
        <x:v>0.015873015873015872</x:v>
      </x:c>
      <x:c r="P180" s="2" t="str">
        <x:f>IF(AND(E180&gt;='Итоги'!$F$5,N180&lt;='Итоги'!$B$5,O180&gt;='Итоги'!$D$5),"Да","Нет")</x:f>
        <x:v>Нет</x:v>
      </x:c>
    </x:row>
    <x:row r="181" ht="60" customHeight="1">
      <x:c r="A181" s="14" t="str">
        <x:v>Строительство и ремонт (DIY)</x:v>
      </x:c>
      <x:c r="B181" s="14" t="str">
        <x:v>Инструменты</x:v>
      </x:c>
      <x:c r="C181" s="14" t="str">
        <x:v>Техника для строительства, ремонта</x:v>
      </x:c>
      <x:c r="D181" s="14" t="str">
        <x:v>Сварочный инвертор</x:v>
      </x:c>
      <x:c r="E181" s="2" t="n">
        <x:v>320</x:v>
      </x:c>
      <x:c r="F181" s="2" t="n">
        <x:v>5</x:v>
      </x:c>
      <x:c r="G181" s="12" t="n">
        <x:v>89219806.8937</x:v>
      </x:c>
      <x:c r="H181" s="12" t="n">
        <x:v>5678948.8191113295</x:v>
      </x:c>
      <x:c r="I181" s="13" t="n">
        <x:v>0.0587384375</x:v>
      </x:c>
      <x:c r="J181" s="2" t="n">
        <x:v>81</x:v>
      </x:c>
      <x:c r="K181" s="2" t="n">
        <x:v>33</x:v>
      </x:c>
      <x:c r="L181" s="12" t="n">
        <x:v>7691.526449999999</x:v>
      </x:c>
      <x:c r="M181" s="13" t="n">
        <x:v>0.7758614916503246</x:v>
      </x:c>
      <x:c r="N181" s="13" t="n">
        <x:f>H181/G181</x:f>
        <x:v>0.06365121173012012</x:v>
      </x:c>
      <x:c r="O181" s="13" t="n">
        <x:f>F181/E181</x:f>
        <x:v>0.015625</x:v>
      </x:c>
      <x:c r="P181" s="2" t="str">
        <x:f>IF(AND(E181&gt;='Итоги'!$F$5,N181&lt;='Итоги'!$B$5,O181&gt;='Итоги'!$D$5),"Да","Нет")</x:f>
        <x:v>Нет</x:v>
      </x:c>
    </x:row>
    <x:row r="182" ht="60" customHeight="1">
      <x:c r="A182" s="14" t="str">
        <x:v>Строительство и ремонт (DIY)</x:v>
      </x:c>
      <x:c r="B182" s="14" t="str">
        <x:v>Инструменты</x:v>
      </x:c>
      <x:c r="C182" s="14" t="str">
        <x:v>Электроинструмент для строительства, ремонта</x:v>
      </x:c>
      <x:c r="D182" s="14" t="str">
        <x:v>Перфоратор</x:v>
      </x:c>
      <x:c r="E182" s="2" t="n">
        <x:v>128</x:v>
      </x:c>
      <x:c r="F182" s="2" t="n">
        <x:v>2</x:v>
      </x:c>
      <x:c r="G182" s="12" t="n">
        <x:v>29869584.1304</x:v>
      </x:c>
      <x:c r="H182" s="12" t="n">
        <x:v>2296929.24240098</x:v>
      </x:c>
      <x:c r="I182" s="13" t="n">
        <x:v>0.05945859375</x:v>
      </x:c>
      <x:c r="J182" s="2" t="n">
        <x:v>43</x:v>
      </x:c>
      <x:c r="K182" s="2" t="n">
        <x:v>36</x:v>
      </x:c>
      <x:c r="L182" s="12" t="n">
        <x:v>4817.3328</x:v>
      </x:c>
      <x:c r="M182" s="13" t="n">
        <x:v>0.6049239440970426</x:v>
      </x:c>
      <x:c r="N182" s="13" t="n">
        <x:f>H182/G182</x:f>
        <x:v>0.07689860134554946</x:v>
      </x:c>
      <x:c r="O182" s="13" t="n">
        <x:f>F182/E182</x:f>
        <x:v>0.015625</x:v>
      </x:c>
      <x:c r="P182" s="2" t="str">
        <x:f>IF(AND(E182&gt;='Итоги'!$F$5,N182&lt;='Итоги'!$B$5,O182&gt;='Итоги'!$D$5),"Да","Нет")</x:f>
        <x:v>Нет</x:v>
      </x:c>
    </x:row>
    <x:row r="183" ht="60" customHeight="1">
      <x:c r="A183" s="14" t="str">
        <x:v>Ноутбуки и компьютеры</x:v>
      </x:c>
      <x:c r="B183" s="14" t="str">
        <x:v>Фото и видео Lap&amp;Comp</x:v>
      </x:c>
      <x:c r="C183" s="14" t="str">
        <x:v>Аксессуар к фото и видео Lap&amp;Comp</x:v>
      </x:c>
      <x:c r="D183" s="14" t="str">
        <x:v>Компактный фотопринтер</x:v>
      </x:c>
      <x:c r="E183" s="2" t="n">
        <x:v>64</x:v>
      </x:c>
      <x:c r="F183" s="2" t="n">
        <x:v>1</x:v>
      </x:c>
      <x:c r="G183" s="12" t="n">
        <x:v>12720630.1</x:v>
      </x:c>
      <x:c r="H183" s="12" t="n">
        <x:v>1790309.02312</x:v>
      </x:c>
      <x:c r="I183" s="13" t="n">
        <x:v>0.1611375</x:v>
      </x:c>
      <x:c r="J183" s="2" t="n">
        <x:v>7</x:v>
      </x:c>
      <x:c r="K183" s="2" t="n">
        <x:v>36</x:v>
      </x:c>
      <x:c r="L183" s="12" t="n">
        <x:v>1370.10815</x:v>
      </x:c>
      <x:c r="M183" s="13" t="n">
        <x:v>0.41047058352872</x:v>
      </x:c>
      <x:c r="N183" s="13" t="n">
        <x:f>H183/G183</x:f>
        <x:v>0.1407405929616647</x:v>
      </x:c>
      <x:c r="O183" s="13" t="n">
        <x:f>F183/E183</x:f>
        <x:v>0.015625</x:v>
      </x:c>
      <x:c r="P183" s="2" t="str">
        <x:f>IF(AND(E183&gt;='Итоги'!$F$5,N183&lt;='Итоги'!$B$5,O183&gt;='Итоги'!$D$5),"Да","Нет")</x:f>
        <x:v>Нет</x:v>
      </x:c>
    </x:row>
    <x:row r="184" ht="60" customHeight="1">
      <x:c r="A184" s="14" t="str">
        <x:v>Мелкая бытовая техника</x:v>
      </x:c>
      <x:c r="B184" s="14" t="str">
        <x:v>SDA Климатическая техника</x:v>
      </x:c>
      <x:c r="C184" s="14" t="str">
        <x:v>Климатическая техника SDA</x:v>
      </x:c>
      <x:c r="D184" s="14" t="str">
        <x:v>Кондиционер мобильный</x:v>
      </x:c>
      <x:c r="E184" s="2" t="n">
        <x:v>65</x:v>
      </x:c>
      <x:c r="F184" s="2" t="n">
        <x:v>1</x:v>
      </x:c>
      <x:c r="G184" s="12" t="n">
        <x:v>18767061.8911</x:v>
      </x:c>
      <x:c r="H184" s="12" t="n">
        <x:v>688562.15409598</x:v>
      </x:c>
      <x:c r="I184" s="13" t="n">
        <x:v>0.0392138461538461</x:v>
      </x:c>
      <x:c r="J184" s="2" t="n">
        <x:v>45</x:v>
      </x:c>
      <x:c r="K184" s="2" t="n">
        <x:v>19</x:v>
      </x:c>
      <x:c r="L184" s="12" t="n">
        <x:v>22224.72</x:v>
      </x:c>
      <x:c r="M184" s="13" t="n">
        <x:v>0.6357640454981555</x:v>
      </x:c>
      <x:c r="N184" s="13" t="n">
        <x:f>H184/G184</x:f>
        <x:v>0.03668992824191198</x:v>
      </x:c>
      <x:c r="O184" s="13" t="n">
        <x:f>F184/E184</x:f>
        <x:v>0.015384615384615385</x:v>
      </x:c>
      <x:c r="P184" s="2" t="str">
        <x:f>IF(AND(E184&gt;='Итоги'!$F$5,N184&lt;='Итоги'!$B$5,O184&gt;='Итоги'!$D$5),"Да","Нет")</x:f>
        <x:v>Нет</x:v>
      </x:c>
    </x:row>
    <x:row r="185" ht="60" customHeight="1">
      <x:c r="A185" s="14" t="str">
        <x:v>Крупная бытовая техника</x:v>
      </x:c>
      <x:c r="B185" s="14" t="str">
        <x:v>MDA Встраиваемая техника</x:v>
      </x:c>
      <x:c r="C185" s="14" t="str">
        <x:v>MDA Встраиваемая техника прочее</x:v>
      </x:c>
      <x:c r="D185" s="14" t="str">
        <x:v>Встраиваемый измельчитель пищевых отходов</x:v>
      </x:c>
      <x:c r="E185" s="2" t="n">
        <x:v>65</x:v>
      </x:c>
      <x:c r="F185" s="2" t="n">
        <x:v>1</x:v>
      </x:c>
      <x:c r="G185" s="12" t="n">
        <x:v>15718270.112</x:v>
      </x:c>
      <x:c r="H185" s="12" t="n">
        <x:v>880333.82809396</x:v>
      </x:c>
      <x:c r="I185" s="13" t="n">
        <x:v>0.0462323076923076</x:v>
      </x:c>
      <x:c r="J185" s="2" t="n">
        <x:v>26</x:v>
      </x:c>
      <x:c r="K185" s="2" t="n">
        <x:v>11</x:v>
      </x:c>
      <x:c r="L185" s="12" t="n">
        <x:v>16899</x:v>
      </x:c>
      <x:c r="M185" s="13" t="n">
        <x:v>0.6075603785883077</x:v>
      </x:c>
      <x:c r="N185" s="13" t="n">
        <x:f>H185/G185</x:f>
        <x:v>0.05600704287565814</x:v>
      </x:c>
      <x:c r="O185" s="13" t="n">
        <x:f>F185/E185</x:f>
        <x:v>0.015384615384615385</x:v>
      </x:c>
      <x:c r="P185" s="2" t="str">
        <x:f>IF(AND(E185&gt;='Итоги'!$F$5,N185&lt;='Итоги'!$B$5,O185&gt;='Итоги'!$D$5),"Да","Нет")</x:f>
        <x:v>Нет</x:v>
      </x:c>
    </x:row>
    <x:row r="186" ht="60" customHeight="1">
      <x:c r="A186" s="14" t="str">
        <x:v>Аудио и видеотехника</x:v>
      </x:c>
      <x:c r="B186" s="14" t="str">
        <x:v>Домашняя Аудио и Видеотехника TV&amp;Audio</x:v>
      </x:c>
      <x:c r="C186" s="14" t="str">
        <x:v>Музыкальные инструменты TV&amp;Audio</x:v>
      </x:c>
      <x:c r="D186" s="14" t="str">
        <x:v>Синтезатор</x:v>
      </x:c>
      <x:c r="E186" s="2" t="n">
        <x:v>66</x:v>
      </x:c>
      <x:c r="F186" s="2" t="n">
        <x:v>1</x:v>
      </x:c>
      <x:c r="G186" s="12" t="n">
        <x:v>19597144.0364</x:v>
      </x:c>
      <x:c r="H186" s="12" t="n">
        <x:v>1931563.27998711</x:v>
      </x:c>
      <x:c r="I186" s="13" t="n">
        <x:v>0.0769924242424242</x:v>
      </x:c>
      <x:c r="J186" s="2" t="n">
        <x:v>12</x:v>
      </x:c>
      <x:c r="K186" s="2" t="n">
        <x:v>9</x:v>
      </x:c>
      <x:c r="L186" s="12" t="n">
        <x:v>15467.37415</x:v>
      </x:c>
      <x:c r="M186" s="13" t="n">
        <x:v>0.8710006855843674</x:v>
      </x:c>
      <x:c r="N186" s="13" t="n">
        <x:f>H186/G186</x:f>
        <x:v>0.0985635088663633</x:v>
      </x:c>
      <x:c r="O186" s="13" t="n">
        <x:f>F186/E186</x:f>
        <x:v>0.015151515151515152</x:v>
      </x:c>
      <x:c r="P186" s="2" t="str">
        <x:f>IF(AND(E186&gt;='Итоги'!$F$5,N186&lt;='Итоги'!$B$5,O186&gt;='Итоги'!$D$5),"Да","Нет")</x:f>
        <x:v>Нет</x:v>
      </x:c>
    </x:row>
    <x:row r="187" ht="60" customHeight="1">
      <x:c r="A187" s="14" t="str">
        <x:v>Мелкая бытовая техника</x:v>
      </x:c>
      <x:c r="B187" s="14" t="str">
        <x:v>Мелкая бытовая техника SDA</x:v>
      </x:c>
      <x:c r="C187" s="14" t="str">
        <x:v>Электронная техника для дома SDA</x:v>
      </x:c>
      <x:c r="D187" s="14" t="str">
        <x:v>Утюг</x:v>
      </x:c>
      <x:c r="E187" s="2" t="n">
        <x:v>268</x:v>
      </x:c>
      <x:c r="F187" s="2" t="n">
        <x:v>4</x:v>
      </x:c>
      <x:c r="G187" s="12" t="n">
        <x:v>72562806.4555</x:v>
      </x:c>
      <x:c r="H187" s="12" t="n">
        <x:v>4418619.23230486</x:v>
      </x:c>
      <x:c r="I187" s="13" t="n">
        <x:v>0.0678097014925373</x:v>
      </x:c>
      <x:c r="J187" s="2" t="n">
        <x:v>78</x:v>
      </x:c>
      <x:c r="K187" s="2" t="n">
        <x:v>42</x:v>
      </x:c>
      <x:c r="L187" s="12" t="n">
        <x:v>2477.9694</x:v>
      </x:c>
      <x:c r="M187" s="13" t="n">
        <x:v>0.6865721674871059</x:v>
      </x:c>
      <x:c r="N187" s="13" t="n">
        <x:f>H187/G187</x:f>
        <x:v>0.060893720187278455</x:v>
      </x:c>
      <x:c r="O187" s="13" t="n">
        <x:f>F187/E187</x:f>
        <x:v>0.014925373134328358</x:v>
      </x:c>
      <x:c r="P187" s="2" t="str">
        <x:f>IF(AND(E187&gt;='Итоги'!$F$5,N187&lt;='Итоги'!$B$5,O187&gt;='Итоги'!$D$5),"Да","Нет")</x:f>
        <x:v>Нет</x:v>
      </x:c>
    </x:row>
    <x:row r="188" ht="60" customHeight="1">
      <x:c r="A188" s="14" t="str">
        <x:v>Мелкая бытовая техника</x:v>
      </x:c>
      <x:c r="B188" s="14" t="str">
        <x:v>Мелкая бытовая техника SDA</x:v>
      </x:c>
      <x:c r="C188" s="14" t="str">
        <x:v>Электронная техника для дома SDA</x:v>
      </x:c>
      <x:c r="D188" s="14" t="str">
        <x:v>Пылесос ручной</x:v>
      </x:c>
      <x:c r="E188" s="2" t="n">
        <x:v>67</x:v>
      </x:c>
      <x:c r="F188" s="2" t="n">
        <x:v>1</x:v>
      </x:c>
      <x:c r="G188" s="12" t="n">
        <x:v>16154500.4093</x:v>
      </x:c>
      <x:c r="H188" s="12" t="n">
        <x:v>1305687.37202028</x:v>
      </x:c>
      <x:c r="I188" s="13" t="n">
        <x:v>0.0958</x:v>
      </x:c>
      <x:c r="J188" s="2" t="n">
        <x:v>17</x:v>
      </x:c>
      <x:c r="K188" s="2" t="n">
        <x:v>27</x:v>
      </x:c>
      <x:c r="L188" s="12" t="n">
        <x:v>3975.8821</x:v>
      </x:c>
      <x:c r="M188" s="13" t="n">
        <x:v>0.3729892278891646</x:v>
      </x:c>
      <x:c r="N188" s="13" t="n">
        <x:f>H188/G188</x:f>
        <x:v>0.0808249923512712</x:v>
      </x:c>
      <x:c r="O188" s="13" t="n">
        <x:f>F188/E188</x:f>
        <x:v>0.014925373134328358</x:v>
      </x:c>
      <x:c r="P188" s="2" t="str">
        <x:f>IF(AND(E188&gt;='Итоги'!$F$5,N188&lt;='Итоги'!$B$5,O188&gt;='Итоги'!$D$5),"Да","Нет")</x:f>
        <x:v>Нет</x:v>
      </x:c>
    </x:row>
    <x:row r="189" ht="60" customHeight="1">
      <x:c r="A189" s="14" t="str">
        <x:v>Строительство и ремонт (DIY)</x:v>
      </x:c>
      <x:c r="B189" s="14" t="str">
        <x:v>Сад и огород</x:v>
      </x:c>
      <x:c r="C189" s="14" t="str">
        <x:v>Садовый инструмент</x:v>
      </x:c>
      <x:c r="D189" s="14" t="str">
        <x:v>Газонокосилка, триммер бензиновые</x:v>
      </x:c>
      <x:c r="E189" s="2" t="n">
        <x:v>202</x:v>
      </x:c>
      <x:c r="F189" s="2" t="n">
        <x:v>3</x:v>
      </x:c>
      <x:c r="G189" s="12" t="n">
        <x:v>51797202.3646</x:v>
      </x:c>
      <x:c r="H189" s="12" t="n">
        <x:v>2605884.95807234</x:v>
      </x:c>
      <x:c r="I189" s="13" t="n">
        <x:v>0.0444064356435643</x:v>
      </x:c>
      <x:c r="J189" s="2" t="n">
        <x:v>101</x:v>
      </x:c>
      <x:c r="K189" s="2" t="n">
        <x:v>24</x:v>
      </x:c>
      <x:c r="L189" s="12" t="n">
        <x:v>12726.58395</x:v>
      </x:c>
      <x:c r="M189" s="13" t="n">
        <x:v>0.7043274983695489</x:v>
      </x:c>
      <x:c r="N189" s="13" t="n">
        <x:f>H189/G189</x:f>
        <x:v>0.05030937655145043</x:v>
      </x:c>
      <x:c r="O189" s="13" t="n">
        <x:f>F189/E189</x:f>
        <x:v>0.01485148514851485</x:v>
      </x:c>
      <x:c r="P189" s="2" t="str">
        <x:f>IF(AND(E189&gt;='Итоги'!$F$5,N189&lt;='Итоги'!$B$5,O189&gt;='Итоги'!$D$5),"Да","Нет")</x:f>
        <x:v>Нет</x:v>
      </x:c>
    </x:row>
    <x:row r="190" ht="60" customHeight="1">
      <x:c r="A190" s="14" t="str">
        <x:v>Мелкая бытовая техника</x:v>
      </x:c>
      <x:c r="B190" s="14" t="str">
        <x:v>Мелкая бытовая техника SDA</x:v>
      </x:c>
      <x:c r="C190" s="14" t="str">
        <x:v>Электронная кухонная техника SDA</x:v>
      </x:c>
      <x:c r="D190" s="14" t="str">
        <x:v>Хлебопечка</x:v>
      </x:c>
      <x:c r="E190" s="2" t="n">
        <x:v>68</x:v>
      </x:c>
      <x:c r="F190" s="2" t="n">
        <x:v>1</x:v>
      </x:c>
      <x:c r="G190" s="12" t="n">
        <x:v>19255019.5986</x:v>
      </x:c>
      <x:c r="H190" s="12" t="n">
        <x:v>1037257.83940281</x:v>
      </x:c>
      <x:c r="I190" s="13" t="n">
        <x:v>0.0564823529411764</x:v>
      </x:c>
      <x:c r="J190" s="2" t="n">
        <x:v>23</x:v>
      </x:c>
      <x:c r="K190" s="2" t="n">
        <x:v>11</x:v>
      </x:c>
      <x:c r="L190" s="12" t="n">
        <x:v>9612.00045</x:v>
      </x:c>
      <x:c r="M190" s="13" t="n">
        <x:v>0.8231961426906298</x:v>
      </x:c>
      <x:c r="N190" s="13" t="n">
        <x:f>H190/G190</x:f>
        <x:v>0.0538694772078148</x:v>
      </x:c>
      <x:c r="O190" s="13" t="n">
        <x:f>F190/E190</x:f>
        <x:v>0.014705882352941176</x:v>
      </x:c>
      <x:c r="P190" s="2" t="str">
        <x:f>IF(AND(E190&gt;='Итоги'!$F$5,N190&lt;='Итоги'!$B$5,O190&gt;='Итоги'!$D$5),"Да","Нет")</x:f>
        <x:v>Нет</x:v>
      </x:c>
    </x:row>
    <x:row r="191" ht="60" customHeight="1">
      <x:c r="A191" s="14" t="str">
        <x:v>Аудио и видеотехника</x:v>
      </x:c>
      <x:c r="B191" s="14" t="str">
        <x:v>Домашняя Аудио и Видеотехника TV&amp;Audio</x:v>
      </x:c>
      <x:c r="C191" s="14" t="str">
        <x:v>Аудиотехника TV&amp;Audio</x:v>
      </x:c>
      <x:c r="D191" s="14" t="str">
        <x:v>Караоке-система</x:v>
      </x:c>
      <x:c r="E191" s="2" t="n">
        <x:v>68</x:v>
      </x:c>
      <x:c r="F191" s="2" t="n">
        <x:v>1</x:v>
      </x:c>
      <x:c r="G191" s="12" t="n">
        <x:v>18900922.1176</x:v>
      </x:c>
      <x:c r="H191" s="12" t="n">
        <x:v>1720458.62260475</x:v>
      </x:c>
      <x:c r="I191" s="13" t="n">
        <x:v>0.0826279411764705</x:v>
      </x:c>
      <x:c r="J191" s="2" t="n">
        <x:v>5</x:v>
      </x:c>
      <x:c r="K191" s="2" t="n">
        <x:v>16</x:v>
      </x:c>
      <x:c r="L191" s="12" t="n">
        <x:v>5801.62605</x:v>
      </x:c>
      <x:c r="M191" s="13" t="n">
        <x:v>0.6652949571804652</x:v>
      </x:c>
      <x:c r="N191" s="13" t="n">
        <x:f>H191/G191</x:f>
        <x:v>0.09102511570071536</x:v>
      </x:c>
      <x:c r="O191" s="13" t="n">
        <x:f>F191/E191</x:f>
        <x:v>0.014705882352941176</x:v>
      </x:c>
      <x:c r="P191" s="2" t="str">
        <x:f>IF(AND(E191&gt;='Итоги'!$F$5,N191&lt;='Итоги'!$B$5,O191&gt;='Итоги'!$D$5),"Да","Нет")</x:f>
        <x:v>Нет</x:v>
      </x:c>
    </x:row>
    <x:row r="192" ht="60" customHeight="1">
      <x:c r="A192" s="14" t="str">
        <x:v>Строительство и ремонт (DIY)</x:v>
      </x:c>
      <x:c r="B192" s="14" t="str">
        <x:v>Сад и огород</x:v>
      </x:c>
      <x:c r="C192" s="14" t="str">
        <x:v>Загородный отдых</x:v>
      </x:c>
      <x:c r="D192" s="14" t="str">
        <x:v>Мангал, барбекю</x:v>
      </x:c>
      <x:c r="E192" s="2" t="n">
        <x:v>144</x:v>
      </x:c>
      <x:c r="F192" s="2" t="n">
        <x:v>2</x:v>
      </x:c>
      <x:c r="G192" s="12" t="n">
        <x:v>40133742.2546</x:v>
      </x:c>
      <x:c r="H192" s="12" t="n">
        <x:v>3050284.20252326</x:v>
      </x:c>
      <x:c r="I192" s="13" t="n">
        <x:v>0.07770625</x:v>
      </x:c>
      <x:c r="J192" s="2" t="n">
        <x:v>33</x:v>
      </x:c>
      <x:c r="K192" s="2" t="n">
        <x:v>39</x:v>
      </x:c>
      <x:c r="L192" s="12" t="n">
        <x:v>4460.78825</x:v>
      </x:c>
      <x:c r="M192" s="13" t="n">
        <x:v>0.6236962052555912</x:v>
      </x:c>
      <x:c r="N192" s="13" t="n">
        <x:f>H192/G192</x:f>
        <x:v>0.07600298479949613</x:v>
      </x:c>
      <x:c r="O192" s="13" t="n">
        <x:f>F192/E192</x:f>
        <x:v>0.013888888888888888</x:v>
      </x:c>
      <x:c r="P192" s="2" t="str">
        <x:f>IF(AND(E192&gt;='Итоги'!$F$5,N192&lt;='Итоги'!$B$5,O192&gt;='Итоги'!$D$5),"Да","Нет")</x:f>
        <x:v>Нет</x:v>
      </x:c>
    </x:row>
    <x:row r="193" ht="60" customHeight="1">
      <x:c r="A193" s="14" t="str">
        <x:v>Мелкая бытовая техника</x:v>
      </x:c>
      <x:c r="B193" s="14" t="str">
        <x:v>SDA Климатическая техника</x:v>
      </x:c>
      <x:c r="C193" s="14" t="str">
        <x:v>Климатическая техника SDA</x:v>
      </x:c>
      <x:c r="D193" s="14" t="str">
        <x:v>Охладитель воздуха</x:v>
      </x:c>
      <x:c r="E193" s="2" t="n">
        <x:v>218</x:v>
      </x:c>
      <x:c r="F193" s="2" t="n">
        <x:v>3</x:v>
      </x:c>
      <x:c r="G193" s="12" t="n">
        <x:v>67685953.9085</x:v>
      </x:c>
      <x:c r="H193" s="12" t="n">
        <x:v>9635798.8189688</x:v>
      </x:c>
      <x:c r="I193" s="13" t="n">
        <x:v>0.1418266055045871</x:v>
      </x:c>
      <x:c r="J193" s="2" t="n">
        <x:v>29</x:v>
      </x:c>
      <x:c r="K193" s="2" t="n">
        <x:v>110</x:v>
      </x:c>
      <x:c r="L193" s="12" t="n">
        <x:v>1292.6677</x:v>
      </x:c>
      <x:c r="M193" s="13" t="n">
        <x:v>0.3922124482767494</x:v>
      </x:c>
      <x:c r="N193" s="13" t="n">
        <x:f>H193/G193</x:f>
        <x:v>0.14236039034028797</x:v>
      </x:c>
      <x:c r="O193" s="13" t="n">
        <x:f>F193/E193</x:f>
        <x:v>0.013761467889908258</x:v>
      </x:c>
      <x:c r="P193" s="2" t="str">
        <x:f>IF(AND(E193&gt;='Итоги'!$F$5,N193&lt;='Итоги'!$B$5,O193&gt;='Итоги'!$D$5),"Да","Нет")</x:f>
        <x:v>Нет</x:v>
      </x:c>
    </x:row>
    <x:row r="194" ht="60" customHeight="1">
      <x:c r="A194" s="14" t="str">
        <x:v>Строительство и ремонт (DIY)</x:v>
      </x:c>
      <x:c r="B194" s="14" t="str">
        <x:v>Сад и огород</x:v>
      </x:c>
      <x:c r="C194" s="14" t="str">
        <x:v>Ландшафт и садовый декор</x:v>
      </x:c>
      <x:c r="D194" s="14" t="str">
        <x:v>Бордюр, ограждение садовые</x:v>
      </x:c>
      <x:c r="E194" s="2" t="n">
        <x:v>73</x:v>
      </x:c>
      <x:c r="F194" s="2" t="n">
        <x:v>1</x:v>
      </x:c>
      <x:c r="G194" s="12" t="n">
        <x:v>17379114.4221</x:v>
      </x:c>
      <x:c r="H194" s="12" t="n">
        <x:v>669114.69134526</x:v>
      </x:c>
      <x:c r="I194" s="13" t="n">
        <x:v>0.0561561643835616</x:v>
      </x:c>
      <x:c r="J194" s="2" t="n">
        <x:v>20</x:v>
      </x:c>
      <x:c r="K194" s="2" t="n">
        <x:v>18</x:v>
      </x:c>
      <x:c r="L194" s="12" t="n">
        <x:v>1443.4673</x:v>
      </x:c>
      <x:c r="M194" s="13" t="n">
        <x:v>0.3565650105634791</x:v>
      </x:c>
      <x:c r="N194" s="13" t="n">
        <x:f>H194/G194</x:f>
        <x:v>0.038501080958094513</x:v>
      </x:c>
      <x:c r="O194" s="13" t="n">
        <x:f>F194/E194</x:f>
        <x:v>0.0136986301369863</x:v>
      </x:c>
      <x:c r="P194" s="2" t="str">
        <x:f>IF(AND(E194&gt;='Итоги'!$F$5,N194&lt;='Итоги'!$B$5,O194&gt;='Итоги'!$D$5),"Да","Нет")</x:f>
        <x:v>Нет</x:v>
      </x:c>
    </x:row>
    <x:row r="195" ht="60" customHeight="1">
      <x:c r="A195" s="14" t="str">
        <x:v>Аудио и видеотехника</x:v>
      </x:c>
      <x:c r="B195" s="14" t="str">
        <x:v>Система безопасности TV&amp;Audio</x:v>
      </x:c>
      <x:c r="C195" s="14" t="str">
        <x:v>Умный дом TV&amp;Audio</x:v>
      </x:c>
      <x:c r="D195" s="14" t="str">
        <x:v>Модуль управления Умный дом</x:v>
      </x:c>
      <x:c r="E195" s="2" t="n">
        <x:v>73</x:v>
      </x:c>
      <x:c r="F195" s="2" t="n">
        <x:v>1</x:v>
      </x:c>
      <x:c r="G195" s="12" t="n">
        <x:v>12397715.4789</x:v>
      </x:c>
      <x:c r="H195" s="12" t="n">
        <x:v>585268.48163397</x:v>
      </x:c>
      <x:c r="I195" s="13" t="n">
        <x:v>0.0553657534246575</x:v>
      </x:c>
      <x:c r="J195" s="2" t="n">
        <x:v>24</x:v>
      </x:c>
      <x:c r="K195" s="2" t="n">
        <x:v>21</x:v>
      </x:c>
      <x:c r="L195" s="12" t="n">
        <x:v>2005.2114</x:v>
      </x:c>
      <x:c r="M195" s="13" t="n">
        <x:v>0.6953839887818527</x:v>
      </x:c>
      <x:c r="N195" s="13" t="n">
        <x:f>H195/G195</x:f>
        <x:v>0.047207768449764306</x:v>
      </x:c>
      <x:c r="O195" s="13" t="n">
        <x:f>F195/E195</x:f>
        <x:v>0.0136986301369863</x:v>
      </x:c>
      <x:c r="P195" s="2" t="str">
        <x:f>IF(AND(E195&gt;='Итоги'!$F$5,N195&lt;='Итоги'!$B$5,O195&gt;='Итоги'!$D$5),"Да","Нет")</x:f>
        <x:v>Нет</x:v>
      </x:c>
    </x:row>
    <x:row r="196" ht="60" customHeight="1">
      <x:c r="A196" s="14" t="str">
        <x:v>Строительство и ремонт (DIY)</x:v>
      </x:c>
      <x:c r="B196" s="14" t="str">
        <x:v>Освещение</x:v>
      </x:c>
      <x:c r="C196" s="14" t="str">
        <x:v>Светильник уличный, садовый</x:v>
      </x:c>
      <x:c r="D196" s="14" t="str">
        <x:v>Светильник садово-парковый</x:v>
      </x:c>
      <x:c r="E196" s="2" t="n">
        <x:v>73</x:v>
      </x:c>
      <x:c r="F196" s="2" t="n">
        <x:v>1</x:v>
      </x:c>
      <x:c r="G196" s="12" t="n">
        <x:v>11383206.2154</x:v>
      </x:c>
      <x:c r="H196" s="12" t="n">
        <x:v>1460827.55706154</x:v>
      </x:c>
      <x:c r="I196" s="13" t="n">
        <x:v>0.1277945205479452</x:v>
      </x:c>
      <x:c r="J196" s="2" t="n">
        <x:v>10</x:v>
      </x:c>
      <x:c r="K196" s="2" t="n">
        <x:v>27</x:v>
      </x:c>
      <x:c r="L196" s="12" t="n">
        <x:v>1184.1405</x:v>
      </x:c>
      <x:c r="M196" s="13" t="n">
        <x:v>0.4175177924625687</x:v>
      </x:c>
      <x:c r="N196" s="13" t="n">
        <x:f>H196/G196</x:f>
        <x:v>0.12833181877046468</x:v>
      </x:c>
      <x:c r="O196" s="13" t="n">
        <x:f>F196/E196</x:f>
        <x:v>0.0136986301369863</x:v>
      </x:c>
      <x:c r="P196" s="2" t="str">
        <x:f>IF(AND(E196&gt;='Итоги'!$F$5,N196&lt;='Итоги'!$B$5,O196&gt;='Итоги'!$D$5),"Да","Нет")</x:f>
        <x:v>Нет</x:v>
      </x:c>
    </x:row>
    <x:row r="197" ht="60" customHeight="1">
      <x:c r="A197" s="14" t="str">
        <x:v>Строительство и ремонт (DIY)</x:v>
      </x:c>
      <x:c r="B197" s="14" t="str">
        <x:v>Инструменты</x:v>
      </x:c>
      <x:c r="C197" s="14" t="str">
        <x:v>Измерительный инструмент</x:v>
      </x:c>
      <x:c r="D197" s="14" t="str">
        <x:v>Измеритель среды для строительства и ремонта</x:v>
      </x:c>
      <x:c r="E197" s="2" t="n">
        <x:v>74</x:v>
      </x:c>
      <x:c r="F197" s="2" t="n">
        <x:v>1</x:v>
      </x:c>
      <x:c r="G197" s="12" t="n">
        <x:v>15591401.9711</x:v>
      </x:c>
      <x:c r="H197" s="12" t="n">
        <x:v>1249176.04673122</x:v>
      </x:c>
      <x:c r="I197" s="13" t="n">
        <x:v>0.0734135135135135</x:v>
      </x:c>
      <x:c r="J197" s="2" t="n">
        <x:v>10</x:v>
      </x:c>
      <x:c r="K197" s="2" t="n">
        <x:v>26</x:v>
      </x:c>
      <x:c r="L197" s="12" t="n">
        <x:v>3527.44045</x:v>
      </x:c>
      <x:c r="M197" s="13" t="n">
        <x:v>0.6467280960294939</x:v>
      </x:c>
      <x:c r="N197" s="13" t="n">
        <x:f>H197/G197</x:f>
        <x:v>0.08011954595530761</x:v>
      </x:c>
      <x:c r="O197" s="13" t="n">
        <x:f>F197/E197</x:f>
        <x:v>0.013513513513513514</x:v>
      </x:c>
      <x:c r="P197" s="2" t="str">
        <x:f>IF(AND(E197&gt;='Итоги'!$F$5,N197&lt;='Итоги'!$B$5,O197&gt;='Итоги'!$D$5),"Да","Нет")</x:f>
        <x:v>Нет</x:v>
      </x:c>
    </x:row>
    <x:row r="198" ht="60" customHeight="1">
      <x:c r="A198" s="14" t="str">
        <x:v>Мелкая бытовая техника</x:v>
      </x:c>
      <x:c r="B198" s="14" t="str">
        <x:v>Мелкая бытовая техника SDA</x:v>
      </x:c>
      <x:c r="C198" s="14" t="str">
        <x:v>Электронные товары для красоты и здоровья SDA</x:v>
      </x:c>
      <x:c r="D198" s="14" t="str">
        <x:v>Машинка для стрижки</x:v>
      </x:c>
      <x:c r="E198" s="2" t="n">
        <x:v>222</x:v>
      </x:c>
      <x:c r="F198" s="2" t="n">
        <x:v>3</x:v>
      </x:c>
      <x:c r="G198" s="12" t="n">
        <x:v>51609990.5833</x:v>
      </x:c>
      <x:c r="H198" s="12" t="n">
        <x:v>4907142.67171184</x:v>
      </x:c>
      <x:c r="I198" s="13" t="n">
        <x:v>0.09884009009009</x:v>
      </x:c>
      <x:c r="J198" s="2" t="n">
        <x:v>50</x:v>
      </x:c>
      <x:c r="K198" s="2" t="n">
        <x:v>68</x:v>
      </x:c>
      <x:c r="L198" s="12" t="n">
        <x:v>2422.85555</x:v>
      </x:c>
      <x:c r="M198" s="13" t="n">
        <x:v>0.5502404573367431</x:v>
      </x:c>
      <x:c r="N198" s="13" t="n">
        <x:f>H198/G198</x:f>
        <x:v>0.09508125493244513</x:v>
      </x:c>
      <x:c r="O198" s="13" t="n">
        <x:f>F198/E198</x:f>
        <x:v>0.013513513513513514</x:v>
      </x:c>
      <x:c r="P198" s="2" t="str">
        <x:f>IF(AND(E198&gt;='Итоги'!$F$5,N198&lt;='Итоги'!$B$5,O198&gt;='Итоги'!$D$5),"Да","Нет")</x:f>
        <x:v>Нет</x:v>
      </x:c>
    </x:row>
    <x:row r="199" ht="60" customHeight="1">
      <x:c r="A199" s="14" t="str">
        <x:v>Строительство и ремонт (DIY)</x:v>
      </x:c>
      <x:c r="B199" s="14" t="str">
        <x:v>Ремонт и строительство</x:v>
      </x:c>
      <x:c r="C199" s="14" t="str">
        <x:v>Электротовары</x:v>
      </x:c>
      <x:c r="D199" s="14" t="str">
        <x:v>Стабилизатор напряжения</x:v>
      </x:c>
      <x:c r="E199" s="2" t="n">
        <x:v>151</x:v>
      </x:c>
      <x:c r="F199" s="2" t="n">
        <x:v>2</x:v>
      </x:c>
      <x:c r="G199" s="12" t="n">
        <x:v>37523833.8301</x:v>
      </x:c>
      <x:c r="H199" s="12" t="n">
        <x:v>1119644.6409748</x:v>
      </x:c>
      <x:c r="I199" s="13" t="n">
        <x:v>0.0291132450331125</x:v>
      </x:c>
      <x:c r="J199" s="2" t="n">
        <x:v>61</x:v>
      </x:c>
      <x:c r="K199" s="2" t="n">
        <x:v>23</x:v>
      </x:c>
      <x:c r="L199" s="12" t="n">
        <x:v>5361.4286</x:v>
      </x:c>
      <x:c r="M199" s="13" t="n">
        <x:v>0.6634488835501182</x:v>
      </x:c>
      <x:c r="N199" s="13" t="n">
        <x:f>H199/G199</x:f>
        <x:v>0.029838226180307553</x:v>
      </x:c>
      <x:c r="O199" s="13" t="n">
        <x:f>F199/E199</x:f>
        <x:v>0.013245033112582781</x:v>
      </x:c>
      <x:c r="P199" s="2" t="str">
        <x:f>IF(AND(E199&gt;='Итоги'!$F$5,N199&lt;='Итоги'!$B$5,O199&gt;='Итоги'!$D$5),"Да","Нет")</x:f>
        <x:v>Нет</x:v>
      </x:c>
    </x:row>
    <x:row r="200" ht="60" customHeight="1">
      <x:c r="A200" s="14" t="str">
        <x:v>Строительство и ремонт (DIY)</x:v>
      </x:c>
      <x:c r="B200" s="14" t="str">
        <x:v>Инструменты</x:v>
      </x:c>
      <x:c r="C200" s="14" t="str">
        <x:v>Электроинструмент для строительства, ремонта</x:v>
      </x:c>
      <x:c r="D200" s="14" t="str">
        <x:v>Пылесос промышленный</x:v>
      </x:c>
      <x:c r="E200" s="2" t="n">
        <x:v>77</x:v>
      </x:c>
      <x:c r="F200" s="2" t="n">
        <x:v>1</x:v>
      </x:c>
      <x:c r="G200" s="12" t="n">
        <x:v>18690554.3065</x:v>
      </x:c>
      <x:c r="H200" s="12" t="n">
        <x:v>757772.13531583</x:v>
      </x:c>
      <x:c r="I200" s="13" t="n">
        <x:v>0.0333831168831168</x:v>
      </x:c>
      <x:c r="J200" s="2" t="n">
        <x:v>40</x:v>
      </x:c>
      <x:c r="K200" s="2" t="n">
        <x:v>10</x:v>
      </x:c>
      <x:c r="L200" s="12" t="n">
        <x:v>7184.877</x:v>
      </x:c>
      <x:c r="M200" s="13" t="n">
        <x:v>0.7940863893982234</x:v>
      </x:c>
      <x:c r="N200" s="13" t="n">
        <x:f>H200/G200</x:f>
        <x:v>0.04054305307854354</x:v>
      </x:c>
      <x:c r="O200" s="13" t="n">
        <x:f>F200/E200</x:f>
        <x:v>0.012987012987012988</x:v>
      </x:c>
      <x:c r="P200" s="2" t="str">
        <x:f>IF(AND(E200&gt;='Итоги'!$F$5,N200&lt;='Итоги'!$B$5,O200&gt;='Итоги'!$D$5),"Да","Нет")</x:f>
        <x:v>Нет</x:v>
      </x:c>
    </x:row>
    <x:row r="201" ht="60" customHeight="1">
      <x:c r="A201" s="14" t="str">
        <x:v>Строительство и ремонт (DIY)</x:v>
      </x:c>
      <x:c r="B201" s="14" t="str">
        <x:v>Ремонт и строительство</x:v>
      </x:c>
      <x:c r="C201" s="14" t="str">
        <x:v>Изоляционные материалы</x:v>
      </x:c>
      <x:c r="D201" s="14" t="str">
        <x:v>Гидроизоляция рулонная</x:v>
      </x:c>
      <x:c r="E201" s="2" t="n">
        <x:v>79</x:v>
      </x:c>
      <x:c r="F201" s="2" t="n">
        <x:v>1</x:v>
      </x:c>
      <x:c r="G201" s="12" t="n">
        <x:v>18379305.5093</x:v>
      </x:c>
      <x:c r="H201" s="12" t="n">
        <x:v>427179.12234447</x:v>
      </x:c>
      <x:c r="I201" s="13" t="n">
        <x:v>0.0234417721518987</x:v>
      </x:c>
      <x:c r="J201" s="2" t="n">
        <x:v>37</x:v>
      </x:c>
      <x:c r="K201" s="2" t="n">
        <x:v>19</x:v>
      </x:c>
      <x:c r="L201" s="12" t="n">
        <x:v>1940.5682</x:v>
      </x:c>
      <x:c r="M201" s="13" t="n">
        <x:v>0.5891632432640493</x:v>
      </x:c>
      <x:c r="N201" s="13" t="n">
        <x:f>H201/G201</x:f>
        <x:v>0.02324239738701311</x:v>
      </x:c>
      <x:c r="O201" s="13" t="n">
        <x:f>F201/E201</x:f>
        <x:v>0.012658227848101266</x:v>
      </x:c>
      <x:c r="P201" s="2" t="str">
        <x:f>IF(AND(E201&gt;='Итоги'!$F$5,N201&lt;='Итоги'!$B$5,O201&gt;='Итоги'!$D$5),"Да","Нет")</x:f>
        <x:v>Нет</x:v>
      </x:c>
    </x:row>
    <x:row r="202" ht="60" customHeight="1">
      <x:c r="A202" s="14" t="str">
        <x:v>Строительство и ремонт (DIY)</x:v>
      </x:c>
      <x:c r="B202" s="14" t="str">
        <x:v>Сад и огород</x:v>
      </x:c>
      <x:c r="C202" s="14" t="str">
        <x:v>Загородный отдых</x:v>
      </x:c>
      <x:c r="D202" s="14" t="str">
        <x:v>Гриль, печь, томильная</x:v>
      </x:c>
      <x:c r="E202" s="2" t="n">
        <x:v>79</x:v>
      </x:c>
      <x:c r="F202" s="2" t="n">
        <x:v>1</x:v>
      </x:c>
      <x:c r="G202" s="12" t="n">
        <x:v>21920213.2275</x:v>
      </x:c>
      <x:c r="H202" s="12" t="n">
        <x:v>957297.44692285</x:v>
      </x:c>
      <x:c r="I202" s="13" t="n">
        <x:v>0.0372303797468354</x:v>
      </x:c>
      <x:c r="J202" s="2" t="n">
        <x:v>47</x:v>
      </x:c>
      <x:c r="K202" s="2" t="n">
        <x:v>13</x:v>
      </x:c>
      <x:c r="L202" s="12" t="n">
        <x:v>10897.666</x:v>
      </x:c>
      <x:c r="M202" s="13" t="n">
        <x:v>0.5789116921946693</x:v>
      </x:c>
      <x:c r="N202" s="13" t="n">
        <x:f>H202/G202</x:f>
        <x:v>0.0436719039631363</x:v>
      </x:c>
      <x:c r="O202" s="13" t="n">
        <x:f>F202/E202</x:f>
        <x:v>0.012658227848101266</x:v>
      </x:c>
      <x:c r="P202" s="2" t="str">
        <x:f>IF(AND(E202&gt;='Итоги'!$F$5,N202&lt;='Итоги'!$B$5,O202&gt;='Итоги'!$D$5),"Да","Нет")</x:f>
        <x:v>Нет</x:v>
      </x:c>
    </x:row>
    <x:row r="203" ht="60" customHeight="1">
      <x:c r="A203" s="14" t="str">
        <x:v>Строительство и ремонт (DIY)</x:v>
      </x:c>
      <x:c r="B203" s="14" t="str">
        <x:v>Ремонт и строительство</x:v>
      </x:c>
      <x:c r="C203" s="14" t="str">
        <x:v>Строительная химия</x:v>
      </x:c>
      <x:c r="D203" s="14" t="str">
        <x:v>Антисептик строительный</x:v>
      </x:c>
      <x:c r="E203" s="2" t="n">
        <x:v>83</x:v>
      </x:c>
      <x:c r="F203" s="2" t="n">
        <x:v>1</x:v>
      </x:c>
      <x:c r="G203" s="12" t="n">
        <x:v>20493364.8494</x:v>
      </x:c>
      <x:c r="H203" s="12" t="n">
        <x:v>1623075.43726354</x:v>
      </x:c>
      <x:c r="I203" s="13" t="n">
        <x:v>0.0722759036144578</x:v>
      </x:c>
      <x:c r="J203" s="2" t="n">
        <x:v>27</x:v>
      </x:c>
      <x:c r="K203" s="2" t="n">
        <x:v>17</x:v>
      </x:c>
      <x:c r="L203" s="12" t="n">
        <x:v>1761.5391</x:v>
      </x:c>
      <x:c r="M203" s="13" t="n">
        <x:v>0.6849451814552049</x:v>
      </x:c>
      <x:c r="N203" s="13" t="n">
        <x:f>H203/G203</x:f>
        <x:v>0.07920004592662391</x:v>
      </x:c>
      <x:c r="O203" s="13" t="n">
        <x:f>F203/E203</x:f>
        <x:v>0.012048192771084338</x:v>
      </x:c>
      <x:c r="P203" s="2" t="str">
        <x:f>IF(AND(E203&gt;='Итоги'!$F$5,N203&lt;='Итоги'!$B$5,O203&gt;='Итоги'!$D$5),"Да","Нет")</x:f>
        <x:v>Нет</x:v>
      </x:c>
    </x:row>
    <x:row r="204" ht="60" customHeight="1">
      <x:c r="A204" s="14" t="str">
        <x:v>Строительство и ремонт (DIY)</x:v>
      </x:c>
      <x:c r="B204" s="14" t="str">
        <x:v>Сад и огород</x:v>
      </x:c>
      <x:c r="C204" s="14" t="str">
        <x:v>Полив</x:v>
      </x:c>
      <x:c r="D204" s="14" t="str">
        <x:v>Шланг садовый</x:v>
      </x:c>
      <x:c r="E204" s="2" t="n">
        <x:v>332</x:v>
      </x:c>
      <x:c r="F204" s="2" t="n">
        <x:v>4</x:v>
      </x:c>
      <x:c r="G204" s="12" t="n">
        <x:v>70069291.0016</x:v>
      </x:c>
      <x:c r="H204" s="12" t="n">
        <x:v>8030678.60487775</x:v>
      </x:c>
      <x:c r="I204" s="13" t="n">
        <x:v>0.1048331325301204</x:v>
      </x:c>
      <x:c r="J204" s="2" t="n">
        <x:v>75</x:v>
      </x:c>
      <x:c r="K204" s="2" t="n">
        <x:v>70</x:v>
      </x:c>
      <x:c r="L204" s="12" t="n">
        <x:v>1550.9391500000002</x:v>
      </x:c>
      <x:c r="M204" s="13" t="n">
        <x:v>0.5768920256147159</x:v>
      </x:c>
      <x:c r="N204" s="13" t="n">
        <x:f>H204/G204</x:f>
        <x:v>0.11461053037762825</x:v>
      </x:c>
      <x:c r="O204" s="13" t="n">
        <x:f>F204/E204</x:f>
        <x:v>0.012048192771084338</x:v>
      </x:c>
      <x:c r="P204" s="2" t="str">
        <x:f>IF(AND(E204&gt;='Итоги'!$F$5,N204&lt;='Итоги'!$B$5,O204&gt;='Итоги'!$D$5),"Да","Нет")</x:f>
        <x:v>Нет</x:v>
      </x:c>
    </x:row>
    <x:row r="205" ht="60" customHeight="1">
      <x:c r="A205" s="14" t="str">
        <x:v>Строительство и ремонт (DIY)</x:v>
      </x:c>
      <x:c r="B205" s="14" t="str">
        <x:v>Сад и огород</x:v>
      </x:c>
      <x:c r="C205" s="14" t="str">
        <x:v>Садовый инструмент</x:v>
      </x:c>
      <x:c r="D205" s="14" t="str">
        <x:v>Леска, нож для садового инструмента</x:v>
      </x:c>
      <x:c r="E205" s="2" t="n">
        <x:v>84</x:v>
      </x:c>
      <x:c r="F205" s="2" t="n">
        <x:v>1</x:v>
      </x:c>
      <x:c r="G205" s="12" t="n">
        <x:v>13201208.2634</x:v>
      </x:c>
      <x:c r="H205" s="12" t="n">
        <x:v>1171928.31932828</x:v>
      </x:c>
      <x:c r="I205" s="13" t="n">
        <x:v>0.0889273809523809</x:v>
      </x:c>
      <x:c r="J205" s="2" t="n">
        <x:v>35</x:v>
      </x:c>
      <x:c r="K205" s="2" t="n">
        <x:v>17</x:v>
      </x:c>
      <x:c r="L205" s="12" t="n">
        <x:v>1103.8333</x:v>
      </x:c>
      <x:c r="M205" s="13" t="n">
        <x:v>0.7768319096693633</x:v>
      </x:c>
      <x:c r="N205" s="13" t="n">
        <x:f>H205/G205</x:f>
        <x:v>0.08877432246693813</x:v>
      </x:c>
      <x:c r="O205" s="13" t="n">
        <x:f>F205/E205</x:f>
        <x:v>0.011904761904761904</x:v>
      </x:c>
      <x:c r="P205" s="2" t="str">
        <x:f>IF(AND(E205&gt;='Итоги'!$F$5,N205&lt;='Итоги'!$B$5,O205&gt;='Итоги'!$D$5),"Да","Нет")</x:f>
        <x:v>Нет</x:v>
      </x:c>
    </x:row>
    <x:row r="206" ht="60" customHeight="1">
      <x:c r="A206" s="14" t="str">
        <x:v>Мелкая бытовая техника</x:v>
      </x:c>
      <x:c r="B206" s="14" t="str">
        <x:v>Мелкая бытовая техника SDA</x:v>
      </x:c>
      <x:c r="C206" s="14" t="str">
        <x:v>Электронная кухонная техника SDA</x:v>
      </x:c>
      <x:c r="D206" s="14" t="str">
        <x:v>Плита индукционная настольная</x:v>
      </x:c>
      <x:c r="E206" s="2" t="n">
        <x:v>85</x:v>
      </x:c>
      <x:c r="F206" s="2" t="n">
        <x:v>1</x:v>
      </x:c>
      <x:c r="G206" s="12" t="n">
        <x:v>22420913.351</x:v>
      </x:c>
      <x:c r="H206" s="12" t="n">
        <x:v>1290365.24751503</x:v>
      </x:c>
      <x:c r="I206" s="13" t="n">
        <x:v>0.0514564705882353</x:v>
      </x:c>
      <x:c r="J206" s="2" t="n">
        <x:v>41</x:v>
      </x:c>
      <x:c r="K206" s="2" t="n">
        <x:v>7</x:v>
      </x:c>
      <x:c r="L206" s="12" t="n">
        <x:v>5580.1104</x:v>
      </x:c>
      <x:c r="M206" s="13" t="n">
        <x:v>0.7711377514836549</x:v>
      </x:c>
      <x:c r="N206" s="13" t="n">
        <x:f>H206/G206</x:f>
        <x:v>0.05755185916444738</x:v>
      </x:c>
      <x:c r="O206" s="13" t="n">
        <x:f>F206/E206</x:f>
        <x:v>0.011764705882352941</x:v>
      </x:c>
      <x:c r="P206" s="2" t="str">
        <x:f>IF(AND(E206&gt;='Итоги'!$F$5,N206&lt;='Итоги'!$B$5,O206&gt;='Итоги'!$D$5),"Да","Нет")</x:f>
        <x:v>Нет</x:v>
      </x:c>
    </x:row>
    <x:row r="207" ht="60" customHeight="1">
      <x:c r="A207" s="14" t="str">
        <x:v>Бытовая химия и гигиена рта</x:v>
      </x:c>
      <x:c r="B207" s="14" t="str">
        <x:v>Средства для стирки</x:v>
      </x:c>
      <x:c r="C207" s="14" t="str">
        <x:v>Кондиционер для белья</x:v>
      </x:c>
      <x:c r="D207" s="14" t="str">
        <x:v>Кондиционер для белья универсальный</x:v>
      </x:c>
      <x:c r="E207" s="2" t="n">
        <x:v>86</x:v>
      </x:c>
      <x:c r="F207" s="2" t="n">
        <x:v>1</x:v>
      </x:c>
      <x:c r="G207" s="12" t="n">
        <x:v>15346076.175</x:v>
      </x:c>
      <x:c r="H207" s="12" t="n">
        <x:v>575486.18070598</x:v>
      </x:c>
      <x:c r="I207" s="13" t="n">
        <x:v>0.045763953488372</x:v>
      </x:c>
      <x:c r="J207" s="2" t="n">
        <x:v>34</x:v>
      </x:c>
      <x:c r="K207" s="2" t="n">
        <x:v>20</x:v>
      </x:c>
      <x:c r="L207" s="12" t="n">
        <x:v>1027.35655</x:v>
      </x:c>
      <x:c r="M207" s="13" t="n">
        <x:v>0.7741134972959952</x:v>
      </x:c>
      <x:c r="N207" s="13" t="n">
        <x:f>H207/G207</x:f>
        <x:v>0.03750054242813505</x:v>
      </x:c>
      <x:c r="O207" s="13" t="n">
        <x:f>F207/E207</x:f>
        <x:v>0.011627906976744186</x:v>
      </x:c>
      <x:c r="P207" s="2" t="str">
        <x:f>IF(AND(E207&gt;='Итоги'!$F$5,N207&lt;='Итоги'!$B$5,O207&gt;='Итоги'!$D$5),"Да","Нет")</x:f>
        <x:v>Нет</x:v>
      </x:c>
    </x:row>
    <x:row r="208" ht="60" customHeight="1">
      <x:c r="A208" s="14" t="str">
        <x:v>Строительство и ремонт (DIY)</x:v>
      </x:c>
      <x:c r="B208" s="14" t="str">
        <x:v>Сантехника</x:v>
      </x:c>
      <x:c r="C208" s="14" t="str">
        <x:v>Полотенцесушитель</x:v>
      </x:c>
      <x:c r="D208" s="14" t="str">
        <x:v>Полотенцесушитель</x:v>
      </x:c>
      <x:c r="E208" s="2" t="n">
        <x:v>258</x:v>
      </x:c>
      <x:c r="F208" s="2" t="n">
        <x:v>3</x:v>
      </x:c>
      <x:c r="G208" s="12" t="n">
        <x:v>53095755.3121</x:v>
      </x:c>
      <x:c r="H208" s="12" t="n">
        <x:v>3387054.19237517</x:v>
      </x:c>
      <x:c r="I208" s="13" t="n">
        <x:v>0.0558841085271317</x:v>
      </x:c>
      <x:c r="J208" s="2" t="n">
        <x:v>27</x:v>
      </x:c>
      <x:c r="K208" s="2" t="n">
        <x:v>33</x:v>
      </x:c>
      <x:c r="L208" s="12" t="n">
        <x:v>8029.3269</x:v>
      </x:c>
      <x:c r="M208" s="13" t="n">
        <x:v>0.5777969460151677</x:v>
      </x:c>
      <x:c r="N208" s="13" t="n">
        <x:f>H208/G208</x:f>
        <x:v>0.06379143064197626</x:v>
      </x:c>
      <x:c r="O208" s="13" t="n">
        <x:f>F208/E208</x:f>
        <x:v>0.011627906976744186</x:v>
      </x:c>
      <x:c r="P208" s="2" t="str">
        <x:f>IF(AND(E208&gt;='Итоги'!$F$5,N208&lt;='Итоги'!$B$5,O208&gt;='Итоги'!$D$5),"Да","Нет")</x:f>
        <x:v>Нет</x:v>
      </x:c>
    </x:row>
    <x:row r="209" ht="60" customHeight="1">
      <x:c r="A209" s="14" t="str">
        <x:v>Мелкая бытовая техника</x:v>
      </x:c>
      <x:c r="B209" s="14" t="str">
        <x:v>Мелкая бытовая техника SDA</x:v>
      </x:c>
      <x:c r="C209" s="14" t="str">
        <x:v>Электронная кухонная техника SDA</x:v>
      </x:c>
      <x:c r="D209" s="14" t="str">
        <x:v>Мини-печь, духовка, электропечь</x:v>
      </x:c>
      <x:c r="E209" s="2" t="n">
        <x:v>259</x:v>
      </x:c>
      <x:c r="F209" s="2" t="n">
        <x:v>3</x:v>
      </x:c>
      <x:c r="G209" s="12" t="n">
        <x:v>57911961.6678</x:v>
      </x:c>
      <x:c r="H209" s="12" t="n">
        <x:v>3176586.57132874</x:v>
      </x:c>
      <x:c r="I209" s="13" t="n">
        <x:v>0.0518339768339768</x:v>
      </x:c>
      <x:c r="J209" s="2" t="n">
        <x:v>96</x:v>
      </x:c>
      <x:c r="K209" s="2" t="n">
        <x:v>11</x:v>
      </x:c>
      <x:c r="L209" s="12" t="n">
        <x:v>6496.0973</x:v>
      </x:c>
      <x:c r="M209" s="13" t="n">
        <x:v>0.8370436666239335</x:v>
      </x:c>
      <x:c r="N209" s="13" t="n">
        <x:f>H209/G209</x:f>
        <x:v>0.05485199395507568</x:v>
      </x:c>
      <x:c r="O209" s="13" t="n">
        <x:f>F209/E209</x:f>
        <x:v>0.011583011583011582</x:v>
      </x:c>
      <x:c r="P209" s="2" t="str">
        <x:f>IF(AND(E209&gt;='Итоги'!$F$5,N209&lt;='Итоги'!$B$5,O209&gt;='Итоги'!$D$5),"Да","Нет")</x:f>
        <x:v>Нет</x:v>
      </x:c>
    </x:row>
    <x:row r="210" ht="60" customHeight="1">
      <x:c r="A210" s="14" t="str">
        <x:v>Мелкая бытовая техника</x:v>
      </x:c>
      <x:c r="B210" s="14" t="str">
        <x:v>Мелкая бытовая техника SDA</x:v>
      </x:c>
      <x:c r="C210" s="14" t="str">
        <x:v>Электронная кухонная техника SDA</x:v>
      </x:c>
      <x:c r="D210" s="14" t="str">
        <x:v>Тостер</x:v>
      </x:c>
      <x:c r="E210" s="2" t="n">
        <x:v>87</x:v>
      </x:c>
      <x:c r="F210" s="2" t="n">
        <x:v>1</x:v>
      </x:c>
      <x:c r="G210" s="12" t="n">
        <x:v>17377943.9098</x:v>
      </x:c>
      <x:c r="H210" s="12" t="n">
        <x:v>1105626.5591157</x:v>
      </x:c>
      <x:c r="I210" s="13" t="n">
        <x:v>0.0566609195402298</x:v>
      </x:c>
      <x:c r="J210" s="2" t="n">
        <x:v>24</x:v>
      </x:c>
      <x:c r="K210" s="2" t="n">
        <x:v>7</x:v>
      </x:c>
      <x:c r="L210" s="12" t="n">
        <x:v>2241.8132</x:v>
      </x:c>
      <x:c r="M210" s="13" t="n">
        <x:v>0.7771236006340306</x:v>
      </x:c>
      <x:c r="N210" s="13" t="n">
        <x:f>H210/G210</x:f>
        <x:v>0.06362240348193324</x:v>
      </x:c>
      <x:c r="O210" s="13" t="n">
        <x:f>F210/E210</x:f>
        <x:v>0.011494252873563218</x:v>
      </x:c>
      <x:c r="P210" s="2" t="str">
        <x:f>IF(AND(E210&gt;='Итоги'!$F$5,N210&lt;='Итоги'!$B$5,O210&gt;='Итоги'!$D$5),"Да","Нет")</x:f>
        <x:v>Нет</x:v>
      </x:c>
    </x:row>
    <x:row r="211" ht="60" customHeight="1">
      <x:c r="A211" s="14" t="str">
        <x:v>Строительство и ремонт (DIY)</x:v>
      </x:c>
      <x:c r="B211" s="14" t="str">
        <x:v>Ремонт и строительство</x:v>
      </x:c>
      <x:c r="C211" s="14" t="str">
        <x:v>Строительная химия</x:v>
      </x:c>
      <x:c r="D211" s="14" t="str">
        <x:v>Пропитка строительная</x:v>
      </x:c>
      <x:c r="E211" s="2" t="n">
        <x:v>88</x:v>
      </x:c>
      <x:c r="F211" s="2" t="n">
        <x:v>1</x:v>
      </x:c>
      <x:c r="G211" s="12" t="n">
        <x:v>15781241.0114</x:v>
      </x:c>
      <x:c r="H211" s="12" t="n">
        <x:v>1292748.72490669</x:v>
      </x:c>
      <x:c r="I211" s="13" t="n">
        <x:v>0.0781340909090909</x:v>
      </x:c>
      <x:c r="J211" s="2" t="n">
        <x:v>23</x:v>
      </x:c>
      <x:c r="K211" s="2" t="n">
        <x:v>24</x:v>
      </x:c>
      <x:c r="L211" s="12" t="n">
        <x:v>2001.6342</x:v>
      </x:c>
      <x:c r="M211" s="13" t="n">
        <x:v>0.448259869061618</x:v>
      </x:c>
      <x:c r="N211" s="13" t="n">
        <x:f>H211/G211</x:f>
        <x:v>0.08191679754290797</x:v>
      </x:c>
      <x:c r="O211" s="13" t="n">
        <x:f>F211/E211</x:f>
        <x:v>0.011363636363636364</x:v>
      </x:c>
      <x:c r="P211" s="2" t="str">
        <x:f>IF(AND(E211&gt;='Итоги'!$F$5,N211&lt;='Итоги'!$B$5,O211&gt;='Итоги'!$D$5),"Да","Нет")</x:f>
        <x:v>Нет</x:v>
      </x:c>
    </x:row>
    <x:row r="212" ht="60" customHeight="1">
      <x:c r="A212" s="14" t="str">
        <x:v>Мелкая бытовая техника</x:v>
      </x:c>
      <x:c r="B212" s="14" t="str">
        <x:v>Мелкая бытовая техника SDA</x:v>
      </x:c>
      <x:c r="C212" s="14" t="str">
        <x:v>Электронная кухонная техника SDA</x:v>
      </x:c>
      <x:c r="D212" s="14" t="str">
        <x:v>Мясорубка электрическая</x:v>
      </x:c>
      <x:c r="E212" s="2" t="n">
        <x:v>269</x:v>
      </x:c>
      <x:c r="F212" s="2" t="n">
        <x:v>3</x:v>
      </x:c>
      <x:c r="G212" s="12" t="n">
        <x:v>61680616.1995</x:v>
      </x:c>
      <x:c r="H212" s="12" t="n">
        <x:v>5215624.58909479</x:v>
      </x:c>
      <x:c r="I212" s="13" t="n">
        <x:v>0.0844527881040892</x:v>
      </x:c>
      <x:c r="J212" s="2" t="n">
        <x:v>69</x:v>
      </x:c>
      <x:c r="K212" s="2" t="n">
        <x:v>46</x:v>
      </x:c>
      <x:c r="L212" s="12" t="n">
        <x:v>4483.691</x:v>
      </x:c>
      <x:c r="M212" s="13" t="n">
        <x:v>0.6144728050983258</x:v>
      </x:c>
      <x:c r="N212" s="13" t="n">
        <x:f>H212/G212</x:f>
        <x:v>0.08455856816062529</x:v>
      </x:c>
      <x:c r="O212" s="13" t="n">
        <x:f>F212/E212</x:f>
        <x:v>0.011152416356877323</x:v>
      </x:c>
      <x:c r="P212" s="2" t="str">
        <x:f>IF(AND(E212&gt;='Итоги'!$F$5,N212&lt;='Итоги'!$B$5,O212&gt;='Итоги'!$D$5),"Да","Нет")</x:f>
        <x:v>Нет</x:v>
      </x:c>
    </x:row>
    <x:row r="213" ht="60" customHeight="1">
      <x:c r="A213" s="14" t="str">
        <x:v>Мелкая бытовая техника</x:v>
      </x:c>
      <x:c r="B213" s="14" t="str">
        <x:v>Мелкая бытовая техника SDA</x:v>
      </x:c>
      <x:c r="C213" s="14" t="str">
        <x:v>Электронная кухонная техника SDA</x:v>
      </x:c>
      <x:c r="D213" s="14" t="str">
        <x:v>Чайник электрический</x:v>
      </x:c>
      <x:c r="E213" s="2" t="n">
        <x:v>541</x:v>
      </x:c>
      <x:c r="F213" s="2" t="n">
        <x:v>6</x:v>
      </x:c>
      <x:c r="G213" s="12" t="n">
        <x:v>117060558.8869</x:v>
      </x:c>
      <x:c r="H213" s="12" t="n">
        <x:v>6666153.83282091</x:v>
      </x:c>
      <x:c r="I213" s="13" t="n">
        <x:v>0.0570493530499075</x:v>
      </x:c>
      <x:c r="J213" s="2" t="n">
        <x:v>160</x:v>
      </x:c>
      <x:c r="K213" s="2" t="n">
        <x:v>53</x:v>
      </x:c>
      <x:c r="L213" s="12" t="n">
        <x:v>2352.5392</x:v>
      </x:c>
      <x:c r="M213" s="13" t="n">
        <x:v>0.7558039306209141</x:v>
      </x:c>
      <x:c r="N213" s="13" t="n">
        <x:f>H213/G213</x:f>
        <x:v>0.05694619858479853</x:v>
      </x:c>
      <x:c r="O213" s="13" t="n">
        <x:f>F213/E213</x:f>
        <x:v>0.011090573012939002</x:v>
      </x:c>
      <x:c r="P213" s="2" t="str">
        <x:f>IF(AND(E213&gt;='Итоги'!$F$5,N213&lt;='Итоги'!$B$5,O213&gt;='Итоги'!$D$5),"Да","Нет")</x:f>
        <x:v>Нет</x:v>
      </x:c>
    </x:row>
    <x:row r="214" ht="60" customHeight="1">
      <x:c r="A214" s="14" t="str">
        <x:v>Строительство и ремонт (DIY)</x:v>
      </x:c>
      <x:c r="B214" s="14" t="str">
        <x:v>Инструменты</x:v>
      </x:c>
      <x:c r="C214" s="14" t="str">
        <x:v>Измерительный инструмент</x:v>
      </x:c>
      <x:c r="D214" s="14" t="str">
        <x:v>Нивелир, лазерный уровень</x:v>
      </x:c>
      <x:c r="E214" s="2" t="n">
        <x:v>182</x:v>
      </x:c>
      <x:c r="F214" s="2" t="n">
        <x:v>2</x:v>
      </x:c>
      <x:c r="G214" s="12" t="n">
        <x:v>53772370.9166</x:v>
      </x:c>
      <x:c r="H214" s="12" t="n">
        <x:v>4622995.12831624</x:v>
      </x:c>
      <x:c r="I214" s="13" t="n">
        <x:v>0.0811681318681318</x:v>
      </x:c>
      <x:c r="J214" s="2" t="n">
        <x:v>37</x:v>
      </x:c>
      <x:c r="K214" s="2" t="n">
        <x:v>63</x:v>
      </x:c>
      <x:c r="L214" s="12" t="n">
        <x:v>3222.8378</x:v>
      </x:c>
      <x:c r="M214" s="13" t="n">
        <x:v>0.3024985099286095</x:v>
      </x:c>
      <x:c r="N214" s="13" t="n">
        <x:f>H214/G214</x:f>
        <x:v>0.08597342928185972</x:v>
      </x:c>
      <x:c r="O214" s="13" t="n">
        <x:f>F214/E214</x:f>
        <x:v>0.01098901098901099</x:v>
      </x:c>
      <x:c r="P214" s="2" t="str">
        <x:f>IF(AND(E214&gt;='Итоги'!$F$5,N214&lt;='Итоги'!$B$5,O214&gt;='Итоги'!$D$5),"Да","Нет")</x:f>
        <x:v>Нет</x:v>
      </x:c>
    </x:row>
    <x:row r="215" ht="60" customHeight="1">
      <x:c r="A215" s="14" t="str">
        <x:v>Ноутбуки и компьютеры</x:v>
      </x:c>
      <x:c r="B215" s="14" t="str">
        <x:v>Компьютерные комплектующие Lap&amp;Comp</x:v>
      </x:c>
      <x:c r="C215" s="14" t="str">
        <x:v>Компьютерные комплектующие Lap&amp;Comp</x:v>
      </x:c>
      <x:c r="D215" s="14" t="str">
        <x:v>Процессор</x:v>
      </x:c>
      <x:c r="E215" s="2" t="n">
        <x:v>93</x:v>
      </x:c>
      <x:c r="F215" s="2" t="n">
        <x:v>1</x:v>
      </x:c>
      <x:c r="G215" s="12" t="n">
        <x:v>23228877.4871</x:v>
      </x:c>
      <x:c r="H215" s="12" t="n">
        <x:v>34737.35806</x:v>
      </x:c>
      <x:c r="I215" s="13" t="n">
        <x:v>0.0026010752688172</x:v>
      </x:c>
      <x:c r="J215" s="2" t="n">
        <x:v>83</x:v>
      </x:c>
      <x:c r="K215" s="2" t="n">
        <x:v>10</x:v>
      </x:c>
      <x:c r="L215" s="12" t="n">
        <x:v>15703.25</x:v>
      </x:c>
      <x:c r="M215" s="13" t="n">
        <x:v>0.6741120314787508</x:v>
      </x:c>
      <x:c r="N215" s="13" t="n">
        <x:f>H215/G215</x:f>
        <x:v>0.0014954385152399702</x:v>
      </x:c>
      <x:c r="O215" s="13" t="n">
        <x:f>F215/E215</x:f>
        <x:v>0.010752688172043012</x:v>
      </x:c>
      <x:c r="P215" s="2" t="str">
        <x:f>IF(AND(E215&gt;='Итоги'!$F$5,N215&lt;='Итоги'!$B$5,O215&gt;='Итоги'!$D$5),"Да","Нет")</x:f>
        <x:v>Нет</x:v>
      </x:c>
    </x:row>
    <x:row r="216" ht="60" customHeight="1">
      <x:c r="A216" s="14" t="str">
        <x:v>Строительство и ремонт (DIY)</x:v>
      </x:c>
      <x:c r="B216" s="14" t="str">
        <x:v>Сантехника</x:v>
      </x:c>
      <x:c r="C216" s="14" t="str">
        <x:v>Душевая программа</x:v>
      </x:c>
      <x:c r="D216" s="14" t="str">
        <x:v>Душевой гарнитур</x:v>
      </x:c>
      <x:c r="E216" s="2" t="n">
        <x:v>375</x:v>
      </x:c>
      <x:c r="F216" s="2" t="n">
        <x:v>4</x:v>
      </x:c>
      <x:c r="G216" s="12" t="n">
        <x:v>89687718.2543</x:v>
      </x:c>
      <x:c r="H216" s="12" t="n">
        <x:v>5607763.41557446</x:v>
      </x:c>
      <x:c r="I216" s="13" t="n">
        <x:v>0.0608984</x:v>
      </x:c>
      <x:c r="J216" s="2" t="n">
        <x:v>108</x:v>
      </x:c>
      <x:c r="K216" s="2" t="n">
        <x:v>47</x:v>
      </x:c>
      <x:c r="L216" s="12" t="n">
        <x:v>11120.95</x:v>
      </x:c>
      <x:c r="M216" s="13" t="n">
        <x:v>0.5283163334097669</x:v>
      </x:c>
      <x:c r="N216" s="13" t="n">
        <x:f>H216/G216</x:f>
        <x:v>0.0625254329659078</x:v>
      </x:c>
      <x:c r="O216" s="13" t="n">
        <x:f>F216/E216</x:f>
        <x:v>0.010666666666666666</x:v>
      </x:c>
      <x:c r="P216" s="2" t="str">
        <x:f>IF(AND(E216&gt;='Итоги'!$F$5,N216&lt;='Итоги'!$B$5,O216&gt;='Итоги'!$D$5),"Да","Нет")</x:f>
        <x:v>Нет</x:v>
      </x:c>
    </x:row>
    <x:row r="217" ht="60" customHeight="1">
      <x:c r="A217" s="14" t="str">
        <x:v>Ноутбуки и компьютеры</x:v>
      </x:c>
      <x:c r="B217" s="14" t="str">
        <x:v>Фото и видео Lap&amp;Comp</x:v>
      </x:c>
      <x:c r="C217" s="14" t="str">
        <x:v>Фотокамера Lap&amp;Comp</x:v>
      </x:c>
      <x:c r="D217" s="14" t="str">
        <x:v>Детская фотокамера</x:v>
      </x:c>
      <x:c r="E217" s="2" t="n">
        <x:v>95</x:v>
      </x:c>
      <x:c r="F217" s="2" t="n">
        <x:v>1</x:v>
      </x:c>
      <x:c r="G217" s="12" t="n">
        <x:v>20211999.0118</x:v>
      </x:c>
      <x:c r="H217" s="12" t="n">
        <x:v>1175209.81325952</x:v>
      </x:c>
      <x:c r="I217" s="13" t="n">
        <x:v>0.066978947368421</x:v>
      </x:c>
      <x:c r="J217" s="2" t="n">
        <x:v>19</x:v>
      </x:c>
      <x:c r="K217" s="2" t="n">
        <x:v>28</x:v>
      </x:c>
      <x:c r="L217" s="12" t="n">
        <x:v>2974.0476</x:v>
      </x:c>
      <x:c r="M217" s="13" t="n">
        <x:v>0.5416519026944593</x:v>
      </x:c>
      <x:c r="N217" s="13" t="n">
        <x:f>H217/G217</x:f>
        <x:v>0.058144165382821314</x:v>
      </x:c>
      <x:c r="O217" s="13" t="n">
        <x:f>F217/E217</x:f>
        <x:v>0.010526315789473684</x:v>
      </x:c>
      <x:c r="P217" s="2" t="str">
        <x:f>IF(AND(E217&gt;='Итоги'!$F$5,N217&lt;='Итоги'!$B$5,O217&gt;='Итоги'!$D$5),"Да","Нет")</x:f>
        <x:v>Нет</x:v>
      </x:c>
    </x:row>
    <x:row r="218" ht="60" customHeight="1">
      <x:c r="A218" s="14" t="str">
        <x:v>Строительство и ремонт (DIY)</x:v>
      </x:c>
      <x:c r="B218" s="14" t="str">
        <x:v>Инструменты</x:v>
      </x:c>
      <x:c r="C218" s="14" t="str">
        <x:v>Электроинструмент для строительства, ремонта</x:v>
      </x:c>
      <x:c r="D218" s="14" t="str">
        <x:v>Краскопульт электрический</x:v>
      </x:c>
      <x:c r="E218" s="2" t="n">
        <x:v>95</x:v>
      </x:c>
      <x:c r="F218" s="2" t="n">
        <x:v>1</x:v>
      </x:c>
      <x:c r="G218" s="12" t="n">
        <x:v>24285967.8717</x:v>
      </x:c>
      <x:c r="H218" s="12" t="n">
        <x:v>1835439.88537824</x:v>
      </x:c>
      <x:c r="I218" s="13" t="n">
        <x:v>0.0636242105263157</x:v>
      </x:c>
      <x:c r="J218" s="2" t="n">
        <x:v>23</x:v>
      </x:c>
      <x:c r="K218" s="2" t="n">
        <x:v>29</x:v>
      </x:c>
      <x:c r="L218" s="12" t="n">
        <x:v>3563.692</x:v>
      </x:c>
      <x:c r="M218" s="13" t="n">
        <x:v>0.4979314195787708</x:v>
      </x:c>
      <x:c r="N218" s="13" t="n">
        <x:f>H218/G218</x:f>
        <x:v>0.07557614730755882</x:v>
      </x:c>
      <x:c r="O218" s="13" t="n">
        <x:f>F218/E218</x:f>
        <x:v>0.010526315789473684</x:v>
      </x:c>
      <x:c r="P218" s="2" t="str">
        <x:f>IF(AND(E218&gt;='Итоги'!$F$5,N218&lt;='Итоги'!$B$5,O218&gt;='Итоги'!$D$5),"Да","Нет")</x:f>
        <x:v>Нет</x:v>
      </x:c>
    </x:row>
    <x:row r="219" ht="60" customHeight="1">
      <x:c r="A219" s="14" t="str">
        <x:v>Строительство и ремонт (DIY)</x:v>
      </x:c>
      <x:c r="B219" s="14" t="str">
        <x:v>Инструменты</x:v>
      </x:c>
      <x:c r="C219" s="14" t="str">
        <x:v>Инструмент ручной для строительства, ремонта</x:v>
      </x:c>
      <x:c r="D219" s="14" t="str">
        <x:v>Краскопульт пневматический</x:v>
      </x:c>
      <x:c r="E219" s="2" t="n">
        <x:v>95</x:v>
      </x:c>
      <x:c r="F219" s="2" t="n">
        <x:v>1</x:v>
      </x:c>
      <x:c r="G219" s="12" t="n">
        <x:v>20621164.5148</x:v>
      </x:c>
      <x:c r="H219" s="12" t="n">
        <x:v>1579978.1782518</x:v>
      </x:c>
      <x:c r="I219" s="13" t="n">
        <x:v>0.0671284210526315</x:v>
      </x:c>
      <x:c r="J219" s="2" t="n">
        <x:v>17</x:v>
      </x:c>
      <x:c r="K219" s="2" t="n">
        <x:v>20</x:v>
      </x:c>
      <x:c r="L219" s="12" t="n">
        <x:v>2909.5455</x:v>
      </x:c>
      <x:c r="M219" s="13" t="n">
        <x:v>0.7333709102095621</x:v>
      </x:c>
      <x:c r="N219" s="13" t="n">
        <x:f>H219/G219</x:f>
        <x:v>0.07661925092144214</x:v>
      </x:c>
      <x:c r="O219" s="13" t="n">
        <x:f>F219/E219</x:f>
        <x:v>0.010526315789473684</x:v>
      </x:c>
      <x:c r="P219" s="2" t="str">
        <x:f>IF(AND(E219&gt;='Итоги'!$F$5,N219&lt;='Итоги'!$B$5,O219&gt;='Итоги'!$D$5),"Да","Нет")</x:f>
        <x:v>Нет</x:v>
      </x:c>
    </x:row>
    <x:row r="220" ht="60" customHeight="1">
      <x:c r="A220" s="14" t="str">
        <x:v>Строительство и ремонт (DIY)</x:v>
      </x:c>
      <x:c r="B220" s="14" t="str">
        <x:v>Инструменты</x:v>
      </x:c>
      <x:c r="C220" s="14" t="str">
        <x:v>Электроинструмент для строительства, ремонта</x:v>
      </x:c>
      <x:c r="D220" s="14" t="str">
        <x:v>Фен строительный</x:v>
      </x:c>
      <x:c r="E220" s="2" t="n">
        <x:v>95</x:v>
      </x:c>
      <x:c r="F220" s="2" t="n">
        <x:v>1</x:v>
      </x:c>
      <x:c r="G220" s="12" t="n">
        <x:v>20830360.4269</x:v>
      </x:c>
      <x:c r="H220" s="12" t="n">
        <x:v>1827671.96728281</x:v>
      </x:c>
      <x:c r="I220" s="13" t="n">
        <x:v>0.0797473684210526</x:v>
      </x:c>
      <x:c r="J220" s="2" t="n">
        <x:v>19</x:v>
      </x:c>
      <x:c r="K220" s="2" t="n">
        <x:v>26</x:v>
      </x:c>
      <x:c r="L220" s="12" t="n">
        <x:v>1625.7796</x:v>
      </x:c>
      <x:c r="M220" s="13" t="n">
        <x:v>0.6128189125434033</x:v>
      </x:c>
      <x:c r="N220" s="13" t="n">
        <x:f>H220/G220</x:f>
        <x:v>0.08774077499506841</x:v>
      </x:c>
      <x:c r="O220" s="13" t="n">
        <x:f>F220/E220</x:f>
        <x:v>0.010526315789473684</x:v>
      </x:c>
      <x:c r="P220" s="2" t="str">
        <x:f>IF(AND(E220&gt;='Итоги'!$F$5,N220&lt;='Итоги'!$B$5,O220&gt;='Итоги'!$D$5),"Да","Нет")</x:f>
        <x:v>Нет</x:v>
      </x:c>
    </x:row>
    <x:row r="221" ht="60" customHeight="1">
      <x:c r="A221" s="14" t="str">
        <x:v>Строительство и ремонт (DIY)</x:v>
      </x:c>
      <x:c r="B221" s="14" t="str">
        <x:v>Освещение</x:v>
      </x:c>
      <x:c r="C221" s="14" t="str">
        <x:v>Светильник уличный, садовый</x:v>
      </x:c>
      <x:c r="D221" s="14" t="str">
        <x:v>Светильник уличный</x:v>
      </x:c>
      <x:c r="E221" s="2" t="n">
        <x:v>190</x:v>
      </x:c>
      <x:c r="F221" s="2" t="n">
        <x:v>2</x:v>
      </x:c>
      <x:c r="G221" s="12" t="n">
        <x:v>42729439.4329</x:v>
      </x:c>
      <x:c r="H221" s="12" t="n">
        <x:v>4205016.47017992</x:v>
      </x:c>
      <x:c r="I221" s="13" t="n">
        <x:v>0.1039831578947368</x:v>
      </x:c>
      <x:c r="J221" s="2" t="n">
        <x:v>25</x:v>
      </x:c>
      <x:c r="K221" s="2" t="n">
        <x:v>66</x:v>
      </x:c>
      <x:c r="L221" s="12" t="n">
        <x:v>1082.36125</x:v>
      </x:c>
      <x:c r="M221" s="13" t="n">
        <x:v>0.4574037447271404</x:v>
      </x:c>
      <x:c r="N221" s="13" t="n">
        <x:f>H221/G221</x:f>
        <x:v>0.09841028869061694</x:v>
      </x:c>
      <x:c r="O221" s="13" t="n">
        <x:f>F221/E221</x:f>
        <x:v>0.010526315789473684</x:v>
      </x:c>
      <x:c r="P221" s="2" t="str">
        <x:f>IF(AND(E221&gt;='Итоги'!$F$5,N221&lt;='Итоги'!$B$5,O221&gt;='Итоги'!$D$5),"Да","Нет")</x:f>
        <x:v>Нет</x:v>
      </x:c>
    </x:row>
    <x:row r="222" ht="60" customHeight="1">
      <x:c r="A222" s="14" t="str">
        <x:v>Строительство и ремонт (DIY)</x:v>
      </x:c>
      <x:c r="B222" s="14" t="str">
        <x:v>Ремонт и строительство</x:v>
      </x:c>
      <x:c r="C222" s="14" t="str">
        <x:v>Электротовары</x:v>
      </x:c>
      <x:c r="D222" s="14" t="str">
        <x:v>Кабель электрический</x:v>
      </x:c>
      <x:c r="E222" s="2" t="n">
        <x:v>191</x:v>
      </x:c>
      <x:c r="F222" s="2" t="n">
        <x:v>2</x:v>
      </x:c>
      <x:c r="G222" s="12" t="n">
        <x:v>43535737.1418</x:v>
      </x:c>
      <x:c r="H222" s="12" t="n">
        <x:v>3531201.9892887</x:v>
      </x:c>
      <x:c r="I222" s="13" t="n">
        <x:v>0.0698178010471204</x:v>
      </x:c>
      <x:c r="J222" s="2" t="n">
        <x:v>48</x:v>
      </x:c>
      <x:c r="K222" s="2" t="n">
        <x:v>16</x:v>
      </x:c>
      <x:c r="L222" s="12" t="n">
        <x:v>4259.0383</x:v>
      </x:c>
      <x:c r="M222" s="13" t="n">
        <x:v>0.5226307299194444</x:v>
      </x:c>
      <x:c r="N222" s="13" t="n">
        <x:f>H222/G222</x:f>
        <x:v>0.08111042148631231</x:v>
      </x:c>
      <x:c r="O222" s="13" t="n">
        <x:f>F222/E222</x:f>
        <x:v>0.010471204188481676</x:v>
      </x:c>
      <x:c r="P222" s="2" t="str">
        <x:f>IF(AND(E222&gt;='Итоги'!$F$5,N222&lt;='Итоги'!$B$5,O222&gt;='Итоги'!$D$5),"Да","Нет")</x:f>
        <x:v>Нет</x:v>
      </x:c>
    </x:row>
    <x:row r="223" ht="60" customHeight="1">
      <x:c r="A223" s="14" t="str">
        <x:v>Бытовая химия и гигиена рта</x:v>
      </x:c>
      <x:c r="B223" s="14" t="str">
        <x:v>Гигиена рта</x:v>
      </x:c>
      <x:c r="C223" s="14" t="str">
        <x:v>Гигиена рта</x:v>
      </x:c>
      <x:c r="D223" s="14" t="str">
        <x:v>Зубная щетка</x:v>
      </x:c>
      <x:c r="E223" s="2" t="n">
        <x:v>99</x:v>
      </x:c>
      <x:c r="F223" s="2" t="n">
        <x:v>1</x:v>
      </x:c>
      <x:c r="G223" s="12" t="n">
        <x:v>21438846.7965</x:v>
      </x:c>
      <x:c r="H223" s="12" t="n">
        <x:v>1076848.25836202</x:v>
      </x:c>
      <x:c r="I223" s="13" t="n">
        <x:v>0.0445515151515151</x:v>
      </x:c>
      <x:c r="J223" s="2" t="n">
        <x:v>30</x:v>
      </x:c>
      <x:c r="K223" s="2" t="n">
        <x:v>12</x:v>
      </x:c>
      <x:c r="L223" s="12" t="n">
        <x:v>1075.2381</x:v>
      </x:c>
      <x:c r="M223" s="13" t="n">
        <x:v>0.8900509931166249</x:v>
      </x:c>
      <x:c r="N223" s="13" t="n">
        <x:f>H223/G223</x:f>
        <x:v>0.050228833135643323</x:v>
      </x:c>
      <x:c r="O223" s="13" t="n">
        <x:f>F223/E223</x:f>
        <x:v>0.010101010101010102</x:v>
      </x:c>
      <x:c r="P223" s="2" t="str">
        <x:f>IF(AND(E223&gt;='Итоги'!$F$5,N223&lt;='Итоги'!$B$5,O223&gt;='Итоги'!$D$5),"Да","Нет")</x:f>
        <x:v>Нет</x:v>
      </x:c>
    </x:row>
    <x:row r="224" ht="60" customHeight="1">
      <x:c r="A224" s="14" t="str">
        <x:v>Строительство и ремонт (DIY)</x:v>
      </x:c>
      <x:c r="B224" s="14" t="str">
        <x:v>Инструменты</x:v>
      </x:c>
      <x:c r="C224" s="14" t="str">
        <x:v>Оснастка для инструмента</x:v>
      </x:c>
      <x:c r="D224" s="14" t="str">
        <x:v>Оснастка для ручного инструмента</x:v>
      </x:c>
      <x:c r="E224" s="2" t="n">
        <x:v>100</x:v>
      </x:c>
      <x:c r="F224" s="2" t="n">
        <x:v>1</x:v>
      </x:c>
      <x:c r="G224" s="12" t="n">
        <x:v>15372085.9114</x:v>
      </x:c>
      <x:c r="H224" s="12" t="n">
        <x:v>1419062.24414676</x:v>
      </x:c>
      <x:c r="I224" s="13" t="n">
        <x:v>0.083644</x:v>
      </x:c>
      <x:c r="J224" s="2" t="n">
        <x:v>19</x:v>
      </x:c>
      <x:c r="K224" s="2" t="n">
        <x:v>43</x:v>
      </x:c>
      <x:c r="L224" s="12" t="n">
        <x:v>1492.76635</x:v>
      </x:c>
      <x:c r="M224" s="13" t="n">
        <x:v>0.4518213092765268</x:v>
      </x:c>
      <x:c r="N224" s="13" t="n">
        <x:f>H224/G224</x:f>
        <x:v>0.09231422803162828</x:v>
      </x:c>
      <x:c r="O224" s="13" t="n">
        <x:f>F224/E224</x:f>
        <x:v>0.01</x:v>
      </x:c>
      <x:c r="P224" s="2" t="str">
        <x:f>IF(AND(E224&gt;='Итоги'!$F$5,N224&lt;='Итоги'!$B$5,O224&gt;='Итоги'!$D$5),"Да","Нет")</x:f>
        <x:v>Нет</x:v>
      </x:c>
    </x:row>
    <x:row r="225" ht="60" customHeight="1">
      <x:c r="A225" s="14" t="str">
        <x:v>Ноутбуки и компьютеры</x:v>
      </x:c>
      <x:c r="B225" s="14" t="str">
        <x:v>Компьютерная офисная техника Lap&amp;Comp</x:v>
      </x:c>
      <x:c r="C225" s="14" t="str">
        <x:v>Компьютерная офисная техника Lap&amp;Comp</x:v>
      </x:c>
      <x:c r="D225" s="14" t="str">
        <x:v>МФУ</x:v>
      </x:c>
      <x:c r="E225" s="2" t="n">
        <x:v>101</x:v>
      </x:c>
      <x:c r="F225" s="2" t="n">
        <x:v>1</x:v>
      </x:c>
      <x:c r="G225" s="12" t="n">
        <x:v>27091235.2519</x:v>
      </x:c>
      <x:c r="H225" s="12" t="n">
        <x:v>83595.19737187</x:v>
      </x:c>
      <x:c r="I225" s="13" t="n">
        <x:v>0.0065643564356435</x:v>
      </x:c>
      <x:c r="J225" s="2" t="n">
        <x:v>50</x:v>
      </x:c>
      <x:c r="K225" s="2" t="n">
        <x:v>11</x:v>
      </x:c>
      <x:c r="L225" s="12" t="n">
        <x:v>21535.9</x:v>
      </x:c>
      <x:c r="M225" s="13" t="n">
        <x:v>0.3166462691803015</x:v>
      </x:c>
      <x:c r="N225" s="13" t="n">
        <x:f>H225/G225</x:f>
        <x:v>0.0030856916118657675</x:v>
      </x:c>
      <x:c r="O225" s="13" t="n">
        <x:f>F225/E225</x:f>
        <x:v>0.009900990099009901</x:v>
      </x:c>
      <x:c r="P225" s="2" t="str">
        <x:f>IF(AND(E225&gt;='Итоги'!$F$5,N225&lt;='Итоги'!$B$5,O225&gt;='Итоги'!$D$5),"Да","Нет")</x:f>
        <x:v>Нет</x:v>
      </x:c>
    </x:row>
    <x:row r="226" ht="60" customHeight="1">
      <x:c r="A226" s="14" t="str">
        <x:v>Ноутбуки и компьютеры</x:v>
      </x:c>
      <x:c r="B226" s="14" t="str">
        <x:v>Ноутбуки и стационарные компьютеры Lap&amp;Comp</x:v>
      </x:c>
      <x:c r="C226" s="14" t="str">
        <x:v>Стационарные компьютеры Lap&amp;Comp</x:v>
      </x:c>
      <x:c r="D226" s="14" t="str">
        <x:v>Настольный компьютер</x:v>
      </x:c>
      <x:c r="E226" s="2" t="n">
        <x:v>101</x:v>
      </x:c>
      <x:c r="F226" s="2" t="n">
        <x:v>1</x:v>
      </x:c>
      <x:c r="G226" s="12" t="n">
        <x:v>26720417.77</x:v>
      </x:c>
      <x:c r="H226" s="12" t="n">
        <x:v>1188872.341997</x:v>
      </x:c>
      <x:c r="I226" s="13" t="n">
        <x:v>0.0497039603960396</x:v>
      </x:c>
      <x:c r="J226" s="2" t="n">
        <x:v>34</x:v>
      </x:c>
      <x:c r="K226" s="2" t="n">
        <x:v>17</x:v>
      </x:c>
      <x:c r="L226" s="12" t="n">
        <x:v>17029</x:v>
      </x:c>
      <x:c r="M226" s="13" t="n">
        <x:v>0.6773971539592436</x:v>
      </x:c>
      <x:c r="N226" s="13" t="n">
        <x:f>H226/G226</x:f>
        <x:v>0.04449302972095709</x:v>
      </x:c>
      <x:c r="O226" s="13" t="n">
        <x:f>F226/E226</x:f>
        <x:v>0.009900990099009901</x:v>
      </x:c>
      <x:c r="P226" s="2" t="str">
        <x:f>IF(AND(E226&gt;='Итоги'!$F$5,N226&lt;='Итоги'!$B$5,O226&gt;='Итоги'!$D$5),"Да","Нет")</x:f>
        <x:v>Нет</x:v>
      </x:c>
    </x:row>
    <x:row r="227" ht="60" customHeight="1">
      <x:c r="A227" s="14" t="str">
        <x:v>Мелкая бытовая техника</x:v>
      </x:c>
      <x:c r="B227" s="14" t="str">
        <x:v>Мелкая бытовая техника SDA</x:v>
      </x:c>
      <x:c r="C227" s="14" t="str">
        <x:v>Электронная техника для дома SDA</x:v>
      </x:c>
      <x:c r="D227" s="14" t="str">
        <x:v>Паровая станция</x:v>
      </x:c>
      <x:c r="E227" s="2" t="n">
        <x:v>103</x:v>
      </x:c>
      <x:c r="F227" s="2" t="n">
        <x:v>1</x:v>
      </x:c>
      <x:c r="G227" s="12" t="n">
        <x:v>32285069.2241</x:v>
      </x:c>
      <x:c r="H227" s="12" t="n">
        <x:v>1601030.65667544</x:v>
      </x:c>
      <x:c r="I227" s="13" t="n">
        <x:v>0.0508533980582524</x:v>
      </x:c>
      <x:c r="J227" s="2" t="n">
        <x:v>44</x:v>
      </x:c>
      <x:c r="K227" s="2" t="n">
        <x:v>17</x:v>
      </x:c>
      <x:c r="L227" s="12" t="n">
        <x:v>19880.5</x:v>
      </x:c>
      <x:c r="M227" s="13" t="n">
        <x:v>0.74655327302839</x:v>
      </x:c>
      <x:c r="N227" s="13" t="n">
        <x:f>H227/G227</x:f>
        <x:v>0.04959043592448953</x:v>
      </x:c>
      <x:c r="O227" s="13" t="n">
        <x:f>F227/E227</x:f>
        <x:v>0.009708737864077669</x:v>
      </x:c>
      <x:c r="P227" s="2" t="str">
        <x:f>IF(AND(E227&gt;='Итоги'!$F$5,N227&lt;='Итоги'!$B$5,O227&gt;='Итоги'!$D$5),"Да","Нет")</x:f>
        <x:v>Нет</x:v>
      </x:c>
    </x:row>
    <x:row r="228" ht="60" customHeight="1">
      <x:c r="A228" s="14" t="str">
        <x:v>Строительство и ремонт (DIY)</x:v>
      </x:c>
      <x:c r="B228" s="14" t="str">
        <x:v>Ремонт и строительство</x:v>
      </x:c>
      <x:c r="C228" s="14" t="str">
        <x:v>Электротовары</x:v>
      </x:c>
      <x:c r="D228" s="14" t="str">
        <x:v>Терморегулятор</x:v>
      </x:c>
      <x:c r="E228" s="2" t="n">
        <x:v>106</x:v>
      </x:c>
      <x:c r="F228" s="2" t="n">
        <x:v>1</x:v>
      </x:c>
      <x:c r="G228" s="12" t="n">
        <x:v>21366220.4968</x:v>
      </x:c>
      <x:c r="H228" s="12" t="n">
        <x:v>1647020.65373437</x:v>
      </x:c>
      <x:c r="I228" s="13" t="n">
        <x:v>0.0788443396226415</x:v>
      </x:c>
      <x:c r="J228" s="2" t="n">
        <x:v>19</x:v>
      </x:c>
      <x:c r="K228" s="2" t="n">
        <x:v>33</x:v>
      </x:c>
      <x:c r="L228" s="12" t="n">
        <x:v>2192.37295</x:v>
      </x:c>
      <x:c r="M228" s="13" t="n">
        <x:v>0.6647631792261641</x:v>
      </x:c>
      <x:c r="N228" s="13" t="n">
        <x:f>H228/G228</x:f>
        <x:v>0.07708525960316859</x:v>
      </x:c>
      <x:c r="O228" s="13" t="n">
        <x:f>F228/E228</x:f>
        <x:v>0.009433962264150943</x:v>
      </x:c>
      <x:c r="P228" s="2" t="str">
        <x:f>IF(AND(E228&gt;='Итоги'!$F$5,N228&lt;='Итоги'!$B$5,O228&gt;='Итоги'!$D$5),"Да","Нет")</x:f>
        <x:v>Нет</x:v>
      </x:c>
    </x:row>
    <x:row r="229" ht="60" customHeight="1">
      <x:c r="A229" s="14" t="str">
        <x:v>Строительство и ремонт (DIY)</x:v>
      </x:c>
      <x:c r="B229" s="14" t="str">
        <x:v>Ремонт и строительство</x:v>
      </x:c>
      <x:c r="C229" s="14" t="str">
        <x:v>Скобяные изделия</x:v>
      </x:c>
      <x:c r="D229" s="14" t="str">
        <x:v>Сетка антимоскитная и фурнитура</x:v>
      </x:c>
      <x:c r="E229" s="2" t="n">
        <x:v>106</x:v>
      </x:c>
      <x:c r="F229" s="2" t="n">
        <x:v>1</x:v>
      </x:c>
      <x:c r="G229" s="12" t="n">
        <x:v>23278693.8606</x:v>
      </x:c>
      <x:c r="H229" s="12" t="n">
        <x:v>1987753.73667307</x:v>
      </x:c>
      <x:c r="I229" s="13" t="n">
        <x:v>0.0757471698113207</x:v>
      </x:c>
      <x:c r="J229" s="2" t="n">
        <x:v>24</x:v>
      </x:c>
      <x:c r="K229" s="2" t="n">
        <x:v>39</x:v>
      </x:c>
      <x:c r="L229" s="12" t="n">
        <x:v>1141.8143</x:v>
      </x:c>
      <x:c r="M229" s="13" t="n">
        <x:v>0.1725493956084214</x:v>
      </x:c>
      <x:c r="N229" s="13" t="n">
        <x:f>H229/G229</x:f>
        <x:v>0.08538940150922353</x:v>
      </x:c>
      <x:c r="O229" s="13" t="n">
        <x:f>F229/E229</x:f>
        <x:v>0.009433962264150943</x:v>
      </x:c>
      <x:c r="P229" s="2" t="str">
        <x:f>IF(AND(E229&gt;='Итоги'!$F$5,N229&lt;='Итоги'!$B$5,O229&gt;='Итоги'!$D$5),"Да","Нет")</x:f>
        <x:v>Нет</x:v>
      </x:c>
    </x:row>
    <x:row r="230" ht="60" customHeight="1">
      <x:c r="A230" s="14" t="str">
        <x:v>Строительство и ремонт (DIY)</x:v>
      </x:c>
      <x:c r="B230" s="14" t="str">
        <x:v>Инструменты</x:v>
      </x:c>
      <x:c r="C230" s="14" t="str">
        <x:v>Электроинструмент для строительства, ремонта</x:v>
      </x:c>
      <x:c r="D230" s="14" t="str">
        <x:v>Шлифовальная машинка/болгарка</x:v>
      </x:c>
      <x:c r="E230" s="2" t="n">
        <x:v>546</x:v>
      </x:c>
      <x:c r="F230" s="2" t="n">
        <x:v>5</x:v>
      </x:c>
      <x:c r="G230" s="12" t="n">
        <x:v>125940651.3488</x:v>
      </x:c>
      <x:c r="H230" s="12" t="n">
        <x:v>9086954.50532614</x:v>
      </x:c>
      <x:c r="I230" s="13" t="n">
        <x:v>0.0658912087912087</x:v>
      </x:c>
      <x:c r="J230" s="2" t="n">
        <x:v>160</x:v>
      </x:c>
      <x:c r="K230" s="2" t="n">
        <x:v>120</x:v>
      </x:c>
      <x:c r="L230" s="12" t="n">
        <x:v>3942.94075</x:v>
      </x:c>
      <x:c r="M230" s="13" t="n">
        <x:v>0.6480407720233506</x:v>
      </x:c>
      <x:c r="N230" s="13" t="n">
        <x:f>H230/G230</x:f>
        <x:v>0.07215267197689242</x:v>
      </x:c>
      <x:c r="O230" s="13" t="n">
        <x:f>F230/E230</x:f>
        <x:v>0.009157509157509158</x:v>
      </x:c>
      <x:c r="P230" s="2" t="str">
        <x:f>IF(AND(E230&gt;='Итоги'!$F$5,N230&lt;='Итоги'!$B$5,O230&gt;='Итоги'!$D$5),"Да","Нет")</x:f>
        <x:v>Нет</x:v>
      </x:c>
    </x:row>
    <x:row r="231" ht="60" customHeight="1">
      <x:c r="A231" s="14" t="str">
        <x:v>Аудио и видеотехника</x:v>
      </x:c>
      <x:c r="B231" s="14" t="str">
        <x:v>Телевизор TV&amp;Audio</x:v>
      </x:c>
      <x:c r="C231" s="14" t="str">
        <x:v>Телевизор TV&amp;Audio</x:v>
      </x:c>
      <x:c r="D231" s="14" t="str">
        <x:v>Телевизор LG</x:v>
      </x:c>
      <x:c r="E231" s="2" t="n">
        <x:v>112</x:v>
      </x:c>
      <x:c r="F231" s="2" t="n">
        <x:v>1</x:v>
      </x:c>
      <x:c r="G231" s="12" t="n">
        <x:v>31062089.5336</x:v>
      </x:c>
      <x:c r="H231" s="12" t="n">
        <x:v>42904.45435044</x:v>
      </x:c>
      <x:c r="I231" s="13" t="n">
        <x:v>0.0029785714285714</x:v>
      </x:c>
      <x:c r="J231" s="2" t="n">
        <x:v>90</x:v>
      </x:c>
      <x:c r="K231" s="2" t="n">
        <x:v>6</x:v>
      </x:c>
      <x:c r="L231" s="12" t="n">
        <x:v>62435.08335</x:v>
      </x:c>
      <x:c r="M231" s="13" t="n">
        <x:v>0.5323301751034394</x:v>
      </x:c>
      <x:c r="N231" s="13" t="n">
        <x:f>H231/G231</x:f>
        <x:v>0.0013812481708299134</x:v>
      </x:c>
      <x:c r="O231" s="13" t="n">
        <x:f>F231/E231</x:f>
        <x:v>0.008928571428571428</x:v>
      </x:c>
      <x:c r="P231" s="2" t="str">
        <x:f>IF(AND(E231&gt;='Итоги'!$F$5,N231&lt;='Итоги'!$B$5,O231&gt;='Итоги'!$D$5),"Да","Нет")</x:f>
        <x:v>Нет</x:v>
      </x:c>
    </x:row>
    <x:row r="232" ht="60" customHeight="1">
      <x:c r="A232" s="14" t="str">
        <x:v>Строительство и ремонт (DIY)</x:v>
      </x:c>
      <x:c r="B232" s="14" t="str">
        <x:v>Сантехника</x:v>
      </x:c>
      <x:c r="C232" s="14" t="str">
        <x:v>Аксессуары для сантехники</x:v>
      </x:c>
      <x:c r="D232" s="14" t="str">
        <x:v>Водопроводные трубы и изоляция для них</x:v>
      </x:c>
      <x:c r="E232" s="2" t="n">
        <x:v>114</x:v>
      </x:c>
      <x:c r="F232" s="2" t="n">
        <x:v>1</x:v>
      </x:c>
      <x:c r="G232" s="12" t="n">
        <x:v>24439389.8908</x:v>
      </x:c>
      <x:c r="H232" s="12" t="n">
        <x:v>739444.51243278</x:v>
      </x:c>
      <x:c r="I232" s="13" t="n">
        <x:v>0.0254350877192982</x:v>
      </x:c>
      <x:c r="J232" s="2" t="n">
        <x:v>32</x:v>
      </x:c>
      <x:c r="K232" s="2" t="n">
        <x:v>14</x:v>
      </x:c>
      <x:c r="L232" s="12" t="n">
        <x:v>5785.15315</x:v>
      </x:c>
      <x:c r="M232" s="13" t="n">
        <x:v>0.4991889932895804</x:v>
      </x:c>
      <x:c r="N232" s="13" t="n">
        <x:f>H232/G232</x:f>
        <x:v>0.030256259085712185</x:v>
      </x:c>
      <x:c r="O232" s="13" t="n">
        <x:f>F232/E232</x:f>
        <x:v>0.008771929824561403</x:v>
      </x:c>
      <x:c r="P232" s="2" t="str">
        <x:f>IF(AND(E232&gt;='Итоги'!$F$5,N232&lt;='Итоги'!$B$5,O232&gt;='Итоги'!$D$5),"Да","Нет")</x:f>
        <x:v>Нет</x:v>
      </x:c>
    </x:row>
    <x:row r="233" ht="60" customHeight="1">
      <x:c r="A233" s="14" t="str">
        <x:v>Бытовая химия и гигиена рта</x:v>
      </x:c>
      <x:c r="B233" s="14" t="str">
        <x:v>Средства для стирки</x:v>
      </x:c>
      <x:c r="C233" s="14" t="str">
        <x:v>Гель жидкое средство для стирки</x:v>
      </x:c>
      <x:c r="D233" s="14" t="str">
        <x:v>Гель жидкое средство для стирки универсальные</x:v>
      </x:c>
      <x:c r="E233" s="2" t="n">
        <x:v>230</x:v>
      </x:c>
      <x:c r="F233" s="2" t="n">
        <x:v>2</x:v>
      </x:c>
      <x:c r="G233" s="12" t="n">
        <x:v>50944978.3454</x:v>
      </x:c>
      <x:c r="H233" s="12" t="n">
        <x:v>2627650.23828766</x:v>
      </x:c>
      <x:c r="I233" s="13" t="n">
        <x:v>0.0516073913043478</x:v>
      </x:c>
      <x:c r="J233" s="2" t="n">
        <x:v>81</x:v>
      </x:c>
      <x:c r="K233" s="2" t="n">
        <x:v>40</x:v>
      </x:c>
      <x:c r="L233" s="12" t="n">
        <x:v>1169.2565</x:v>
      </x:c>
      <x:c r="M233" s="13" t="n">
        <x:v>0.748470231958455</x:v>
      </x:c>
      <x:c r="N233" s="13" t="n">
        <x:f>H233/G233</x:f>
        <x:v>0.05157819914011053</x:v>
      </x:c>
      <x:c r="O233" s="13" t="n">
        <x:f>F233/E233</x:f>
        <x:v>0.008695652173913044</x:v>
      </x:c>
      <x:c r="P233" s="2" t="str">
        <x:f>IF(AND(E233&gt;='Итоги'!$F$5,N233&lt;='Итоги'!$B$5,O233&gt;='Итоги'!$D$5),"Да","Нет")</x:f>
        <x:v>Нет</x:v>
      </x:c>
    </x:row>
    <x:row r="234" ht="60" customHeight="1">
      <x:c r="A234" s="14" t="str">
        <x:v>Мелкая бытовая техника</x:v>
      </x:c>
      <x:c r="B234" s="14" t="str">
        <x:v>Мелкая бытовая техника SDA</x:v>
      </x:c>
      <x:c r="C234" s="14" t="str">
        <x:v>Электронная кухонная техника SDA</x:v>
      </x:c>
      <x:c r="D234" s="14" t="str">
        <x:v>Компактная кухонная плита</x:v>
      </x:c>
      <x:c r="E234" s="2" t="n">
        <x:v>118</x:v>
      </x:c>
      <x:c r="F234" s="2" t="n">
        <x:v>1</x:v>
      </x:c>
      <x:c r="G234" s="12" t="n">
        <x:v>24763916.4387</x:v>
      </x:c>
      <x:c r="H234" s="12" t="n">
        <x:v>603338.19415285</x:v>
      </x:c>
      <x:c r="I234" s="13" t="n">
        <x:v>0.0346677966101694</x:v>
      </x:c>
      <x:c r="J234" s="2" t="n">
        <x:v>50</x:v>
      </x:c>
      <x:c r="K234" s="2" t="n">
        <x:v>17</x:v>
      </x:c>
      <x:c r="L234" s="12" t="n">
        <x:v>3131.8138</x:v>
      </x:c>
      <x:c r="M234" s="13" t="n">
        <x:v>0.6691602325472031</x:v>
      </x:c>
      <x:c r="N234" s="13" t="n">
        <x:f>H234/G234</x:f>
        <x:v>0.024363601599381047</x:v>
      </x:c>
      <x:c r="O234" s="13" t="n">
        <x:f>F234/E234</x:f>
        <x:v>0.00847457627118644</x:v>
      </x:c>
      <x:c r="P234" s="2" t="str">
        <x:f>IF(AND(E234&gt;='Итоги'!$F$5,N234&lt;='Итоги'!$B$5,O234&gt;='Итоги'!$D$5),"Да","Нет")</x:f>
        <x:v>Нет</x:v>
      </x:c>
    </x:row>
    <x:row r="235" ht="60" customHeight="1">
      <x:c r="A235" s="14" t="str">
        <x:v>Мелкая бытовая техника</x:v>
      </x:c>
      <x:c r="B235" s="14" t="str">
        <x:v>Мелкая бытовая техника SDA</x:v>
      </x:c>
      <x:c r="C235" s="14" t="str">
        <x:v>Электронные товары для красоты и здоровья SDA</x:v>
      </x:c>
      <x:c r="D235" s="14" t="str">
        <x:v>Фен</x:v>
      </x:c>
      <x:c r="E235" s="2" t="n">
        <x:v>354</x:v>
      </x:c>
      <x:c r="F235" s="2" t="n">
        <x:v>3</x:v>
      </x:c>
      <x:c r="G235" s="12" t="n">
        <x:v>80800983.5897</x:v>
      </x:c>
      <x:c r="H235" s="12" t="n">
        <x:v>6752928.39556804</x:v>
      </x:c>
      <x:c r="I235" s="13" t="n">
        <x:v>0.0892146892655367</x:v>
      </x:c>
      <x:c r="J235" s="2" t="n">
        <x:v>85</x:v>
      </x:c>
      <x:c r="K235" s="2" t="n">
        <x:v>97</x:v>
      </x:c>
      <x:c r="L235" s="12" t="n">
        <x:v>2810.6719000000003</x:v>
      </x:c>
      <x:c r="M235" s="13" t="n">
        <x:v>0.5339172815316984</x:v>
      </x:c>
      <x:c r="N235" s="13" t="n">
        <x:f>H235/G235</x:f>
        <x:v>0.08357482911171964</x:v>
      </x:c>
      <x:c r="O235" s="13" t="n">
        <x:f>F235/E235</x:f>
        <x:v>0.00847457627118644</x:v>
      </x:c>
      <x:c r="P235" s="2" t="str">
        <x:f>IF(AND(E235&gt;='Итоги'!$F$5,N235&lt;='Итоги'!$B$5,O235&gt;='Итоги'!$D$5),"Да","Нет")</x:f>
        <x:v>Нет</x:v>
      </x:c>
    </x:row>
    <x:row r="236" ht="60" customHeight="1">
      <x:c r="A236" s="14" t="str">
        <x:v>Аудио и видеотехника</x:v>
      </x:c>
      <x:c r="B236" s="14" t="str">
        <x:v>Система безопасности TV&amp;Audio</x:v>
      </x:c>
      <x:c r="C236" s="14" t="str">
        <x:v>Безопасность дома TV&amp;Audio</x:v>
      </x:c>
      <x:c r="D236" s="14" t="str">
        <x:v>Домофон</x:v>
      </x:c>
      <x:c r="E236" s="2" t="n">
        <x:v>122</x:v>
      </x:c>
      <x:c r="F236" s="2" t="n">
        <x:v>1</x:v>
      </x:c>
      <x:c r="G236" s="12" t="n">
        <x:v>22474105.9874</x:v>
      </x:c>
      <x:c r="H236" s="12" t="n">
        <x:v>1056909.49494131</x:v>
      </x:c>
      <x:c r="I236" s="13" t="n">
        <x:v>0.0413008196721311</x:v>
      </x:c>
      <x:c r="J236" s="2" t="n">
        <x:v>52</x:v>
      </x:c>
      <x:c r="K236" s="2" t="n">
        <x:v>18</x:v>
      </x:c>
      <x:c r="L236" s="12" t="n">
        <x:v>9950.5689</x:v>
      </x:c>
      <x:c r="M236" s="13" t="n">
        <x:v>0.4283531926296535</x:v>
      </x:c>
      <x:c r="N236" s="13" t="n">
        <x:f>H236/G236</x:f>
        <x:v>0.04702787712818749</x:v>
      </x:c>
      <x:c r="O236" s="13" t="n">
        <x:f>F236/E236</x:f>
        <x:v>0.00819672131147541</x:v>
      </x:c>
      <x:c r="P236" s="2" t="str">
        <x:f>IF(AND(E236&gt;='Итоги'!$F$5,N236&lt;='Итоги'!$B$5,O236&gt;='Итоги'!$D$5),"Да","Нет")</x:f>
        <x:v>Нет</x:v>
      </x:c>
    </x:row>
    <x:row r="237" ht="60" customHeight="1">
      <x:c r="A237" s="14" t="str">
        <x:v>Строительство и ремонт (DIY)</x:v>
      </x:c>
      <x:c r="B237" s="14" t="str">
        <x:v>Освещение</x:v>
      </x:c>
      <x:c r="C237" s="14" t="str">
        <x:v>Светильник домашний</x:v>
      </x:c>
      <x:c r="D237" s="14" t="str">
        <x:v>Светильник напольный</x:v>
      </x:c>
      <x:c r="E237" s="2" t="n">
        <x:v>122</x:v>
      </x:c>
      <x:c r="F237" s="2" t="n">
        <x:v>1</x:v>
      </x:c>
      <x:c r="G237" s="12" t="n">
        <x:v>22490920.1245</x:v>
      </x:c>
      <x:c r="H237" s="12" t="n">
        <x:v>1721153.97500534</x:v>
      </x:c>
      <x:c r="I237" s="13" t="n">
        <x:v>0.0738803278688524</x:v>
      </x:c>
      <x:c r="J237" s="2" t="n">
        <x:v>16</x:v>
      </x:c>
      <x:c r="K237" s="2" t="n">
        <x:v>23</x:v>
      </x:c>
      <x:c r="L237" s="12" t="n">
        <x:v>2818.17495</x:v>
      </x:c>
      <x:c r="M237" s="13" t="n">
        <x:v>0.7884921032146632</x:v>
      </x:c>
      <x:c r="N237" s="13" t="n">
        <x:f>H237/G237</x:f>
        <x:v>0.07652661453945755</x:v>
      </x:c>
      <x:c r="O237" s="13" t="n">
        <x:f>F237/E237</x:f>
        <x:v>0.00819672131147541</x:v>
      </x:c>
      <x:c r="P237" s="2" t="str">
        <x:f>IF(AND(E237&gt;='Итоги'!$F$5,N237&lt;='Итоги'!$B$5,O237&gt;='Итоги'!$D$5),"Да","Нет")</x:f>
        <x:v>Нет</x:v>
      </x:c>
    </x:row>
    <x:row r="238" ht="60" customHeight="1">
      <x:c r="A238" s="14" t="str">
        <x:v>Строительство и ремонт (DIY)</x:v>
      </x:c>
      <x:c r="B238" s="14" t="str">
        <x:v>Сад и огород</x:v>
      </x:c>
      <x:c r="C238" s="14" t="str">
        <x:v>Полив</x:v>
      </x:c>
      <x:c r="D238" s="14" t="str">
        <x:v>Система полива</x:v>
      </x:c>
      <x:c r="E238" s="2" t="n">
        <x:v>125</x:v>
      </x:c>
      <x:c r="F238" s="2" t="n">
        <x:v>1</x:v>
      </x:c>
      <x:c r="G238" s="12" t="n">
        <x:v>21526185.232</x:v>
      </x:c>
      <x:c r="H238" s="12" t="n">
        <x:v>2344083.93372953</x:v>
      </x:c>
      <x:c r="I238" s="13" t="n">
        <x:v>0.0854376</x:v>
      </x:c>
      <x:c r="J238" s="2" t="n">
        <x:v>27</x:v>
      </x:c>
      <x:c r="K238" s="2" t="n">
        <x:v>39</x:v>
      </x:c>
      <x:c r="L238" s="12" t="n">
        <x:v>1987.5219</x:v>
      </x:c>
      <x:c r="M238" s="13" t="n">
        <x:v>0.6352110683537762</x:v>
      </x:c>
      <x:c r="N238" s="13" t="n">
        <x:f>H238/G238</x:f>
        <x:v>0.10889453511925117</x:v>
      </x:c>
      <x:c r="O238" s="13" t="n">
        <x:f>F238/E238</x:f>
        <x:v>0.008</x:v>
      </x:c>
      <x:c r="P238" s="2" t="str">
        <x:f>IF(AND(E238&gt;='Итоги'!$F$5,N238&lt;='Итоги'!$B$5,O238&gt;='Итоги'!$D$5),"Да","Нет")</x:f>
        <x:v>Нет</x:v>
      </x:c>
    </x:row>
    <x:row r="239" ht="60" customHeight="1">
      <x:c r="A239" s="14" t="str">
        <x:v>Мелкая бытовая техника</x:v>
      </x:c>
      <x:c r="B239" s="14" t="str">
        <x:v>Мелкая бытовая техника SDA</x:v>
      </x:c>
      <x:c r="C239" s="14" t="str">
        <x:v>Электронные товары для красоты и здоровья SDA</x:v>
      </x:c>
      <x:c r="D239" s="14" t="str">
        <x:v>Бритва электрическая</x:v>
      </x:c>
      <x:c r="E239" s="2" t="n">
        <x:v>267</x:v>
      </x:c>
      <x:c r="F239" s="2" t="n">
        <x:v>2</x:v>
      </x:c>
      <x:c r="G239" s="12" t="n">
        <x:v>63633127.5485</x:v>
      </x:c>
      <x:c r="H239" s="12" t="n">
        <x:v>5850221.51731528</x:v>
      </x:c>
      <x:c r="I239" s="13" t="n">
        <x:v>0.0854074906367041</x:v>
      </x:c>
      <x:c r="J239" s="2" t="n">
        <x:v>88</x:v>
      </x:c>
      <x:c r="K239" s="2" t="n">
        <x:v>84</x:v>
      </x:c>
      <x:c r="L239" s="12" t="n">
        <x:v>2011.2511</x:v>
      </x:c>
      <x:c r="M239" s="13" t="n">
        <x:v>0.434441827388251</x:v>
      </x:c>
      <x:c r="N239" s="13" t="n">
        <x:f>H239/G239</x:f>
        <x:v>0.09193672765583223</x:v>
      </x:c>
      <x:c r="O239" s="13" t="n">
        <x:f>F239/E239</x:f>
        <x:v>0.00749063670411985</x:v>
      </x:c>
      <x:c r="P239" s="2" t="str">
        <x:f>IF(AND(E239&gt;='Итоги'!$F$5,N239&lt;='Итоги'!$B$5,O239&gt;='Итоги'!$D$5),"Да","Нет")</x:f>
        <x:v>Нет</x:v>
      </x:c>
    </x:row>
    <x:row r="240" ht="60" customHeight="1">
      <x:c r="A240" s="14" t="str">
        <x:v>Ноутбуки и компьютеры</x:v>
      </x:c>
      <x:c r="B240" s="14" t="str">
        <x:v>Ноутбуки и стационарные компьютеры Lap&amp;Comp</x:v>
      </x:c>
      <x:c r="C240" s="14" t="str">
        <x:v>Мобильный компьютер Lap&amp;Comp</x:v>
      </x:c>
      <x:c r="D240" s="14" t="str">
        <x:v>Ноутбук</x:v>
      </x:c>
      <x:c r="E240" s="2" t="n">
        <x:v>542</x:v>
      </x:c>
      <x:c r="F240" s="2" t="n">
        <x:v>4</x:v>
      </x:c>
      <x:c r="G240" s="12" t="n">
        <x:v>189968000.7792</x:v>
      </x:c>
      <x:c r="H240" s="12" t="n">
        <x:v>4792535.42089011</x:v>
      </x:c>
      <x:c r="I240" s="13" t="n">
        <x:v>0.0255673431734317</x:v>
      </x:c>
      <x:c r="J240" s="2" t="n">
        <x:v>221</x:v>
      </x:c>
      <x:c r="K240" s="2" t="n">
        <x:v>62</x:v>
      </x:c>
      <x:c r="L240" s="12" t="n">
        <x:v>41085.94</x:v>
      </x:c>
      <x:c r="M240" s="13" t="n">
        <x:v>0.6212644264645139</x:v>
      </x:c>
      <x:c r="N240" s="13" t="n">
        <x:f>H240/G240</x:f>
        <x:v>0.025228119479240498</x:v>
      </x:c>
      <x:c r="O240" s="13" t="n">
        <x:f>F240/E240</x:f>
        <x:v>0.007380073800738007</x:v>
      </x:c>
      <x:c r="P240" s="2" t="str">
        <x:f>IF(AND(E240&gt;='Итоги'!$F$5,N240&lt;='Итоги'!$B$5,O240&gt;='Итоги'!$D$5),"Да","Нет")</x:f>
        <x:v>Нет</x:v>
      </x:c>
    </x:row>
    <x:row r="241" ht="60" customHeight="1">
      <x:c r="A241" s="14" t="str">
        <x:v>Ноутбуки и компьютеры</x:v>
      </x:c>
      <x:c r="B241" s="14" t="str">
        <x:v>Игровые приставки и аксессуары Lap&amp;Comp</x:v>
      </x:c>
      <x:c r="C241" s="14" t="str">
        <x:v>Геймпад для игровой приставки Lap&amp;Comp</x:v>
      </x:c>
      <x:c r="D241" s="14" t="str">
        <x:v>Геймпад для игровой приставки</x:v>
      </x:c>
      <x:c r="E241" s="2" t="n">
        <x:v>137</x:v>
      </x:c>
      <x:c r="F241" s="2" t="n">
        <x:v>1</x:v>
      </x:c>
      <x:c r="G241" s="12" t="n">
        <x:v>33400708.4291</x:v>
      </x:c>
      <x:c r="H241" s="12" t="n">
        <x:v>1499435.54674284</x:v>
      </x:c>
      <x:c r="I241" s="13" t="n">
        <x:v>0.0458802919708029</x:v>
      </x:c>
      <x:c r="J241" s="2" t="n">
        <x:v>77</x:v>
      </x:c>
      <x:c r="K241" s="2" t="n">
        <x:v>30</x:v>
      </x:c>
      <x:c r="L241" s="12" t="n">
        <x:v>5492.9053</x:v>
      </x:c>
      <x:c r="M241" s="13" t="n">
        <x:v>0.3012594404474772</x:v>
      </x:c>
      <x:c r="N241" s="13" t="n">
        <x:f>H241/G241</x:f>
        <x:v>0.044892327656034785</x:v>
      </x:c>
      <x:c r="O241" s="13" t="n">
        <x:f>F241/E241</x:f>
        <x:v>0.0072992700729927005</x:v>
      </x:c>
      <x:c r="P241" s="2" t="str">
        <x:f>IF(AND(E241&gt;='Итоги'!$F$5,N241&lt;='Итоги'!$B$5,O241&gt;='Итоги'!$D$5),"Да","Нет")</x:f>
        <x:v>Нет</x:v>
      </x:c>
    </x:row>
    <x:row r="242" ht="60" customHeight="1">
      <x:c r="A242" s="14" t="str">
        <x:v>Строительство и ремонт (DIY)</x:v>
      </x:c>
      <x:c r="B242" s="14" t="str">
        <x:v>Инструменты</x:v>
      </x:c>
      <x:c r="C242" s="14" t="str">
        <x:v>Электроинструмент для строительства, ремонта</x:v>
      </x:c>
      <x:c r="D242" s="14" t="str">
        <x:v>Станок, верстак</x:v>
      </x:c>
      <x:c r="E242" s="2" t="n">
        <x:v>137</x:v>
      </x:c>
      <x:c r="F242" s="2" t="n">
        <x:v>1</x:v>
      </x:c>
      <x:c r="G242" s="12" t="n">
        <x:v>29485769.5398</x:v>
      </x:c>
      <x:c r="H242" s="12" t="n">
        <x:v>1350752.71820015</x:v>
      </x:c>
      <x:c r="I242" s="13" t="n">
        <x:v>0.0431883211678832</x:v>
      </x:c>
      <x:c r="J242" s="2" t="n">
        <x:v>64</x:v>
      </x:c>
      <x:c r="K242" s="2" t="n">
        <x:v>31</x:v>
      </x:c>
      <x:c r="L242" s="12" t="n">
        <x:v>9043.423</x:v>
      </x:c>
      <x:c r="M242" s="13" t="n">
        <x:v>0.6363806755347542</x:v>
      </x:c>
      <x:c r="N242" s="13" t="n">
        <x:f>H242/G242</x:f>
        <x:v>0.04581032610924056</x:v>
      </x:c>
      <x:c r="O242" s="13" t="n">
        <x:f>F242/E242</x:f>
        <x:v>0.0072992700729927005</x:v>
      </x:c>
      <x:c r="P242" s="2" t="str">
        <x:f>IF(AND(E242&gt;='Итоги'!$F$5,N242&lt;='Итоги'!$B$5,O242&gt;='Итоги'!$D$5),"Да","Нет")</x:f>
        <x:v>Нет</x:v>
      </x:c>
    </x:row>
    <x:row r="243" ht="60" customHeight="1">
      <x:c r="A243" s="14" t="str">
        <x:v>Строительство и ремонт (DIY)</x:v>
      </x:c>
      <x:c r="B243" s="14" t="str">
        <x:v>Инструменты</x:v>
      </x:c>
      <x:c r="C243" s="14" t="str">
        <x:v>Техника для строительства, ремонта</x:v>
      </x:c>
      <x:c r="D243" s="14" t="str">
        <x:v>Аксессуары для сварки</x:v>
      </x:c>
      <x:c r="E243" s="2" t="n">
        <x:v>138</x:v>
      </x:c>
      <x:c r="F243" s="2" t="n">
        <x:v>1</x:v>
      </x:c>
      <x:c r="G243" s="12" t="n">
        <x:v>23094805.9383</x:v>
      </x:c>
      <x:c r="H243" s="12" t="n">
        <x:v>1436393.29265844</x:v>
      </x:c>
      <x:c r="I243" s="13" t="n">
        <x:v>0.0657123188405797</x:v>
      </x:c>
      <x:c r="J243" s="2" t="n">
        <x:v>42</x:v>
      </x:c>
      <x:c r="K243" s="2" t="n">
        <x:v>42</x:v>
      </x:c>
      <x:c r="L243" s="12" t="n">
        <x:v>1369.3512500000002</x:v>
      </x:c>
      <x:c r="M243" s="13" t="n">
        <x:v>0.5587149493774797</x:v>
      </x:c>
      <x:c r="N243" s="13" t="n">
        <x:f>H243/G243</x:f>
        <x:v>0.06219551255359769</x:v>
      </x:c>
      <x:c r="O243" s="13" t="n">
        <x:f>F243/E243</x:f>
        <x:v>0.007246376811594203</x:v>
      </x:c>
      <x:c r="P243" s="2" t="str">
        <x:f>IF(AND(E243&gt;='Итоги'!$F$5,N243&lt;='Итоги'!$B$5,O243&gt;='Итоги'!$D$5),"Да","Нет")</x:f>
        <x:v>Нет</x:v>
      </x:c>
    </x:row>
    <x:row r="244" ht="60" customHeight="1">
      <x:c r="A244" s="14" t="str">
        <x:v>Строительство и ремонт (DIY)</x:v>
      </x:c>
      <x:c r="B244" s="14" t="str">
        <x:v>Сад и огород</x:v>
      </x:c>
      <x:c r="C244" s="14" t="str">
        <x:v>Садовый инструмент</x:v>
      </x:c>
      <x:c r="D244" s="14" t="str">
        <x:v>Пила цепная</x:v>
      </x:c>
      <x:c r="E244" s="2" t="n">
        <x:v>558</x:v>
      </x:c>
      <x:c r="F244" s="2" t="n">
        <x:v>4</x:v>
      </x:c>
      <x:c r="G244" s="12" t="n">
        <x:v>142659209.2208</x:v>
      </x:c>
      <x:c r="H244" s="12" t="n">
        <x:v>16095249.15344078</x:v>
      </x:c>
      <x:c r="I244" s="13" t="n">
        <x:v>0.1260270609318996</x:v>
      </x:c>
      <x:c r="J244" s="2" t="n">
        <x:v>91</x:v>
      </x:c>
      <x:c r="K244" s="2" t="n">
        <x:v>174</x:v>
      </x:c>
      <x:c r="L244" s="12" t="n">
        <x:v>3942.6218</x:v>
      </x:c>
      <x:c r="M244" s="13" t="n">
        <x:v>0.5831496621163835</x:v>
      </x:c>
      <x:c r="N244" s="13" t="n">
        <x:f>H244/G244</x:f>
        <x:v>0.11282306442992716</x:v>
      </x:c>
      <x:c r="O244" s="13" t="n">
        <x:f>F244/E244</x:f>
        <x:v>0.007168458781362007</x:v>
      </x:c>
      <x:c r="P244" s="2" t="str">
        <x:f>IF(AND(E244&gt;='Итоги'!$F$5,N244&lt;='Итоги'!$B$5,O244&gt;='Итоги'!$D$5),"Да","Нет")</x:f>
        <x:v>Нет</x:v>
      </x:c>
    </x:row>
    <x:row r="245" ht="60" customHeight="1">
      <x:c r="A245" s="14" t="str">
        <x:v>Строительство и ремонт (DIY)</x:v>
      </x:c>
      <x:c r="B245" s="14" t="str">
        <x:v>Инструменты</x:v>
      </x:c>
      <x:c r="C245" s="14" t="str">
        <x:v>Электроинструмент для строительства, ремонта</x:v>
      </x:c>
      <x:c r="D245" s="14" t="str">
        <x:v>Шуруповерт</x:v>
      </x:c>
      <x:c r="E245" s="2" t="n">
        <x:v>419</x:v>
      </x:c>
      <x:c r="F245" s="2" t="n">
        <x:v>3</x:v>
      </x:c>
      <x:c r="G245" s="12" t="n">
        <x:v>98829790.8878</x:v>
      </x:c>
      <x:c r="H245" s="12" t="n">
        <x:v>10623489.15354663</x:v>
      </x:c>
      <x:c r="I245" s="13" t="n">
        <x:v>0.111009307875895</x:v>
      </x:c>
      <x:c r="J245" s="2" t="n">
        <x:v>84</x:v>
      </x:c>
      <x:c r="K245" s="2" t="n">
        <x:v>116</x:v>
      </x:c>
      <x:c r="L245" s="12" t="n">
        <x:v>3004.8889</x:v>
      </x:c>
      <x:c r="M245" s="13" t="n">
        <x:v>0.5527624818271644</x:v>
      </x:c>
      <x:c r="N245" s="13" t="n">
        <x:f>H245/G245</x:f>
        <x:v>0.10749278186379368</x:v>
      </x:c>
      <x:c r="O245" s="13" t="n">
        <x:f>F245/E245</x:f>
        <x:v>0.007159904534606206</x:v>
      </x:c>
      <x:c r="P245" s="2" t="str">
        <x:f>IF(AND(E245&gt;='Итоги'!$F$5,N245&lt;='Итоги'!$B$5,O245&gt;='Итоги'!$D$5),"Да","Нет")</x:f>
        <x:v>Нет</x:v>
      </x:c>
    </x:row>
    <x:row r="246" ht="60" customHeight="1">
      <x:c r="A246" s="14" t="str">
        <x:v>Мелкая бытовая техника</x:v>
      </x:c>
      <x:c r="B246" s="14" t="str">
        <x:v>Мелкая бытовая техника SDA</x:v>
      </x:c>
      <x:c r="C246" s="14" t="str">
        <x:v>Электронная кухонная техника SDA</x:v>
      </x:c>
      <x:c r="D246" s="14" t="str">
        <x:v>Миксер стационарный/планетарный</x:v>
      </x:c>
      <x:c r="E246" s="2" t="n">
        <x:v>148</x:v>
      </x:c>
      <x:c r="F246" s="2" t="n">
        <x:v>1</x:v>
      </x:c>
      <x:c r="G246" s="12" t="n">
        <x:v>33656322.1169</x:v>
      </x:c>
      <x:c r="H246" s="12" t="n">
        <x:v>1871717.42499652</x:v>
      </x:c>
      <x:c r="I246" s="13" t="n">
        <x:v>0.0584743243243243</x:v>
      </x:c>
      <x:c r="J246" s="2" t="n">
        <x:v>41</x:v>
      </x:c>
      <x:c r="K246" s="2" t="n">
        <x:v>16</x:v>
      </x:c>
      <x:c r="L246" s="12" t="n">
        <x:v>6968.3941</x:v>
      </x:c>
      <x:c r="M246" s="13" t="n">
        <x:v>0.8267073899981676</x:v>
      </x:c>
      <x:c r="N246" s="13" t="n">
        <x:f>H246/G246</x:f>
        <x:v>0.05561265483778652</x:v>
      </x:c>
      <x:c r="O246" s="13" t="n">
        <x:f>F246/E246</x:f>
        <x:v>0.006756756756756757</x:v>
      </x:c>
      <x:c r="P246" s="2" t="str">
        <x:f>IF(AND(E246&gt;='Итоги'!$F$5,N246&lt;='Итоги'!$B$5,O246&gt;='Итоги'!$D$5),"Да","Нет")</x:f>
        <x:v>Нет</x:v>
      </x:c>
    </x:row>
    <x:row r="247" ht="60" customHeight="1">
      <x:c r="A247" s="14" t="str">
        <x:v>Строительство и ремонт (DIY)</x:v>
      </x:c>
      <x:c r="B247" s="14" t="str">
        <x:v>Инструменты</x:v>
      </x:c>
      <x:c r="C247" s="14" t="str">
        <x:v>Электроинструмент для строительства, ремонта</x:v>
      </x:c>
      <x:c r="D247" s="14" t="str">
        <x:v>Минимойка и аксессуары</x:v>
      </x:c>
      <x:c r="E247" s="2" t="n">
        <x:v>459</x:v>
      </x:c>
      <x:c r="F247" s="2" t="n">
        <x:v>3</x:v>
      </x:c>
      <x:c r="G247" s="12" t="n">
        <x:v>107608455.2944</x:v>
      </x:c>
      <x:c r="H247" s="12" t="n">
        <x:v>8280577.49781774</x:v>
      </x:c>
      <x:c r="I247" s="13" t="n">
        <x:v>0.0803217864923747</x:v>
      </x:c>
      <x:c r="J247" s="2" t="n">
        <x:v>117</x:v>
      </x:c>
      <x:c r="K247" s="2" t="n">
        <x:v>110</x:v>
      </x:c>
      <x:c r="L247" s="12" t="n">
        <x:v>4362.026</x:v>
      </x:c>
      <x:c r="M247" s="13" t="n">
        <x:v>0.6749046743586092</x:v>
      </x:c>
      <x:c r="N247" s="13" t="n">
        <x:f>H247/G247</x:f>
        <x:v>0.07695099307171882</x:v>
      </x:c>
      <x:c r="O247" s="13" t="n">
        <x:f>F247/E247</x:f>
        <x:v>0.006535947712418301</x:v>
      </x:c>
      <x:c r="P247" s="2" t="str">
        <x:f>IF(AND(E247&gt;='Итоги'!$F$5,N247&lt;='Итоги'!$B$5,O247&gt;='Итоги'!$D$5),"Да","Нет")</x:f>
        <x:v>Нет</x:v>
      </x:c>
    </x:row>
    <x:row r="248" ht="60" customHeight="1">
      <x:c r="A248" s="14" t="str">
        <x:v>Ноутбуки и компьютеры</x:v>
      </x:c>
      <x:c r="B248" s="14" t="str">
        <x:v>Компьютерная офисная техника Lap&amp;Comp</x:v>
      </x:c>
      <x:c r="C248" s="14" t="str">
        <x:v>Компьютерная офисная техника Lap&amp;Comp</x:v>
      </x:c>
      <x:c r="D248" s="14" t="str">
        <x:v>Монитор</x:v>
      </x:c>
      <x:c r="E248" s="2" t="n">
        <x:v>314</x:v>
      </x:c>
      <x:c r="F248" s="2" t="n">
        <x:v>2</x:v>
      </x:c>
      <x:c r="G248" s="12" t="n">
        <x:v>89359035.578</x:v>
      </x:c>
      <x:c r="H248" s="12" t="n">
        <x:v>3303606.80072951</x:v>
      </x:c>
      <x:c r="I248" s="13" t="n">
        <x:v>0.0321019108280254</x:v>
      </x:c>
      <x:c r="J248" s="2" t="n">
        <x:v>141</x:v>
      </x:c>
      <x:c r="K248" s="2" t="n">
        <x:v>41</x:v>
      </x:c>
      <x:c r="L248" s="12" t="n">
        <x:v>13224.2864</x:v>
      </x:c>
      <x:c r="M248" s="13" t="n">
        <x:v>0.6388947626719428</x:v>
      </x:c>
      <x:c r="N248" s="13" t="n">
        <x:f>H248/G248</x:f>
        <x:v>0.0369700364306847</x:v>
      </x:c>
      <x:c r="O248" s="13" t="n">
        <x:f>F248/E248</x:f>
        <x:v>0.006369426751592357</x:v>
      </x:c>
      <x:c r="P248" s="2" t="str">
        <x:f>IF(AND(E248&gt;='Итоги'!$F$5,N248&lt;='Итоги'!$B$5,O248&gt;='Итоги'!$D$5),"Да","Нет")</x:f>
        <x:v>Нет</x:v>
      </x:c>
    </x:row>
    <x:row r="249" ht="60" customHeight="1">
      <x:c r="A249" s="14" t="str">
        <x:v>Мелкая бытовая техника</x:v>
      </x:c>
      <x:c r="B249" s="14" t="str">
        <x:v>Мелкая бытовая техника SDA</x:v>
      </x:c>
      <x:c r="C249" s="14" t="str">
        <x:v>Электронная кухонная техника SDA</x:v>
      </x:c>
      <x:c r="D249" s="14" t="str">
        <x:v>Термопот</x:v>
      </x:c>
      <x:c r="E249" s="2" t="n">
        <x:v>163</x:v>
      </x:c>
      <x:c r="F249" s="2" t="n">
        <x:v>1</x:v>
      </x:c>
      <x:c r="G249" s="12" t="n">
        <x:v>28984186.9441</x:v>
      </x:c>
      <x:c r="H249" s="12" t="n">
        <x:v>1629424.80982796</x:v>
      </x:c>
      <x:c r="I249" s="13" t="n">
        <x:v>0.0539865030674846</x:v>
      </x:c>
      <x:c r="J249" s="2" t="n">
        <x:v>60</x:v>
      </x:c>
      <x:c r="K249" s="2" t="n">
        <x:v>22</x:v>
      </x:c>
      <x:c r="L249" s="12" t="n">
        <x:v>3830.774</x:v>
      </x:c>
      <x:c r="M249" s="13" t="n">
        <x:v>0.8014942200622541</x:v>
      </x:c>
      <x:c r="N249" s="13" t="n">
        <x:f>H249/G249</x:f>
        <x:v>0.056217716680151505</x:v>
      </x:c>
      <x:c r="O249" s="13" t="n">
        <x:f>F249/E249</x:f>
        <x:v>0.006134969325153374</x:v>
      </x:c>
      <x:c r="P249" s="2" t="str">
        <x:f>IF(AND(E249&gt;='Итоги'!$F$5,N249&lt;='Итоги'!$B$5,O249&gt;='Итоги'!$D$5),"Да","Нет")</x:f>
        <x:v>Нет</x:v>
      </x:c>
    </x:row>
    <x:row r="250" ht="60" customHeight="1">
      <x:c r="A250" s="14" t="str">
        <x:v>Строительство и ремонт (DIY)</x:v>
      </x:c>
      <x:c r="B250" s="14" t="str">
        <x:v>Инструменты</x:v>
      </x:c>
      <x:c r="C250" s="14" t="str">
        <x:v>Электроинструмент для строительства, ремонта</x:v>
      </x:c>
      <x:c r="D250" s="14" t="str">
        <x:v>Пила дисковая электрическая</x:v>
      </x:c>
      <x:c r="E250" s="2" t="n">
        <x:v>165</x:v>
      </x:c>
      <x:c r="F250" s="2" t="n">
        <x:v>1</x:v>
      </x:c>
      <x:c r="G250" s="12" t="n">
        <x:v>34780422.9687</x:v>
      </x:c>
      <x:c r="H250" s="12" t="n">
        <x:v>1769721.72096694</x:v>
      </x:c>
      <x:c r="I250" s="13" t="n">
        <x:v>0.0474672727272727</x:v>
      </x:c>
      <x:c r="J250" s="2" t="n">
        <x:v>81</x:v>
      </x:c>
      <x:c r="K250" s="2" t="n">
        <x:v>40</x:v>
      </x:c>
      <x:c r="L250" s="12" t="n">
        <x:v>6925.125</x:v>
      </x:c>
      <x:c r="M250" s="13" t="n">
        <x:v>0.6618195886696074</x:v>
      </x:c>
      <x:c r="N250" s="13" t="n">
        <x:f>H250/G250</x:f>
        <x:v>0.05088269692865922</x:v>
      </x:c>
      <x:c r="O250" s="13" t="n">
        <x:f>F250/E250</x:f>
        <x:v>0.006060606060606061</x:v>
      </x:c>
      <x:c r="P250" s="2" t="str">
        <x:f>IF(AND(E250&gt;='Итоги'!$F$5,N250&lt;='Итоги'!$B$5,O250&gt;='Итоги'!$D$5),"Да","Нет")</x:f>
        <x:v>Нет</x:v>
      </x:c>
    </x:row>
    <x:row r="251" ht="60" customHeight="1">
      <x:c r="A251" s="14" t="str">
        <x:v>Строительство и ремонт (DIY)</x:v>
      </x:c>
      <x:c r="B251" s="14" t="str">
        <x:v>Фильтры для воды</x:v>
      </x:c>
      <x:c r="C251" s="14" t="str">
        <x:v>Фильтры для воды</x:v>
      </x:c>
      <x:c r="D251" s="14" t="str">
        <x:v>Фильтр для воды проточный</x:v>
      </x:c>
      <x:c r="E251" s="2" t="n">
        <x:v>337</x:v>
      </x:c>
      <x:c r="F251" s="2" t="n">
        <x:v>2</x:v>
      </x:c>
      <x:c r="G251" s="12" t="n">
        <x:v>73925721.7455</x:v>
      </x:c>
      <x:c r="H251" s="12" t="n">
        <x:v>3080545.91216138</x:v>
      </x:c>
      <x:c r="I251" s="13" t="n">
        <x:v>0.0410596439169139</x:v>
      </x:c>
      <x:c r="J251" s="2" t="n">
        <x:v>159</x:v>
      </x:c>
      <x:c r="K251" s="2" t="n">
        <x:v>47</x:v>
      </x:c>
      <x:c r="L251" s="12" t="n">
        <x:v>4919.8824</x:v>
      </x:c>
      <x:c r="M251" s="13" t="n">
        <x:v>0.651025373039792</x:v>
      </x:c>
      <x:c r="N251" s="13" t="n">
        <x:f>H251/G251</x:f>
        <x:v>0.041670826329793645</x:v>
      </x:c>
      <x:c r="O251" s="13" t="n">
        <x:f>F251/E251</x:f>
        <x:v>0.005934718100890208</x:v>
      </x:c>
      <x:c r="P251" s="2" t="str">
        <x:f>IF(AND(E251&gt;='Итоги'!$F$5,N251&lt;='Итоги'!$B$5,O251&gt;='Итоги'!$D$5),"Да","Нет")</x:f>
        <x:v>Нет</x:v>
      </x:c>
    </x:row>
    <x:row r="252" ht="60" customHeight="1">
      <x:c r="A252" s="14" t="str">
        <x:v>Строительство и ремонт (DIY)</x:v>
      </x:c>
      <x:c r="B252" s="14" t="str">
        <x:v>Сантехника</x:v>
      </x:c>
      <x:c r="C252" s="14" t="str">
        <x:v>Раковина, мойка</x:v>
      </x:c>
      <x:c r="D252" s="14" t="str">
        <x:v>Мойка</x:v>
      </x:c>
      <x:c r="E252" s="2" t="n">
        <x:v>339</x:v>
      </x:c>
      <x:c r="F252" s="2" t="n">
        <x:v>2</x:v>
      </x:c>
      <x:c r="G252" s="12" t="n">
        <x:v>67938569.4012</x:v>
      </x:c>
      <x:c r="H252" s="12" t="n">
        <x:v>3012289.51201914</x:v>
      </x:c>
      <x:c r="I252" s="13" t="n">
        <x:v>0.0404415929203539</x:v>
      </x:c>
      <x:c r="J252" s="2" t="n">
        <x:v>104</x:v>
      </x:c>
      <x:c r="K252" s="2" t="n">
        <x:v>55</x:v>
      </x:c>
      <x:c r="L252" s="12" t="n">
        <x:v>7212.5135</x:v>
      </x:c>
      <x:c r="M252" s="13" t="n">
        <x:v>0.4319926823934801</x:v>
      </x:c>
      <x:c r="N252" s="13" t="n">
        <x:f>H252/G252</x:f>
        <x:v>0.04433843012252087</x:v>
      </x:c>
      <x:c r="O252" s="13" t="n">
        <x:f>F252/E252</x:f>
        <x:v>0.0058997050147492625</x:v>
      </x:c>
      <x:c r="P252" s="2" t="str">
        <x:f>IF(AND(E252&gt;='Итоги'!$F$5,N252&lt;='Итоги'!$B$5,O252&gt;='Итоги'!$D$5),"Да","Нет")</x:f>
        <x:v>Нет</x:v>
      </x:c>
    </x:row>
    <x:row r="253" ht="60" customHeight="1">
      <x:c r="A253" s="14" t="str">
        <x:v>Ноутбуки и компьютеры</x:v>
      </x:c>
      <x:c r="B253" s="14" t="str">
        <x:v>Компьютерные комплектующие Lap&amp;Comp</x:v>
      </x:c>
      <x:c r="C253" s="14" t="str">
        <x:v>Компьютерные комплектующие Lap&amp;Comp</x:v>
      </x:c>
      <x:c r="D253" s="14" t="str">
        <x:v>Блок питания</x:v>
      </x:c>
      <x:c r="E253" s="2" t="n">
        <x:v>191</x:v>
      </x:c>
      <x:c r="F253" s="2" t="n">
        <x:v>1</x:v>
      </x:c>
      <x:c r="G253" s="12" t="n">
        <x:v>47046358.8179</x:v>
      </x:c>
      <x:c r="H253" s="12" t="n">
        <x:v>838775.69250534</x:v>
      </x:c>
      <x:c r="I253" s="13" t="n">
        <x:v>0.0177157068062827</x:v>
      </x:c>
      <x:c r="J253" s="2" t="n">
        <x:v>116</x:v>
      </x:c>
      <x:c r="K253" s="2" t="n">
        <x:v>19</x:v>
      </x:c>
      <x:c r="L253" s="12" t="n">
        <x:v>4343.0541</x:v>
      </x:c>
      <x:c r="M253" s="13" t="n">
        <x:v>0.489903692645194</x:v>
      </x:c>
      <x:c r="N253" s="13" t="n">
        <x:f>H253/G253</x:f>
        <x:v>0.01782870584633228</x:v>
      </x:c>
      <x:c r="O253" s="13" t="n">
        <x:f>F253/E253</x:f>
        <x:v>0.005235602094240838</x:v>
      </x:c>
      <x:c r="P253" s="2" t="str">
        <x:f>IF(AND(E253&gt;='Итоги'!$F$5,N253&lt;='Итоги'!$B$5,O253&gt;='Итоги'!$D$5),"Да","Нет")</x:f>
        <x:v>Нет</x:v>
      </x:c>
    </x:row>
    <x:row r="254" ht="60" customHeight="1">
      <x:c r="A254" s="14" t="str">
        <x:v>Ноутбуки и компьютеры</x:v>
      </x:c>
      <x:c r="B254" s="14" t="str">
        <x:v>Компьютерная периферия Lap&amp;Comp</x:v>
      </x:c>
      <x:c r="C254" s="14" t="str">
        <x:v>Сетевое оборудование Lap&amp;Comp</x:v>
      </x:c>
      <x:c r="D254" s="14" t="str">
        <x:v>Маршрутизатор, точка доступа</x:v>
      </x:c>
      <x:c r="E254" s="2" t="n">
        <x:v>398</x:v>
      </x:c>
      <x:c r="F254" s="2" t="n">
        <x:v>2</x:v>
      </x:c>
      <x:c r="G254" s="12" t="n">
        <x:v>101621465.688</x:v>
      </x:c>
      <x:c r="H254" s="12" t="n">
        <x:v>2891882.057448</x:v>
      </x:c>
      <x:c r="I254" s="13" t="n">
        <x:v>0.0273135678391959</x:v>
      </x:c>
      <x:c r="J254" s="2" t="n">
        <x:v>227</x:v>
      </x:c>
      <x:c r="K254" s="2" t="n">
        <x:v>61</x:v>
      </x:c>
      <x:c r="L254" s="12" t="n">
        <x:v>5144.56955</x:v>
      </x:c>
      <x:c r="M254" s="13" t="n">
        <x:v>0.4609777714073232</x:v>
      </x:c>
      <x:c r="N254" s="13" t="n">
        <x:f>H254/G254</x:f>
        <x:v>0.02845739369993646</x:v>
      </x:c>
      <x:c r="O254" s="13" t="n">
        <x:f>F254/E254</x:f>
        <x:v>0.005025125628140704</x:v>
      </x:c>
      <x:c r="P254" s="2" t="str">
        <x:f>IF(AND(E254&gt;='Итоги'!$F$5,N254&lt;='Итоги'!$B$5,O254&gt;='Итоги'!$D$5),"Да","Нет")</x:f>
        <x:v>Нет</x:v>
      </x:c>
    </x:row>
    <x:row r="255" ht="60" customHeight="1">
      <x:c r="A255" s="14" t="str">
        <x:v>Строительство и ремонт (DIY)</x:v>
      </x:c>
      <x:c r="B255" s="14" t="str">
        <x:v>Сад и огород</x:v>
      </x:c>
      <x:c r="C255" s="14" t="str">
        <x:v>Полив</x:v>
      </x:c>
      <x:c r="D255" s="14" t="str">
        <x:v>Дождеватели, оросители, распылители</x:v>
      </x:c>
      <x:c r="E255" s="2" t="n">
        <x:v>207</x:v>
      </x:c>
      <x:c r="F255" s="2" t="n">
        <x:v>1</x:v>
      </x:c>
      <x:c r="G255" s="12" t="n">
        <x:v>43982958.9758</x:v>
      </x:c>
      <x:c r="H255" s="12" t="n">
        <x:v>3815684.64761721</x:v>
      </x:c>
      <x:c r="I255" s="13" t="n">
        <x:v>0.0907932367149758</x:v>
      </x:c>
      <x:c r="J255" s="2" t="n">
        <x:v>51</x:v>
      </x:c>
      <x:c r="K255" s="2" t="n">
        <x:v>66</x:v>
      </x:c>
      <x:c r="L255" s="12" t="n">
        <x:v>1755.4221</x:v>
      </x:c>
      <x:c r="M255" s="13" t="n">
        <x:v>0.522329877217683</x:v>
      </x:c>
      <x:c r="N255" s="13" t="n">
        <x:f>H255/G255</x:f>
        <x:v>0.08675370499098639</x:v>
      </x:c>
      <x:c r="O255" s="13" t="n">
        <x:f>F255/E255</x:f>
        <x:v>0.004830917874396135</x:v>
      </x:c>
      <x:c r="P255" s="2" t="str">
        <x:f>IF(AND(E255&gt;='Итоги'!$F$5,N255&lt;='Итоги'!$B$5,O255&gt;='Итоги'!$D$5),"Да","Нет")</x:f>
        <x:v>Нет</x:v>
      </x:c>
    </x:row>
    <x:row r="256" ht="60" customHeight="1">
      <x:c r="A256" s="14" t="str">
        <x:v>Строительство и ремонт (DIY)</x:v>
      </x:c>
      <x:c r="B256" s="14" t="str">
        <x:v>Сад и огород</x:v>
      </x:c>
      <x:c r="C256" s="14" t="str">
        <x:v>Полив</x:v>
      </x:c>
      <x:c r="D256" s="14" t="str">
        <x:v>Насос поверхностный</x:v>
      </x:c>
      <x:c r="E256" s="2" t="n">
        <x:v>276</x:v>
      </x:c>
      <x:c r="F256" s="2" t="n">
        <x:v>1</x:v>
      </x:c>
      <x:c r="G256" s="12" t="n">
        <x:v>61537232.8474</x:v>
      </x:c>
      <x:c r="H256" s="12" t="n">
        <x:v>3775918.39061489</x:v>
      </x:c>
      <x:c r="I256" s="13" t="n">
        <x:v>0.0602967391304347</x:v>
      </x:c>
      <x:c r="J256" s="2" t="n">
        <x:v>89</x:v>
      </x:c>
      <x:c r="K256" s="2" t="n">
        <x:v>37</x:v>
      </x:c>
      <x:c r="L256" s="12" t="n">
        <x:v>6269.3624</x:v>
      </x:c>
      <x:c r="M256" s="13" t="n">
        <x:v>0.8717726770089339</x:v>
      </x:c>
      <x:c r="N256" s="13" t="n">
        <x:f>H256/G256</x:f>
        <x:v>0.0613598989733323</x:v>
      </x:c>
      <x:c r="O256" s="13" t="n">
        <x:f>F256/E256</x:f>
        <x:v>0.0036231884057971015</x:v>
      </x:c>
      <x:c r="P256" s="2" t="str">
        <x:f>IF(AND(E256&gt;='Итоги'!$F$5,N256&lt;='Итоги'!$B$5,O256&gt;='Итоги'!$D$5),"Да","Нет")</x:f>
        <x:v>Нет</x:v>
      </x:c>
    </x:row>
    <x:row r="257" ht="60" customHeight="1">
      <x:c r="A257" s="14" t="str">
        <x:v>Строительство и ремонт (DIY)</x:v>
      </x:c>
      <x:c r="B257" s="14" t="str">
        <x:v>Ремонт и строительство</x:v>
      </x:c>
      <x:c r="C257" s="14" t="str">
        <x:v>Отделка стен</x:v>
      </x:c>
      <x:c r="D257" s="14" t="str">
        <x:v>Обои</x:v>
      </x:c>
      <x:c r="E257" s="2" t="n">
        <x:v>288</x:v>
      </x:c>
      <x:c r="F257" s="2" t="n">
        <x:v>1</x:v>
      </x:c>
      <x:c r="G257" s="12" t="n">
        <x:v>57529709.8208</x:v>
      </x:c>
      <x:c r="H257" s="12" t="n">
        <x:v>4830416.7011389695</x:v>
      </x:c>
      <x:c r="I257" s="13" t="n">
        <x:v>0.0871361111111111</x:v>
      </x:c>
      <x:c r="J257" s="2" t="n">
        <x:v>55</x:v>
      </x:c>
      <x:c r="K257" s="2" t="n">
        <x:v>22</x:v>
      </x:c>
      <x:c r="L257" s="12" t="n">
        <x:v>1717.39735</x:v>
      </x:c>
      <x:c r="M257" s="13" t="n">
        <x:v>0.4944255423137202</x:v>
      </x:c>
      <x:c r="N257" s="13" t="n">
        <x:f>H257/G257</x:f>
        <x:v>0.08396386347480796</x:v>
      </x:c>
      <x:c r="O257" s="13" t="n">
        <x:f>F257/E257</x:f>
        <x:v>0.003472222222222222</x:v>
      </x:c>
      <x:c r="P257" s="2" t="str">
        <x:f>IF(AND(E257&gt;='Итоги'!$F$5,N257&lt;='Итоги'!$B$5,O257&gt;='Итоги'!$D$5),"Да","Нет")</x:f>
        <x:v>Нет</x:v>
      </x:c>
    </x:row>
    <x:row r="258" ht="60" customHeight="1">
      <x:c r="A258" s="14" t="str">
        <x:v>Строительство и ремонт (DIY)</x:v>
      </x:c>
      <x:c r="B258" s="14" t="str">
        <x:v>Освещение</x:v>
      </x:c>
      <x:c r="C258" s="14" t="str">
        <x:v>Светильник домашний</x:v>
      </x:c>
      <x:c r="D258" s="14" t="str">
        <x:v>Светильник потолочный</x:v>
      </x:c>
      <x:c r="E258" s="2" t="n">
        <x:v>886</x:v>
      </x:c>
      <x:c r="F258" s="2" t="n">
        <x:v>3</x:v>
      </x:c>
      <x:c r="G258" s="12" t="n">
        <x:v>182138478.4455</x:v>
      </x:c>
      <x:c r="H258" s="12" t="n">
        <x:v>15576560.20858607</x:v>
      </x:c>
      <x:c r="I258" s="13" t="n">
        <x:v>0.0923788939051918</x:v>
      </x:c>
      <x:c r="J258" s="2" t="n">
        <x:v>89</x:v>
      </x:c>
      <x:c r="K258" s="2" t="n">
        <x:v>108</x:v>
      </x:c>
      <x:c r="L258" s="12" t="n">
        <x:v>2656.19095</x:v>
      </x:c>
      <x:c r="M258" s="13" t="n">
        <x:v>0.5923897383824102</x:v>
      </x:c>
      <x:c r="N258" s="13" t="n">
        <x:f>H258/G258</x:f>
        <x:v>0.08552042567571429</x:v>
      </x:c>
      <x:c r="O258" s="13" t="n">
        <x:f>F258/E258</x:f>
        <x:v>0.003386004514672686</x:v>
      </x:c>
      <x:c r="P258" s="2" t="str">
        <x:f>IF(AND(E258&gt;='Итоги'!$F$5,N258&lt;='Итоги'!$B$5,O258&gt;='Итоги'!$D$5),"Да","Нет")</x:f>
        <x:v>Нет</x:v>
      </x:c>
    </x:row>
    <x:row r="259" ht="60" customHeight="1">
      <x:c r="A259" s="14" t="str">
        <x:v>Ноутбуки и компьютеры</x:v>
      </x:c>
      <x:c r="B259" s="14" t="str">
        <x:v>Компьютерная периферия Lap&amp;Comp</x:v>
      </x:c>
      <x:c r="C259" s="14" t="str">
        <x:v>Периферийное оборудование Lap&amp;Comp</x:v>
      </x:c>
      <x:c r="D259" s="14" t="str">
        <x:v>Гарнитура для PC</x:v>
      </x:c>
      <x:c r="E259" s="2" t="n">
        <x:v>310</x:v>
      </x:c>
      <x:c r="F259" s="2" t="n">
        <x:v>1</x:v>
      </x:c>
      <x:c r="G259" s="12" t="n">
        <x:v>63480826.2593</x:v>
      </x:c>
      <x:c r="H259" s="12" t="n">
        <x:v>4460004.66199167</x:v>
      </x:c>
      <x:c r="I259" s="13" t="n">
        <x:v>0.0697616129032258</x:v>
      </x:c>
      <x:c r="J259" s="2" t="n">
        <x:v>96</x:v>
      </x:c>
      <x:c r="K259" s="2" t="n">
        <x:v>74</x:v>
      </x:c>
      <x:c r="L259" s="12" t="n">
        <x:v>2532.13695</x:v>
      </x:c>
      <x:c r="M259" s="13" t="n">
        <x:v>0.5097596807344522</x:v>
      </x:c>
      <x:c r="N259" s="13" t="n">
        <x:f>H259/G259</x:f>
        <x:v>0.07025750805091757</x:v>
      </x:c>
      <x:c r="O259" s="13" t="n">
        <x:f>F259/E259</x:f>
        <x:v>0.0032258064516129032</x:v>
      </x:c>
      <x:c r="P259" s="2" t="str">
        <x:f>IF(AND(E259&gt;='Итоги'!$F$5,N259&lt;='Итоги'!$B$5,O259&gt;='Итоги'!$D$5),"Да","Нет")</x:f>
        <x:v>Нет</x:v>
      </x:c>
    </x:row>
    <x:row r="260" ht="60" customHeight="1">
      <x:c r="A260" s="14" t="str">
        <x:v>Строительство и ремонт (DIY)</x:v>
      </x:c>
      <x:c r="B260" s="14" t="str">
        <x:v>Сантехника</x:v>
      </x:c>
      <x:c r="C260" s="14" t="str">
        <x:v>Смеситель</x:v>
      </x:c>
      <x:c r="D260" s="14" t="str">
        <x:v>Смеситель для кухни</x:v>
      </x:c>
      <x:c r="E260" s="2" t="n">
        <x:v>344</x:v>
      </x:c>
      <x:c r="F260" s="2" t="n">
        <x:v>1</x:v>
      </x:c>
      <x:c r="G260" s="12" t="n">
        <x:v>66013139.2658</x:v>
      </x:c>
      <x:c r="H260" s="12" t="n">
        <x:v>5997024.90041616</x:v>
      </x:c>
      <x:c r="I260" s="13" t="n">
        <x:v>0.0877770348837209</x:v>
      </x:c>
      <x:c r="J260" s="2" t="n">
        <x:v>72</x:v>
      </x:c>
      <x:c r="K260" s="2" t="n">
        <x:v>45</x:v>
      </x:c>
      <x:c r="L260" s="12" t="n">
        <x:v>4113.1572</x:v>
      </x:c>
      <x:c r="M260" s="13" t="n">
        <x:v>0.7479178874754527</x:v>
      </x:c>
      <x:c r="N260" s="13" t="n">
        <x:f>H260/G260</x:f>
        <x:v>0.09084592805485757</x:v>
      </x:c>
      <x:c r="O260" s="13" t="n">
        <x:f>F260/E260</x:f>
        <x:v>0.0029069767441860465</x:v>
      </x:c>
      <x:c r="P260" s="2" t="str">
        <x:f>IF(AND(E260&gt;='Итоги'!$F$5,N260&lt;='Итоги'!$B$5,O260&gt;='Итоги'!$D$5),"Да","Нет")</x:f>
        <x:v>Нет</x:v>
      </x:c>
    </x:row>
    <x:row r="261" ht="60" customHeight="1">
      <x:c r="A261" s="14" t="str">
        <x:v>Строительство и ремонт (DIY)</x:v>
      </x:c>
      <x:c r="B261" s="14" t="str">
        <x:v>Сантехника</x:v>
      </x:c>
      <x:c r="C261" s="14" t="str">
        <x:v>Смеситель</x:v>
      </x:c>
      <x:c r="D261" s="14" t="str">
        <x:v>Смеситель для раковины</x:v>
      </x:c>
      <x:c r="E261" s="2" t="n">
        <x:v>382</x:v>
      </x:c>
      <x:c r="F261" s="2" t="n">
        <x:v>1</x:v>
      </x:c>
      <x:c r="G261" s="12" t="n">
        <x:v>57639024.8153</x:v>
      </x:c>
      <x:c r="H261" s="12" t="n">
        <x:v>5320423.16507159</x:v>
      </x:c>
      <x:c r="I261" s="13" t="n">
        <x:v>0.0872010471204188</x:v>
      </x:c>
      <x:c r="J261" s="2" t="n">
        <x:v>62</x:v>
      </x:c>
      <x:c r="K261" s="2" t="n">
        <x:v>94</x:v>
      </x:c>
      <x:c r="L261" s="12" t="n">
        <x:v>2936.34105</x:v>
      </x:c>
      <x:c r="M261" s="13" t="n">
        <x:v>0.5278066375669241</x:v>
      </x:c>
      <x:c r="N261" s="13" t="n">
        <x:f>H261/G261</x:f>
        <x:v>0.0923059191601609</x:v>
      </x:c>
      <x:c r="O261" s="13" t="n">
        <x:f>F261/E261</x:f>
        <x:v>0.002617801047120419</x:v>
      </x:c>
      <x:c r="P261" s="2" t="str">
        <x:f>IF(AND(E261&gt;='Итоги'!$F$5,N261&lt;='Итоги'!$B$5,O261&gt;='Итоги'!$D$5),"Да","Нет")</x:f>
        <x:v>Нет</x:v>
      </x:c>
    </x:row>
    <x:row r="262" ht="60" customHeight="1">
      <x:c r="A262" s="14" t="str">
        <x:v>Строительство и ремонт (DIY)</x:v>
      </x:c>
      <x:c r="B262" s="14" t="str">
        <x:v>Сад и огород</x:v>
      </x:c>
      <x:c r="C262" s="14" t="str">
        <x:v>Полив</x:v>
      </x:c>
      <x:c r="D262" s="14" t="str">
        <x:v>Насос погружной</x:v>
      </x:c>
      <x:c r="E262" s="2" t="n">
        <x:v>387</x:v>
      </x:c>
      <x:c r="F262" s="2" t="n">
        <x:v>1</x:v>
      </x:c>
      <x:c r="G262" s="12" t="n">
        <x:v>85264727.1169</x:v>
      </x:c>
      <x:c r="H262" s="12" t="n">
        <x:v>4732750.6482353</x:v>
      </x:c>
      <x:c r="I262" s="13" t="n">
        <x:v>0.0517524547803617</x:v>
      </x:c>
      <x:c r="J262" s="2" t="n">
        <x:v>136</x:v>
      </x:c>
      <x:c r="K262" s="2" t="n">
        <x:v>37</x:v>
      </x:c>
      <x:c r="L262" s="12" t="n">
        <x:v>4213.7727</x:v>
      </x:c>
      <x:c r="M262" s="13" t="n">
        <x:v>0.7822853689855929</x:v>
      </x:c>
      <x:c r="N262" s="13" t="n">
        <x:f>H262/G262</x:f>
        <x:v>0.05550654776325718</x:v>
      </x:c>
      <x:c r="O262" s="13" t="n">
        <x:f>F262/E262</x:f>
        <x:v>0.002583979328165375</x:v>
      </x:c>
      <x:c r="P262" s="2" t="str">
        <x:f>IF(AND(E262&gt;='Итоги'!$F$5,N262&lt;='Итоги'!$B$5,O262&gt;='Итоги'!$D$5),"Да","Нет")</x:f>
        <x:v>Нет</x:v>
      </x:c>
    </x:row>
    <x:row r="263" ht="60" customHeight="1">
      <x:c r="A263" s="14" t="str">
        <x:v>Строительство и ремонт (DIY)</x:v>
      </x:c>
      <x:c r="B263" s="14" t="str">
        <x:v>Инструменты</x:v>
      </x:c>
      <x:c r="C263" s="14" t="str">
        <x:v>Инструмент ручной для строительства, ремонта</x:v>
      </x:c>
      <x:c r="D263" s="14" t="str">
        <x:v>Набор инструментов</x:v>
      </x:c>
      <x:c r="E263" s="2" t="n">
        <x:v>387</x:v>
      </x:c>
      <x:c r="F263" s="2" t="n">
        <x:v>1</x:v>
      </x:c>
      <x:c r="G263" s="12" t="n">
        <x:v>85525991.1217</x:v>
      </x:c>
      <x:c r="H263" s="12" t="n">
        <x:v>6577285.49404889</x:v>
      </x:c>
      <x:c r="I263" s="13" t="n">
        <x:v>0.0831118863049095</x:v>
      </x:c>
      <x:c r="J263" s="2" t="n">
        <x:v>81</x:v>
      </x:c>
      <x:c r="K263" s="2" t="n">
        <x:v>66</x:v>
      </x:c>
      <x:c r="L263" s="12" t="n">
        <x:v>4244.8929</x:v>
      </x:c>
      <x:c r="M263" s="13" t="n">
        <x:v>0.8177562249057022</x:v>
      </x:c>
      <x:c r="N263" s="13" t="n">
        <x:f>H263/G263</x:f>
        <x:v>0.07690393771280218</x:v>
      </x:c>
      <x:c r="O263" s="13" t="n">
        <x:f>F263/E263</x:f>
        <x:v>0.002583979328165375</x:v>
      </x:c>
      <x:c r="P263" s="2" t="str">
        <x:f>IF(AND(E263&gt;='Итоги'!$F$5,N263&lt;='Итоги'!$B$5,O263&gt;='Итоги'!$D$5),"Да","Нет")</x:f>
        <x:v>Нет</x:v>
      </x:c>
    </x:row>
    <x:row r="264" ht="60" customHeight="1">
      <x:c r="A264" s="14" t="str">
        <x:v>Строительство и ремонт (DIY)</x:v>
      </x:c>
      <x:c r="B264" s="14" t="str">
        <x:v>Ремонт и строительство</x:v>
      </x:c>
      <x:c r="C264" s="14" t="str">
        <x:v>Строительная химия</x:v>
      </x:c>
      <x:c r="D264" s="14" t="str">
        <x:v>Краска, эмаль хозяйственные</x:v>
      </x:c>
      <x:c r="E264" s="2" t="n">
        <x:v>570</x:v>
      </x:c>
      <x:c r="F264" s="2" t="n">
        <x:v>1</x:v>
      </x:c>
      <x:c r="G264" s="12" t="n">
        <x:v>102277611.9799</x:v>
      </x:c>
      <x:c r="H264" s="12" t="n">
        <x:v>7809842.23368832</x:v>
      </x:c>
      <x:c r="I264" s="13" t="n">
        <x:v>0.0710703508771929</x:v>
      </x:c>
      <x:c r="J264" s="2" t="n">
        <x:v>79</x:v>
      </x:c>
      <x:c r="K264" s="2" t="n">
        <x:v>43</x:v>
      </x:c>
      <x:c r="L264" s="12" t="n">
        <x:v>1990.4513</x:v>
      </x:c>
      <x:c r="M264" s="13" t="n">
        <x:v>0.7410061762176675</x:v>
      </x:c>
      <x:c r="N264" s="13" t="n">
        <x:f>H264/G264</x:f>
        <x:v>0.07635925480175604</x:v>
      </x:c>
      <x:c r="O264" s="13" t="n">
        <x:f>F264/E264</x:f>
        <x:v>0.0017543859649122807</x:v>
      </x:c>
      <x:c r="P264" s="2" t="str">
        <x:f>IF(AND(E264&gt;='Итоги'!$F$5,N264&lt;='Итоги'!$B$5,O264&gt;='Итоги'!$D$5),"Да","Нет")</x:f>
        <x:v>Нет</x:v>
      </x:c>
    </x:row>
    <x:row r="265" ht="60" customHeight="1">
      <x:c r="A265" s="14" t="str">
        <x:v>Детская одежда</x:v>
      </x:c>
      <x:c r="B265" s="14" t="str">
        <x:v>Детская одежда</x:v>
      </x:c>
      <x:c r="C265" s="14" t="str">
        <x:v>Верхняя одежда для мальчика</x:v>
      </x:c>
      <x:c r="D265" s="14" t="str">
        <x:v>Куртка демисезонная для мальчика</x:v>
      </x:c>
      <x:c r="E265" s="2" t="n">
        <x:v>37</x:v>
      </x:c>
      <x:c r="F265" s="2" t="n">
        <x:v>0</x:v>
      </x:c>
      <x:c r="G265" s="12" t="n">
        <x:v>1101764.336</x:v>
      </x:c>
      <x:c r="H265" s="12" t="n">
        <x:v>0</x:v>
      </x:c>
      <x:c r="I265" s="13" t="n">
        <x:v>0</x:v>
      </x:c>
      <x:c r="J265" s="2" t="n">
        <x:v>37</x:v>
      </x:c>
      <x:c r="K265" s="2" t="n">
        <x:v>7</x:v>
      </x:c>
      <x:c r="L265" s="12" t="n">
        <x:v>1644.1477</x:v>
      </x:c>
      <x:c r="M265" s="13" t="n">
        <x:v>0.814350843173417</x:v>
      </x:c>
      <x:c r="N265" s="13" t="n">
        <x:f>H265/G265</x:f>
        <x:v>0</x:v>
      </x:c>
      <x:c r="O265" s="13" t="n">
        <x:f>F265/E265</x:f>
        <x:v>0</x:v>
      </x:c>
      <x:c r="P265" s="2" t="str">
        <x:f>IF(AND(E265&gt;='Итоги'!$F$5,N265&lt;='Итоги'!$B$5,O265&gt;='Итоги'!$D$5),"Да","Нет")</x:f>
        <x:v>Нет</x:v>
      </x:c>
    </x:row>
    <x:row r="266" ht="60" customHeight="1">
      <x:c r="A266" s="14" t="str">
        <x:v>Детская одежда</x:v>
      </x:c>
      <x:c r="B266" s="14" t="str">
        <x:v>Детская одежда</x:v>
      </x:c>
      <x:c r="C266" s="14" t="str">
        <x:v>Верхняя одежда для девочки</x:v>
      </x:c>
      <x:c r="D266" s="14" t="str">
        <x:v>Плащ для девочки</x:v>
      </x:c>
      <x:c r="E266" s="2" t="n">
        <x:v>35</x:v>
      </x:c>
      <x:c r="F266" s="2" t="n">
        <x:v>0</x:v>
      </x:c>
      <x:c r="G266" s="12" t="n">
        <x:v>1734559.682</x:v>
      </x:c>
      <x:c r="H266" s="12" t="n">
        <x:v>0</x:v>
      </x:c>
      <x:c r="I266" s="13" t="n">
        <x:v>0</x:v>
      </x:c>
      <x:c r="J266" s="2" t="n">
        <x:v>35</x:v>
      </x:c>
      <x:c r="K266" s="2" t="n">
        <x:v>3</x:v>
      </x:c>
      <x:c r="L266" s="12" t="n">
        <x:v>2903</x:v>
      </x:c>
      <x:c r="M266" s="13" t="n">
        <x:v>0.8840570871749341</x:v>
      </x:c>
      <x:c r="N266" s="13" t="n">
        <x:f>H266/G266</x:f>
        <x:v>0</x:v>
      </x:c>
      <x:c r="O266" s="13" t="n">
        <x:f>F266/E266</x:f>
        <x:v>0</x:v>
      </x:c>
      <x:c r="P266" s="2" t="str">
        <x:f>IF(AND(E266&gt;='Итоги'!$F$5,N266&lt;='Итоги'!$B$5,O266&gt;='Итоги'!$D$5),"Да","Нет")</x:f>
        <x:v>Нет</x:v>
      </x:c>
    </x:row>
    <x:row r="267" ht="60" customHeight="1">
      <x:c r="A267" s="14" t="str">
        <x:v>Обувь</x:v>
      </x:c>
      <x:c r="B267" s="14" t="str">
        <x:v>Обувь женская</x:v>
      </x:c>
      <x:c r="C267" s="14" t="str">
        <x:v>Обувь женская зимняя</x:v>
      </x:c>
      <x:c r="D267" s="14" t="str">
        <x:v>Женские Дутики</x:v>
      </x:c>
      <x:c r="E267" s="2" t="n">
        <x:v>34</x:v>
      </x:c>
      <x:c r="F267" s="2" t="n">
        <x:v>0</x:v>
      </x:c>
      <x:c r="G267" s="12" t="n">
        <x:v>2375214.1184</x:v>
      </x:c>
      <x:c r="H267" s="12" t="n">
        <x:v>0</x:v>
      </x:c>
      <x:c r="I267" s="13" t="n">
        <x:v>0</x:v>
      </x:c>
      <x:c r="J267" s="2" t="n">
        <x:v>34</x:v>
      </x:c>
      <x:c r="K267" s="2" t="n">
        <x:v>2</x:v>
      </x:c>
      <x:c r="L267" s="12" t="n">
        <x:v>4390.445</x:v>
      </x:c>
      <x:c r="M267" s="13" t="n">
        <x:v>0.7337010758734971</x:v>
      </x:c>
      <x:c r="N267" s="13" t="n">
        <x:f>H267/G267</x:f>
        <x:v>0</x:v>
      </x:c>
      <x:c r="O267" s="13" t="n">
        <x:f>F267/E267</x:f>
        <x:v>0</x:v>
      </x:c>
      <x:c r="P267" s="2" t="str">
        <x:f>IF(AND(E267&gt;='Итоги'!$F$5,N267&lt;='Итоги'!$B$5,O267&gt;='Итоги'!$D$5),"Да","Нет")</x:f>
        <x:v>Нет</x:v>
      </x:c>
    </x:row>
    <x:row r="268" ht="60" customHeight="1">
      <x:c r="A268" s="14" t="str">
        <x:v>Одежда</x:v>
      </x:c>
      <x:c r="B268" s="14" t="str">
        <x:v>Основная одежда женская</x:v>
      </x:c>
      <x:c r="C268" s="14" t="str">
        <x:v>Спортивная основная одежда женская верха</x:v>
      </x:c>
      <x:c r="D268" s="14" t="str">
        <x:v>Спортивные комбинезон, боди женские</x:v>
      </x:c>
      <x:c r="E268" s="2" t="n">
        <x:v>31</x:v>
      </x:c>
      <x:c r="F268" s="2" t="n">
        <x:v>0</x:v>
      </x:c>
      <x:c r="G268" s="12" t="n">
        <x:v>2752709.64</x:v>
      </x:c>
      <x:c r="H268" s="12" t="n">
        <x:v>0</x:v>
      </x:c>
      <x:c r="I268" s="13" t="n">
        <x:v>0</x:v>
      </x:c>
      <x:c r="J268" s="2" t="n">
        <x:v>31</x:v>
      </x:c>
      <x:c r="K268" s="2" t="n">
        <x:v>3</x:v>
      </x:c>
      <x:c r="L268" s="12" t="n">
        <x:v>11053</x:v>
      </x:c>
      <x:c r="M268" s="13" t="n">
        <x:v>0.9875467141532588</x:v>
      </x:c>
      <x:c r="N268" s="13" t="n">
        <x:f>H268/G268</x:f>
        <x:v>0</x:v>
      </x:c>
      <x:c r="O268" s="13" t="n">
        <x:f>F268/E268</x:f>
        <x:v>0</x:v>
      </x:c>
      <x:c r="P268" s="2" t="str">
        <x:f>IF(AND(E268&gt;='Итоги'!$F$5,N268&lt;='Итоги'!$B$5,O268&gt;='Итоги'!$D$5),"Да","Нет")</x:f>
        <x:v>Нет</x:v>
      </x:c>
    </x:row>
    <x:row r="269" ht="60" customHeight="1">
      <x:c r="A269" s="14" t="str">
        <x:v>Детская одежда</x:v>
      </x:c>
      <x:c r="B269" s="14" t="str">
        <x:v>Детская обувь</x:v>
      </x:c>
      <x:c r="C269" s="14" t="str">
        <x:v>Обувь для мальчика</x:v>
      </x:c>
      <x:c r="D269" s="14" t="str">
        <x:v>Дутики для мальчика</x:v>
      </x:c>
      <x:c r="E269" s="2" t="n">
        <x:v>28</x:v>
      </x:c>
      <x:c r="F269" s="2" t="n">
        <x:v>0</x:v>
      </x:c>
      <x:c r="G269" s="12" t="n">
        <x:v>1791717.7421</x:v>
      </x:c>
      <x:c r="H269" s="12" t="n">
        <x:v>0</x:v>
      </x:c>
      <x:c r="I269" s="13" t="n">
        <x:v>0</x:v>
      </x:c>
      <x:c r="J269" s="2" t="n">
        <x:v>28</x:v>
      </x:c>
      <x:c r="K269" s="2" t="n">
        <x:v>3</x:v>
      </x:c>
      <x:c r="L269" s="12" t="n">
        <x:v>3328.1501</x:v>
      </x:c>
      <x:c r="M269" s="13" t="n">
        <x:v>0.9831882001878848</x:v>
      </x:c>
      <x:c r="N269" s="13" t="n">
        <x:f>H269/G269</x:f>
        <x:v>0</x:v>
      </x:c>
      <x:c r="O269" s="13" t="n">
        <x:f>F269/E269</x:f>
        <x:v>0</x:v>
      </x:c>
      <x:c r="P269" s="2" t="str">
        <x:f>IF(AND(E269&gt;='Итоги'!$F$5,N269&lt;='Итоги'!$B$5,O269&gt;='Итоги'!$D$5),"Да","Нет")</x:f>
        <x:v>Нет</x:v>
      </x:c>
    </x:row>
    <x:row r="270" ht="60" customHeight="1">
      <x:c r="A270" s="14" t="str">
        <x:v>Спорт и отдых</x:v>
      </x:c>
      <x:c r="B270" s="14" t="str">
        <x:v>Водные виды спорта</x:v>
      </x:c>
      <x:c r="C270" s="14" t="str">
        <x:v>Каяк/байдарка</x:v>
      </x:c>
      <x:c r="D270" s="14" t="str">
        <x:v>Весло для каяка/байдарки</x:v>
      </x:c>
      <x:c r="E270" s="2" t="n">
        <x:v>23</x:v>
      </x:c>
      <x:c r="F270" s="2" t="n">
        <x:v>0</x:v>
      </x:c>
      <x:c r="G270" s="12" t="n">
        <x:v>1881995.2759</x:v>
      </x:c>
      <x:c r="H270" s="12" t="n">
        <x:v>0</x:v>
      </x:c>
      <x:c r="I270" s="13" t="n">
        <x:v>0</x:v>
      </x:c>
      <x:c r="J270" s="2" t="n">
        <x:v>23</x:v>
      </x:c>
      <x:c r="K270" s="2" t="n">
        <x:v>5</x:v>
      </x:c>
      <x:c r="L270" s="12" t="n">
        <x:v>2364.5</x:v>
      </x:c>
      <x:c r="M270" s="13" t="n">
        <x:v>0.4812141902784039</x:v>
      </x:c>
      <x:c r="N270" s="13" t="n">
        <x:f>H270/G270</x:f>
        <x:v>0</x:v>
      </x:c>
      <x:c r="O270" s="13" t="n">
        <x:f>F270/E270</x:f>
        <x:v>0</x:v>
      </x:c>
      <x:c r="P270" s="2" t="str">
        <x:f>IF(AND(E270&gt;='Итоги'!$F$5,N270&lt;='Итоги'!$B$5,O270&gt;='Итоги'!$D$5),"Да","Нет")</x:f>
        <x:v>Нет</x:v>
      </x:c>
    </x:row>
    <x:row r="271" ht="60" customHeight="1">
      <x:c r="A271" s="14" t="str">
        <x:v>Детская одежда</x:v>
      </x:c>
      <x:c r="B271" s="14" t="str">
        <x:v>Детская одежда</x:v>
      </x:c>
      <x:c r="C271" s="14" t="str">
        <x:v>Верхняя одежда для мальчика</x:v>
      </x:c>
      <x:c r="D271" s="14" t="str">
        <x:v>Парка демисезонная для мальчика</x:v>
      </x:c>
      <x:c r="E271" s="2" t="n">
        <x:v>21</x:v>
      </x:c>
      <x:c r="F271" s="2" t="n">
        <x:v>0</x:v>
      </x:c>
      <x:c r="G271" s="12" t="n">
        <x:v>1364444.349</x:v>
      </x:c>
      <x:c r="H271" s="12" t="n">
        <x:v>0</x:v>
      </x:c>
      <x:c r="I271" s="13" t="n">
        <x:v>0</x:v>
      </x:c>
      <x:c r="J271" s="2" t="n">
        <x:v>21</x:v>
      </x:c>
      <x:c r="K271" s="2" t="n">
        <x:v>3</x:v>
      </x:c>
      <x:c r="L271" s="12" t="n">
        <x:v>1449.5233</x:v>
      </x:c>
      <x:c r="M271" s="13" t="n">
        <x:v>0.9362269409787412</x:v>
      </x:c>
      <x:c r="N271" s="13" t="n">
        <x:f>H271/G271</x:f>
        <x:v>0</x:v>
      </x:c>
      <x:c r="O271" s="13" t="n">
        <x:f>F271/E271</x:f>
        <x:v>0</x:v>
      </x:c>
      <x:c r="P271" s="2" t="str">
        <x:f>IF(AND(E271&gt;='Итоги'!$F$5,N271&lt;='Итоги'!$B$5,O271&gt;='Итоги'!$D$5),"Да","Нет")</x:f>
        <x:v>Нет</x:v>
      </x:c>
    </x:row>
    <x:row r="272" ht="60" customHeight="1">
      <x:c r="A272" s="14" t="str">
        <x:v>Детская одежда</x:v>
      </x:c>
      <x:c r="B272" s="14" t="str">
        <x:v>Детская одежда</x:v>
      </x:c>
      <x:c r="C272" s="14" t="str">
        <x:v>Верхняя одежда для девочки</x:v>
      </x:c>
      <x:c r="D272" s="14" t="str">
        <x:v>Парка зимняя для девочки</x:v>
      </x:c>
      <x:c r="E272" s="2" t="n">
        <x:v>16</x:v>
      </x:c>
      <x:c r="F272" s="2" t="n">
        <x:v>0</x:v>
      </x:c>
      <x:c r="G272" s="12" t="n">
        <x:v>799737.3422000001</x:v>
      </x:c>
      <x:c r="H272" s="12" t="n">
        <x:v>0</x:v>
      </x:c>
      <x:c r="I272" s="13" t="n">
        <x:v>0</x:v>
      </x:c>
      <x:c r="J272" s="2" t="n">
        <x:v>16</x:v>
      </x:c>
      <x:c r="K272" s="2" t="n">
        <x:v>3</x:v>
      </x:c>
      <x:c r="L272" s="12" t="n">
        <x:v>1785.5941</x:v>
      </x:c>
      <x:c r="M272" s="13" t="n">
        <x:v>0.8847540371861856</x:v>
      </x:c>
      <x:c r="N272" s="13" t="n">
        <x:f>H272/G272</x:f>
        <x:v>0</x:v>
      </x:c>
      <x:c r="O272" s="13" t="n">
        <x:f>F272/E272</x:f>
        <x:v>0</x:v>
      </x:c>
      <x:c r="P272" s="2" t="str">
        <x:f>IF(AND(E272&gt;='Итоги'!$F$5,N272&lt;='Итоги'!$B$5,O272&gt;='Итоги'!$D$5),"Да","Нет")</x:f>
        <x:v>Нет</x:v>
      </x:c>
    </x:row>
    <x:row r="273" ht="60" customHeight="1">
      <x:c r="A273" s="14" t="str">
        <x:v>Спорт и отдых</x:v>
      </x:c>
      <x:c r="B273" s="14" t="str">
        <x:v>Товары для рыбалки</x:v>
      </x:c>
      <x:c r="C273" s="14" t="str">
        <x:v>Леска, шнур плетеный рыболовные</x:v>
      </x:c>
      <x:c r="D273" s="14" t="str">
        <x:v>Шнур для летней рыбалки</x:v>
      </x:c>
      <x:c r="E273" s="2" t="n">
        <x:v>14</x:v>
      </x:c>
      <x:c r="F273" s="2" t="n">
        <x:v>0</x:v>
      </x:c>
      <x:c r="G273" s="12" t="n">
        <x:v>1469546.6105</x:v>
      </x:c>
      <x:c r="H273" s="12" t="n">
        <x:v>0</x:v>
      </x:c>
      <x:c r="I273" s="13" t="n">
        <x:v>0</x:v>
      </x:c>
      <x:c r="J273" s="2" t="n">
        <x:v>14</x:v>
      </x:c>
      <x:c r="K273" s="2" t="n">
        <x:v>3</x:v>
      </x:c>
      <x:c r="L273" s="12" t="n">
        <x:v>1648.8249999999998</x:v>
      </x:c>
      <x:c r="M273" s="13" t="n">
        <x:v>0.7224444780548864</x:v>
      </x:c>
      <x:c r="N273" s="13" t="n">
        <x:f>H273/G273</x:f>
        <x:v>0</x:v>
      </x:c>
      <x:c r="O273" s="13" t="n">
        <x:f>F273/E273</x:f>
        <x:v>0</x:v>
      </x:c>
      <x:c r="P273" s="2" t="str">
        <x:f>IF(AND(E273&gt;='Итоги'!$F$5,N273&lt;='Итоги'!$B$5,O273&gt;='Итоги'!$D$5),"Да","Нет")</x:f>
        <x:v>Нет</x:v>
      </x:c>
    </x:row>
    <x:row r="274" ht="60" customHeight="1">
      <x:c r="A274" s="14" t="str">
        <x:v>Детская одежда</x:v>
      </x:c>
      <x:c r="B274" s="14" t="str">
        <x:v>Детская одежда</x:v>
      </x:c>
      <x:c r="C274" s="14" t="str">
        <x:v>Пляжная одежда для мальчика</x:v>
      </x:c>
      <x:c r="D274" s="14" t="str">
        <x:v>Футболка для плавания для мальчика</x:v>
      </x:c>
      <x:c r="E274" s="2" t="n">
        <x:v>13</x:v>
      </x:c>
      <x:c r="F274" s="2" t="n">
        <x:v>0</x:v>
      </x:c>
      <x:c r="G274" s="12" t="n">
        <x:v>123354.1177</x:v>
      </x:c>
      <x:c r="H274" s="12" t="n">
        <x:v>0</x:v>
      </x:c>
      <x:c r="I274" s="13" t="n">
        <x:v>0</x:v>
      </x:c>
      <x:c r="J274" s="2" t="n">
        <x:v>13</x:v>
      </x:c>
      <x:c r="K274" s="2" t="n">
        <x:v>1</x:v>
      </x:c>
      <x:c r="L274" s="12" t="n">
        <x:v>1064.3333</x:v>
      </x:c>
      <x:c r="M274" s="13" t="n">
        <x:v>1</x:v>
      </x:c>
      <x:c r="N274" s="13" t="n">
        <x:f>H274/G274</x:f>
        <x:v>0</x:v>
      </x:c>
      <x:c r="O274" s="13" t="n">
        <x:f>F274/E274</x:f>
        <x:v>0</x:v>
      </x:c>
      <x:c r="P274" s="2" t="str">
        <x:f>IF(AND(E274&gt;='Итоги'!$F$5,N274&lt;='Итоги'!$B$5,O274&gt;='Итоги'!$D$5),"Да","Нет")</x:f>
        <x:v>Нет</x:v>
      </x:c>
    </x:row>
    <x:row r="275" ht="60" customHeight="1">
      <x:c r="A275" s="14" t="str">
        <x:v>Одежда</x:v>
      </x:c>
      <x:c r="B275" s="14" t="str">
        <x:v>Основная одежда женская</x:v>
      </x:c>
      <x:c r="C275" s="14" t="str">
        <x:v>Спортивная основная одежда женская низы</x:v>
      </x:c>
      <x:c r="D275" s="14" t="str">
        <x:v>Спортивные капри женские</x:v>
      </x:c>
      <x:c r="E275" s="2" t="n">
        <x:v>13</x:v>
      </x:c>
      <x:c r="F275" s="2" t="n">
        <x:v>0</x:v>
      </x:c>
      <x:c r="G275" s="12" t="n">
        <x:v>1014845.6816</x:v>
      </x:c>
      <x:c r="H275" s="12" t="n">
        <x:v>0</x:v>
      </x:c>
      <x:c r="I275" s="13" t="n">
        <x:v>0</x:v>
      </x:c>
      <x:c r="J275" s="2" t="n">
        <x:v>13</x:v>
      </x:c>
      <x:c r="K275" s="2" t="n">
        <x:v>1</x:v>
      </x:c>
      <x:c r="L275" s="12" t="n">
        <x:v>746.735</x:v>
      </x:c>
      <x:c r="M275" s="13" t="n">
        <x:v>1</x:v>
      </x:c>
      <x:c r="N275" s="13" t="n">
        <x:f>H275/G275</x:f>
        <x:v>0</x:v>
      </x:c>
      <x:c r="O275" s="13" t="n">
        <x:f>F275/E275</x:f>
        <x:v>0</x:v>
      </x:c>
      <x:c r="P275" s="2" t="str">
        <x:f>IF(AND(E275&gt;='Итоги'!$F$5,N275&lt;='Итоги'!$B$5,O275&gt;='Итоги'!$D$5),"Да","Нет")</x:f>
        <x:v>Нет</x:v>
      </x:c>
    </x:row>
    <x:row r="276" ht="60" customHeight="1">
      <x:c r="A276" s="14" t="str">
        <x:v>Детская одежда</x:v>
      </x:c>
      <x:c r="B276" s="14" t="str">
        <x:v>Детская одежда</x:v>
      </x:c>
      <x:c r="C276" s="14" t="str">
        <x:v>Школьная одежда для мальчика</x:v>
      </x:c>
      <x:c r="D276" s="14" t="str">
        <x:v>Школьный пиджак для мальчика</x:v>
      </x:c>
      <x:c r="E276" s="2" t="n">
        <x:v>12</x:v>
      </x:c>
      <x:c r="F276" s="2" t="n">
        <x:v>0</x:v>
      </x:c>
      <x:c r="G276" s="12" t="n">
        <x:v>373655.8</x:v>
      </x:c>
      <x:c r="H276" s="12" t="n">
        <x:v>0</x:v>
      </x:c>
      <x:c r="I276" s="13" t="n">
        <x:v>0</x:v>
      </x:c>
      <x:c r="J276" s="2" t="n">
        <x:v>12</x:v>
      </x:c>
      <x:c r="K276" s="2" t="n">
        <x:v>4</x:v>
      </x:c>
      <x:c r="L276" s="12" t="n">
        <x:v>3285.46735</x:v>
      </x:c>
      <x:c r="M276" s="13" t="n">
        <x:v>0.5323214038160253</x:v>
      </x:c>
      <x:c r="N276" s="13" t="n">
        <x:f>H276/G276</x:f>
        <x:v>0</x:v>
      </x:c>
      <x:c r="O276" s="13" t="n">
        <x:f>F276/E276</x:f>
        <x:v>0</x:v>
      </x:c>
      <x:c r="P276" s="2" t="str">
        <x:f>IF(AND(E276&gt;='Итоги'!$F$5,N276&lt;='Итоги'!$B$5,O276&gt;='Итоги'!$D$5),"Да","Нет")</x:f>
        <x:v>Нет</x:v>
      </x:c>
    </x:row>
    <x:row r="277" ht="60" customHeight="1">
      <x:c r="A277" s="14" t="str">
        <x:v>Строительство и ремонт (DIY)</x:v>
      </x:c>
      <x:c r="B277" s="14" t="str">
        <x:v>Ремонт и строительство</x:v>
      </x:c>
      <x:c r="C277" s="14" t="str">
        <x:v>Стройматериалы</x:v>
      </x:c>
      <x:c r="D277" s="14" t="str">
        <x:v>Аксессуары для септика</x:v>
      </x:c>
      <x:c r="E277" s="2" t="n">
        <x:v>12</x:v>
      </x:c>
      <x:c r="F277" s="2" t="n">
        <x:v>0</x:v>
      </x:c>
      <x:c r="G277" s="12" t="n">
        <x:v>1924956</x:v>
      </x:c>
      <x:c r="H277" s="12" t="n">
        <x:v>0</x:v>
      </x:c>
      <x:c r="I277" s="13" t="n">
        <x:v>0</x:v>
      </x:c>
      <x:c r="J277" s="2" t="n">
        <x:v>12</x:v>
      </x:c>
      <x:c r="K277" s="2" t="n">
        <x:v>6</x:v>
      </x:c>
      <x:c r="L277" s="12" t="n">
        <x:v>4260.42965</x:v>
      </x:c>
      <x:c r="M277" s="13" t="n">
        <x:v>0.3182758463050584</x:v>
      </x:c>
      <x:c r="N277" s="13" t="n">
        <x:f>H277/G277</x:f>
        <x:v>0</x:v>
      </x:c>
      <x:c r="O277" s="13" t="n">
        <x:f>F277/E277</x:f>
        <x:v>0</x:v>
      </x:c>
      <x:c r="P277" s="2" t="str">
        <x:f>IF(AND(E277&gt;='Итоги'!$F$5,N277&lt;='Итоги'!$B$5,O277&gt;='Итоги'!$D$5),"Да","Нет")</x:f>
        <x:v>Нет</x:v>
      </x:c>
    </x:row>
    <x:row r="278" ht="60" customHeight="1">
      <x:c r="A278" s="14" t="str">
        <x:v>Бакалея и кондитерские изделия</x:v>
      </x:c>
      <x:c r="B278" s="14" t="str">
        <x:v>Бакалея</x:v>
      </x:c>
      <x:c r="C278" s="14" t="str">
        <x:v>Консервы</x:v>
      </x:c>
      <x:c r="D278" s="14" t="str">
        <x:v>Готовые блюда консервированные</x:v>
      </x:c>
      <x:c r="E278" s="2" t="n">
        <x:v>11</x:v>
      </x:c>
      <x:c r="F278" s="2" t="n">
        <x:v>0</x:v>
      </x:c>
      <x:c r="G278" s="12" t="n">
        <x:v>1290834.5792</x:v>
      </x:c>
      <x:c r="H278" s="12" t="n">
        <x:v>0</x:v>
      </x:c>
      <x:c r="I278" s="13" t="n">
        <x:v>0</x:v>
      </x:c>
      <x:c r="J278" s="2" t="n">
        <x:v>11</x:v>
      </x:c>
      <x:c r="K278" s="2" t="n">
        <x:v>4</x:v>
      </x:c>
      <x:c r="L278" s="12" t="n">
        <x:v>1301.64</x:v>
      </x:c>
      <x:c r="M278" s="13" t="n">
        <x:v>0.6825175728140271</x:v>
      </x:c>
      <x:c r="N278" s="13" t="n">
        <x:f>H278/G278</x:f>
        <x:v>0</x:v>
      </x:c>
      <x:c r="O278" s="13" t="n">
        <x:f>F278/E278</x:f>
        <x:v>0</x:v>
      </x:c>
      <x:c r="P278" s="2" t="str">
        <x:f>IF(AND(E278&gt;='Итоги'!$F$5,N278&lt;='Итоги'!$B$5,O278&gt;='Итоги'!$D$5),"Да","Нет")</x:f>
        <x:v>Нет</x:v>
      </x:c>
    </x:row>
    <x:row r="279" ht="60" customHeight="1">
      <x:c r="A279" s="14" t="str">
        <x:v>Детская одежда</x:v>
      </x:c>
      <x:c r="B279" s="14" t="str">
        <x:v>Детская одежда</x:v>
      </x:c>
      <x:c r="C279" s="14" t="str">
        <x:v>Одежда для мальчика</x:v>
      </x:c>
      <x:c r="D279" s="14" t="str">
        <x:v>Жилет для мальчика</x:v>
      </x:c>
      <x:c r="E279" s="2" t="n">
        <x:v>11</x:v>
      </x:c>
      <x:c r="F279" s="2" t="n">
        <x:v>0</x:v>
      </x:c>
      <x:c r="G279" s="12" t="n">
        <x:v>274811.65</x:v>
      </x:c>
      <x:c r="H279" s="12" t="n">
        <x:v>0</x:v>
      </x:c>
      <x:c r="I279" s="13" t="n">
        <x:v>0</x:v>
      </x:c>
      <x:c r="J279" s="2" t="n">
        <x:v>11</x:v>
      </x:c>
      <x:c r="K279" s="2" t="n">
        <x:v>2</x:v>
      </x:c>
      <x:c r="L279" s="12" t="n">
        <x:v>1611</x:v>
      </x:c>
      <x:c r="M279" s="13" t="n">
        <x:v>0.9033847364185617</x:v>
      </x:c>
      <x:c r="N279" s="13" t="n">
        <x:f>H279/G279</x:f>
        <x:v>0</x:v>
      </x:c>
      <x:c r="O279" s="13" t="n">
        <x:f>F279/E279</x:f>
        <x:v>0</x:v>
      </x:c>
      <x:c r="P279" s="2" t="str">
        <x:f>IF(AND(E279&gt;='Итоги'!$F$5,N279&lt;='Итоги'!$B$5,O279&gt;='Итоги'!$D$5),"Да","Нет")</x:f>
        <x:v>Нет</x:v>
      </x:c>
    </x:row>
    <x:row r="280" ht="60" customHeight="1">
      <x:c r="A280" s="14" t="str">
        <x:v>Товары для детей и спорта</x:v>
      </x:c>
      <x:c r="B280" s="14" t="str">
        <x:v>Спорт детский</x:v>
      </x:c>
      <x:c r="C280" s="14" t="str">
        <x:v>Товары для плаванья и бассейны детские</x:v>
      </x:c>
      <x:c r="D280" s="14" t="str">
        <x:v>Детский игровой центр с водой надувной</x:v>
      </x:c>
      <x:c r="E280" s="2" t="n">
        <x:v>11</x:v>
      </x:c>
      <x:c r="F280" s="2" t="n">
        <x:v>0</x:v>
      </x:c>
      <x:c r="G280" s="12" t="n">
        <x:v>860346.4201</x:v>
      </x:c>
      <x:c r="H280" s="12" t="n">
        <x:v>0</x:v>
      </x:c>
      <x:c r="I280" s="13" t="n">
        <x:v>0</x:v>
      </x:c>
      <x:c r="J280" s="2" t="n">
        <x:v>11</x:v>
      </x:c>
      <x:c r="K280" s="2" t="n">
        <x:v>3</x:v>
      </x:c>
      <x:c r="L280" s="12" t="n">
        <x:v>5635.3333</x:v>
      </x:c>
      <x:c r="M280" s="13" t="n">
        <x:v>0.9665332483203064</x:v>
      </x:c>
      <x:c r="N280" s="13" t="n">
        <x:f>H280/G280</x:f>
        <x:v>0</x:v>
      </x:c>
      <x:c r="O280" s="13" t="n">
        <x:f>F280/E280</x:f>
        <x:v>0</x:v>
      </x:c>
      <x:c r="P280" s="2" t="str">
        <x:f>IF(AND(E280&gt;='Итоги'!$F$5,N280&lt;='Итоги'!$B$5,O280&gt;='Итоги'!$D$5),"Да","Нет")</x:f>
        <x:v>Нет</x:v>
      </x:c>
    </x:row>
    <x:row r="281" ht="60" customHeight="1">
      <x:c r="A281" s="14" t="str">
        <x:v>Аксессуары</x:v>
      </x:c>
      <x:c r="B281" s="14" t="str">
        <x:v>Ювелирные изделия</x:v>
      </x:c>
      <x:c r="C281" s="14" t="str">
        <x:v>Ювелирные часы</x:v>
      </x:c>
      <x:c r="D281" s="14" t="str">
        <x:v>Золото часы</x:v>
      </x:c>
      <x:c r="E281" s="2" t="n">
        <x:v>10</x:v>
      </x:c>
      <x:c r="F281" s="2" t="n">
        <x:v>0</x:v>
      </x:c>
      <x:c r="G281" s="12" t="n">
        <x:v>1313954</x:v>
      </x:c>
      <x:c r="H281" s="12" t="n">
        <x:v>0</x:v>
      </x:c>
      <x:c r="I281" s="13" t="n">
        <x:v>0</x:v>
      </x:c>
      <x:c r="J281" s="2" t="n">
        <x:v>10</x:v>
      </x:c>
      <x:c r="K281" s="2" t="n">
        <x:v>1</x:v>
      </x:c>
      <x:c r="L281" s="12" t="n">
        <x:v>27463.05555</x:v>
      </x:c>
      <x:c r="M281" s="13" t="n">
        <x:v>1</x:v>
      </x:c>
      <x:c r="N281" s="13" t="n">
        <x:f>H281/G281</x:f>
        <x:v>0</x:v>
      </x:c>
      <x:c r="O281" s="13" t="n">
        <x:f>F281/E281</x:f>
        <x:v>0</x:v>
      </x:c>
      <x:c r="P281" s="2" t="str">
        <x:f>IF(AND(E281&gt;='Итоги'!$F$5,N281&lt;='Итоги'!$B$5,O281&gt;='Итоги'!$D$5),"Да","Нет")</x:f>
        <x:v>Нет</x:v>
      </x:c>
    </x:row>
    <x:row r="282" ht="60" customHeight="1">
      <x:c r="A282" s="14" t="str">
        <x:v>Аксессуары для электроники</x:v>
      </x:c>
      <x:c r="B282" s="14" t="str">
        <x:v>Бытовая техника Access</x:v>
      </x:c>
      <x:c r="C282" s="14" t="str">
        <x:v>Запчасти для бытовой техники Access</x:v>
      </x:c>
      <x:c r="D282" s="14" t="str">
        <x:v>Запчасти для утюга, отпаривателя</x:v>
      </x:c>
      <x:c r="E282" s="2" t="n">
        <x:v>10</x:v>
      </x:c>
      <x:c r="F282" s="2" t="n">
        <x:v>0</x:v>
      </x:c>
      <x:c r="G282" s="12" t="n">
        <x:v>1263394.6025</x:v>
      </x:c>
      <x:c r="H282" s="12" t="n">
        <x:v>0</x:v>
      </x:c>
      <x:c r="I282" s="13" t="n">
        <x:v>0</x:v>
      </x:c>
      <x:c r="J282" s="2" t="n">
        <x:v>10</x:v>
      </x:c>
      <x:c r="K282" s="2" t="n">
        <x:v>4</x:v>
      </x:c>
      <x:c r="L282" s="12" t="n">
        <x:v>1320.2572</x:v>
      </x:c>
      <x:c r="M282" s="13" t="n">
        <x:v>0.5122057937555579</x:v>
      </x:c>
      <x:c r="N282" s="13" t="n">
        <x:f>H282/G282</x:f>
        <x:v>0</x:v>
      </x:c>
      <x:c r="O282" s="13" t="n">
        <x:f>F282/E282</x:f>
        <x:v>0</x:v>
      </x:c>
      <x:c r="P282" s="2" t="str">
        <x:f>IF(AND(E282&gt;='Итоги'!$F$5,N282&lt;='Итоги'!$B$5,O282&gt;='Итоги'!$D$5),"Да","Нет")</x:f>
        <x:v>Нет</x:v>
      </x:c>
    </x:row>
    <x:row r="283" ht="60" customHeight="1">
      <x:c r="A283" s="14" t="str">
        <x:v>Детская одежда</x:v>
      </x:c>
      <x:c r="B283" s="14" t="str">
        <x:v>Детская обувь</x:v>
      </x:c>
      <x:c r="C283" s="14" t="str">
        <x:v>Обувь для девочки</x:v>
      </x:c>
      <x:c r="D283" s="14" t="str">
        <x:v>Эспадрильи для девочки</x:v>
      </x:c>
      <x:c r="E283" s="2" t="n">
        <x:v>10</x:v>
      </x:c>
      <x:c r="F283" s="2" t="n">
        <x:v>0</x:v>
      </x:c>
      <x:c r="G283" s="12" t="n">
        <x:v>103131.7348</x:v>
      </x:c>
      <x:c r="H283" s="12" t="n">
        <x:v>0</x:v>
      </x:c>
      <x:c r="I283" s="13" t="n">
        <x:v>0</x:v>
      </x:c>
      <x:c r="J283" s="2" t="n">
        <x:v>10</x:v>
      </x:c>
      <x:c r="K283" s="2" t="n">
        <x:v>1</x:v>
      </x:c>
      <x:c r="L283" s="12" t="n">
        <x:v>2087.72915</x:v>
      </x:c>
      <x:c r="M283" s="13" t="n">
        <x:v>1</x:v>
      </x:c>
      <x:c r="N283" s="13" t="n">
        <x:f>H283/G283</x:f>
        <x:v>0</x:v>
      </x:c>
      <x:c r="O283" s="13" t="n">
        <x:f>F283/E283</x:f>
        <x:v>0</x:v>
      </x:c>
      <x:c r="P283" s="2" t="str">
        <x:f>IF(AND(E283&gt;='Итоги'!$F$5,N283&lt;='Итоги'!$B$5,O283&gt;='Итоги'!$D$5),"Да","Нет")</x:f>
        <x:v>Нет</x:v>
      </x:c>
    </x:row>
    <x:row r="284" ht="60" customHeight="1">
      <x:c r="A284" s="14" t="str">
        <x:v>Детская одежда</x:v>
      </x:c>
      <x:c r="B284" s="14" t="str">
        <x:v>Детская одежда</x:v>
      </x:c>
      <x:c r="C284" s="14" t="str">
        <x:v>Верхняя одежда для девочки</x:v>
      </x:c>
      <x:c r="D284" s="14" t="str">
        <x:v>Жилет демисезонный для девочки</x:v>
      </x:c>
      <x:c r="E284" s="2" t="n">
        <x:v>10</x:v>
      </x:c>
      <x:c r="F284" s="2" t="n">
        <x:v>0</x:v>
      </x:c>
      <x:c r="G284" s="12" t="n">
        <x:v>823346.96</x:v>
      </x:c>
      <x:c r="H284" s="12" t="n">
        <x:v>0</x:v>
      </x:c>
      <x:c r="I284" s="13" t="n">
        <x:v>0</x:v>
      </x:c>
      <x:c r="J284" s="2" t="n">
        <x:v>10</x:v>
      </x:c>
      <x:c r="K284" s="2" t="n">
        <x:v>2</x:v>
      </x:c>
      <x:c r="L284" s="12" t="n">
        <x:v>996.20555</x:v>
      </x:c>
      <x:c r="M284" s="13" t="n">
        <x:v>0.9958474371484896</x:v>
      </x:c>
      <x:c r="N284" s="13" t="n">
        <x:f>H284/G284</x:f>
        <x:v>0</x:v>
      </x:c>
      <x:c r="O284" s="13" t="n">
        <x:f>F284/E284</x:f>
        <x:v>0</x:v>
      </x:c>
      <x:c r="P284" s="2" t="str">
        <x:f>IF(AND(E284&gt;='Итоги'!$F$5,N284&lt;='Итоги'!$B$5,O284&gt;='Итоги'!$D$5),"Да","Нет")</x:f>
        <x:v>Нет</x:v>
      </x:c>
    </x:row>
    <x:row r="285" ht="60" customHeight="1">
      <x:c r="A285" s="14" t="str">
        <x:v>Детская одежда</x:v>
      </x:c>
      <x:c r="B285" s="14" t="str">
        <x:v>Детская одежда</x:v>
      </x:c>
      <x:c r="C285" s="14" t="str">
        <x:v>Одежда для мальчика</x:v>
      </x:c>
      <x:c r="D285" s="14" t="str">
        <x:v>Джемпер для мальчика</x:v>
      </x:c>
      <x:c r="E285" s="2" t="n">
        <x:v>10</x:v>
      </x:c>
      <x:c r="F285" s="2" t="n">
        <x:v>0</x:v>
      </x:c>
      <x:c r="G285" s="12" t="n">
        <x:v>609381.0771999999</x:v>
      </x:c>
      <x:c r="H285" s="12" t="n">
        <x:v>0</x:v>
      </x:c>
      <x:c r="I285" s="13" t="n">
        <x:v>0</x:v>
      </x:c>
      <x:c r="J285" s="2" t="n">
        <x:v>10</x:v>
      </x:c>
      <x:c r="K285" s="2" t="n">
        <x:v>2</x:v>
      </x:c>
      <x:c r="L285" s="12" t="n">
        <x:v>1273.29905</x:v>
      </x:c>
      <x:c r="M285" s="13" t="n">
        <x:v>0.7528937710178047</x:v>
      </x:c>
      <x:c r="N285" s="13" t="n">
        <x:f>H285/G285</x:f>
        <x:v>0</x:v>
      </x:c>
      <x:c r="O285" s="13" t="n">
        <x:f>F285/E285</x:f>
        <x:v>0</x:v>
      </x:c>
      <x:c r="P285" s="2" t="str">
        <x:f>IF(AND(E285&gt;='Итоги'!$F$5,N285&lt;='Итоги'!$B$5,O285&gt;='Итоги'!$D$5),"Да","Нет")</x:f>
        <x:v>Нет</x:v>
      </x:c>
    </x:row>
    <x:row r="286" ht="60" customHeight="1">
      <x:c r="A286" s="14" t="str">
        <x:v>Ноутбуки и компьютеры</x:v>
      </x:c>
      <x:c r="B286" s="14" t="str">
        <x:v>Компьютерная офисная техника Lap&amp;Comp</x:v>
      </x:c>
      <x:c r="C286" s="14" t="str">
        <x:v>Кассовое и складское оборудование Lap&amp;Comp</x:v>
      </x:c>
      <x:c r="D286" s="14" t="str">
        <x:v>Смарт-терминал</x:v>
      </x:c>
      <x:c r="E286" s="2" t="n">
        <x:v>10</x:v>
      </x:c>
      <x:c r="F286" s="2" t="n">
        <x:v>0</x:v>
      </x:c>
      <x:c r="G286" s="12" t="n">
        <x:v>2970749</x:v>
      </x:c>
      <x:c r="H286" s="12" t="n">
        <x:v>0</x:v>
      </x:c>
      <x:c r="I286" s="13" t="n">
        <x:v>0</x:v>
      </x:c>
      <x:c r="J286" s="2" t="n">
        <x:v>10</x:v>
      </x:c>
      <x:c r="K286" s="2" t="n">
        <x:v>3</x:v>
      </x:c>
      <x:c r="L286" s="12" t="n">
        <x:v>13867.7655</x:v>
      </x:c>
      <x:c r="M286" s="13" t="n">
        <x:v>0.647849077791493</x:v>
      </x:c>
      <x:c r="N286" s="13" t="n">
        <x:f>H286/G286</x:f>
        <x:v>0</x:v>
      </x:c>
      <x:c r="O286" s="13" t="n">
        <x:f>F286/E286</x:f>
        <x:v>0</x:v>
      </x:c>
      <x:c r="P286" s="2" t="str">
        <x:f>IF(AND(E286&gt;='Итоги'!$F$5,N286&lt;='Итоги'!$B$5,O286&gt;='Итоги'!$D$5),"Да","Нет")</x:f>
        <x:v>Нет</x:v>
      </x:c>
    </x:row>
    <x:row r="287" ht="60" customHeight="1">
      <x:c r="A287" s="14" t="str">
        <x:v>Одежда</x:v>
      </x:c>
      <x:c r="B287" s="14" t="str">
        <x:v>Верхняя одежда</x:v>
      </x:c>
      <x:c r="C287" s="14" t="str">
        <x:v>Спортивная верхняя одежда мужская</x:v>
      </x:c>
      <x:c r="D287" s="14" t="str">
        <x:v>Спортивный комплект верхней одежды мужской</x:v>
      </x:c>
      <x:c r="E287" s="2" t="n">
        <x:v>10</x:v>
      </x:c>
      <x:c r="F287" s="2" t="n">
        <x:v>0</x:v>
      </x:c>
      <x:c r="G287" s="12" t="n">
        <x:v>1228988.57</x:v>
      </x:c>
      <x:c r="H287" s="12" t="n">
        <x:v>0</x:v>
      </x:c>
      <x:c r="I287" s="13" t="n">
        <x:v>0</x:v>
      </x:c>
      <x:c r="J287" s="2" t="n">
        <x:v>10</x:v>
      </x:c>
      <x:c r="K287" s="2" t="n">
        <x:v>2</x:v>
      </x:c>
      <x:c r="L287" s="12" t="n">
        <x:v>22901.25</x:v>
      </x:c>
      <x:c r="M287" s="13" t="n">
        <x:v>0.9910650104744262</x:v>
      </x:c>
      <x:c r="N287" s="13" t="n">
        <x:f>H287/G287</x:f>
        <x:v>0</x:v>
      </x:c>
      <x:c r="O287" s="13" t="n">
        <x:f>F287/E287</x:f>
        <x:v>0</x:v>
      </x:c>
      <x:c r="P287" s="2" t="str">
        <x:f>IF(AND(E287&gt;='Итоги'!$F$5,N287&lt;='Итоги'!$B$5,O287&gt;='Итоги'!$D$5),"Да","Нет")</x:f>
        <x:v>Нет</x:v>
      </x:c>
    </x:row>
    <x:row r="288" ht="60" customHeight="1">
      <x:c r="A288" s="14" t="str">
        <x:v>Товары для детей и спорта</x:v>
      </x:c>
      <x:c r="B288" s="14" t="str">
        <x:v>Спорт детский</x:v>
      </x:c>
      <x:c r="C288" s="14" t="str">
        <x:v>Игровой комплекс для детей</x:v>
      </x:c>
      <x:c r="D288" s="14" t="str">
        <x:v>Игровой комплекс/площадка уличный детский</x:v>
      </x:c>
      <x:c r="E288" s="2" t="n">
        <x:v>10</x:v>
      </x:c>
      <x:c r="F288" s="2" t="n">
        <x:v>0</x:v>
      </x:c>
      <x:c r="G288" s="12" t="n">
        <x:v>1005179.2454</x:v>
      </x:c>
      <x:c r="H288" s="12" t="n">
        <x:v>0</x:v>
      </x:c>
      <x:c r="I288" s="13" t="n">
        <x:v>0</x:v>
      </x:c>
      <x:c r="J288" s="2" t="n">
        <x:v>10</x:v>
      </x:c>
      <x:c r="K288" s="2" t="n">
        <x:v>2</x:v>
      </x:c>
      <x:c r="L288" s="12" t="n">
        <x:v>4630.60765</x:v>
      </x:c>
      <x:c r="M288" s="13" t="n">
        <x:v>0.9520185079221296</x:v>
      </x:c>
      <x:c r="N288" s="13" t="n">
        <x:f>H288/G288</x:f>
        <x:v>0</x:v>
      </x:c>
      <x:c r="O288" s="13" t="n">
        <x:f>F288/E288</x:f>
        <x:v>0</x:v>
      </x:c>
      <x:c r="P288" s="2" t="str">
        <x:f>IF(AND(E288&gt;='Итоги'!$F$5,N288&lt;='Итоги'!$B$5,O288&gt;='Итоги'!$D$5),"Да","Нет")</x:f>
        <x:v>Нет</x:v>
      </x:c>
    </x:row>
    <x:row r="289" ht="60" customHeight="1">
      <x:c r="A289" s="14" t="str">
        <x:v>Детская одежда</x:v>
      </x:c>
      <x:c r="B289" s="14" t="str">
        <x:v>Детская одежда</x:v>
      </x:c>
      <x:c r="C289" s="14" t="str">
        <x:v>Одежда для мальчика</x:v>
      </x:c>
      <x:c r="D289" s="14" t="str">
        <x:v>Жакет для мальчика</x:v>
      </x:c>
      <x:c r="E289" s="2" t="n">
        <x:v>9</x:v>
      </x:c>
      <x:c r="F289" s="2" t="n">
        <x:v>0</x:v>
      </x:c>
      <x:c r="G289" s="12" t="n">
        <x:v>720941.2985</x:v>
      </x:c>
      <x:c r="H289" s="12" t="n">
        <x:v>0</x:v>
      </x:c>
      <x:c r="I289" s="13" t="n">
        <x:v>0</x:v>
      </x:c>
      <x:c r="J289" s="2" t="n">
        <x:v>9</x:v>
      </x:c>
      <x:c r="K289" s="2" t="n">
        <x:v>1</x:v>
      </x:c>
      <x:c r="L289" s="12" t="n">
        <x:v>1277.8008</x:v>
      </x:c>
      <x:c r="M289" s="13" t="n">
        <x:v>1</x:v>
      </x:c>
      <x:c r="N289" s="13" t="n">
        <x:f>H289/G289</x:f>
        <x:v>0</x:v>
      </x:c>
      <x:c r="O289" s="13" t="n">
        <x:f>F289/E289</x:f>
        <x:v>0</x:v>
      </x:c>
      <x:c r="P289" s="2" t="str">
        <x:f>IF(AND(E289&gt;='Итоги'!$F$5,N289&lt;='Итоги'!$B$5,O289&gt;='Итоги'!$D$5),"Да","Нет")</x:f>
        <x:v>Нет</x:v>
      </x:c>
    </x:row>
    <x:row r="290" ht="60" customHeight="1">
      <x:c r="A290" s="14" t="str">
        <x:v>Детская одежда</x:v>
      </x:c>
      <x:c r="B290" s="14" t="str">
        <x:v>Обувь для новорожденных</x:v>
      </x:c>
      <x:c r="C290" s="14" t="str">
        <x:v>Обувь для новорожденных</x:v>
      </x:c>
      <x:c r="D290" s="14" t="str">
        <x:v>Сандалии для новорожденных</x:v>
      </x:c>
      <x:c r="E290" s="2" t="n">
        <x:v>9</x:v>
      </x:c>
      <x:c r="F290" s="2" t="n">
        <x:v>0</x:v>
      </x:c>
      <x:c r="G290" s="12" t="n">
        <x:v>505293.1222</x:v>
      </x:c>
      <x:c r="H290" s="12" t="n">
        <x:v>0</x:v>
      </x:c>
      <x:c r="I290" s="13" t="n">
        <x:v>0</x:v>
      </x:c>
      <x:c r="J290" s="2" t="n">
        <x:v>9</x:v>
      </x:c>
      <x:c r="K290" s="2" t="n">
        <x:v>1</x:v>
      </x:c>
      <x:c r="L290" s="12" t="n">
        <x:v>1722.2653</x:v>
      </x:c>
      <x:c r="M290" s="13" t="n">
        <x:v>1</x:v>
      </x:c>
      <x:c r="N290" s="13" t="n">
        <x:f>H290/G290</x:f>
        <x:v>0</x:v>
      </x:c>
      <x:c r="O290" s="13" t="n">
        <x:f>F290/E290</x:f>
        <x:v>0</x:v>
      </x:c>
      <x:c r="P290" s="2" t="str">
        <x:f>IF(AND(E290&gt;='Итоги'!$F$5,N290&lt;='Итоги'!$B$5,O290&gt;='Итоги'!$D$5),"Да","Нет")</x:f>
        <x:v>Нет</x:v>
      </x:c>
    </x:row>
    <x:row r="291" ht="60" customHeight="1">
      <x:c r="A291" s="14" t="str">
        <x:v>Одежда</x:v>
      </x:c>
      <x:c r="B291" s="14" t="str">
        <x:v>Основная одежда женская</x:v>
      </x:c>
      <x:c r="C291" s="14" t="str">
        <x:v>Головные уборы, перчатки, шарфы женские</x:v>
      </x:c>
      <x:c r="D291" s="14" t="str">
        <x:v>Женская шапка трикотажная</x:v>
      </x:c>
      <x:c r="E291" s="2" t="n">
        <x:v>9</x:v>
      </x:c>
      <x:c r="F291" s="2" t="n">
        <x:v>0</x:v>
      </x:c>
      <x:c r="G291" s="12" t="n">
        <x:v>437903</x:v>
      </x:c>
      <x:c r="H291" s="12" t="n">
        <x:v>0</x:v>
      </x:c>
      <x:c r="I291" s="13" t="n">
        <x:v>0</x:v>
      </x:c>
      <x:c r="J291" s="2" t="n">
        <x:v>9</x:v>
      </x:c>
      <x:c r="K291" s="2" t="n">
        <x:v>2</x:v>
      </x:c>
      <x:c r="L291" s="12" t="n">
        <x:v>4315.95</x:v>
      </x:c>
      <x:c r="M291" s="13" t="n">
        <x:v>0.9682098546938476</x:v>
      </x:c>
      <x:c r="N291" s="13" t="n">
        <x:f>H291/G291</x:f>
        <x:v>0</x:v>
      </x:c>
      <x:c r="O291" s="13" t="n">
        <x:f>F291/E291</x:f>
        <x:v>0</x:v>
      </x:c>
      <x:c r="P291" s="2" t="str">
        <x:f>IF(AND(E291&gt;='Итоги'!$F$5,N291&lt;='Итоги'!$B$5,O291&gt;='Итоги'!$D$5),"Да","Нет")</x:f>
        <x:v>Нет</x:v>
      </x:c>
    </x:row>
    <x:row r="292" ht="60" customHeight="1">
      <x:c r="A292" s="14" t="str">
        <x:v>Аптека</x:v>
      </x:c>
      <x:c r="B292" s="14" t="str">
        <x:v>Лекарственные средства для животных</x:v>
      </x:c>
      <x:c r="C292" s="14" t="str">
        <x:v>Безрецептурные лекарственные препараты для животных</x:v>
      </x:c>
      <x:c r="D292" s="14" t="str">
        <x:v>ВЕТ Препараты от клещей и блох лицензированные</x:v>
      </x:c>
      <x:c r="E292" s="2" t="n">
        <x:v>8</x:v>
      </x:c>
      <x:c r="F292" s="2" t="n">
        <x:v>0</x:v>
      </x:c>
      <x:c r="G292" s="12" t="n">
        <x:v>1522765.56</x:v>
      </x:c>
      <x:c r="H292" s="12" t="n">
        <x:v>0</x:v>
      </x:c>
      <x:c r="I292" s="13" t="n">
        <x:v>0</x:v>
      </x:c>
      <x:c r="J292" s="2" t="n">
        <x:v>8</x:v>
      </x:c>
      <x:c r="K292" s="2" t="n">
        <x:v>1</x:v>
      </x:c>
      <x:c r="L292" s="12" t="n">
        <x:v>2384.2961</x:v>
      </x:c>
      <x:c r="M292" s="13" t="n">
        <x:v>1</x:v>
      </x:c>
      <x:c r="N292" s="13" t="n">
        <x:f>H292/G292</x:f>
        <x:v>0</x:v>
      </x:c>
      <x:c r="O292" s="13" t="n">
        <x:f>F292/E292</x:f>
        <x:v>0</x:v>
      </x:c>
      <x:c r="P292" s="2" t="str">
        <x:f>IF(AND(E292&gt;='Итоги'!$F$5,N292&lt;='Итоги'!$B$5,O292&gt;='Итоги'!$D$5),"Да","Нет")</x:f>
        <x:v>Нет</x:v>
      </x:c>
    </x:row>
    <x:row r="293" ht="60" customHeight="1">
      <x:c r="A293" s="14" t="str">
        <x:v>Бакалея и кондитерские изделия</x:v>
      </x:c>
      <x:c r="B293" s="14" t="str">
        <x:v>Бакалея</x:v>
      </x:c>
      <x:c r="C293" s="14" t="str">
        <x:v>Приправы, специи, травы</x:v>
      </x:c>
      <x:c r="D293" s="14" t="str">
        <x:v>Сухое молоко, сливки</x:v>
      </x:c>
      <x:c r="E293" s="2" t="n">
        <x:v>8</x:v>
      </x:c>
      <x:c r="F293" s="2" t="n">
        <x:v>0</x:v>
      </x:c>
      <x:c r="G293" s="12" t="n">
        <x:v>1222611.8157</x:v>
      </x:c>
      <x:c r="H293" s="12" t="n">
        <x:v>0</x:v>
      </x:c>
      <x:c r="I293" s="13" t="n">
        <x:v>0</x:v>
      </x:c>
      <x:c r="J293" s="2" t="n">
        <x:v>8</x:v>
      </x:c>
      <x:c r="K293" s="2" t="n">
        <x:v>4</x:v>
      </x:c>
      <x:c r="L293" s="12" t="n">
        <x:v>4747.92155</x:v>
      </x:c>
      <x:c r="M293" s="13" t="n">
        <x:v>0.5888903908455823</x:v>
      </x:c>
      <x:c r="N293" s="13" t="n">
        <x:f>H293/G293</x:f>
        <x:v>0</x:v>
      </x:c>
      <x:c r="O293" s="13" t="n">
        <x:f>F293/E293</x:f>
        <x:v>0</x:v>
      </x:c>
      <x:c r="P293" s="2" t="str">
        <x:f>IF(AND(E293&gt;='Итоги'!$F$5,N293&lt;='Итоги'!$B$5,O293&gt;='Итоги'!$D$5),"Да","Нет")</x:f>
        <x:v>Нет</x:v>
      </x:c>
    </x:row>
    <x:row r="294" ht="60" customHeight="1">
      <x:c r="A294" s="14" t="str">
        <x:v>Бакалея и кондитерские изделия</x:v>
      </x:c>
      <x:c r="B294" s="14" t="str">
        <x:v>Кондитерские изделия</x:v>
      </x:c>
      <x:c r="C294" s="14" t="str">
        <x:v>Зефир, мармелад</x:v>
      </x:c>
      <x:c r="D294" s="14" t="str">
        <x:v>Мармелад</x:v>
      </x:c>
      <x:c r="E294" s="2" t="n">
        <x:v>8</x:v>
      </x:c>
      <x:c r="F294" s="2" t="n">
        <x:v>0</x:v>
      </x:c>
      <x:c r="G294" s="12" t="n">
        <x:v>633443.4022</x:v>
      </x:c>
      <x:c r="H294" s="12" t="n">
        <x:v>0</x:v>
      </x:c>
      <x:c r="I294" s="13" t="n">
        <x:v>0</x:v>
      </x:c>
      <x:c r="J294" s="2" t="n">
        <x:v>8</x:v>
      </x:c>
      <x:c r="K294" s="2" t="n">
        <x:v>1</x:v>
      </x:c>
      <x:c r="L294" s="12" t="n">
        <x:v>1109.92975</x:v>
      </x:c>
      <x:c r="M294" s="13" t="n">
        <x:v>1</x:v>
      </x:c>
      <x:c r="N294" s="13" t="n">
        <x:f>H294/G294</x:f>
        <x:v>0</x:v>
      </x:c>
      <x:c r="O294" s="13" t="n">
        <x:f>F294/E294</x:f>
        <x:v>0</x:v>
      </x:c>
      <x:c r="P294" s="2" t="str">
        <x:f>IF(AND(E294&gt;='Итоги'!$F$5,N294&lt;='Итоги'!$B$5,O294&gt;='Итоги'!$D$5),"Да","Нет")</x:f>
        <x:v>Нет</x:v>
      </x:c>
    </x:row>
    <x:row r="295" ht="60" customHeight="1">
      <x:c r="A295" s="14" t="str">
        <x:v>Детская одежда</x:v>
      </x:c>
      <x:c r="B295" s="14" t="str">
        <x:v>Детская одежда</x:v>
      </x:c>
      <x:c r="C295" s="14" t="str">
        <x:v>Верхняя одежда для мальчика</x:v>
      </x:c>
      <x:c r="D295" s="14" t="str">
        <x:v>Куртка удлиненная зимняя для мальчика</x:v>
      </x:c>
      <x:c r="E295" s="2" t="n">
        <x:v>8</x:v>
      </x:c>
      <x:c r="F295" s="2" t="n">
        <x:v>0</x:v>
      </x:c>
      <x:c r="G295" s="12" t="n">
        <x:v>144054.93</x:v>
      </x:c>
      <x:c r="H295" s="12" t="n">
        <x:v>0</x:v>
      </x:c>
      <x:c r="I295" s="13" t="n">
        <x:v>0</x:v>
      </x:c>
      <x:c r="J295" s="2" t="n">
        <x:v>8</x:v>
      </x:c>
      <x:c r="K295" s="2" t="n">
        <x:v>2</x:v>
      </x:c>
      <x:c r="L295" s="12" t="n">
        <x:v>3656.58845</x:v>
      </x:c>
      <x:c r="M295" s="13" t="n">
        <x:v>0.7181760457625436</x:v>
      </x:c>
      <x:c r="N295" s="13" t="n">
        <x:f>H295/G295</x:f>
        <x:v>0</x:v>
      </x:c>
      <x:c r="O295" s="13" t="n">
        <x:f>F295/E295</x:f>
        <x:v>0</x:v>
      </x:c>
      <x:c r="P295" s="2" t="str">
        <x:f>IF(AND(E295&gt;='Итоги'!$F$5,N295&lt;='Итоги'!$B$5,O295&gt;='Итоги'!$D$5),"Да","Нет")</x:f>
        <x:v>Нет</x:v>
      </x:c>
    </x:row>
    <x:row r="296" ht="60" customHeight="1">
      <x:c r="A296" s="14" t="str">
        <x:v>Книги</x:v>
      </x:c>
      <x:c r="B296" s="14" t="str">
        <x:v>Букинистическое издание</x:v>
      </x:c>
      <x:c r="C296" s="14" t="str">
        <x:v>Букинистика: Художественная литература</x:v>
      </x:c>
      <x:c r="D296" s="14" t="str">
        <x:v>Букинистика: Художественная литература</x:v>
      </x:c>
      <x:c r="E296" s="2" t="n">
        <x:v>8</x:v>
      </x:c>
      <x:c r="F296" s="2" t="n">
        <x:v>0</x:v>
      </x:c>
      <x:c r="G296" s="12" t="n">
        <x:v>92103</x:v>
      </x:c>
      <x:c r="H296" s="12" t="n">
        <x:v>0</x:v>
      </x:c>
      <x:c r="I296" s="13" t="n">
        <x:v>0</x:v>
      </x:c>
      <x:c r="J296" s="2" t="n">
        <x:v>8</x:v>
      </x:c>
      <x:c r="K296" s="2" t="n">
        <x:v>2</x:v>
      </x:c>
      <x:c r="L296" s="12" t="n">
        <x:v>6791</x:v>
      </x:c>
      <x:c r="M296" s="13" t="n">
        <x:v>0.964604844576181</x:v>
      </x:c>
      <x:c r="N296" s="13" t="n">
        <x:f>H296/G296</x:f>
        <x:v>0</x:v>
      </x:c>
      <x:c r="O296" s="13" t="n">
        <x:f>F296/E296</x:f>
        <x:v>0</x:v>
      </x:c>
      <x:c r="P296" s="2" t="str">
        <x:f>IF(AND(E296&gt;='Итоги'!$F$5,N296&lt;='Итоги'!$B$5,O296&gt;='Итоги'!$D$5),"Да","Нет")</x:f>
        <x:v>Нет</x:v>
      </x:c>
    </x:row>
    <x:row r="297" ht="60" customHeight="1">
      <x:c r="A297" s="14" t="str">
        <x:v>Одежда</x:v>
      </x:c>
      <x:c r="B297" s="14" t="str">
        <x:v>Верхняя одежда</x:v>
      </x:c>
      <x:c r="C297" s="14" t="str">
        <x:v>Спортивная верхняя одежда женская</x:v>
      </x:c>
      <x:c r="D297" s="14" t="str">
        <x:v>Спортивная парка женская</x:v>
      </x:c>
      <x:c r="E297" s="2" t="n">
        <x:v>8</x:v>
      </x:c>
      <x:c r="F297" s="2" t="n">
        <x:v>0</x:v>
      </x:c>
      <x:c r="G297" s="12" t="n">
        <x:v>126800.75</x:v>
      </x:c>
      <x:c r="H297" s="12" t="n">
        <x:v>0</x:v>
      </x:c>
      <x:c r="I297" s="13" t="n">
        <x:v>0</x:v>
      </x:c>
      <x:c r="J297" s="2" t="n">
        <x:v>8</x:v>
      </x:c>
      <x:c r="K297" s="2" t="n">
        <x:v>4</x:v>
      </x:c>
      <x:c r="L297" s="12" t="n">
        <x:v>8740.5</x:v>
      </x:c>
      <x:c r="M297" s="13" t="n">
        <x:v>0.6444125921968127</x:v>
      </x:c>
      <x:c r="N297" s="13" t="n">
        <x:f>H297/G297</x:f>
        <x:v>0</x:v>
      </x:c>
      <x:c r="O297" s="13" t="n">
        <x:f>F297/E297</x:f>
        <x:v>0</x:v>
      </x:c>
      <x:c r="P297" s="2" t="str">
        <x:f>IF(AND(E297&gt;='Итоги'!$F$5,N297&lt;='Итоги'!$B$5,O297&gt;='Итоги'!$D$5),"Да","Нет")</x:f>
        <x:v>Нет</x:v>
      </x:c>
    </x:row>
    <x:row r="298" ht="60" customHeight="1">
      <x:c r="A298" s="14" t="str">
        <x:v>Одежда</x:v>
      </x:c>
      <x:c r="B298" s="14" t="str">
        <x:v>Верхняя одежда</x:v>
      </x:c>
      <x:c r="C298" s="14" t="str">
        <x:v>Спортивная верхняя одежда мужская</x:v>
      </x:c>
      <x:c r="D298" s="14" t="str">
        <x:v>Спортивный жилет мужской</x:v>
      </x:c>
      <x:c r="E298" s="2" t="n">
        <x:v>8</x:v>
      </x:c>
      <x:c r="F298" s="2" t="n">
        <x:v>0</x:v>
      </x:c>
      <x:c r="G298" s="12" t="n">
        <x:v>386576.16</x:v>
      </x:c>
      <x:c r="H298" s="12" t="n">
        <x:v>0</x:v>
      </x:c>
      <x:c r="I298" s="13" t="n">
        <x:v>0</x:v>
      </x:c>
      <x:c r="J298" s="2" t="n">
        <x:v>8</x:v>
      </x:c>
      <x:c r="K298" s="2" t="n">
        <x:v>2</x:v>
      </x:c>
      <x:c r="L298" s="12" t="n">
        <x:v>1660.0429</x:v>
      </x:c>
      <x:c r="M298" s="13" t="n">
        <x:v>0.9874280917892092</x:v>
      </x:c>
      <x:c r="N298" s="13" t="n">
        <x:f>H298/G298</x:f>
        <x:v>0</x:v>
      </x:c>
      <x:c r="O298" s="13" t="n">
        <x:f>F298/E298</x:f>
        <x:v>0</x:v>
      </x:c>
      <x:c r="P298" s="2" t="str">
        <x:f>IF(AND(E298&gt;='Итоги'!$F$5,N298&lt;='Итоги'!$B$5,O298&gt;='Итоги'!$D$5),"Да","Нет")</x:f>
        <x:v>Нет</x:v>
      </x:c>
    </x:row>
    <x:row r="299" ht="60" customHeight="1">
      <x:c r="A299" s="14" t="str">
        <x:v>Одежда</x:v>
      </x:c>
      <x:c r="B299" s="14" t="str">
        <x:v>Спецодежда и одежда для мероприятий</x:v>
      </x:c>
      <x:c r="C299" s="14" t="str">
        <x:v>Карнавальные костюмы</x:v>
      </x:c>
      <x:c r="D299" s="14" t="str">
        <x:v>Карнавальный костюм женский</x:v>
      </x:c>
      <x:c r="E299" s="2" t="n">
        <x:v>8</x:v>
      </x:c>
      <x:c r="F299" s="2" t="n">
        <x:v>0</x:v>
      </x:c>
      <x:c r="G299" s="12" t="n">
        <x:v>287366</x:v>
      </x:c>
      <x:c r="H299" s="12" t="n">
        <x:v>0</x:v>
      </x:c>
      <x:c r="I299" s="13" t="n">
        <x:v>0</x:v>
      </x:c>
      <x:c r="J299" s="2" t="n">
        <x:v>8</x:v>
      </x:c>
      <x:c r="K299" s="2" t="n">
        <x:v>4</x:v>
      </x:c>
      <x:c r="L299" s="12" t="n">
        <x:v>2658.78675</x:v>
      </x:c>
      <x:c r="M299" s="13" t="n">
        <x:v>0.3133077677943807</x:v>
      </x:c>
      <x:c r="N299" s="13" t="n">
        <x:f>H299/G299</x:f>
        <x:v>0</x:v>
      </x:c>
      <x:c r="O299" s="13" t="n">
        <x:f>F299/E299</x:f>
        <x:v>0</x:v>
      </x:c>
      <x:c r="P299" s="2" t="str">
        <x:f>IF(AND(E299&gt;='Итоги'!$F$5,N299&lt;='Итоги'!$B$5,O299&gt;='Итоги'!$D$5),"Да","Нет")</x:f>
        <x:v>Нет</x:v>
      </x:c>
    </x:row>
    <x:row r="300" ht="60" customHeight="1">
      <x:c r="A300" s="14" t="str">
        <x:v>Спорт и отдых</x:v>
      </x:c>
      <x:c r="B300" s="14" t="str">
        <x:v>Водные виды спорта</x:v>
      </x:c>
      <x:c r="C300" s="14" t="str">
        <x:v>Каяк/байдарка</x:v>
      </x:c>
      <x:c r="D300" s="14" t="str">
        <x:v>Каяк</x:v>
      </x:c>
      <x:c r="E300" s="2" t="n">
        <x:v>8</x:v>
      </x:c>
      <x:c r="F300" s="2" t="n">
        <x:v>0</x:v>
      </x:c>
      <x:c r="G300" s="12" t="n">
        <x:v>430368.7946</x:v>
      </x:c>
      <x:c r="H300" s="12" t="n">
        <x:v>0</x:v>
      </x:c>
      <x:c r="I300" s="13" t="n">
        <x:v>0</x:v>
      </x:c>
      <x:c r="J300" s="2" t="n">
        <x:v>8</x:v>
      </x:c>
      <x:c r="K300" s="2" t="n">
        <x:v>3</x:v>
      </x:c>
      <x:c r="L300" s="12" t="n">
        <x:v>47278</x:v>
      </x:c>
      <x:c r="M300" s="13" t="n">
        <x:v>0.6850078437355178</x:v>
      </x:c>
      <x:c r="N300" s="13" t="n">
        <x:f>H300/G300</x:f>
        <x:v>0</x:v>
      </x:c>
      <x:c r="O300" s="13" t="n">
        <x:f>F300/E300</x:f>
        <x:v>0</x:v>
      </x:c>
      <x:c r="P300" s="2" t="str">
        <x:f>IF(AND(E300&gt;='Итоги'!$F$5,N300&lt;='Итоги'!$B$5,O300&gt;='Итоги'!$D$5),"Да","Нет")</x:f>
        <x:v>Нет</x:v>
      </x:c>
    </x:row>
    <x:row r="301" ht="60" customHeight="1">
      <x:c r="A301" s="14" t="str">
        <x:v>Строительство и ремонт (DIY)</x:v>
      </x:c>
      <x:c r="B301" s="14" t="str">
        <x:v>Сад и огород</x:v>
      </x:c>
      <x:c r="C301" s="14" t="str">
        <x:v>Товары для бани и сауны</x:v>
      </x:c>
      <x:c r="D301" s="14" t="str">
        <x:v>Дверь для бани и сауны</x:v>
      </x:c>
      <x:c r="E301" s="2" t="n">
        <x:v>8</x:v>
      </x:c>
      <x:c r="F301" s="2" t="n">
        <x:v>0</x:v>
      </x:c>
      <x:c r="G301" s="12" t="n">
        <x:v>1238781.2207</x:v>
      </x:c>
      <x:c r="H301" s="12" t="n">
        <x:v>0</x:v>
      </x:c>
      <x:c r="I301" s="13" t="n">
        <x:v>0</x:v>
      </x:c>
      <x:c r="J301" s="2" t="n">
        <x:v>8</x:v>
      </x:c>
      <x:c r="K301" s="2" t="n">
        <x:v>1</x:v>
      </x:c>
      <x:c r="L301" s="12" t="n">
        <x:v>11333.99105</x:v>
      </x:c>
      <x:c r="M301" s="13" t="n">
        <x:v>1</x:v>
      </x:c>
      <x:c r="N301" s="13" t="n">
        <x:f>H301/G301</x:f>
        <x:v>0</x:v>
      </x:c>
      <x:c r="O301" s="13" t="n">
        <x:f>F301/E301</x:f>
        <x:v>0</x:v>
      </x:c>
      <x:c r="P301" s="2" t="str">
        <x:f>IF(AND(E301&gt;='Итоги'!$F$5,N301&lt;='Итоги'!$B$5,O301&gt;='Итоги'!$D$5),"Да","Нет")</x:f>
        <x:v>Нет</x:v>
      </x:c>
    </x:row>
    <x:row r="302" ht="60" customHeight="1">
      <x:c r="A302" s="14" t="str">
        <x:v>Аптека</x:v>
      </x:c>
      <x:c r="B302" s="14" t="str">
        <x:v>Лекарственные средства для животных</x:v>
      </x:c>
      <x:c r="C302" s="14" t="str">
        <x:v>Безрецептурные лекарственные препараты для животных</x:v>
      </x:c>
      <x:c r="D302" s="14" t="str">
        <x:v>ВЕТ Противопаразитарные препараты широкого спектра действия лицензированные</x:v>
      </x:c>
      <x:c r="E302" s="2" t="n">
        <x:v>7</x:v>
      </x:c>
      <x:c r="F302" s="2" t="n">
        <x:v>0</x:v>
      </x:c>
      <x:c r="G302" s="12" t="n">
        <x:v>1426496.69</x:v>
      </x:c>
      <x:c r="H302" s="12" t="n">
        <x:v>0</x:v>
      </x:c>
      <x:c r="I302" s="13" t="n">
        <x:v>0</x:v>
      </x:c>
      <x:c r="J302" s="2" t="n">
        <x:v>7</x:v>
      </x:c>
      <x:c r="K302" s="2" t="n">
        <x:v>1</x:v>
      </x:c>
      <x:c r="L302" s="12" t="n">
        <x:v>1380.4967</x:v>
      </x:c>
      <x:c r="M302" s="13" t="n">
        <x:v>1</x:v>
      </x:c>
      <x:c r="N302" s="13" t="n">
        <x:f>H302/G302</x:f>
        <x:v>0</x:v>
      </x:c>
      <x:c r="O302" s="13" t="n">
        <x:f>F302/E302</x:f>
        <x:v>0</x:v>
      </x:c>
      <x:c r="P302" s="2" t="str">
        <x:f>IF(AND(E302&gt;='Итоги'!$F$5,N302&lt;='Итоги'!$B$5,O302&gt;='Итоги'!$D$5),"Да","Нет")</x:f>
        <x:v>Нет</x:v>
      </x:c>
    </x:row>
    <x:row r="303" ht="60" customHeight="1">
      <x:c r="A303" s="14" t="str">
        <x:v>Аптека</x:v>
      </x:c>
      <x:c r="B303" s="14" t="str">
        <x:v>Медицинские изделия</x:v>
      </x:c>
      <x:c r="C303" s="14" t="str">
        <x:v>Хирургия</x:v>
      </x:c>
      <x:c r="D303" s="14" t="str">
        <x:v>Протез синовиальной жидкости</x:v>
      </x:c>
      <x:c r="E303" s="2" t="n">
        <x:v>7</x:v>
      </x:c>
      <x:c r="F303" s="2" t="n">
        <x:v>0</x:v>
      </x:c>
      <x:c r="G303" s="12" t="n">
        <x:v>1981296</x:v>
      </x:c>
      <x:c r="H303" s="12" t="n">
        <x:v>0</x:v>
      </x:c>
      <x:c r="I303" s="13" t="n">
        <x:v>0</x:v>
      </x:c>
      <x:c r="J303" s="2" t="n">
        <x:v>7</x:v>
      </x:c>
      <x:c r="K303" s="2" t="n">
        <x:v>1</x:v>
      </x:c>
      <x:c r="L303" s="12" t="n">
        <x:v>6710.2258</x:v>
      </x:c>
      <x:c r="M303" s="13" t="n">
        <x:v>1</x:v>
      </x:c>
      <x:c r="N303" s="13" t="n">
        <x:f>H303/G303</x:f>
        <x:v>0</x:v>
      </x:c>
      <x:c r="O303" s="13" t="n">
        <x:f>F303/E303</x:f>
        <x:v>0</x:v>
      </x:c>
      <x:c r="P303" s="2" t="str">
        <x:f>IF(AND(E303&gt;='Итоги'!$F$5,N303&lt;='Итоги'!$B$5,O303&gt;='Итоги'!$D$5),"Да","Нет")</x:f>
        <x:v>Нет</x:v>
      </x:c>
    </x:row>
    <x:row r="304" ht="60" customHeight="1">
      <x:c r="A304" s="14" t="str">
        <x:v>Детская одежда</x:v>
      </x:c>
      <x:c r="B304" s="14" t="str">
        <x:v>Детская обувь</x:v>
      </x:c>
      <x:c r="C304" s="14" t="str">
        <x:v>Обувь для девочки</x:v>
      </x:c>
      <x:c r="D304" s="14" t="str">
        <x:v>Дутики для девочки</x:v>
      </x:c>
      <x:c r="E304" s="2" t="n">
        <x:v>7</x:v>
      </x:c>
      <x:c r="F304" s="2" t="n">
        <x:v>0</x:v>
      </x:c>
      <x:c r="G304" s="12" t="n">
        <x:v>336745.3131</x:v>
      </x:c>
      <x:c r="H304" s="12" t="n">
        <x:v>0</x:v>
      </x:c>
      <x:c r="I304" s="13" t="n">
        <x:v>0</x:v>
      </x:c>
      <x:c r="J304" s="2" t="n">
        <x:v>7</x:v>
      </x:c>
      <x:c r="K304" s="2" t="n">
        <x:v>2</x:v>
      </x:c>
      <x:c r="L304" s="12" t="n">
        <x:v>2947.3378</x:v>
      </x:c>
      <x:c r="M304" s="13" t="n">
        <x:v>0.6761603034765444</x:v>
      </x:c>
      <x:c r="N304" s="13" t="n">
        <x:f>H304/G304</x:f>
        <x:v>0</x:v>
      </x:c>
      <x:c r="O304" s="13" t="n">
        <x:f>F304/E304</x:f>
        <x:v>0</x:v>
      </x:c>
      <x:c r="P304" s="2" t="str">
        <x:f>IF(AND(E304&gt;='Итоги'!$F$5,N304&lt;='Итоги'!$B$5,O304&gt;='Итоги'!$D$5),"Да","Нет")</x:f>
        <x:v>Нет</x:v>
      </x:c>
    </x:row>
    <x:row r="305" ht="60" customHeight="1">
      <x:c r="A305" s="14" t="str">
        <x:v>Детская одежда</x:v>
      </x:c>
      <x:c r="B305" s="14" t="str">
        <x:v>Детская обувь</x:v>
      </x:c>
      <x:c r="C305" s="14" t="str">
        <x:v>Обувь для девочки</x:v>
      </x:c>
      <x:c r="D305" s="14" t="str">
        <x:v>Сноубутсы для девочки</x:v>
      </x:c>
      <x:c r="E305" s="2" t="n">
        <x:v>7</x:v>
      </x:c>
      <x:c r="F305" s="2" t="n">
        <x:v>0</x:v>
      </x:c>
      <x:c r="G305" s="12" t="n">
        <x:v>597229.3822</x:v>
      </x:c>
      <x:c r="H305" s="12" t="n">
        <x:v>0</x:v>
      </x:c>
      <x:c r="I305" s="13" t="n">
        <x:v>0</x:v>
      </x:c>
      <x:c r="J305" s="2" t="n">
        <x:v>7</x:v>
      </x:c>
      <x:c r="K305" s="2" t="n">
        <x:v>3</x:v>
      </x:c>
      <x:c r="L305" s="12" t="n">
        <x:v>3004.07</x:v>
      </x:c>
      <x:c r="M305" s="13" t="n">
        <x:v>0.9630590010177836</x:v>
      </x:c>
      <x:c r="N305" s="13" t="n">
        <x:f>H305/G305</x:f>
        <x:v>0</x:v>
      </x:c>
      <x:c r="O305" s="13" t="n">
        <x:f>F305/E305</x:f>
        <x:v>0</x:v>
      </x:c>
      <x:c r="P305" s="2" t="str">
        <x:f>IF(AND(E305&gt;='Итоги'!$F$5,N305&lt;='Итоги'!$B$5,O305&gt;='Итоги'!$D$5),"Да","Нет")</x:f>
        <x:v>Нет</x:v>
      </x:c>
    </x:row>
    <x:row r="306" ht="60" customHeight="1">
      <x:c r="A306" s="14" t="str">
        <x:v>Ноутбуки и компьютеры</x:v>
      </x:c>
      <x:c r="B306" s="14" t="str">
        <x:v>Фото и видео Lap&amp;Comp</x:v>
      </x:c>
      <x:c r="C306" s="14" t="str">
        <x:v>Фотокамера Lap&amp;Comp</x:v>
      </x:c>
      <x:c r="D306" s="14" t="str">
        <x:v>Фотокамера со сменным объективом</x:v>
      </x:c>
      <x:c r="E306" s="2" t="n">
        <x:v>7</x:v>
      </x:c>
      <x:c r="F306" s="2" t="n">
        <x:v>0</x:v>
      </x:c>
      <x:c r="G306" s="12" t="n">
        <x:v>1457633.0326</x:v>
      </x:c>
      <x:c r="H306" s="12" t="n">
        <x:v>0</x:v>
      </x:c>
      <x:c r="I306" s="13" t="n">
        <x:v>0</x:v>
      </x:c>
      <x:c r="J306" s="2" t="n">
        <x:v>7</x:v>
      </x:c>
      <x:c r="K306" s="2" t="n">
        <x:v>1</x:v>
      </x:c>
      <x:c r="L306" s="12" t="n">
        <x:v>2678.4177</x:v>
      </x:c>
      <x:c r="M306" s="13" t="n">
        <x:v>1</x:v>
      </x:c>
      <x:c r="N306" s="13" t="n">
        <x:f>H306/G306</x:f>
        <x:v>0</x:v>
      </x:c>
      <x:c r="O306" s="13" t="n">
        <x:f>F306/E306</x:f>
        <x:v>0</x:v>
      </x:c>
      <x:c r="P306" s="2" t="str">
        <x:f>IF(AND(E306&gt;='Итоги'!$F$5,N306&lt;='Итоги'!$B$5,O306&gt;='Итоги'!$D$5),"Да","Нет")</x:f>
        <x:v>Нет</x:v>
      </x:c>
    </x:row>
    <x:row r="307" ht="60" customHeight="1">
      <x:c r="A307" s="14" t="str">
        <x:v>Одежда</x:v>
      </x:c>
      <x:c r="B307" s="14" t="str">
        <x:v>Основная одежда мужская</x:v>
      </x:c>
      <x:c r="C307" s="14" t="str">
        <x:v>Спортивная основная одежда мужская низы</x:v>
      </x:c>
      <x:c r="D307" s="14" t="str">
        <x:v>Спортивные тайтсы мужские</x:v>
      </x:c>
      <x:c r="E307" s="2" t="n">
        <x:v>7</x:v>
      </x:c>
      <x:c r="F307" s="2" t="n">
        <x:v>0</x:v>
      </x:c>
      <x:c r="G307" s="12" t="n">
        <x:v>1058505.7041</x:v>
      </x:c>
      <x:c r="H307" s="12" t="n">
        <x:v>0</x:v>
      </x:c>
      <x:c r="I307" s="13" t="n">
        <x:v>0</x:v>
      </x:c>
      <x:c r="J307" s="2" t="n">
        <x:v>7</x:v>
      </x:c>
      <x:c r="K307" s="2" t="n">
        <x:v>1</x:v>
      </x:c>
      <x:c r="L307" s="12" t="n">
        <x:v>2769.9892</x:v>
      </x:c>
      <x:c r="M307" s="13" t="n">
        <x:v>1</x:v>
      </x:c>
      <x:c r="N307" s="13" t="n">
        <x:f>H307/G307</x:f>
        <x:v>0</x:v>
      </x:c>
      <x:c r="O307" s="13" t="n">
        <x:f>F307/E307</x:f>
        <x:v>0</x:v>
      </x:c>
      <x:c r="P307" s="2" t="str">
        <x:f>IF(AND(E307&gt;='Итоги'!$F$5,N307&lt;='Итоги'!$B$5,O307&gt;='Итоги'!$D$5),"Да","Нет")</x:f>
        <x:v>Нет</x:v>
      </x:c>
    </x:row>
    <x:row r="308" ht="60" customHeight="1">
      <x:c r="A308" s="14" t="str">
        <x:v>Одежда</x:v>
      </x:c>
      <x:c r="B308" s="14" t="str">
        <x:v>Спецодежда и одежда для мероприятий</x:v>
      </x:c>
      <x:c r="C308" s="14" t="str">
        <x:v>Спецодежда мужская</x:v>
      </x:c>
      <x:c r="D308" s="14" t="str">
        <x:v>Костюм для сварщика мужской</x:v>
      </x:c>
      <x:c r="E308" s="2" t="n">
        <x:v>7</x:v>
      </x:c>
      <x:c r="F308" s="2" t="n">
        <x:v>0</x:v>
      </x:c>
      <x:c r="G308" s="12" t="n">
        <x:v>493270.3271</x:v>
      </x:c>
      <x:c r="H308" s="12" t="n">
        <x:v>0</x:v>
      </x:c>
      <x:c r="I308" s="13" t="n">
        <x:v>0</x:v>
      </x:c>
      <x:c r="J308" s="2" t="n">
        <x:v>7</x:v>
      </x:c>
      <x:c r="K308" s="2" t="n">
        <x:v>2</x:v>
      </x:c>
      <x:c r="L308" s="12" t="n">
        <x:v>1809.5333</x:v>
      </x:c>
      <x:c r="M308" s="13" t="n">
        <x:v>0.9082308472392197</x:v>
      </x:c>
      <x:c r="N308" s="13" t="n">
        <x:f>H308/G308</x:f>
        <x:v>0</x:v>
      </x:c>
      <x:c r="O308" s="13" t="n">
        <x:f>F308/E308</x:f>
        <x:v>0</x:v>
      </x:c>
      <x:c r="P308" s="2" t="str">
        <x:f>IF(AND(E308&gt;='Итоги'!$F$5,N308&lt;='Итоги'!$B$5,O308&gt;='Итоги'!$D$5),"Да","Нет")</x:f>
        <x:v>Нет</x:v>
      </x:c>
    </x:row>
    <x:row r="309" ht="60" customHeight="1">
      <x:c r="A309" s="14" t="str">
        <x:v>Спорт и отдых</x:v>
      </x:c>
      <x:c r="B309" s="14" t="str">
        <x:v>Всесезонные виды спорта</x:v>
      </x:c>
      <x:c r="C309" s="14" t="str">
        <x:v>Конный спорт</x:v>
      </x:c>
      <x:c r="D309" s="14" t="str">
        <x:v>Одежда для всадника</x:v>
      </x:c>
      <x:c r="E309" s="2" t="n">
        <x:v>7</x:v>
      </x:c>
      <x:c r="F309" s="2" t="n">
        <x:v>0</x:v>
      </x:c>
      <x:c r="G309" s="12" t="n">
        <x:v>382728</x:v>
      </x:c>
      <x:c r="H309" s="12" t="n">
        <x:v>0</x:v>
      </x:c>
      <x:c r="I309" s="13" t="n">
        <x:v>0</x:v>
      </x:c>
      <x:c r="J309" s="2" t="n">
        <x:v>7</x:v>
      </x:c>
      <x:c r="K309" s="2" t="n">
        <x:v>3</x:v>
      </x:c>
      <x:c r="L309" s="12" t="n">
        <x:v>3098.6667</x:v>
      </x:c>
      <x:c r="M309" s="13" t="n">
        <x:v>0.4927859994565331</x:v>
      </x:c>
      <x:c r="N309" s="13" t="n">
        <x:f>H309/G309</x:f>
        <x:v>0</x:v>
      </x:c>
      <x:c r="O309" s="13" t="n">
        <x:f>F309/E309</x:f>
        <x:v>0</x:v>
      </x:c>
      <x:c r="P309" s="2" t="str">
        <x:f>IF(AND(E309&gt;='Итоги'!$F$5,N309&lt;='Итоги'!$B$5,O309&gt;='Итоги'!$D$5),"Да","Нет")</x:f>
        <x:v>Нет</x:v>
      </x:c>
    </x:row>
    <x:row r="310" ht="60" customHeight="1">
      <x:c r="A310" s="14" t="str">
        <x:v>Автотовары</x:v>
      </x:c>
      <x:c r="B310" s="14" t="str">
        <x:v>Авто и мото запчасти</x:v>
      </x:c>
      <x:c r="C310" s="14" t="str">
        <x:v>Трансмиссия</x:v>
      </x:c>
      <x:c r="D310" s="14" t="str">
        <x:v>Редуктор и компоненты моста</x:v>
      </x:c>
      <x:c r="E310" s="2" t="n">
        <x:v>6</x:v>
      </x:c>
      <x:c r="F310" s="2" t="n">
        <x:v>0</x:v>
      </x:c>
      <x:c r="G310" s="12" t="n">
        <x:v>707166.4049</x:v>
      </x:c>
      <x:c r="H310" s="12" t="n">
        <x:v>0</x:v>
      </x:c>
      <x:c r="I310" s="13" t="n">
        <x:v>0</x:v>
      </x:c>
      <x:c r="J310" s="2" t="n">
        <x:v>6</x:v>
      </x:c>
      <x:c r="K310" s="2" t="n">
        <x:v>3</x:v>
      </x:c>
      <x:c r="L310" s="12" t="n">
        <x:v>13378.1099</x:v>
      </x:c>
      <x:c r="M310" s="13" t="n">
        <x:v>0.441669314514689</x:v>
      </x:c>
      <x:c r="N310" s="13" t="n">
        <x:f>H310/G310</x:f>
        <x:v>0</x:v>
      </x:c>
      <x:c r="O310" s="13" t="n">
        <x:f>F310/E310</x:f>
        <x:v>0</x:v>
      </x:c>
      <x:c r="P310" s="2" t="str">
        <x:f>IF(AND(E310&gt;='Итоги'!$F$5,N310&lt;='Итоги'!$B$5,O310&gt;='Итоги'!$D$5),"Да","Нет")</x:f>
        <x:v>Нет</x:v>
      </x:c>
    </x:row>
    <x:row r="311" ht="60" customHeight="1">
      <x:c r="A311" s="14" t="str">
        <x:v>Аксессуары</x:v>
      </x:c>
      <x:c r="B311" s="14" t="str">
        <x:v>Ювелирные изделия</x:v>
      </x:c>
      <x:c r="C311" s="14" t="str">
        <x:v>Кольцо ювелирное</x:v>
      </x:c>
      <x:c r="D311" s="14" t="str">
        <x:v>Платина кольцо</x:v>
      </x:c>
      <x:c r="E311" s="2" t="n">
        <x:v>6</x:v>
      </x:c>
      <x:c r="F311" s="2" t="n">
        <x:v>0</x:v>
      </x:c>
      <x:c r="G311" s="12" t="n">
        <x:v>208045</x:v>
      </x:c>
      <x:c r="H311" s="12" t="n">
        <x:v>0</x:v>
      </x:c>
      <x:c r="I311" s="13" t="n">
        <x:v>0</x:v>
      </x:c>
      <x:c r="J311" s="2" t="n">
        <x:v>6</x:v>
      </x:c>
      <x:c r="K311" s="2" t="n">
        <x:v>1</x:v>
      </x:c>
      <x:c r="L311" s="12" t="n">
        <x:v>24215</x:v>
      </x:c>
      <x:c r="M311" s="13" t="n">
        <x:v>1</x:v>
      </x:c>
      <x:c r="N311" s="13" t="n">
        <x:f>H311/G311</x:f>
        <x:v>0</x:v>
      </x:c>
      <x:c r="O311" s="13" t="n">
        <x:f>F311/E311</x:f>
        <x:v>0</x:v>
      </x:c>
      <x:c r="P311" s="2" t="str">
        <x:f>IF(AND(E311&gt;='Итоги'!$F$5,N311&lt;='Итоги'!$B$5,O311&gt;='Итоги'!$D$5),"Да","Нет")</x:f>
        <x:v>Нет</x:v>
      </x:c>
    </x:row>
    <x:row r="312" ht="60" customHeight="1">
      <x:c r="A312" s="14" t="str">
        <x:v>Детская одежда</x:v>
      </x:c>
      <x:c r="B312" s="14" t="str">
        <x:v>Детская одежда</x:v>
      </x:c>
      <x:c r="C312" s="14" t="str">
        <x:v>Верхняя одежда для девочки</x:v>
      </x:c>
      <x:c r="D312" s="14" t="str">
        <x:v>Куртка удлиненная зимняя для девочки</x:v>
      </x:c>
      <x:c r="E312" s="2" t="n">
        <x:v>6</x:v>
      </x:c>
      <x:c r="F312" s="2" t="n">
        <x:v>0</x:v>
      </x:c>
      <x:c r="G312" s="12" t="n">
        <x:v>32230.7209</x:v>
      </x:c>
      <x:c r="H312" s="12" t="n">
        <x:v>0</x:v>
      </x:c>
      <x:c r="I312" s="13" t="n">
        <x:v>0</x:v>
      </x:c>
      <x:c r="J312" s="2" t="n">
        <x:v>6</x:v>
      </x:c>
      <x:c r="K312" s="2" t="n">
        <x:v>2</x:v>
      </x:c>
      <x:c r="L312" s="12" t="n">
        <x:v>3694.875</x:v>
      </x:c>
      <x:c r="M312" s="13" t="n">
        <x:v>0.6938635027552238</x:v>
      </x:c>
      <x:c r="N312" s="13" t="n">
        <x:f>H312/G312</x:f>
        <x:v>0</x:v>
      </x:c>
      <x:c r="O312" s="13" t="n">
        <x:f>F312/E312</x:f>
        <x:v>0</x:v>
      </x:c>
      <x:c r="P312" s="2" t="str">
        <x:f>IF(AND(E312&gt;='Итоги'!$F$5,N312&lt;='Итоги'!$B$5,O312&gt;='Итоги'!$D$5),"Да","Нет")</x:f>
        <x:v>Нет</x:v>
      </x:c>
    </x:row>
    <x:row r="313" ht="60" customHeight="1">
      <x:c r="A313" s="14" t="str">
        <x:v>Детская одежда</x:v>
      </x:c>
      <x:c r="B313" s="14" t="str">
        <x:v>Детская одежда</x:v>
      </x:c>
      <x:c r="C313" s="14" t="str">
        <x:v>Верхняя одежда для мальчика</x:v>
      </x:c>
      <x:c r="D313" s="14" t="str">
        <x:v>Ветровка спортивная для мальчика</x:v>
      </x:c>
      <x:c r="E313" s="2" t="n">
        <x:v>6</x:v>
      </x:c>
      <x:c r="F313" s="2" t="n">
        <x:v>0</x:v>
      </x:c>
      <x:c r="G313" s="12" t="n">
        <x:v>80811.81</x:v>
      </x:c>
      <x:c r="H313" s="12" t="n">
        <x:v>0</x:v>
      </x:c>
      <x:c r="I313" s="13" t="n">
        <x:v>0</x:v>
      </x:c>
      <x:c r="J313" s="2" t="n">
        <x:v>6</x:v>
      </x:c>
      <x:c r="K313" s="2" t="n">
        <x:v>2</x:v>
      </x:c>
      <x:c r="L313" s="12" t="n">
        <x:v>1964.57535</x:v>
      </x:c>
      <x:c r="M313" s="13" t="n">
        <x:v>0.8629903228253395</x:v>
      </x:c>
      <x:c r="N313" s="13" t="n">
        <x:f>H313/G313</x:f>
        <x:v>0</x:v>
      </x:c>
      <x:c r="O313" s="13" t="n">
        <x:f>F313/E313</x:f>
        <x:v>0</x:v>
      </x:c>
      <x:c r="P313" s="2" t="str">
        <x:f>IF(AND(E313&gt;='Итоги'!$F$5,N313&lt;='Итоги'!$B$5,O313&gt;='Итоги'!$D$5),"Да","Нет")</x:f>
        <x:v>Нет</x:v>
      </x:c>
    </x:row>
    <x:row r="314" ht="60" customHeight="1">
      <x:c r="A314" s="14" t="str">
        <x:v>Детская одежда</x:v>
      </x:c>
      <x:c r="B314" s="14" t="str">
        <x:v>Детская одежда</x:v>
      </x:c>
      <x:c r="C314" s="14" t="str">
        <x:v>Верхняя одежда для мальчика</x:v>
      </x:c>
      <x:c r="D314" s="14" t="str">
        <x:v>Куртка спортивная зимняя для мальчика</x:v>
      </x:c>
      <x:c r="E314" s="2" t="n">
        <x:v>6</x:v>
      </x:c>
      <x:c r="F314" s="2" t="n">
        <x:v>0</x:v>
      </x:c>
      <x:c r="G314" s="12" t="n">
        <x:v>32397</x:v>
      </x:c>
      <x:c r="H314" s="12" t="n">
        <x:v>0</x:v>
      </x:c>
      <x:c r="I314" s="13" t="n">
        <x:v>0</x:v>
      </x:c>
      <x:c r="J314" s="2" t="n">
        <x:v>6</x:v>
      </x:c>
      <x:c r="K314" s="2" t="n">
        <x:v>1</x:v>
      </x:c>
      <x:c r="L314" s="12" t="n">
        <x:v>3354.5625</x:v>
      </x:c>
      <x:c r="M314" s="13" t="n">
        <x:v>1</x:v>
      </x:c>
      <x:c r="N314" s="13" t="n">
        <x:f>H314/G314</x:f>
        <x:v>0</x:v>
      </x:c>
      <x:c r="O314" s="13" t="n">
        <x:f>F314/E314</x:f>
        <x:v>0</x:v>
      </x:c>
      <x:c r="P314" s="2" t="str">
        <x:f>IF(AND(E314&gt;='Итоги'!$F$5,N314&lt;='Итоги'!$B$5,O314&gt;='Итоги'!$D$5),"Да","Нет")</x:f>
        <x:v>Нет</x:v>
      </x:c>
    </x:row>
    <x:row r="315" ht="60" customHeight="1">
      <x:c r="A315" s="14" t="str">
        <x:v>Детская одежда</x:v>
      </x:c>
      <x:c r="B315" s="14" t="str">
        <x:v>Детская одежда</x:v>
      </x:c>
      <x:c r="C315" s="14" t="str">
        <x:v>Верхняя одежда для мальчика</x:v>
      </x:c>
      <x:c r="D315" s="14" t="str">
        <x:v>Куртка удлиненная демисезонная для мальчика</x:v>
      </x:c>
      <x:c r="E315" s="2" t="n">
        <x:v>6</x:v>
      </x:c>
      <x:c r="F315" s="2" t="n">
        <x:v>0</x:v>
      </x:c>
      <x:c r="G315" s="12" t="n">
        <x:v>214866.37</x:v>
      </x:c>
      <x:c r="H315" s="12" t="n">
        <x:v>0</x:v>
      </x:c>
      <x:c r="I315" s="13" t="n">
        <x:v>0</x:v>
      </x:c>
      <x:c r="J315" s="2" t="n">
        <x:v>6</x:v>
      </x:c>
      <x:c r="K315" s="2" t="n">
        <x:v>1</x:v>
      </x:c>
      <x:c r="L315" s="12" t="n">
        <x:v>1358.968</x:v>
      </x:c>
      <x:c r="M315" s="13" t="n">
        <x:v>1</x:v>
      </x:c>
      <x:c r="N315" s="13" t="n">
        <x:f>H315/G315</x:f>
        <x:v>0</x:v>
      </x:c>
      <x:c r="O315" s="13" t="n">
        <x:f>F315/E315</x:f>
        <x:v>0</x:v>
      </x:c>
      <x:c r="P315" s="2" t="str">
        <x:f>IF(AND(E315&gt;='Итоги'!$F$5,N315&lt;='Итоги'!$B$5,O315&gt;='Итоги'!$D$5),"Да","Нет")</x:f>
        <x:v>Нет</x:v>
      </x:c>
    </x:row>
    <x:row r="316" ht="60" customHeight="1">
      <x:c r="A316" s="14" t="str">
        <x:v>Детское питание</x:v>
      </x:c>
      <x:c r="B316" s="14" t="str">
        <x:v>Детское питание</x:v>
      </x:c>
      <x:c r="C316" s="14" t="str">
        <x:v>Смеси и заменители грудного молока для детей</x:v>
      </x:c>
      <x:c r="D316" s="14" t="str">
        <x:v>Смеси и заменители грудного молока для детей с 6 месяцев специализированные</x:v>
      </x:c>
      <x:c r="E316" s="2" t="n">
        <x:v>6</x:v>
      </x:c>
      <x:c r="F316" s="2" t="n">
        <x:v>0</x:v>
      </x:c>
      <x:c r="G316" s="12" t="n">
        <x:v>1376374.0394</x:v>
      </x:c>
      <x:c r="H316" s="12" t="n">
        <x:v>0</x:v>
      </x:c>
      <x:c r="I316" s="13" t="n">
        <x:v>0</x:v>
      </x:c>
      <x:c r="J316" s="2" t="n">
        <x:v>6</x:v>
      </x:c>
      <x:c r="K316" s="2" t="n">
        <x:v>3</x:v>
      </x:c>
      <x:c r="L316" s="12" t="n">
        <x:v>1817.98835</x:v>
      </x:c>
      <x:c r="M316" s="13" t="n">
        <x:v>0.758160942831279</x:v>
      </x:c>
      <x:c r="N316" s="13" t="n">
        <x:f>H316/G316</x:f>
        <x:v>0</x:v>
      </x:c>
      <x:c r="O316" s="13" t="n">
        <x:f>F316/E316</x:f>
        <x:v>0</x:v>
      </x:c>
      <x:c r="P316" s="2" t="str">
        <x:f>IF(AND(E316&gt;='Итоги'!$F$5,N316&lt;='Итоги'!$B$5,O316&gt;='Итоги'!$D$5),"Да","Нет")</x:f>
        <x:v>Нет</x:v>
      </x:c>
    </x:row>
    <x:row r="317" ht="60" customHeight="1">
      <x:c r="A317" s="14" t="str">
        <x:v>Книги</x:v>
      </x:c>
      <x:c r="B317" s="14" t="str">
        <x:v>Печатные книги: Художественная литература</x:v>
      </x:c>
      <x:c r="C317" s="14" t="str">
        <x:v>Книги: Фантастика</x:v>
      </x:c>
      <x:c r="D317" s="14" t="str">
        <x:v>Печатная книга: Фантастика</x:v>
      </x:c>
      <x:c r="E317" s="2" t="n">
        <x:v>6</x:v>
      </x:c>
      <x:c r="F317" s="2" t="n">
        <x:v>0</x:v>
      </x:c>
      <x:c r="G317" s="12" t="n">
        <x:v>223454.1947</x:v>
      </x:c>
      <x:c r="H317" s="12" t="n">
        <x:v>0</x:v>
      </x:c>
      <x:c r="I317" s="13" t="n">
        <x:v>0</x:v>
      </x:c>
      <x:c r="J317" s="2" t="n">
        <x:v>6</x:v>
      </x:c>
      <x:c r="K317" s="2" t="n">
        <x:v>5</x:v>
      </x:c>
      <x:c r="L317" s="12" t="n">
        <x:v>1379.6569</x:v>
      </x:c>
      <x:c r="M317" s="13" t="n">
        <x:v>0.4551212906812351</x:v>
      </x:c>
      <x:c r="N317" s="13" t="n">
        <x:f>H317/G317</x:f>
        <x:v>0</x:v>
      </x:c>
      <x:c r="O317" s="13" t="n">
        <x:f>F317/E317</x:f>
        <x:v>0</x:v>
      </x:c>
      <x:c r="P317" s="2" t="str">
        <x:f>IF(AND(E317&gt;='Итоги'!$F$5,N317&lt;='Итоги'!$B$5,O317&gt;='Итоги'!$D$5),"Да","Нет")</x:f>
        <x:v>Нет</x:v>
      </x:c>
    </x:row>
    <x:row r="318" ht="60" customHeight="1">
      <x:c r="A318" s="14" t="str">
        <x:v>Одежда</x:v>
      </x:c>
      <x:c r="B318" s="14" t="str">
        <x:v>Основная одежда мужская</x:v>
      </x:c>
      <x:c r="C318" s="14" t="str">
        <x:v>Основная одежда мужская верха</x:v>
      </x:c>
      <x:c r="D318" s="14" t="str">
        <x:v>Комбинезон мужской</x:v>
      </x:c>
      <x:c r="E318" s="2" t="n">
        <x:v>6</x:v>
      </x:c>
      <x:c r="F318" s="2" t="n">
        <x:v>0</x:v>
      </x:c>
      <x:c r="G318" s="12" t="n">
        <x:v>238633.7</x:v>
      </x:c>
      <x:c r="H318" s="12" t="n">
        <x:v>0</x:v>
      </x:c>
      <x:c r="I318" s="13" t="n">
        <x:v>0</x:v>
      </x:c>
      <x:c r="J318" s="2" t="n">
        <x:v>6</x:v>
      </x:c>
      <x:c r="K318" s="2" t="n">
        <x:v>3</x:v>
      </x:c>
      <x:c r="L318" s="12" t="n">
        <x:v>8713.03275</x:v>
      </x:c>
      <x:c r="M318" s="13" t="n">
        <x:v>0.7815103231437974</x:v>
      </x:c>
      <x:c r="N318" s="13" t="n">
        <x:f>H318/G318</x:f>
        <x:v>0</x:v>
      </x:c>
      <x:c r="O318" s="13" t="n">
        <x:f>F318/E318</x:f>
        <x:v>0</x:v>
      </x:c>
      <x:c r="P318" s="2" t="str">
        <x:f>IF(AND(E318&gt;='Итоги'!$F$5,N318&lt;='Итоги'!$B$5,O318&gt;='Итоги'!$D$5),"Да","Нет")</x:f>
        <x:v>Нет</x:v>
      </x:c>
    </x:row>
    <x:row r="319" ht="60" customHeight="1">
      <x:c r="A319" s="14" t="str">
        <x:v>Спорт и отдых</x:v>
      </x:c>
      <x:c r="B319" s="14" t="str">
        <x:v>Всесезонные виды спорта</x:v>
      </x:c>
      <x:c r="C319" s="14" t="str">
        <x:v>Конный спорт</x:v>
      </x:c>
      <x:c r="D319" s="14" t="str">
        <x:v>Оголовье и кавессон для конного спорта</x:v>
      </x:c>
      <x:c r="E319" s="2" t="n">
        <x:v>6</x:v>
      </x:c>
      <x:c r="F319" s="2" t="n">
        <x:v>0</x:v>
      </x:c>
      <x:c r="G319" s="12" t="n">
        <x:v>231851.51</x:v>
      </x:c>
      <x:c r="H319" s="12" t="n">
        <x:v>0</x:v>
      </x:c>
      <x:c r="I319" s="13" t="n">
        <x:v>0</x:v>
      </x:c>
      <x:c r="J319" s="2" t="n">
        <x:v>6</x:v>
      </x:c>
      <x:c r="K319" s="2" t="n">
        <x:v>2</x:v>
      </x:c>
      <x:c r="L319" s="12" t="n">
        <x:v>7767.3283</x:v>
      </x:c>
      <x:c r="M319" s="13" t="n">
        <x:v>0.9191594654699466</x:v>
      </x:c>
      <x:c r="N319" s="13" t="n">
        <x:f>H319/G319</x:f>
        <x:v>0</x:v>
      </x:c>
      <x:c r="O319" s="13" t="n">
        <x:f>F319/E319</x:f>
        <x:v>0</x:v>
      </x:c>
      <x:c r="P319" s="2" t="str">
        <x:f>IF(AND(E319&gt;='Итоги'!$F$5,N319&lt;='Итоги'!$B$5,O319&gt;='Итоги'!$D$5),"Да","Нет")</x:f>
        <x:v>Нет</x:v>
      </x:c>
    </x:row>
    <x:row r="320" ht="60" customHeight="1">
      <x:c r="A320" s="14" t="str">
        <x:v>Строительство и ремонт (DIY)</x:v>
      </x:c>
      <x:c r="B320" s="14" t="str">
        <x:v>Промышленно-строительное оборудование</x:v>
      </x:c>
      <x:c r="C320" s="14" t="str">
        <x:v>Комплектующие для промышленно-строительного оборудования</x:v>
      </x:c>
      <x:c r="D320" s="14" t="str">
        <x:v>Производственное оборудование</x:v>
      </x:c>
      <x:c r="E320" s="2" t="n">
        <x:v>6</x:v>
      </x:c>
      <x:c r="F320" s="2" t="n">
        <x:v>0</x:v>
      </x:c>
      <x:c r="G320" s="12" t="n">
        <x:v>633286.4885</x:v>
      </x:c>
      <x:c r="H320" s="12" t="n">
        <x:v>0</x:v>
      </x:c>
      <x:c r="I320" s="13" t="n">
        <x:v>0</x:v>
      </x:c>
      <x:c r="J320" s="2" t="n">
        <x:v>6</x:v>
      </x:c>
      <x:c r="K320" s="2" t="n">
        <x:v>5</x:v>
      </x:c>
      <x:c r="L320" s="12" t="n">
        <x:v>4885.1421</x:v>
      </x:c>
      <x:c r="M320" s="13" t="n">
        <x:v>0.4012185890809512</x:v>
      </x:c>
      <x:c r="N320" s="13" t="n">
        <x:f>H320/G320</x:f>
        <x:v>0</x:v>
      </x:c>
      <x:c r="O320" s="13" t="n">
        <x:f>F320/E320</x:f>
        <x:v>0</x:v>
      </x:c>
      <x:c r="P320" s="2" t="str">
        <x:f>IF(AND(E320&gt;='Итоги'!$F$5,N320&lt;='Итоги'!$B$5,O320&gt;='Итоги'!$D$5),"Да","Нет")</x:f>
        <x:v>Нет</x:v>
      </x:c>
    </x:row>
    <x:row r="321" ht="60" customHeight="1">
      <x:c r="A321" s="14" t="str">
        <x:v>Товары для красоты и здоровья</x:v>
      </x:c>
      <x:c r="B321" s="14" t="str">
        <x:v>Косметическая техника</x:v>
      </x:c>
      <x:c r="C321" s="14" t="str">
        <x:v>Оборудование для салона красоты</x:v>
      </x:c>
      <x:c r="D321" s="14" t="str">
        <x:v>Кресло педикюрное, педикюрный Спа-комплекс</x:v>
      </x:c>
      <x:c r="E321" s="2" t="n">
        <x:v>6</x:v>
      </x:c>
      <x:c r="F321" s="2" t="n">
        <x:v>0</x:v>
      </x:c>
      <x:c r="G321" s="12" t="n">
        <x:v>1314697.9801</x:v>
      </x:c>
      <x:c r="H321" s="12" t="n">
        <x:v>0</x:v>
      </x:c>
      <x:c r="I321" s="13" t="n">
        <x:v>0</x:v>
      </x:c>
      <x:c r="J321" s="2" t="n">
        <x:v>6</x:v>
      </x:c>
      <x:c r="K321" s="2" t="n">
        <x:v>2</x:v>
      </x:c>
      <x:c r="L321" s="12" t="n">
        <x:v>11311.93625</x:v>
      </x:c>
      <x:c r="M321" s="13" t="n">
        <x:v>0.52144751903236</x:v>
      </x:c>
      <x:c r="N321" s="13" t="n">
        <x:f>H321/G321</x:f>
        <x:v>0</x:v>
      </x:c>
      <x:c r="O321" s="13" t="n">
        <x:f>F321/E321</x:f>
        <x:v>0</x:v>
      </x:c>
      <x:c r="P321" s="2" t="str">
        <x:f>IF(AND(E321&gt;='Итоги'!$F$5,N321&lt;='Итоги'!$B$5,O321&gt;='Итоги'!$D$5),"Да","Нет")</x:f>
        <x:v>Нет</x:v>
      </x:c>
    </x:row>
    <x:row r="322" ht="60" customHeight="1">
      <x:c r="A322" s="14" t="str">
        <x:v>Аптека</x:v>
      </x:c>
      <x:c r="B322" s="14" t="str">
        <x:v>Лекарственные средства для животных</x:v>
      </x:c>
      <x:c r="C322" s="14" t="str">
        <x:v>Безрецептурные лекарственные препараты для животных</x:v>
      </x:c>
      <x:c r="D322" s="14" t="str">
        <x:v>ВЕТ Препараты для лечения сердечно-сосудистой системы лицензированные</x:v>
      </x:c>
      <x:c r="E322" s="2" t="n">
        <x:v>5</x:v>
      </x:c>
      <x:c r="F322" s="2" t="n">
        <x:v>0</x:v>
      </x:c>
      <x:c r="G322" s="12" t="n">
        <x:v>664719</x:v>
      </x:c>
      <x:c r="H322" s="12" t="n">
        <x:v>0</x:v>
      </x:c>
      <x:c r="I322" s="13" t="n">
        <x:v>0</x:v>
      </x:c>
      <x:c r="J322" s="2" t="n">
        <x:v>5</x:v>
      </x:c>
      <x:c r="K322" s="2" t="n">
        <x:v>1</x:v>
      </x:c>
      <x:c r="L322" s="12" t="n">
        <x:v>3793</x:v>
      </x:c>
      <x:c r="M322" s="13" t="n">
        <x:v>1</x:v>
      </x:c>
      <x:c r="N322" s="13" t="n">
        <x:f>H322/G322</x:f>
        <x:v>0</x:v>
      </x:c>
      <x:c r="O322" s="13" t="n">
        <x:f>F322/E322</x:f>
        <x:v>0</x:v>
      </x:c>
      <x:c r="P322" s="2" t="str">
        <x:f>IF(AND(E322&gt;='Итоги'!$F$5,N322&lt;='Итоги'!$B$5,O322&gt;='Итоги'!$D$5),"Да","Нет")</x:f>
        <x:v>Нет</x:v>
      </x:c>
    </x:row>
    <x:row r="323" ht="60" customHeight="1">
      <x:c r="A323" s="14" t="str">
        <x:v>Аптека</x:v>
      </x:c>
      <x:c r="B323" s="14" t="str">
        <x:v>Средства реабилитации</x:v>
      </x:c>
      <x:c r="C323" s="14" t="str">
        <x:v>Средства реабилитации</x:v>
      </x:c>
      <x:c r="D323" s="14" t="str">
        <x:v>Послеоперационное белье</x:v>
      </x:c>
      <x:c r="E323" s="2" t="n">
        <x:v>5</x:v>
      </x:c>
      <x:c r="F323" s="2" t="n">
        <x:v>0</x:v>
      </x:c>
      <x:c r="G323" s="12" t="n">
        <x:v>33553</x:v>
      </x:c>
      <x:c r="H323" s="12" t="n">
        <x:v>0</x:v>
      </x:c>
      <x:c r="I323" s="13" t="n">
        <x:v>0</x:v>
      </x:c>
      <x:c r="J323" s="2" t="n">
        <x:v>5</x:v>
      </x:c>
      <x:c r="K323" s="2" t="n">
        <x:v>2</x:v>
      </x:c>
      <x:c r="L323" s="12" t="n">
        <x:v>2643.6667</x:v>
      </x:c>
      <x:c r="M323" s="13" t="n">
        <x:v>0.6245045152445385</x:v>
      </x:c>
      <x:c r="N323" s="13" t="n">
        <x:f>H323/G323</x:f>
        <x:v>0</x:v>
      </x:c>
      <x:c r="O323" s="13" t="n">
        <x:f>F323/E323</x:f>
        <x:v>0</x:v>
      </x:c>
      <x:c r="P323" s="2" t="str">
        <x:f>IF(AND(E323&gt;='Итоги'!$F$5,N323&lt;='Итоги'!$B$5,O323&gt;='Итоги'!$D$5),"Да","Нет")</x:f>
        <x:v>Нет</x:v>
      </x:c>
    </x:row>
    <x:row r="324" ht="60" customHeight="1">
      <x:c r="A324" s="14" t="str">
        <x:v>Детская одежда</x:v>
      </x:c>
      <x:c r="B324" s="14" t="str">
        <x:v>Детская обувь</x:v>
      </x:c>
      <x:c r="C324" s="14" t="str">
        <x:v>Обувь для мальчика</x:v>
      </x:c>
      <x:c r="D324" s="14" t="str">
        <x:v>Слипоны для мальчика</x:v>
      </x:c>
      <x:c r="E324" s="2" t="n">
        <x:v>5</x:v>
      </x:c>
      <x:c r="F324" s="2" t="n">
        <x:v>0</x:v>
      </x:c>
      <x:c r="G324" s="12" t="n">
        <x:v>525921.37</x:v>
      </x:c>
      <x:c r="H324" s="12" t="n">
        <x:v>0</x:v>
      </x:c>
      <x:c r="I324" s="13" t="n">
        <x:v>0</x:v>
      </x:c>
      <x:c r="J324" s="2" t="n">
        <x:v>5</x:v>
      </x:c>
      <x:c r="K324" s="2" t="n">
        <x:v>1</x:v>
      </x:c>
      <x:c r="L324" s="12" t="n">
        <x:v>4567.8588</x:v>
      </x:c>
      <x:c r="M324" s="13" t="n">
        <x:v>1</x:v>
      </x:c>
      <x:c r="N324" s="13" t="n">
        <x:f>H324/G324</x:f>
        <x:v>0</x:v>
      </x:c>
      <x:c r="O324" s="13" t="n">
        <x:f>F324/E324</x:f>
        <x:v>0</x:v>
      </x:c>
      <x:c r="P324" s="2" t="str">
        <x:f>IF(AND(E324&gt;='Итоги'!$F$5,N324&lt;='Итоги'!$B$5,O324&gt;='Итоги'!$D$5),"Да","Нет")</x:f>
        <x:v>Нет</x:v>
      </x:c>
    </x:row>
    <x:row r="325" ht="60" customHeight="1">
      <x:c r="A325" s="14" t="str">
        <x:v>Детская одежда</x:v>
      </x:c>
      <x:c r="B325" s="14" t="str">
        <x:v>Детская обувь</x:v>
      </x:c>
      <x:c r="C325" s="14" t="str">
        <x:v>Обувь спортивная для мальчика</x:v>
      </x:c>
      <x:c r="D325" s="14" t="str">
        <x:v>Сандалии спортивные для мальчика</x:v>
      </x:c>
      <x:c r="E325" s="2" t="n">
        <x:v>5</x:v>
      </x:c>
      <x:c r="F325" s="2" t="n">
        <x:v>0</x:v>
      </x:c>
      <x:c r="G325" s="12" t="n">
        <x:v>81027.5</x:v>
      </x:c>
      <x:c r="H325" s="12" t="n">
        <x:v>0</x:v>
      </x:c>
      <x:c r="I325" s="13" t="n">
        <x:v>0</x:v>
      </x:c>
      <x:c r="J325" s="2" t="n">
        <x:v>5</x:v>
      </x:c>
      <x:c r="K325" s="2" t="n">
        <x:v>1</x:v>
      </x:c>
      <x:c r="L325" s="12" t="n">
        <x:v>1460.372</x:v>
      </x:c>
      <x:c r="M325" s="13" t="n">
        <x:v>1</x:v>
      </x:c>
      <x:c r="N325" s="13" t="n">
        <x:f>H325/G325</x:f>
        <x:v>0</x:v>
      </x:c>
      <x:c r="O325" s="13" t="n">
        <x:f>F325/E325</x:f>
        <x:v>0</x:v>
      </x:c>
      <x:c r="P325" s="2" t="str">
        <x:f>IF(AND(E325&gt;='Итоги'!$F$5,N325&lt;='Итоги'!$B$5,O325&gt;='Итоги'!$D$5),"Да","Нет")</x:f>
        <x:v>Нет</x:v>
      </x:c>
    </x:row>
    <x:row r="326" ht="60" customHeight="1">
      <x:c r="A326" s="14" t="str">
        <x:v>Детская одежда</x:v>
      </x:c>
      <x:c r="B326" s="14" t="str">
        <x:v>Детская одежда</x:v>
      </x:c>
      <x:c r="C326" s="14" t="str">
        <x:v>Верхняя одежда для мальчика</x:v>
      </x:c>
      <x:c r="D326" s="14" t="str">
        <x:v>Жилет демисезонный для мальчика</x:v>
      </x:c>
      <x:c r="E326" s="2" t="n">
        <x:v>5</x:v>
      </x:c>
      <x:c r="F326" s="2" t="n">
        <x:v>0</x:v>
      </x:c>
      <x:c r="G326" s="12" t="n">
        <x:v>472823.41</x:v>
      </x:c>
      <x:c r="H326" s="12" t="n">
        <x:v>0</x:v>
      </x:c>
      <x:c r="I326" s="13" t="n">
        <x:v>0</x:v>
      </x:c>
      <x:c r="J326" s="2" t="n">
        <x:v>5</x:v>
      </x:c>
      <x:c r="K326" s="2" t="n">
        <x:v>1</x:v>
      </x:c>
      <x:c r="L326" s="12" t="n">
        <x:v>815.1304</x:v>
      </x:c>
      <x:c r="M326" s="13" t="n">
        <x:v>1</x:v>
      </x:c>
      <x:c r="N326" s="13" t="n">
        <x:f>H326/G326</x:f>
        <x:v>0</x:v>
      </x:c>
      <x:c r="O326" s="13" t="n">
        <x:f>F326/E326</x:f>
        <x:v>0</x:v>
      </x:c>
      <x:c r="P326" s="2" t="str">
        <x:f>IF(AND(E326&gt;='Итоги'!$F$5,N326&lt;='Итоги'!$B$5,O326&gt;='Итоги'!$D$5),"Да","Нет")</x:f>
        <x:v>Нет</x:v>
      </x:c>
    </x:row>
    <x:row r="327" ht="60" customHeight="1">
      <x:c r="A327" s="14" t="str">
        <x:v>Детская одежда</x:v>
      </x:c>
      <x:c r="B327" s="14" t="str">
        <x:v>Детская одежда</x:v>
      </x:c>
      <x:c r="C327" s="14" t="str">
        <x:v>Верхняя одежда для мальчика</x:v>
      </x:c>
      <x:c r="D327" s="14" t="str">
        <x:v>Пальто демисезонное для мальчика</x:v>
      </x:c>
      <x:c r="E327" s="2" t="n">
        <x:v>5</x:v>
      </x:c>
      <x:c r="F327" s="2" t="n">
        <x:v>0</x:v>
      </x:c>
      <x:c r="G327" s="12" t="n">
        <x:v>122193.79</x:v>
      </x:c>
      <x:c r="H327" s="12" t="n">
        <x:v>0</x:v>
      </x:c>
      <x:c r="I327" s="13" t="n">
        <x:v>0</x:v>
      </x:c>
      <x:c r="J327" s="2" t="n">
        <x:v>5</x:v>
      </x:c>
      <x:c r="K327" s="2" t="n">
        <x:v>1</x:v>
      </x:c>
      <x:c r="L327" s="12" t="n">
        <x:v>10128.0833</x:v>
      </x:c>
      <x:c r="M327" s="13" t="n">
        <x:v>1</x:v>
      </x:c>
      <x:c r="N327" s="13" t="n">
        <x:f>H327/G327</x:f>
        <x:v>0</x:v>
      </x:c>
      <x:c r="O327" s="13" t="n">
        <x:f>F327/E327</x:f>
        <x:v>0</x:v>
      </x:c>
      <x:c r="P327" s="2" t="str">
        <x:f>IF(AND(E327&gt;='Итоги'!$F$5,N327&lt;='Итоги'!$B$5,O327&gt;='Итоги'!$D$5),"Да","Нет")</x:f>
        <x:v>Нет</x:v>
      </x:c>
    </x:row>
    <x:row r="328" ht="60" customHeight="1">
      <x:c r="A328" s="14" t="str">
        <x:v>Детская одежда</x:v>
      </x:c>
      <x:c r="B328" s="14" t="str">
        <x:v>Детская одежда</x:v>
      </x:c>
      <x:c r="C328" s="14" t="str">
        <x:v>Одежда для девочки</x:v>
      </x:c>
      <x:c r="D328" s="14" t="str">
        <x:v>Лонгслив для девочки</x:v>
      </x:c>
      <x:c r="E328" s="2" t="n">
        <x:v>5</x:v>
      </x:c>
      <x:c r="F328" s="2" t="n">
        <x:v>0</x:v>
      </x:c>
      <x:c r="G328" s="12" t="n">
        <x:v>467373.3947</x:v>
      </x:c>
      <x:c r="H328" s="12" t="n">
        <x:v>0</x:v>
      </x:c>
      <x:c r="I328" s="13" t="n">
        <x:v>0</x:v>
      </x:c>
      <x:c r="J328" s="2" t="n">
        <x:v>5</x:v>
      </x:c>
      <x:c r="K328" s="2" t="n">
        <x:v>2</x:v>
      </x:c>
      <x:c r="L328" s="12" t="n">
        <x:v>728.093</x:v>
      </x:c>
      <x:c r="M328" s="13" t="n">
        <x:v>0.9672146506973602</x:v>
      </x:c>
      <x:c r="N328" s="13" t="n">
        <x:f>H328/G328</x:f>
        <x:v>0</x:v>
      </x:c>
      <x:c r="O328" s="13" t="n">
        <x:f>F328/E328</x:f>
        <x:v>0</x:v>
      </x:c>
      <x:c r="P328" s="2" t="str">
        <x:f>IF(AND(E328&gt;='Итоги'!$F$5,N328&lt;='Итоги'!$B$5,O328&gt;='Итоги'!$D$5),"Да","Нет")</x:f>
        <x:v>Нет</x:v>
      </x:c>
    </x:row>
    <x:row r="329" ht="60" customHeight="1">
      <x:c r="A329" s="14" t="str">
        <x:v>Книги</x:v>
      </x:c>
      <x:c r="B329" s="14" t="str">
        <x:v>Печатные книги: Литература на иностранном языке</x:v>
      </x:c>
      <x:c r="C329" s="14" t="str">
        <x:v>Иностранное издание</x:v>
      </x:c>
      <x:c r="D329" s="14" t="str">
        <x:v>Печатная книга: Книга для чтения на иностранном языке</x:v>
      </x:c>
      <x:c r="E329" s="2" t="n">
        <x:v>5</x:v>
      </x:c>
      <x:c r="F329" s="2" t="n">
        <x:v>0</x:v>
      </x:c>
      <x:c r="G329" s="12" t="n">
        <x:v>273236.0876</x:v>
      </x:c>
      <x:c r="H329" s="12" t="n">
        <x:v>0</x:v>
      </x:c>
      <x:c r="I329" s="13" t="n">
        <x:v>0</x:v>
      </x:c>
      <x:c r="J329" s="2" t="n">
        <x:v>5</x:v>
      </x:c>
      <x:c r="K329" s="2" t="n">
        <x:v>2</x:v>
      </x:c>
      <x:c r="L329" s="12" t="n">
        <x:v>5726.9</x:v>
      </x:c>
      <x:c r="M329" s="13" t="n">
        <x:v>0.73733956326785</x:v>
      </x:c>
      <x:c r="N329" s="13" t="n">
        <x:f>H329/G329</x:f>
        <x:v>0</x:v>
      </x:c>
      <x:c r="O329" s="13" t="n">
        <x:f>F329/E329</x:f>
        <x:v>0</x:v>
      </x:c>
      <x:c r="P329" s="2" t="str">
        <x:f>IF(AND(E329&gt;='Итоги'!$F$5,N329&lt;='Итоги'!$B$5,O329&gt;='Итоги'!$D$5),"Да","Нет")</x:f>
        <x:v>Нет</x:v>
      </x:c>
    </x:row>
    <x:row r="330" ht="60" customHeight="1">
      <x:c r="A330" s="14" t="str">
        <x:v>Мебель</x:v>
      </x:c>
      <x:c r="B330" s="14" t="str">
        <x:v>Корпусная мебель и мебель для хранения</x:v>
      </x:c>
      <x:c r="C330" s="14" t="str">
        <x:v>Прочая мебель для хранения</x:v>
      </x:c>
      <x:c r="D330" s="14" t="str">
        <x:v>Шкаф для газового баллона</x:v>
      </x:c>
      <x:c r="E330" s="2" t="n">
        <x:v>5</x:v>
      </x:c>
      <x:c r="F330" s="2" t="n">
        <x:v>0</x:v>
      </x:c>
      <x:c r="G330" s="12" t="n">
        <x:v>1226145.8822</x:v>
      </x:c>
      <x:c r="H330" s="12" t="n">
        <x:v>0</x:v>
      </x:c>
      <x:c r="I330" s="13" t="n">
        <x:v>0</x:v>
      </x:c>
      <x:c r="J330" s="2" t="n">
        <x:v>5</x:v>
      </x:c>
      <x:c r="K330" s="2" t="n">
        <x:v>1</x:v>
      </x:c>
      <x:c r="L330" s="12" t="n">
        <x:v>4268.1228</x:v>
      </x:c>
      <x:c r="M330" s="13" t="n">
        <x:v>1</x:v>
      </x:c>
      <x:c r="N330" s="13" t="n">
        <x:f>H330/G330</x:f>
        <x:v>0</x:v>
      </x:c>
      <x:c r="O330" s="13" t="n">
        <x:f>F330/E330</x:f>
        <x:v>0</x:v>
      </x:c>
      <x:c r="P330" s="2" t="str">
        <x:f>IF(AND(E330&gt;='Итоги'!$F$5,N330&lt;='Итоги'!$B$5,O330&gt;='Итоги'!$D$5),"Да","Нет")</x:f>
        <x:v>Нет</x:v>
      </x:c>
    </x:row>
    <x:row r="331" ht="60" customHeight="1">
      <x:c r="A331" s="14" t="str">
        <x:v>Ноутбуки и компьютеры</x:v>
      </x:c>
      <x:c r="B331" s="14" t="str">
        <x:v>Digital</x:v>
      </x:c>
      <x:c r="C331" s="14" t="str">
        <x:v>Цифровой контент - Цифровые игры, игровые подписки, DLC, игровая валюта</x:v>
      </x:c>
      <x:c r="D331" s="14" t="str">
        <x:v>Цифровой контент - Карта подписки на игры</x:v>
      </x:c>
      <x:c r="E331" s="2" t="n">
        <x:v>5</x:v>
      </x:c>
      <x:c r="F331" s="2" t="n">
        <x:v>0</x:v>
      </x:c>
      <x:c r="G331" s="12" t="n">
        <x:v>1209529</x:v>
      </x:c>
      <x:c r="H331" s="12" t="n">
        <x:v>0</x:v>
      </x:c>
      <x:c r="I331" s="13" t="n">
        <x:v>0</x:v>
      </x:c>
      <x:c r="J331" s="2" t="n">
        <x:v>5</x:v>
      </x:c>
      <x:c r="K331" s="2" t="n">
        <x:v>1</x:v>
      </x:c>
      <x:c r="L331" s="12" t="n">
        <x:v>11799</x:v>
      </x:c>
      <x:c r="M331" s="13" t="n">
        <x:v>1</x:v>
      </x:c>
      <x:c r="N331" s="13" t="n">
        <x:f>H331/G331</x:f>
        <x:v>0</x:v>
      </x:c>
      <x:c r="O331" s="13" t="n">
        <x:f>F331/E331</x:f>
        <x:v>0</x:v>
      </x:c>
      <x:c r="P331" s="2" t="str">
        <x:f>IF(AND(E331&gt;='Итоги'!$F$5,N331&lt;='Итоги'!$B$5,O331&gt;='Итоги'!$D$5),"Да","Нет")</x:f>
        <x:v>Нет</x:v>
      </x:c>
    </x:row>
    <x:row r="332" ht="60" customHeight="1">
      <x:c r="A332" s="14" t="str">
        <x:v>Ноутбуки и компьютеры</x:v>
      </x:c>
      <x:c r="B332" s="14" t="str">
        <x:v>Игровые приставки и аксессуары Lap&amp;Comp</x:v>
      </x:c>
      <x:c r="C332" s="14" t="str">
        <x:v>Игровая приставка Lap&amp;Comp</x:v>
      </x:c>
      <x:c r="D332" s="14" t="str">
        <x:v>Игровая приставка Playstation</x:v>
      </x:c>
      <x:c r="E332" s="2" t="n">
        <x:v>5</x:v>
      </x:c>
      <x:c r="F332" s="2" t="n">
        <x:v>0</x:v>
      </x:c>
      <x:c r="G332" s="12" t="n">
        <x:v>1539577.6393</x:v>
      </x:c>
      <x:c r="H332" s="12" t="n">
        <x:v>0</x:v>
      </x:c>
      <x:c r="I332" s="13" t="n">
        <x:v>0</x:v>
      </x:c>
      <x:c r="J332" s="2" t="n">
        <x:v>5</x:v>
      </x:c>
      <x:c r="K332" s="2" t="n">
        <x:v>4</x:v>
      </x:c>
      <x:c r="L332" s="12" t="n">
        <x:v>48110.125</x:v>
      </x:c>
      <x:c r="M332" s="13" t="n">
        <x:v>0.6514504781688147</x:v>
      </x:c>
      <x:c r="N332" s="13" t="n">
        <x:f>H332/G332</x:f>
        <x:v>0</x:v>
      </x:c>
      <x:c r="O332" s="13" t="n">
        <x:f>F332/E332</x:f>
        <x:v>0</x:v>
      </x:c>
      <x:c r="P332" s="2" t="str">
        <x:f>IF(AND(E332&gt;='Итоги'!$F$5,N332&lt;='Итоги'!$B$5,O332&gt;='Итоги'!$D$5),"Да","Нет")</x:f>
        <x:v>Нет</x:v>
      </x:c>
    </x:row>
    <x:row r="333" ht="60" customHeight="1">
      <x:c r="A333" s="14" t="str">
        <x:v>Одежда</x:v>
      </x:c>
      <x:c r="B333" s="14" t="str">
        <x:v>Верхняя одежда</x:v>
      </x:c>
      <x:c r="C333" s="14" t="str">
        <x:v>Спортивная верхняя одежда мужская</x:v>
      </x:c>
      <x:c r="D333" s="14" t="str">
        <x:v>Спортивное пальто мужское</x:v>
      </x:c>
      <x:c r="E333" s="2" t="n">
        <x:v>5</x:v>
      </x:c>
      <x:c r="F333" s="2" t="n">
        <x:v>0</x:v>
      </x:c>
      <x:c r="G333" s="12" t="n">
        <x:v>629080.83</x:v>
      </x:c>
      <x:c r="H333" s="12" t="n">
        <x:v>0</x:v>
      </x:c>
      <x:c r="I333" s="13" t="n">
        <x:v>0</x:v>
      </x:c>
      <x:c r="J333" s="2" t="n">
        <x:v>5</x:v>
      </x:c>
      <x:c r="K333" s="2" t="n">
        <x:v>1</x:v>
      </x:c>
      <x:c r="L333" s="12" t="n">
        <x:v>12655.917</x:v>
      </x:c>
      <x:c r="M333" s="13" t="n">
        <x:v>1</x:v>
      </x:c>
      <x:c r="N333" s="13" t="n">
        <x:f>H333/G333</x:f>
        <x:v>0</x:v>
      </x:c>
      <x:c r="O333" s="13" t="n">
        <x:f>F333/E333</x:f>
        <x:v>0</x:v>
      </x:c>
      <x:c r="P333" s="2" t="str">
        <x:f>IF(AND(E333&gt;='Итоги'!$F$5,N333&lt;='Итоги'!$B$5,O333&gt;='Итоги'!$D$5),"Да","Нет")</x:f>
        <x:v>Нет</x:v>
      </x:c>
    </x:row>
    <x:row r="334" ht="60" customHeight="1">
      <x:c r="A334" s="14" t="str">
        <x:v>Спорт и отдых</x:v>
      </x:c>
      <x:c r="B334" s="14" t="str">
        <x:v>Водные виды спорта</x:v>
      </x:c>
      <x:c r="C334" s="14" t="str">
        <x:v>Плавание</x:v>
      </x:c>
      <x:c r="D334" s="14" t="str">
        <x:v>Аксессуар для плавания</x:v>
      </x:c>
      <x:c r="E334" s="2" t="n">
        <x:v>5</x:v>
      </x:c>
      <x:c r="F334" s="2" t="n">
        <x:v>0</x:v>
      </x:c>
      <x:c r="G334" s="12" t="n">
        <x:v>451328.1956</x:v>
      </x:c>
      <x:c r="H334" s="12" t="n">
        <x:v>0</x:v>
      </x:c>
      <x:c r="I334" s="13" t="n">
        <x:v>0</x:v>
      </x:c>
      <x:c r="J334" s="2" t="n">
        <x:v>5</x:v>
      </x:c>
      <x:c r="K334" s="2" t="n">
        <x:v>4</x:v>
      </x:c>
      <x:c r="L334" s="12" t="n">
        <x:v>2548.7818</x:v>
      </x:c>
      <x:c r="M334" s="13" t="n">
        <x:v>0.7471972699416256</x:v>
      </x:c>
      <x:c r="N334" s="13" t="n">
        <x:f>H334/G334</x:f>
        <x:v>0</x:v>
      </x:c>
      <x:c r="O334" s="13" t="n">
        <x:f>F334/E334</x:f>
        <x:v>0</x:v>
      </x:c>
      <x:c r="P334" s="2" t="str">
        <x:f>IF(AND(E334&gt;='Итоги'!$F$5,N334&lt;='Итоги'!$B$5,O334&gt;='Итоги'!$D$5),"Да","Нет")</x:f>
        <x:v>Нет</x:v>
      </x:c>
    </x:row>
    <x:row r="335" ht="60" customHeight="1">
      <x:c r="A335" s="14" t="str">
        <x:v>Спорт и отдых</x:v>
      </x:c>
      <x:c r="B335" s="14" t="str">
        <x:v>Колесный транспорт</x:v>
      </x:c>
      <x:c r="C335" s="14" t="str">
        <x:v>Велосипед</x:v>
      </x:c>
      <x:c r="D335" s="14" t="str">
        <x:v>Велосипед утилитарный/трехколесный</x:v>
      </x:c>
      <x:c r="E335" s="2" t="n">
        <x:v>5</x:v>
      </x:c>
      <x:c r="F335" s="2" t="n">
        <x:v>0</x:v>
      </x:c>
      <x:c r="G335" s="12" t="n">
        <x:v>2567658.5196</x:v>
      </x:c>
      <x:c r="H335" s="12" t="n">
        <x:v>0</x:v>
      </x:c>
      <x:c r="I335" s="13" t="n">
        <x:v>0</x:v>
      </x:c>
      <x:c r="J335" s="2" t="n">
        <x:v>5</x:v>
      </x:c>
      <x:c r="K335" s="2" t="n">
        <x:v>1</x:v>
      </x:c>
      <x:c r="L335" s="12" t="n">
        <x:v>25365.8182</x:v>
      </x:c>
      <x:c r="M335" s="13" t="n">
        <x:v>1</x:v>
      </x:c>
      <x:c r="N335" s="13" t="n">
        <x:f>H335/G335</x:f>
        <x:v>0</x:v>
      </x:c>
      <x:c r="O335" s="13" t="n">
        <x:f>F335/E335</x:f>
        <x:v>0</x:v>
      </x:c>
      <x:c r="P335" s="2" t="str">
        <x:f>IF(AND(E335&gt;='Итоги'!$F$5,N335&lt;='Итоги'!$B$5,O335&gt;='Итоги'!$D$5),"Да","Нет")</x:f>
        <x:v>Нет</x:v>
      </x:c>
    </x:row>
    <x:row r="336" ht="60" customHeight="1">
      <x:c r="A336" s="14" t="str">
        <x:v>Товары для детей и спорта</x:v>
      </x:c>
      <x:c r="B336" s="14" t="str">
        <x:v>Спорт детский</x:v>
      </x:c>
      <x:c r="C336" s="14" t="str">
        <x:v>Товары для плаванья и бассейны детские</x:v>
      </x:c>
      <x:c r="D336" s="14" t="str">
        <x:v>Матрас надувной детский с максимальной нагрузкой до 60 кг</x:v>
      </x:c>
      <x:c r="E336" s="2" t="n">
        <x:v>5</x:v>
      </x:c>
      <x:c r="F336" s="2" t="n">
        <x:v>0</x:v>
      </x:c>
      <x:c r="G336" s="12" t="n">
        <x:v>116239.61</x:v>
      </x:c>
      <x:c r="H336" s="12" t="n">
        <x:v>0</x:v>
      </x:c>
      <x:c r="I336" s="13" t="n">
        <x:v>0</x:v>
      </x:c>
      <x:c r="J336" s="2" t="n">
        <x:v>5</x:v>
      </x:c>
      <x:c r="K336" s="2" t="n">
        <x:v>2</x:v>
      </x:c>
      <x:c r="L336" s="12" t="n">
        <x:v>1119</x:v>
      </x:c>
      <x:c r="M336" s="13" t="n">
        <x:v>0.7289253637378859</x:v>
      </x:c>
      <x:c r="N336" s="13" t="n">
        <x:f>H336/G336</x:f>
        <x:v>0</x:v>
      </x:c>
      <x:c r="O336" s="13" t="n">
        <x:f>F336/E336</x:f>
        <x:v>0</x:v>
      </x:c>
      <x:c r="P336" s="2" t="str">
        <x:f>IF(AND(E336&gt;='Итоги'!$F$5,N336&lt;='Итоги'!$B$5,O336&gt;='Итоги'!$D$5),"Да","Нет")</x:f>
        <x:v>Нет</x:v>
      </x:c>
    </x:row>
    <x:row r="337" ht="60" customHeight="1">
      <x:c r="A337" s="14" t="str">
        <x:v>Автотовары</x:v>
      </x:c>
      <x:c r="B337" s="14" t="str">
        <x:v>Авто и мото запчасти</x:v>
      </x:c>
      <x:c r="C337" s="14" t="str">
        <x:v>Кузовные детали</x:v>
      </x:c>
      <x:c r="D337" s="14" t="str">
        <x:v>Тросики автомобильные</x:v>
      </x:c>
      <x:c r="E337" s="2" t="n">
        <x:v>4</x:v>
      </x:c>
      <x:c r="F337" s="2" t="n">
        <x:v>0</x:v>
      </x:c>
      <x:c r="G337" s="12" t="n">
        <x:v>425531.8044</x:v>
      </x:c>
      <x:c r="H337" s="12" t="n">
        <x:v>0</x:v>
      </x:c>
      <x:c r="I337" s="13" t="n">
        <x:v>0</x:v>
      </x:c>
      <x:c r="J337" s="2" t="n">
        <x:v>4</x:v>
      </x:c>
      <x:c r="K337" s="2" t="n">
        <x:v>2</x:v>
      </x:c>
      <x:c r="L337" s="12" t="n">
        <x:v>785.0708</x:v>
      </x:c>
      <x:c r="M337" s="13" t="n">
        <x:v>0.9900148474072552</x:v>
      </x:c>
      <x:c r="N337" s="13" t="n">
        <x:f>H337/G337</x:f>
        <x:v>0</x:v>
      </x:c>
      <x:c r="O337" s="13" t="n">
        <x:f>F337/E337</x:f>
        <x:v>0</x:v>
      </x:c>
      <x:c r="P337" s="2" t="str">
        <x:f>IF(AND(E337&gt;='Итоги'!$F$5,N337&lt;='Итоги'!$B$5,O337&gt;='Итоги'!$D$5),"Да","Нет")</x:f>
        <x:v>Нет</x:v>
      </x:c>
    </x:row>
    <x:row r="338" ht="60" customHeight="1">
      <x:c r="A338" s="14" t="str">
        <x:v>Автотовары</x:v>
      </x:c>
      <x:c r="B338" s="14" t="str">
        <x:v>Масла и автохимия</x:v>
      </x:c>
      <x:c r="C338" s="14" t="str">
        <x:v>Технические автомобильные жидкости</x:v>
      </x:c>
      <x:c r="D338" s="14" t="str">
        <x:v>Автохимия - Тормозная жидкость</x:v>
      </x:c>
      <x:c r="E338" s="2" t="n">
        <x:v>4</x:v>
      </x:c>
      <x:c r="F338" s="2" t="n">
        <x:v>0</x:v>
      </x:c>
      <x:c r="G338" s="12" t="n">
        <x:v>300497.1585</x:v>
      </x:c>
      <x:c r="H338" s="12" t="n">
        <x:v>0</x:v>
      </x:c>
      <x:c r="I338" s="13" t="n">
        <x:v>0</x:v>
      </x:c>
      <x:c r="J338" s="2" t="n">
        <x:v>4</x:v>
      </x:c>
      <x:c r="K338" s="2" t="n">
        <x:v>2</x:v>
      </x:c>
      <x:c r="L338" s="12" t="n">
        <x:v>1431.7875</x:v>
      </x:c>
      <x:c r="M338" s="13" t="n">
        <x:v>0.8697125783304203</x:v>
      </x:c>
      <x:c r="N338" s="13" t="n">
        <x:f>H338/G338</x:f>
        <x:v>0</x:v>
      </x:c>
      <x:c r="O338" s="13" t="n">
        <x:f>F338/E338</x:f>
        <x:v>0</x:v>
      </x:c>
      <x:c r="P338" s="2" t="str">
        <x:f>IF(AND(E338&gt;='Итоги'!$F$5,N338&lt;='Итоги'!$B$5,O338&gt;='Итоги'!$D$5),"Да","Нет")</x:f>
        <x:v>Нет</x:v>
      </x:c>
    </x:row>
    <x:row r="339" ht="60" customHeight="1">
      <x:c r="A339" s="14" t="str">
        <x:v>Аксессуары для электроники</x:v>
      </x:c>
      <x:c r="B339" s="14" t="str">
        <x:v>Аксессуары для КБТ Access</x:v>
      </x:c>
      <x:c r="C339" s="14" t="str">
        <x:v>Аксессуары для холодильника Access</x:v>
      </x:c>
      <x:c r="D339" s="14" t="str">
        <x:v>Аксессуар для холодильников</x:v>
      </x:c>
      <x:c r="E339" s="2" t="n">
        <x:v>4</x:v>
      </x:c>
      <x:c r="F339" s="2" t="n">
        <x:v>0</x:v>
      </x:c>
      <x:c r="G339" s="12" t="n">
        <x:v>609199.024</x:v>
      </x:c>
      <x:c r="H339" s="12" t="n">
        <x:v>0</x:v>
      </x:c>
      <x:c r="I339" s="13" t="n">
        <x:v>0</x:v>
      </x:c>
      <x:c r="J339" s="2" t="n">
        <x:v>4</x:v>
      </x:c>
      <x:c r="K339" s="2" t="n">
        <x:v>3</x:v>
      </x:c>
      <x:c r="L339" s="12" t="n">
        <x:v>2013.0463</x:v>
      </x:c>
      <x:c r="M339" s="13" t="n">
        <x:v>0.7670153457107312</x:v>
      </x:c>
      <x:c r="N339" s="13" t="n">
        <x:f>H339/G339</x:f>
        <x:v>0</x:v>
      </x:c>
      <x:c r="O339" s="13" t="n">
        <x:f>F339/E339</x:f>
        <x:v>0</x:v>
      </x:c>
      <x:c r="P339" s="2" t="str">
        <x:f>IF(AND(E339&gt;='Итоги'!$F$5,N339&lt;='Итоги'!$B$5,O339&gt;='Итоги'!$D$5),"Да","Нет")</x:f>
        <x:v>Нет</x:v>
      </x:c>
    </x:row>
    <x:row r="340" ht="60" customHeight="1">
      <x:c r="A340" s="14" t="str">
        <x:v>Аптека</x:v>
      </x:c>
      <x:c r="B340" s="14" t="str">
        <x:v>Медицинские изделия</x:v>
      </x:c>
      <x:c r="C340" s="14" t="str">
        <x:v>Расходные медицинские материалы</x:v>
      </x:c>
      <x:c r="D340" s="14" t="str">
        <x:v>Инфузионная система</x:v>
      </x:c>
      <x:c r="E340" s="2" t="n">
        <x:v>4</x:v>
      </x:c>
      <x:c r="F340" s="2" t="n">
        <x:v>0</x:v>
      </x:c>
      <x:c r="G340" s="12" t="n">
        <x:v>341918</x:v>
      </x:c>
      <x:c r="H340" s="12" t="n">
        <x:v>0</x:v>
      </x:c>
      <x:c r="I340" s="13" t="n">
        <x:v>0</x:v>
      </x:c>
      <x:c r="J340" s="2" t="n">
        <x:v>4</x:v>
      </x:c>
      <x:c r="K340" s="2" t="n">
        <x:v>3</x:v>
      </x:c>
      <x:c r="L340" s="12" t="n">
        <x:v>4580.59375</x:v>
      </x:c>
      <x:c r="M340" s="13" t="n">
        <x:v>0.5028544855784135</x:v>
      </x:c>
      <x:c r="N340" s="13" t="n">
        <x:f>H340/G340</x:f>
        <x:v>0</x:v>
      </x:c>
      <x:c r="O340" s="13" t="n">
        <x:f>F340/E340</x:f>
        <x:v>0</x:v>
      </x:c>
      <x:c r="P340" s="2" t="str">
        <x:f>IF(AND(E340&gt;='Итоги'!$F$5,N340&lt;='Итоги'!$B$5,O340&gt;='Итоги'!$D$5),"Да","Нет")</x:f>
        <x:v>Нет</x:v>
      </x:c>
    </x:row>
    <x:row r="341" ht="60" customHeight="1">
      <x:c r="A341" s="14" t="str">
        <x:v>Аптека</x:v>
      </x:c>
      <x:c r="B341" s="14" t="str">
        <x:v>Оптика</x:v>
      </x:c>
      <x:c r="C341" s="14" t="str">
        <x:v>Контактные линзы</x:v>
      </x:c>
      <x:c r="D341" s="14" t="str">
        <x:v>Средство дополнительного ухода для контактных линз</x:v>
      </x:c>
      <x:c r="E341" s="2" t="n">
        <x:v>4</x:v>
      </x:c>
      <x:c r="F341" s="2" t="n">
        <x:v>0</x:v>
      </x:c>
      <x:c r="G341" s="12" t="n">
        <x:v>678983.33</x:v>
      </x:c>
      <x:c r="H341" s="12" t="n">
        <x:v>0</x:v>
      </x:c>
      <x:c r="I341" s="13" t="n">
        <x:v>0</x:v>
      </x:c>
      <x:c r="J341" s="2" t="n">
        <x:v>4</x:v>
      </x:c>
      <x:c r="K341" s="2" t="n">
        <x:v>2</x:v>
      </x:c>
      <x:c r="L341" s="12" t="n">
        <x:v>1085.77125</x:v>
      </x:c>
      <x:c r="M341" s="13" t="n">
        <x:v>0.6349910387343383</x:v>
      </x:c>
      <x:c r="N341" s="13" t="n">
        <x:f>H341/G341</x:f>
        <x:v>0</x:v>
      </x:c>
      <x:c r="O341" s="13" t="n">
        <x:f>F341/E341</x:f>
        <x:v>0</x:v>
      </x:c>
      <x:c r="P341" s="2" t="str">
        <x:f>IF(AND(E341&gt;='Итоги'!$F$5,N341&lt;='Итоги'!$B$5,O341&gt;='Итоги'!$D$5),"Да","Нет")</x:f>
        <x:v>Нет</x:v>
      </x:c>
    </x:row>
    <x:row r="342" ht="60" customHeight="1">
      <x:c r="A342" s="14" t="str">
        <x:v>Аудио и видеотехника</x:v>
      </x:c>
      <x:c r="B342" s="14" t="str">
        <x:v>Домашняя Аудио и Видеотехника TV&amp;Audio</x:v>
      </x:c>
      <x:c r="C342" s="14" t="str">
        <x:v>Аудиотехника TV&amp;Audio</x:v>
      </x:c>
      <x:c r="D342" s="14" t="str">
        <x:v>Микросистема</x:v>
      </x:c>
      <x:c r="E342" s="2" t="n">
        <x:v>4</x:v>
      </x:c>
      <x:c r="F342" s="2" t="n">
        <x:v>0</x:v>
      </x:c>
      <x:c r="G342" s="12" t="n">
        <x:v>1274460</x:v>
      </x:c>
      <x:c r="H342" s="12" t="n">
        <x:v>0</x:v>
      </x:c>
      <x:c r="I342" s="13" t="n">
        <x:v>0</x:v>
      </x:c>
      <x:c r="J342" s="2" t="n">
        <x:v>4</x:v>
      </x:c>
      <x:c r="K342" s="2" t="n">
        <x:v>3</x:v>
      </x:c>
      <x:c r="L342" s="12" t="n">
        <x:v>18946.7143</x:v>
      </x:c>
      <x:c r="M342" s="13" t="n">
        <x:v>0.8110588013746999</x:v>
      </x:c>
      <x:c r="N342" s="13" t="n">
        <x:f>H342/G342</x:f>
        <x:v>0</x:v>
      </x:c>
      <x:c r="O342" s="13" t="n">
        <x:f>F342/E342</x:f>
        <x:v>0</x:v>
      </x:c>
      <x:c r="P342" s="2" t="str">
        <x:f>IF(AND(E342&gt;='Итоги'!$F$5,N342&lt;='Итоги'!$B$5,O342&gt;='Итоги'!$D$5),"Да","Нет")</x:f>
        <x:v>Нет</x:v>
      </x:c>
    </x:row>
    <x:row r="343" ht="60" customHeight="1">
      <x:c r="A343" s="14" t="str">
        <x:v>Бакалея и кондитерские изделия</x:v>
      </x:c>
      <x:c r="B343" s="14" t="str">
        <x:v>Бакалея</x:v>
      </x:c>
      <x:c r="C343" s="14" t="str">
        <x:v>Консервы</x:v>
      </x:c>
      <x:c r="D343" s="14" t="str">
        <x:v>Джем</x:v>
      </x:c>
      <x:c r="E343" s="2" t="n">
        <x:v>4</x:v>
      </x:c>
      <x:c r="F343" s="2" t="n">
        <x:v>0</x:v>
      </x:c>
      <x:c r="G343" s="12" t="n">
        <x:v>451466.64</x:v>
      </x:c>
      <x:c r="H343" s="12" t="n">
        <x:v>0</x:v>
      </x:c>
      <x:c r="I343" s="13" t="n">
        <x:v>0</x:v>
      </x:c>
      <x:c r="J343" s="2" t="n">
        <x:v>4</x:v>
      </x:c>
      <x:c r="K343" s="2" t="n">
        <x:v>2</x:v>
      </x:c>
      <x:c r="L343" s="12" t="n">
        <x:v>1878.1123</x:v>
      </x:c>
      <x:c r="M343" s="13" t="n">
        <x:v>0.6553551775165491</x:v>
      </x:c>
      <x:c r="N343" s="13" t="n">
        <x:f>H343/G343</x:f>
        <x:v>0</x:v>
      </x:c>
      <x:c r="O343" s="13" t="n">
        <x:f>F343/E343</x:f>
        <x:v>0</x:v>
      </x:c>
      <x:c r="P343" s="2" t="str">
        <x:f>IF(AND(E343&gt;='Итоги'!$F$5,N343&lt;='Итоги'!$B$5,O343&gt;='Итоги'!$D$5),"Да","Нет")</x:f>
        <x:v>Нет</x:v>
      </x:c>
    </x:row>
    <x:row r="344" ht="60" customHeight="1">
      <x:c r="A344" s="14" t="str">
        <x:v>Детская одежда</x:v>
      </x:c>
      <x:c r="B344" s="14" t="str">
        <x:v>Детская одежда</x:v>
      </x:c>
      <x:c r="C344" s="14" t="str">
        <x:v>Верхняя одежда для мальчика</x:v>
      </x:c>
      <x:c r="D344" s="14" t="str">
        <x:v>Пальто зимнее для мальчика</x:v>
      </x:c>
      <x:c r="E344" s="2" t="n">
        <x:v>4</x:v>
      </x:c>
      <x:c r="F344" s="2" t="n">
        <x:v>0</x:v>
      </x:c>
      <x:c r="G344" s="12" t="n">
        <x:v>223745.95</x:v>
      </x:c>
      <x:c r="H344" s="12" t="n">
        <x:v>0</x:v>
      </x:c>
      <x:c r="I344" s="13" t="n">
        <x:v>0</x:v>
      </x:c>
      <x:c r="J344" s="2" t="n">
        <x:v>4</x:v>
      </x:c>
      <x:c r="K344" s="2" t="n">
        <x:v>2</x:v>
      </x:c>
      <x:c r="L344" s="12" t="n">
        <x:v>6333.6</x:v>
      </x:c>
      <x:c r="M344" s="13" t="n">
        <x:v>0.9427118122138076</x:v>
      </x:c>
      <x:c r="N344" s="13" t="n">
        <x:f>H344/G344</x:f>
        <x:v>0</x:v>
      </x:c>
      <x:c r="O344" s="13" t="n">
        <x:f>F344/E344</x:f>
        <x:v>0</x:v>
      </x:c>
      <x:c r="P344" s="2" t="str">
        <x:f>IF(AND(E344&gt;='Итоги'!$F$5,N344&lt;='Итоги'!$B$5,O344&gt;='Итоги'!$D$5),"Да","Нет")</x:f>
        <x:v>Нет</x:v>
      </x:c>
    </x:row>
    <x:row r="345" ht="60" customHeight="1">
      <x:c r="A345" s="14" t="str">
        <x:v>Детская одежда</x:v>
      </x:c>
      <x:c r="B345" s="14" t="str">
        <x:v>Детская одежда</x:v>
      </x:c>
      <x:c r="C345" s="14" t="str">
        <x:v>Карнавальные костюмы детские</x:v>
      </x:c>
      <x:c r="D345" s="14" t="str">
        <x:v>Карнавальный костюм для мальчика</x:v>
      </x:c>
      <x:c r="E345" s="2" t="n">
        <x:v>4</x:v>
      </x:c>
      <x:c r="F345" s="2" t="n">
        <x:v>0</x:v>
      </x:c>
      <x:c r="G345" s="12" t="n">
        <x:v>467265.0572</x:v>
      </x:c>
      <x:c r="H345" s="12" t="n">
        <x:v>0</x:v>
      </x:c>
      <x:c r="I345" s="13" t="n">
        <x:v>0</x:v>
      </x:c>
      <x:c r="J345" s="2" t="n">
        <x:v>4</x:v>
      </x:c>
      <x:c r="K345" s="2" t="n">
        <x:v>3</x:v>
      </x:c>
      <x:c r="L345" s="12" t="n">
        <x:v>1830.84455</x:v>
      </x:c>
      <x:c r="M345" s="13" t="n">
        <x:v>0.387433766361248</x:v>
      </x:c>
      <x:c r="N345" s="13" t="n">
        <x:f>H345/G345</x:f>
        <x:v>0</x:v>
      </x:c>
      <x:c r="O345" s="13" t="n">
        <x:f>F345/E345</x:f>
        <x:v>0</x:v>
      </x:c>
      <x:c r="P345" s="2" t="str">
        <x:f>IF(AND(E345&gt;='Итоги'!$F$5,N345&lt;='Итоги'!$B$5,O345&gt;='Итоги'!$D$5),"Да","Нет")</x:f>
        <x:v>Нет</x:v>
      </x:c>
    </x:row>
    <x:row r="346" ht="60" customHeight="1">
      <x:c r="A346" s="14" t="str">
        <x:v>Детская одежда</x:v>
      </x:c>
      <x:c r="B346" s="14" t="str">
        <x:v>Детская одежда</x:v>
      </x:c>
      <x:c r="C346" s="14" t="str">
        <x:v>Одежда для девочки</x:v>
      </x:c>
      <x:c r="D346" s="14" t="str">
        <x:v>Джинсовый комбинезон для девочки</x:v>
      </x:c>
      <x:c r="E346" s="2" t="n">
        <x:v>4</x:v>
      </x:c>
      <x:c r="F346" s="2" t="n">
        <x:v>0</x:v>
      </x:c>
      <x:c r="G346" s="12" t="n">
        <x:v>385427.05</x:v>
      </x:c>
      <x:c r="H346" s="12" t="n">
        <x:v>0</x:v>
      </x:c>
      <x:c r="I346" s="13" t="n">
        <x:v>0</x:v>
      </x:c>
      <x:c r="J346" s="2" t="n">
        <x:v>4</x:v>
      </x:c>
      <x:c r="K346" s="2" t="n">
        <x:v>2</x:v>
      </x:c>
      <x:c r="L346" s="12" t="n">
        <x:v>2971.4673000000003</x:v>
      </x:c>
      <x:c r="M346" s="13" t="n">
        <x:v>0.7039773155516719</x:v>
      </x:c>
      <x:c r="N346" s="13" t="n">
        <x:f>H346/G346</x:f>
        <x:v>0</x:v>
      </x:c>
      <x:c r="O346" s="13" t="n">
        <x:f>F346/E346</x:f>
        <x:v>0</x:v>
      </x:c>
      <x:c r="P346" s="2" t="str">
        <x:f>IF(AND(E346&gt;='Итоги'!$F$5,N346&lt;='Итоги'!$B$5,O346&gt;='Итоги'!$D$5),"Да","Нет")</x:f>
        <x:v>Нет</x:v>
      </x:c>
    </x:row>
    <x:row r="347" ht="60" customHeight="1">
      <x:c r="A347" s="14" t="str">
        <x:v>Детское питание</x:v>
      </x:c>
      <x:c r="B347" s="14" t="str">
        <x:v>Детское питание</x:v>
      </x:c>
      <x:c r="C347" s="14" t="str">
        <x:v>Детская бакалея</x:v>
      </x:c>
      <x:c r="D347" s="14" t="str">
        <x:v>Готовое блюдо для детей до 3 лет</x:v>
      </x:c>
      <x:c r="E347" s="2" t="n">
        <x:v>4</x:v>
      </x:c>
      <x:c r="F347" s="2" t="n">
        <x:v>0</x:v>
      </x:c>
      <x:c r="G347" s="12" t="n">
        <x:v>467135.0068</x:v>
      </x:c>
      <x:c r="H347" s="12" t="n">
        <x:v>0</x:v>
      </x:c>
      <x:c r="I347" s="13" t="n">
        <x:v>0</x:v>
      </x:c>
      <x:c r="J347" s="2" t="n">
        <x:v>4</x:v>
      </x:c>
      <x:c r="K347" s="2" t="n">
        <x:v>1</x:v>
      </x:c>
      <x:c r="L347" s="12" t="n">
        <x:v>1038.4936</x:v>
      </x:c>
      <x:c r="M347" s="13" t="n">
        <x:v>1</x:v>
      </x:c>
      <x:c r="N347" s="13" t="n">
        <x:f>H347/G347</x:f>
        <x:v>0</x:v>
      </x:c>
      <x:c r="O347" s="13" t="n">
        <x:f>F347/E347</x:f>
        <x:v>0</x:v>
      </x:c>
      <x:c r="P347" s="2" t="str">
        <x:f>IF(AND(E347&gt;='Итоги'!$F$5,N347&lt;='Итоги'!$B$5,O347&gt;='Итоги'!$D$5),"Да","Нет")</x:f>
        <x:v>Нет</x:v>
      </x:c>
    </x:row>
    <x:row r="348" ht="60" customHeight="1">
      <x:c r="A348" s="14" t="str">
        <x:v>Детское питание</x:v>
      </x:c>
      <x:c r="B348" s="14" t="str">
        <x:v>Детское питание</x:v>
      </x:c>
      <x:c r="C348" s="14" t="str">
        <x:v>Смеси и заменители грудного молока для детей</x:v>
      </x:c>
      <x:c r="D348" s="14" t="str">
        <x:v>Специализированное питание для детей жидкое</x:v>
      </x:c>
      <x:c r="E348" s="2" t="n">
        <x:v>4</x:v>
      </x:c>
      <x:c r="F348" s="2" t="n">
        <x:v>0</x:v>
      </x:c>
      <x:c r="G348" s="12" t="n">
        <x:v>758444.0112000001</x:v>
      </x:c>
      <x:c r="H348" s="12" t="n">
        <x:v>0</x:v>
      </x:c>
      <x:c r="I348" s="13" t="n">
        <x:v>0</x:v>
      </x:c>
      <x:c r="J348" s="2" t="n">
        <x:v>4</x:v>
      </x:c>
      <x:c r="K348" s="2" t="n">
        <x:v>1</x:v>
      </x:c>
      <x:c r="L348" s="12" t="n">
        <x:v>1155.2643</x:v>
      </x:c>
      <x:c r="M348" s="13" t="n">
        <x:v>1</x:v>
      </x:c>
      <x:c r="N348" s="13" t="n">
        <x:f>H348/G348</x:f>
        <x:v>0</x:v>
      </x:c>
      <x:c r="O348" s="13" t="n">
        <x:f>F348/E348</x:f>
        <x:v>0</x:v>
      </x:c>
      <x:c r="P348" s="2" t="str">
        <x:f>IF(AND(E348&gt;='Итоги'!$F$5,N348&lt;='Итоги'!$B$5,O348&gt;='Итоги'!$D$5),"Да","Нет")</x:f>
        <x:v>Нет</x:v>
      </x:c>
    </x:row>
    <x:row r="349" ht="60" customHeight="1">
      <x:c r="A349" s="14" t="str">
        <x:v>Крупная бытовая техника</x:v>
      </x:c>
      <x:c r="B349" s="14" t="str">
        <x:v>Оборудование для предприятий общественного питания MDA</x:v>
      </x:c>
      <x:c r="C349" s="14" t="str">
        <x:v>Тепловое оборудование MDA</x:v>
      </x:c>
      <x:c r="D349" s="14" t="str">
        <x:v>Фритюрница для общепита</x:v>
      </x:c>
      <x:c r="E349" s="2" t="n">
        <x:v>4</x:v>
      </x:c>
      <x:c r="F349" s="2" t="n">
        <x:v>0</x:v>
      </x:c>
      <x:c r="G349" s="12" t="n">
        <x:v>320892.7564</x:v>
      </x:c>
      <x:c r="H349" s="12" t="n">
        <x:v>0</x:v>
      </x:c>
      <x:c r="I349" s="13" t="n">
        <x:v>0</x:v>
      </x:c>
      <x:c r="J349" s="2" t="n">
        <x:v>4</x:v>
      </x:c>
      <x:c r="K349" s="2" t="n">
        <x:v>1</x:v>
      </x:c>
      <x:c r="L349" s="12" t="n">
        <x:v>10322.5291</x:v>
      </x:c>
      <x:c r="M349" s="13" t="n">
        <x:v>1</x:v>
      </x:c>
      <x:c r="N349" s="13" t="n">
        <x:f>H349/G349</x:f>
        <x:v>0</x:v>
      </x:c>
      <x:c r="O349" s="13" t="n">
        <x:f>F349/E349</x:f>
        <x:v>0</x:v>
      </x:c>
      <x:c r="P349" s="2" t="str">
        <x:f>IF(AND(E349&gt;='Итоги'!$F$5,N349&lt;='Итоги'!$B$5,O349&gt;='Итоги'!$D$5),"Да","Нет")</x:f>
        <x:v>Нет</x:v>
      </x:c>
    </x:row>
    <x:row r="350" ht="60" customHeight="1">
      <x:c r="A350" s="14" t="str">
        <x:v>Ноутбуки и компьютеры</x:v>
      </x:c>
      <x:c r="B350" s="14" t="str">
        <x:v>Digital</x:v>
      </x:c>
      <x:c r="C350" s="14" t="str">
        <x:v>Цифровой контент - Цифровые игры, игровые подписки, DLC, игровая валюта</x:v>
      </x:c>
      <x:c r="D350" s="14" t="str">
        <x:v>Цифровой контент - Игра для PC</x:v>
      </x:c>
      <x:c r="E350" s="2" t="n">
        <x:v>4</x:v>
      </x:c>
      <x:c r="F350" s="2" t="n">
        <x:v>0</x:v>
      </x:c>
      <x:c r="G350" s="12" t="n">
        <x:v>434813</x:v>
      </x:c>
      <x:c r="H350" s="12" t="n">
        <x:v>0</x:v>
      </x:c>
      <x:c r="I350" s="13" t="n">
        <x:v>0</x:v>
      </x:c>
      <x:c r="J350" s="2" t="n">
        <x:v>4</x:v>
      </x:c>
      <x:c r="K350" s="2" t="n">
        <x:v>1</x:v>
      </x:c>
      <x:c r="L350" s="12" t="n">
        <x:v>3641.66665</x:v>
      </x:c>
      <x:c r="M350" s="13" t="n">
        <x:v>1</x:v>
      </x:c>
      <x:c r="N350" s="13" t="n">
        <x:f>H350/G350</x:f>
        <x:v>0</x:v>
      </x:c>
      <x:c r="O350" s="13" t="n">
        <x:f>F350/E350</x:f>
        <x:v>0</x:v>
      </x:c>
      <x:c r="P350" s="2" t="str">
        <x:f>IF(AND(E350&gt;='Итоги'!$F$5,N350&lt;='Итоги'!$B$5,O350&gt;='Итоги'!$D$5),"Да","Нет")</x:f>
        <x:v>Нет</x:v>
      </x:c>
    </x:row>
    <x:row r="351" ht="60" customHeight="1">
      <x:c r="A351" s="14" t="str">
        <x:v>Ноутбуки и компьютеры</x:v>
      </x:c>
      <x:c r="B351" s="14" t="str">
        <x:v>Digital</x:v>
      </x:c>
      <x:c r="C351" s="14" t="str">
        <x:v>Цифровой контент - Цифровые игры, игровые подписки, DLC, игровая валюта</x:v>
      </x:c>
      <x:c r="D351" s="14" t="str">
        <x:v>Цифровой контент - Карта оплаты PlayStation</x:v>
      </x:c>
      <x:c r="E351" s="2" t="n">
        <x:v>4</x:v>
      </x:c>
      <x:c r="F351" s="2" t="n">
        <x:v>0</x:v>
      </x:c>
      <x:c r="G351" s="12" t="n">
        <x:v>1584837</x:v>
      </x:c>
      <x:c r="H351" s="12" t="n">
        <x:v>0</x:v>
      </x:c>
      <x:c r="I351" s="13" t="n">
        <x:v>0</x:v>
      </x:c>
      <x:c r="J351" s="2" t="n">
        <x:v>4</x:v>
      </x:c>
      <x:c r="K351" s="2" t="n">
        <x:v>1</x:v>
      </x:c>
      <x:c r="L351" s="12" t="n">
        <x:v>5022.7396</x:v>
      </x:c>
      <x:c r="M351" s="13" t="n">
        <x:v>1</x:v>
      </x:c>
      <x:c r="N351" s="13" t="n">
        <x:f>H351/G351</x:f>
        <x:v>0</x:v>
      </x:c>
      <x:c r="O351" s="13" t="n">
        <x:f>F351/E351</x:f>
        <x:v>0</x:v>
      </x:c>
      <x:c r="P351" s="2" t="str">
        <x:f>IF(AND(E351&gt;='Итоги'!$F$5,N351&lt;='Итоги'!$B$5,O351&gt;='Итоги'!$D$5),"Да","Нет")</x:f>
        <x:v>Нет</x:v>
      </x:c>
    </x:row>
    <x:row r="352" ht="60" customHeight="1">
      <x:c r="A352" s="14" t="str">
        <x:v>Обувь</x:v>
      </x:c>
      <x:c r="B352" s="14" t="str">
        <x:v>Обувь мужская</x:v>
      </x:c>
      <x:c r="C352" s="14" t="str">
        <x:v>Обувь мужская зимняя</x:v>
      </x:c>
      <x:c r="D352" s="14" t="str">
        <x:v>Мужские Валенки</x:v>
      </x:c>
      <x:c r="E352" s="2" t="n">
        <x:v>4</x:v>
      </x:c>
      <x:c r="F352" s="2" t="n">
        <x:v>0</x:v>
      </x:c>
      <x:c r="G352" s="12" t="n">
        <x:v>362752.03</x:v>
      </x:c>
      <x:c r="H352" s="12" t="n">
        <x:v>0</x:v>
      </x:c>
      <x:c r="I352" s="13" t="n">
        <x:v>0</x:v>
      </x:c>
      <x:c r="J352" s="2" t="n">
        <x:v>4</x:v>
      </x:c>
      <x:c r="K352" s="2" t="n">
        <x:v>2</x:v>
      </x:c>
      <x:c r="L352" s="12" t="n">
        <x:v>12357.90035</x:v>
      </x:c>
      <x:c r="M352" s="13" t="n">
        <x:v>0.9698389006947804</x:v>
      </x:c>
      <x:c r="N352" s="13" t="n">
        <x:f>H352/G352</x:f>
        <x:v>0</x:v>
      </x:c>
      <x:c r="O352" s="13" t="n">
        <x:f>F352/E352</x:f>
        <x:v>0</x:v>
      </x:c>
      <x:c r="P352" s="2" t="str">
        <x:f>IF(AND(E352&gt;='Итоги'!$F$5,N352&lt;='Итоги'!$B$5,O352&gt;='Итоги'!$D$5),"Да","Нет")</x:f>
        <x:v>Нет</x:v>
      </x:c>
    </x:row>
    <x:row r="353" ht="60" customHeight="1">
      <x:c r="A353" s="14" t="str">
        <x:v>Одежда</x:v>
      </x:c>
      <x:c r="B353" s="14" t="str">
        <x:v>Основная одежда мужская</x:v>
      </x:c>
      <x:c r="C353" s="14" t="str">
        <x:v>Основная одежда мужская верха</x:v>
      </x:c>
      <x:c r="D353" s="14" t="str">
        <x:v>Пуловер мужской</x:v>
      </x:c>
      <x:c r="E353" s="2" t="n">
        <x:v>4</x:v>
      </x:c>
      <x:c r="F353" s="2" t="n">
        <x:v>0</x:v>
      </x:c>
      <x:c r="G353" s="12" t="n">
        <x:v>17213.5</x:v>
      </x:c>
      <x:c r="H353" s="12" t="n">
        <x:v>0</x:v>
      </x:c>
      <x:c r="I353" s="13" t="n">
        <x:v>0</x:v>
      </x:c>
      <x:c r="J353" s="2" t="n">
        <x:v>4</x:v>
      </x:c>
      <x:c r="K353" s="2" t="n">
        <x:v>2</x:v>
      </x:c>
      <x:c r="L353" s="12" t="n">
        <x:v>2229.75</x:v>
      </x:c>
      <x:c r="M353" s="13" t="n">
        <x:v>0.6289830656171028</x:v>
      </x:c>
      <x:c r="N353" s="13" t="n">
        <x:f>H353/G353</x:f>
        <x:v>0</x:v>
      </x:c>
      <x:c r="O353" s="13" t="n">
        <x:f>F353/E353</x:f>
        <x:v>0</x:v>
      </x:c>
      <x:c r="P353" s="2" t="str">
        <x:f>IF(AND(E353&gt;='Итоги'!$F$5,N353&lt;='Итоги'!$B$5,O353&gt;='Итоги'!$D$5),"Да","Нет")</x:f>
        <x:v>Нет</x:v>
      </x:c>
    </x:row>
    <x:row r="354" ht="60" customHeight="1">
      <x:c r="A354" s="14" t="str">
        <x:v>Одежда</x:v>
      </x:c>
      <x:c r="B354" s="14" t="str">
        <x:v>Спецодежда и одежда для мероприятий</x:v>
      </x:c>
      <x:c r="C354" s="14" t="str">
        <x:v>Спецодежда мужская</x:v>
      </x:c>
      <x:c r="D354" s="14" t="str">
        <x:v>Брюки для сварщика мужские</x:v>
      </x:c>
      <x:c r="E354" s="2" t="n">
        <x:v>4</x:v>
      </x:c>
      <x:c r="F354" s="2" t="n">
        <x:v>0</x:v>
      </x:c>
      <x:c r="G354" s="12" t="n">
        <x:v>373153.62</x:v>
      </x:c>
      <x:c r="H354" s="12" t="n">
        <x:v>0</x:v>
      </x:c>
      <x:c r="I354" s="13" t="n">
        <x:v>0</x:v>
      </x:c>
      <x:c r="J354" s="2" t="n">
        <x:v>4</x:v>
      </x:c>
      <x:c r="K354" s="2" t="n">
        <x:v>1</x:v>
      </x:c>
      <x:c r="L354" s="12" t="n">
        <x:v>2195.5253</x:v>
      </x:c>
      <x:c r="M354" s="13" t="n">
        <x:v>1</x:v>
      </x:c>
      <x:c r="N354" s="13" t="n">
        <x:f>H354/G354</x:f>
        <x:v>0</x:v>
      </x:c>
      <x:c r="O354" s="13" t="n">
        <x:f>F354/E354</x:f>
        <x:v>0</x:v>
      </x:c>
      <x:c r="P354" s="2" t="str">
        <x:f>IF(AND(E354&gt;='Итоги'!$F$5,N354&lt;='Итоги'!$B$5,O354&gt;='Итоги'!$D$5),"Да","Нет")</x:f>
        <x:v>Нет</x:v>
      </x:c>
    </x:row>
    <x:row r="355" ht="60" customHeight="1">
      <x:c r="A355" s="14" t="str">
        <x:v>Спорт и отдых</x:v>
      </x:c>
      <x:c r="B355" s="14" t="str">
        <x:v>Всесезонные виды спорта</x:v>
      </x:c>
      <x:c r="C355" s="14" t="str">
        <x:v>Теннис</x:v>
      </x:c>
      <x:c r="D355" s="14" t="str">
        <x:v>Струна для теннисной ракетки</x:v>
      </x:c>
      <x:c r="E355" s="2" t="n">
        <x:v>4</x:v>
      </x:c>
      <x:c r="F355" s="2" t="n">
        <x:v>0</x:v>
      </x:c>
      <x:c r="G355" s="12" t="n">
        <x:v>200865</x:v>
      </x:c>
      <x:c r="H355" s="12" t="n">
        <x:v>0</x:v>
      </x:c>
      <x:c r="I355" s="13" t="n">
        <x:v>0</x:v>
      </x:c>
      <x:c r="J355" s="2" t="n">
        <x:v>4</x:v>
      </x:c>
      <x:c r="K355" s="2" t="n">
        <x:v>3</x:v>
      </x:c>
      <x:c r="L355" s="12" t="n">
        <x:v>7924.16665</x:v>
      </x:c>
      <x:c r="M355" s="13" t="n">
        <x:v>0.5794439051103976</x:v>
      </x:c>
      <x:c r="N355" s="13" t="n">
        <x:f>H355/G355</x:f>
        <x:v>0</x:v>
      </x:c>
      <x:c r="O355" s="13" t="n">
        <x:f>F355/E355</x:f>
        <x:v>0</x:v>
      </x:c>
      <x:c r="P355" s="2" t="str">
        <x:f>IF(AND(E355&gt;='Итоги'!$F$5,N355&lt;='Итоги'!$B$5,O355&gt;='Итоги'!$D$5),"Да","Нет")</x:f>
        <x:v>Нет</x:v>
      </x:c>
    </x:row>
    <x:row r="356" ht="60" customHeight="1">
      <x:c r="A356" s="14" t="str">
        <x:v>Спорт и отдых</x:v>
      </x:c>
      <x:c r="B356" s="14" t="str">
        <x:v>Товары для рыбалки</x:v>
      </x:c>
      <x:c r="C356" s="14" t="str">
        <x:v>Одежда для рыбалки</x:v>
      </x:c>
      <x:c r="D356" s="14" t="str">
        <x:v>Толстовка, худи, кофта для рыбалки</x:v>
      </x:c>
      <x:c r="E356" s="2" t="n">
        <x:v>4</x:v>
      </x:c>
      <x:c r="F356" s="2" t="n">
        <x:v>0</x:v>
      </x:c>
      <x:c r="G356" s="12" t="n">
        <x:v>36658</x:v>
      </x:c>
      <x:c r="H356" s="12" t="n">
        <x:v>0</x:v>
      </x:c>
      <x:c r="I356" s="13" t="n">
        <x:v>0</x:v>
      </x:c>
      <x:c r="J356" s="2" t="n">
        <x:v>4</x:v>
      </x:c>
      <x:c r="K356" s="2" t="n">
        <x:v>1</x:v>
      </x:c>
      <x:c r="L356" s="12" t="n">
        <x:v>2304.6</x:v>
      </x:c>
      <x:c r="M356" s="13" t="n">
        <x:v>1</x:v>
      </x:c>
      <x:c r="N356" s="13" t="n">
        <x:f>H356/G356</x:f>
        <x:v>0</x:v>
      </x:c>
      <x:c r="O356" s="13" t="n">
        <x:f>F356/E356</x:f>
        <x:v>0</x:v>
      </x:c>
      <x:c r="P356" s="2" t="str">
        <x:f>IF(AND(E356&gt;='Итоги'!$F$5,N356&lt;='Итоги'!$B$5,O356&gt;='Итоги'!$D$5),"Да","Нет")</x:f>
        <x:v>Нет</x:v>
      </x:c>
    </x:row>
    <x:row r="357" ht="60" customHeight="1">
      <x:c r="A357" s="14" t="str">
        <x:v>Строительство и ремонт (DIY)</x:v>
      </x:c>
      <x:c r="B357" s="14" t="str">
        <x:v>Инструменты</x:v>
      </x:c>
      <x:c r="C357" s="14" t="str">
        <x:v>Инструмент ручной для строительства, ремонта</x:v>
      </x:c>
      <x:c r="D357" s="14" t="str">
        <x:v>Инструмент для работы с арматурой</x:v>
      </x:c>
      <x:c r="E357" s="2" t="n">
        <x:v>4</x:v>
      </x:c>
      <x:c r="F357" s="2" t="n">
        <x:v>0</x:v>
      </x:c>
      <x:c r="G357" s="12" t="n">
        <x:v>640779.0771999999</x:v>
      </x:c>
      <x:c r="H357" s="12" t="n">
        <x:v>0</x:v>
      </x:c>
      <x:c r="I357" s="13" t="n">
        <x:v>0</x:v>
      </x:c>
      <x:c r="J357" s="2" t="n">
        <x:v>4</x:v>
      </x:c>
      <x:c r="K357" s="2" t="n">
        <x:v>1</x:v>
      </x:c>
      <x:c r="L357" s="12" t="n">
        <x:v>2341.8380500000003</x:v>
      </x:c>
      <x:c r="M357" s="13" t="n">
        <x:v>1</x:v>
      </x:c>
      <x:c r="N357" s="13" t="n">
        <x:f>H357/G357</x:f>
        <x:v>0</x:v>
      </x:c>
      <x:c r="O357" s="13" t="n">
        <x:f>F357/E357</x:f>
        <x:v>0</x:v>
      </x:c>
      <x:c r="P357" s="2" t="str">
        <x:f>IF(AND(E357&gt;='Итоги'!$F$5,N357&lt;='Итоги'!$B$5,O357&gt;='Итоги'!$D$5),"Да","Нет")</x:f>
        <x:v>Нет</x:v>
      </x:c>
    </x:row>
    <x:row r="358" ht="60" customHeight="1">
      <x:c r="A358" s="14" t="str">
        <x:v>Строительство и ремонт (DIY)</x:v>
      </x:c>
      <x:c r="B358" s="14" t="str">
        <x:v>Ремонт и строительство</x:v>
      </x:c>
      <x:c r="C358" s="14" t="str">
        <x:v>Электротовары</x:v>
      </x:c>
      <x:c r="D358" s="14" t="str">
        <x:v>Телекоммуникационный шкаф</x:v>
      </x:c>
      <x:c r="E358" s="2" t="n">
        <x:v>4</x:v>
      </x:c>
      <x:c r="F358" s="2" t="n">
        <x:v>0</x:v>
      </x:c>
      <x:c r="G358" s="12" t="n">
        <x:v>110566</x:v>
      </x:c>
      <x:c r="H358" s="12" t="n">
        <x:v>0</x:v>
      </x:c>
      <x:c r="I358" s="13" t="n">
        <x:v>0</x:v>
      </x:c>
      <x:c r="J358" s="2" t="n">
        <x:v>4</x:v>
      </x:c>
      <x:c r="K358" s="2" t="n">
        <x:v>2</x:v>
      </x:c>
      <x:c r="L358" s="12" t="n">
        <x:v>7208.4375</x:v>
      </x:c>
      <x:c r="M358" s="13" t="n">
        <x:v>0.556364524356493</x:v>
      </x:c>
      <x:c r="N358" s="13" t="n">
        <x:f>H358/G358</x:f>
        <x:v>0</x:v>
      </x:c>
      <x:c r="O358" s="13" t="n">
        <x:f>F358/E358</x:f>
        <x:v>0</x:v>
      </x:c>
      <x:c r="P358" s="2" t="str">
        <x:f>IF(AND(E358&gt;='Итоги'!$F$5,N358&lt;='Итоги'!$B$5,O358&gt;='Итоги'!$D$5),"Да","Нет")</x:f>
        <x:v>Нет</x:v>
      </x:c>
    </x:row>
    <x:row r="359" ht="60" customHeight="1">
      <x:c r="A359" s="14" t="str">
        <x:v>Строительство и ремонт (DIY)</x:v>
      </x:c>
      <x:c r="B359" s="14" t="str">
        <x:v>Сад и огород</x:v>
      </x:c>
      <x:c r="C359" s="14" t="str">
        <x:v>Товары для бани и сауны</x:v>
      </x:c>
      <x:c r="D359" s="14" t="str">
        <x:v>Купель для бани и сауны</x:v>
      </x:c>
      <x:c r="E359" s="2" t="n">
        <x:v>4</x:v>
      </x:c>
      <x:c r="F359" s="2" t="n">
        <x:v>0</x:v>
      </x:c>
      <x:c r="G359" s="12" t="n">
        <x:v>1108492.2231</x:v>
      </x:c>
      <x:c r="H359" s="12" t="n">
        <x:v>0</x:v>
      </x:c>
      <x:c r="I359" s="13" t="n">
        <x:v>0</x:v>
      </x:c>
      <x:c r="J359" s="2" t="n">
        <x:v>4</x:v>
      </x:c>
      <x:c r="K359" s="2" t="n">
        <x:v>1</x:v>
      </x:c>
      <x:c r="L359" s="12" t="n">
        <x:v>14304.80805</x:v>
      </x:c>
      <x:c r="M359" s="13" t="n">
        <x:v>1</x:v>
      </x:c>
      <x:c r="N359" s="13" t="n">
        <x:f>H359/G359</x:f>
        <x:v>0</x:v>
      </x:c>
      <x:c r="O359" s="13" t="n">
        <x:f>F359/E359</x:f>
        <x:v>0</x:v>
      </x:c>
      <x:c r="P359" s="2" t="str">
        <x:f>IF(AND(E359&gt;='Итоги'!$F$5,N359&lt;='Итоги'!$B$5,O359&gt;='Итоги'!$D$5),"Да","Нет")</x:f>
        <x:v>Нет</x:v>
      </x:c>
    </x:row>
    <x:row r="360" ht="60" customHeight="1">
      <x:c r="A360" s="14" t="str">
        <x:v>Товары для дома</x:v>
      </x:c>
      <x:c r="B360" s="14" t="str">
        <x:v>Интерьер и декор</x:v>
      </x:c>
      <x:c r="C360" s="14" t="str">
        <x:v>Религиозные товары</x:v>
      </x:c>
      <x:c r="D360" s="14" t="str">
        <x:v>Скамейка, столик на кладбище</x:v>
      </x:c>
      <x:c r="E360" s="2" t="n">
        <x:v>4</x:v>
      </x:c>
      <x:c r="F360" s="2" t="n">
        <x:v>0</x:v>
      </x:c>
      <x:c r="G360" s="12" t="n">
        <x:v>410800</x:v>
      </x:c>
      <x:c r="H360" s="12" t="n">
        <x:v>0</x:v>
      </x:c>
      <x:c r="I360" s="13" t="n">
        <x:v>0</x:v>
      </x:c>
      <x:c r="J360" s="2" t="n">
        <x:v>4</x:v>
      </x:c>
      <x:c r="K360" s="2" t="n">
        <x:v>1</x:v>
      </x:c>
      <x:c r="L360" s="12" t="n">
        <x:v>4230.59305</x:v>
      </x:c>
      <x:c r="M360" s="13" t="n">
        <x:v>1</x:v>
      </x:c>
      <x:c r="N360" s="13" t="n">
        <x:f>H360/G360</x:f>
        <x:v>0</x:v>
      </x:c>
      <x:c r="O360" s="13" t="n">
        <x:f>F360/E360</x:f>
        <x:v>0</x:v>
      </x:c>
      <x:c r="P360" s="2" t="str">
        <x:f>IF(AND(E360&gt;='Итоги'!$F$5,N360&lt;='Итоги'!$B$5,O360&gt;='Итоги'!$D$5),"Да","Нет")</x:f>
        <x:v>Нет</x:v>
      </x:c>
    </x:row>
    <x:row r="361" ht="60" customHeight="1">
      <x:c r="A361" s="14" t="str">
        <x:v>Товары для дома</x:v>
      </x:c>
      <x:c r="B361" s="14" t="str">
        <x:v>Кухня</x:v>
      </x:c>
      <x:c r="C361" s="14" t="str">
        <x:v>Посуда для приготовления пищи</x:v>
      </x:c>
      <x:c r="D361" s="14" t="str">
        <x:v>Крышка кухонная</x:v>
      </x:c>
      <x:c r="E361" s="2" t="n">
        <x:v>4</x:v>
      </x:c>
      <x:c r="F361" s="2" t="n">
        <x:v>0</x:v>
      </x:c>
      <x:c r="G361" s="12" t="n">
        <x:v>315410.651</x:v>
      </x:c>
      <x:c r="H361" s="12" t="n">
        <x:v>0</x:v>
      </x:c>
      <x:c r="I361" s="13" t="n">
        <x:v>0</x:v>
      </x:c>
      <x:c r="J361" s="2" t="n">
        <x:v>4</x:v>
      </x:c>
      <x:c r="K361" s="2" t="n">
        <x:v>3</x:v>
      </x:c>
      <x:c r="L361" s="12" t="n">
        <x:v>1437.973</x:v>
      </x:c>
      <x:c r="M361" s="13" t="n">
        <x:v>0.870020242277741</x:v>
      </x:c>
      <x:c r="N361" s="13" t="n">
        <x:f>H361/G361</x:f>
        <x:v>0</x:v>
      </x:c>
      <x:c r="O361" s="13" t="n">
        <x:f>F361/E361</x:f>
        <x:v>0</x:v>
      </x:c>
      <x:c r="P361" s="2" t="str">
        <x:f>IF(AND(E361&gt;='Итоги'!$F$5,N361&lt;='Итоги'!$B$5,O361&gt;='Итоги'!$D$5),"Да","Нет")</x:f>
        <x:v>Нет</x:v>
      </x:c>
    </x:row>
    <x:row r="362" ht="60" customHeight="1">
      <x:c r="A362" s="14" t="str">
        <x:v>Товары для животных</x:v>
      </x:c>
      <x:c r="B362" s="14" t="str">
        <x:v>Фермерское хозяйство - Товары для пчеловодства</x:v>
      </x:c>
      <x:c r="C362" s="14" t="str">
        <x:v>Вощина, рамки и комплектующие</x:v>
      </x:c>
      <x:c r="D362" s="14" t="str">
        <x:v>Рамка для улья</x:v>
      </x:c>
      <x:c r="E362" s="2" t="n">
        <x:v>4</x:v>
      </x:c>
      <x:c r="F362" s="2" t="n">
        <x:v>0</x:v>
      </x:c>
      <x:c r="G362" s="12" t="n">
        <x:v>446821.8955</x:v>
      </x:c>
      <x:c r="H362" s="12" t="n">
        <x:v>0</x:v>
      </x:c>
      <x:c r="I362" s="13" t="n">
        <x:v>0</x:v>
      </x:c>
      <x:c r="J362" s="2" t="n">
        <x:v>4</x:v>
      </x:c>
      <x:c r="K362" s="2" t="n">
        <x:v>3</x:v>
      </x:c>
      <x:c r="L362" s="12" t="n">
        <x:v>2614.5788</x:v>
      </x:c>
      <x:c r="M362" s="13" t="n">
        <x:v>0.5903871277498755</x:v>
      </x:c>
      <x:c r="N362" s="13" t="n">
        <x:f>H362/G362</x:f>
        <x:v>0</x:v>
      </x:c>
      <x:c r="O362" s="13" t="n">
        <x:f>F362/E362</x:f>
        <x:v>0</x:v>
      </x:c>
      <x:c r="P362" s="2" t="str">
        <x:f>IF(AND(E362&gt;='Итоги'!$F$5,N362&lt;='Итоги'!$B$5,O362&gt;='Итоги'!$D$5),"Да","Нет")</x:f>
        <x:v>Нет</x:v>
      </x:c>
    </x:row>
    <x:row r="363" ht="60" customHeight="1">
      <x:c r="A363" s="14" t="str">
        <x:v>Автотовары</x:v>
      </x:c>
      <x:c r="B363" s="14" t="str">
        <x:v>Авто и мото запчасти</x:v>
      </x:c>
      <x:c r="C363" s="14" t="str">
        <x:v>Запчасти для спецтехники</x:v>
      </x:c>
      <x:c r="D363" s="14" t="str">
        <x:v>Навесное и прицепное оборудование для спецтехники</x:v>
      </x:c>
      <x:c r="E363" s="2" t="n">
        <x:v>3</x:v>
      </x:c>
      <x:c r="F363" s="2" t="n">
        <x:v>0</x:v>
      </x:c>
      <x:c r="G363" s="12" t="n">
        <x:v>301145.9672</x:v>
      </x:c>
      <x:c r="H363" s="12" t="n">
        <x:v>0</x:v>
      </x:c>
      <x:c r="I363" s="13" t="n">
        <x:v>0</x:v>
      </x:c>
      <x:c r="J363" s="2" t="n">
        <x:v>3</x:v>
      </x:c>
      <x:c r="K363" s="2" t="n">
        <x:v>3</x:v>
      </x:c>
      <x:c r="L363" s="12" t="n">
        <x:v>4682.2984</x:v>
      </x:c>
      <x:c r="M363" s="13" t="n">
        <x:v>0.5219229779544595</x:v>
      </x:c>
      <x:c r="N363" s="13" t="n">
        <x:f>H363/G363</x:f>
        <x:v>0</x:v>
      </x:c>
      <x:c r="O363" s="13" t="n">
        <x:f>F363/E363</x:f>
        <x:v>0</x:v>
      </x:c>
      <x:c r="P363" s="2" t="str">
        <x:f>IF(AND(E363&gt;='Итоги'!$F$5,N363&lt;='Итоги'!$B$5,O363&gt;='Итоги'!$D$5),"Да","Нет")</x:f>
        <x:v>Нет</x:v>
      </x:c>
    </x:row>
    <x:row r="364" ht="60" customHeight="1">
      <x:c r="A364" s="14" t="str">
        <x:v>Аксессуары для электроники</x:v>
      </x:c>
      <x:c r="B364" s="14" t="str">
        <x:v>Аксессуары для МБТ (красота и здоровье) Access</x:v>
      </x:c>
      <x:c r="C364" s="14" t="str">
        <x:v>Насадка для прибора для красоты и здоровья Access</x:v>
      </x:c>
      <x:c r="D364" s="14" t="str">
        <x:v>Насадки для щипцов, плойки</x:v>
      </x:c>
      <x:c r="E364" s="2" t="n">
        <x:v>3</x:v>
      </x:c>
      <x:c r="F364" s="2" t="n">
        <x:v>0</x:v>
      </x:c>
      <x:c r="G364" s="12" t="n">
        <x:v>657841.5098</x:v>
      </x:c>
      <x:c r="H364" s="12" t="n">
        <x:v>0</x:v>
      </x:c>
      <x:c r="I364" s="13" t="n">
        <x:v>0</x:v>
      </x:c>
      <x:c r="J364" s="2" t="n">
        <x:v>3</x:v>
      </x:c>
      <x:c r="K364" s="2" t="n">
        <x:v>1</x:v>
      </x:c>
      <x:c r="L364" s="12" t="n">
        <x:v>4965.9467</x:v>
      </x:c>
      <x:c r="M364" s="13" t="n">
        <x:v>1</x:v>
      </x:c>
      <x:c r="N364" s="13" t="n">
        <x:f>H364/G364</x:f>
        <x:v>0</x:v>
      </x:c>
      <x:c r="O364" s="13" t="n">
        <x:f>F364/E364</x:f>
        <x:v>0</x:v>
      </x:c>
      <x:c r="P364" s="2" t="str">
        <x:f>IF(AND(E364&gt;='Итоги'!$F$5,N364&lt;='Итоги'!$B$5,O364&gt;='Итоги'!$D$5),"Да","Нет")</x:f>
        <x:v>Нет</x:v>
      </x:c>
    </x:row>
    <x:row r="365" ht="60" customHeight="1">
      <x:c r="A365" s="14" t="str">
        <x:v>Аксессуары для электроники</x:v>
      </x:c>
      <x:c r="B365" s="14" t="str">
        <x:v>Фото и видео Access</x:v>
      </x:c>
      <x:c r="C365" s="14" t="str">
        <x:v>Аксессуар к фото и видео Access</x:v>
      </x:c>
      <x:c r="D365" s="14" t="str">
        <x:v>Чистящий карандаш для оптики, мониторов</x:v>
      </x:c>
      <x:c r="E365" s="2" t="n">
        <x:v>3</x:v>
      </x:c>
      <x:c r="F365" s="2" t="n">
        <x:v>0</x:v>
      </x:c>
      <x:c r="G365" s="12" t="n">
        <x:v>257989.96</x:v>
      </x:c>
      <x:c r="H365" s="12" t="n">
        <x:v>0</x:v>
      </x:c>
      <x:c r="I365" s="13" t="n">
        <x:v>0</x:v>
      </x:c>
      <x:c r="J365" s="2" t="n">
        <x:v>3</x:v>
      </x:c>
      <x:c r="K365" s="2" t="n">
        <x:v>1</x:v>
      </x:c>
      <x:c r="L365" s="12" t="n">
        <x:v>1894.9167</x:v>
      </x:c>
      <x:c r="M365" s="13" t="n">
        <x:v>1</x:v>
      </x:c>
      <x:c r="N365" s="13" t="n">
        <x:f>H365/G365</x:f>
        <x:v>0</x:v>
      </x:c>
      <x:c r="O365" s="13" t="n">
        <x:f>F365/E365</x:f>
        <x:v>0</x:v>
      </x:c>
      <x:c r="P365" s="2" t="str">
        <x:f>IF(AND(E365&gt;='Итоги'!$F$5,N365&lt;='Итоги'!$B$5,O365&gt;='Итоги'!$D$5),"Да","Нет")</x:f>
        <x:v>Нет</x:v>
      </x:c>
    </x:row>
    <x:row r="366" ht="60" customHeight="1">
      <x:c r="A366" s="14" t="str">
        <x:v>Аптека</x:v>
      </x:c>
      <x:c r="B366" s="14" t="str">
        <x:v>Лекарственные средства для животных</x:v>
      </x:c>
      <x:c r="C366" s="14" t="str">
        <x:v>Безрецептурные лекарственные препараты для животных</x:v>
      </x:c>
      <x:c r="D366" s="14" t="str">
        <x:v>ВЕТ Противовоспалительные препараты лицензированные</x:v>
      </x:c>
      <x:c r="E366" s="2" t="n">
        <x:v>3</x:v>
      </x:c>
      <x:c r="F366" s="2" t="n">
        <x:v>0</x:v>
      </x:c>
      <x:c r="G366" s="12" t="n">
        <x:v>536019.01</x:v>
      </x:c>
      <x:c r="H366" s="12" t="n">
        <x:v>0</x:v>
      </x:c>
      <x:c r="I366" s="13" t="n">
        <x:v>0</x:v>
      </x:c>
      <x:c r="J366" s="2" t="n">
        <x:v>3</x:v>
      </x:c>
      <x:c r="K366" s="2" t="n">
        <x:v>1</x:v>
      </x:c>
      <x:c r="L366" s="12" t="n">
        <x:v>1116.8812</x:v>
      </x:c>
      <x:c r="M366" s="13" t="n">
        <x:v>1</x:v>
      </x:c>
      <x:c r="N366" s="13" t="n">
        <x:f>H366/G366</x:f>
        <x:v>0</x:v>
      </x:c>
      <x:c r="O366" s="13" t="n">
        <x:f>F366/E366</x:f>
        <x:v>0</x:v>
      </x:c>
      <x:c r="P366" s="2" t="str">
        <x:f>IF(AND(E366&gt;='Итоги'!$F$5,N366&lt;='Итоги'!$B$5,O366&gt;='Итоги'!$D$5),"Да","Нет")</x:f>
        <x:v>Нет</x:v>
      </x:c>
    </x:row>
    <x:row r="367" ht="60" customHeight="1">
      <x:c r="A367" s="14" t="str">
        <x:v>Аптека</x:v>
      </x:c>
      <x:c r="B367" s="14" t="str">
        <x:v>Медицинские изделия</x:v>
      </x:c>
      <x:c r="C367" s="14" t="str">
        <x:v>Расходные медицинские материалы</x:v>
      </x:c>
      <x:c r="D367" s="14" t="str">
        <x:v>Штаны для медицинских процедур</x:v>
      </x:c>
      <x:c r="E367" s="2" t="n">
        <x:v>3</x:v>
      </x:c>
      <x:c r="F367" s="2" t="n">
        <x:v>0</x:v>
      </x:c>
      <x:c r="G367" s="12" t="n">
        <x:v>265901.58</x:v>
      </x:c>
      <x:c r="H367" s="12" t="n">
        <x:v>0</x:v>
      </x:c>
      <x:c r="I367" s="13" t="n">
        <x:v>0</x:v>
      </x:c>
      <x:c r="J367" s="2" t="n">
        <x:v>3</x:v>
      </x:c>
      <x:c r="K367" s="2" t="n">
        <x:v>1</x:v>
      </x:c>
      <x:c r="L367" s="12" t="n">
        <x:v>1051.8049</x:v>
      </x:c>
      <x:c r="M367" s="13" t="n">
        <x:v>1</x:v>
      </x:c>
      <x:c r="N367" s="13" t="n">
        <x:f>H367/G367</x:f>
        <x:v>0</x:v>
      </x:c>
      <x:c r="O367" s="13" t="n">
        <x:f>F367/E367</x:f>
        <x:v>0</x:v>
      </x:c>
      <x:c r="P367" s="2" t="str">
        <x:f>IF(AND(E367&gt;='Итоги'!$F$5,N367&lt;='Итоги'!$B$5,O367&gt;='Итоги'!$D$5),"Да","Нет")</x:f>
        <x:v>Нет</x:v>
      </x:c>
    </x:row>
    <x:row r="368" ht="60" customHeight="1">
      <x:c r="A368" s="14" t="str">
        <x:v>Аудио и видеотехника</x:v>
      </x:c>
      <x:c r="B368" s="14" t="str">
        <x:v>Домашняя Аудио и Видеотехника TV&amp;Audio</x:v>
      </x:c>
      <x:c r="C368" s="14" t="str">
        <x:v>Hi-Fi TV&amp;Audio</x:v>
      </x:c>
      <x:c r="D368" s="14" t="str">
        <x:v>Hi-Fi ресивер</x:v>
      </x:c>
      <x:c r="E368" s="2" t="n">
        <x:v>3</x:v>
      </x:c>
      <x:c r="F368" s="2" t="n">
        <x:v>0</x:v>
      </x:c>
      <x:c r="G368" s="12" t="n">
        <x:v>530655</x:v>
      </x:c>
      <x:c r="H368" s="12" t="n">
        <x:v>0</x:v>
      </x:c>
      <x:c r="I368" s="13" t="n">
        <x:v>0</x:v>
      </x:c>
      <x:c r="J368" s="2" t="n">
        <x:v>3</x:v>
      </x:c>
      <x:c r="K368" s="2" t="n">
        <x:v>2</x:v>
      </x:c>
      <x:c r="L368" s="12" t="n">
        <x:v>14668.5714</x:v>
      </x:c>
      <x:c r="M368" s="13" t="n">
        <x:v>0.8065032836777191</x:v>
      </x:c>
      <x:c r="N368" s="13" t="n">
        <x:f>H368/G368</x:f>
        <x:v>0</x:v>
      </x:c>
      <x:c r="O368" s="13" t="n">
        <x:f>F368/E368</x:f>
        <x:v>0</x:v>
      </x:c>
      <x:c r="P368" s="2" t="str">
        <x:f>IF(AND(E368&gt;='Итоги'!$F$5,N368&lt;='Итоги'!$B$5,O368&gt;='Итоги'!$D$5),"Да","Нет")</x:f>
        <x:v>Нет</x:v>
      </x:c>
    </x:row>
    <x:row r="369" ht="60" customHeight="1">
      <x:c r="A369" s="14" t="str">
        <x:v>Аудио и видеотехника</x:v>
      </x:c>
      <x:c r="B369" s="14" t="str">
        <x:v>Домашняя Аудио и Видеотехника TV&amp;Audio</x:v>
      </x:c>
      <x:c r="C369" s="14" t="str">
        <x:v>Проигрыватель дисков TV&amp;Audio</x:v>
      </x:c>
      <x:c r="D369" s="14" t="str">
        <x:v>Портативный DVD-плеер</x:v>
      </x:c>
      <x:c r="E369" s="2" t="n">
        <x:v>3</x:v>
      </x:c>
      <x:c r="F369" s="2" t="n">
        <x:v>0</x:v>
      </x:c>
      <x:c r="G369" s="12" t="n">
        <x:v>490851</x:v>
      </x:c>
      <x:c r="H369" s="12" t="n">
        <x:v>0</x:v>
      </x:c>
      <x:c r="I369" s="13" t="n">
        <x:v>0</x:v>
      </x:c>
      <x:c r="J369" s="2" t="n">
        <x:v>3</x:v>
      </x:c>
      <x:c r="K369" s="2" t="n">
        <x:v>3</x:v>
      </x:c>
      <x:c r="L369" s="12" t="n">
        <x:v>4406.2432</x:v>
      </x:c>
      <x:c r="M369" s="13" t="n">
        <x:v>0.3928014815086452</x:v>
      </x:c>
      <x:c r="N369" s="13" t="n">
        <x:f>H369/G369</x:f>
        <x:v>0</x:v>
      </x:c>
      <x:c r="O369" s="13" t="n">
        <x:f>F369/E369</x:f>
        <x:v>0</x:v>
      </x:c>
      <x:c r="P369" s="2" t="str">
        <x:f>IF(AND(E369&gt;='Итоги'!$F$5,N369&lt;='Итоги'!$B$5,O369&gt;='Итоги'!$D$5),"Да","Нет")</x:f>
        <x:v>Нет</x:v>
      </x:c>
    </x:row>
    <x:row r="370" ht="60" customHeight="1">
      <x:c r="A370" s="14" t="str">
        <x:v>Бытовая химия и гигиена рта</x:v>
      </x:c>
      <x:c r="B370" s="14" t="str">
        <x:v>Средства для стирки</x:v>
      </x:c>
      <x:c r="C370" s="14" t="str">
        <x:v>Капсулы, таблетки для стирки</x:v>
      </x:c>
      <x:c r="D370" s="14" t="str">
        <x:v>Капсулы, таблетки для стирки белого белья</x:v>
      </x:c>
      <x:c r="E370" s="2" t="n">
        <x:v>3</x:v>
      </x:c>
      <x:c r="F370" s="2" t="n">
        <x:v>0</x:v>
      </x:c>
      <x:c r="G370" s="12" t="n">
        <x:v>937884.46</x:v>
      </x:c>
      <x:c r="H370" s="12" t="n">
        <x:v>0</x:v>
      </x:c>
      <x:c r="I370" s="13" t="n">
        <x:v>0</x:v>
      </x:c>
      <x:c r="J370" s="2" t="n">
        <x:v>3</x:v>
      </x:c>
      <x:c r="K370" s="2" t="n">
        <x:v>2</x:v>
      </x:c>
      <x:c r="L370" s="12" t="n">
        <x:v>2409.5147</x:v>
      </x:c>
      <x:c r="M370" s="13" t="n">
        <x:v>0.7111605836821308</x:v>
      </x:c>
      <x:c r="N370" s="13" t="n">
        <x:f>H370/G370</x:f>
        <x:v>0</x:v>
      </x:c>
      <x:c r="O370" s="13" t="n">
        <x:f>F370/E370</x:f>
        <x:v>0</x:v>
      </x:c>
      <x:c r="P370" s="2" t="str">
        <x:f>IF(AND(E370&gt;='Итоги'!$F$5,N370&lt;='Итоги'!$B$5,O370&gt;='Итоги'!$D$5),"Да","Нет")</x:f>
        <x:v>Нет</x:v>
      </x:c>
    </x:row>
    <x:row r="371" ht="60" customHeight="1">
      <x:c r="A371" s="14" t="str">
        <x:v>Детская одежда</x:v>
      </x:c>
      <x:c r="B371" s="14" t="str">
        <x:v>Детская одежда</x:v>
      </x:c>
      <x:c r="C371" s="14" t="str">
        <x:v>Белье и ЧНИ для девочек</x:v>
      </x:c>
      <x:c r="D371" s="14" t="str">
        <x:v>Термолонгслив для девочки</x:v>
      </x:c>
      <x:c r="E371" s="2" t="n">
        <x:v>3</x:v>
      </x:c>
      <x:c r="F371" s="2" t="n">
        <x:v>0</x:v>
      </x:c>
      <x:c r="G371" s="12" t="n">
        <x:v>270485.97</x:v>
      </x:c>
      <x:c r="H371" s="12" t="n">
        <x:v>0</x:v>
      </x:c>
      <x:c r="I371" s="13" t="n">
        <x:v>0</x:v>
      </x:c>
      <x:c r="J371" s="2" t="n">
        <x:v>3</x:v>
      </x:c>
      <x:c r="K371" s="2" t="n">
        <x:v>1</x:v>
      </x:c>
      <x:c r="L371" s="12" t="n">
        <x:v>4223.6471</x:v>
      </x:c>
      <x:c r="M371" s="13" t="n">
        <x:v>1</x:v>
      </x:c>
      <x:c r="N371" s="13" t="n">
        <x:f>H371/G371</x:f>
        <x:v>0</x:v>
      </x:c>
      <x:c r="O371" s="13" t="n">
        <x:f>F371/E371</x:f>
        <x:v>0</x:v>
      </x:c>
      <x:c r="P371" s="2" t="str">
        <x:f>IF(AND(E371&gt;='Итоги'!$F$5,N371&lt;='Итоги'!$B$5,O371&gt;='Итоги'!$D$5),"Да","Нет")</x:f>
        <x:v>Нет</x:v>
      </x:c>
    </x:row>
    <x:row r="372" ht="60" customHeight="1">
      <x:c r="A372" s="14" t="str">
        <x:v>Детская одежда</x:v>
      </x:c>
      <x:c r="B372" s="14" t="str">
        <x:v>Детская одежда</x:v>
      </x:c>
      <x:c r="C372" s="14" t="str">
        <x:v>Белье и ЧНИ для мальчиков</x:v>
      </x:c>
      <x:c r="D372" s="14" t="str">
        <x:v>Халат для мальчика</x:v>
      </x:c>
      <x:c r="E372" s="2" t="n">
        <x:v>3</x:v>
      </x:c>
      <x:c r="F372" s="2" t="n">
        <x:v>0</x:v>
      </x:c>
      <x:c r="G372" s="12" t="n">
        <x:v>63192.37</x:v>
      </x:c>
      <x:c r="H372" s="12" t="n">
        <x:v>0</x:v>
      </x:c>
      <x:c r="I372" s="13" t="n">
        <x:v>0</x:v>
      </x:c>
      <x:c r="J372" s="2" t="n">
        <x:v>3</x:v>
      </x:c>
      <x:c r="K372" s="2" t="n">
        <x:v>1</x:v>
      </x:c>
      <x:c r="L372" s="12" t="n">
        <x:v>1223.6023</x:v>
      </x:c>
      <x:c r="M372" s="13" t="n">
        <x:v>1</x:v>
      </x:c>
      <x:c r="N372" s="13" t="n">
        <x:f>H372/G372</x:f>
        <x:v>0</x:v>
      </x:c>
      <x:c r="O372" s="13" t="n">
        <x:f>F372/E372</x:f>
        <x:v>0</x:v>
      </x:c>
      <x:c r="P372" s="2" t="str">
        <x:f>IF(AND(E372&gt;='Итоги'!$F$5,N372&lt;='Итоги'!$B$5,O372&gt;='Итоги'!$D$5),"Да","Нет")</x:f>
        <x:v>Нет</x:v>
      </x:c>
    </x:row>
    <x:row r="373" ht="60" customHeight="1">
      <x:c r="A373" s="14" t="str">
        <x:v>Детская одежда</x:v>
      </x:c>
      <x:c r="B373" s="14" t="str">
        <x:v>Детская одежда</x:v>
      </x:c>
      <x:c r="C373" s="14" t="str">
        <x:v>Одежда для мальчика</x:v>
      </x:c>
      <x:c r="D373" s="14" t="str">
        <x:v>Свитшот для мальчика</x:v>
      </x:c>
      <x:c r="E373" s="2" t="n">
        <x:v>3</x:v>
      </x:c>
      <x:c r="F373" s="2" t="n">
        <x:v>0</x:v>
      </x:c>
      <x:c r="G373" s="12" t="n">
        <x:v>69420.23</x:v>
      </x:c>
      <x:c r="H373" s="12" t="n">
        <x:v>0</x:v>
      </x:c>
      <x:c r="I373" s="13" t="n">
        <x:v>0</x:v>
      </x:c>
      <x:c r="J373" s="2" t="n">
        <x:v>3</x:v>
      </x:c>
      <x:c r="K373" s="2" t="n">
        <x:v>2</x:v>
      </x:c>
      <x:c r="L373" s="12" t="n">
        <x:v>1224.7778</x:v>
      </x:c>
      <x:c r="M373" s="13" t="n">
        <x:v>0.7372433078945432</x:v>
      </x:c>
      <x:c r="N373" s="13" t="n">
        <x:f>H373/G373</x:f>
        <x:v>0</x:v>
      </x:c>
      <x:c r="O373" s="13" t="n">
        <x:f>F373/E373</x:f>
        <x:v>0</x:v>
      </x:c>
      <x:c r="P373" s="2" t="str">
        <x:f>IF(AND(E373&gt;='Итоги'!$F$5,N373&lt;='Итоги'!$B$5,O373&gt;='Итоги'!$D$5),"Да","Нет")</x:f>
        <x:v>Нет</x:v>
      </x:c>
    </x:row>
    <x:row r="374" ht="60" customHeight="1">
      <x:c r="A374" s="14" t="str">
        <x:v>Детская одежда</x:v>
      </x:c>
      <x:c r="B374" s="14" t="str">
        <x:v>Детская одежда</x:v>
      </x:c>
      <x:c r="C374" s="14" t="str">
        <x:v>Пляжная одежда для мальчика</x:v>
      </x:c>
      <x:c r="D374" s="14" t="str">
        <x:v>Костюм, комбинезон плавательный для мальчика</x:v>
      </x:c>
      <x:c r="E374" s="2" t="n">
        <x:v>3</x:v>
      </x:c>
      <x:c r="F374" s="2" t="n">
        <x:v>0</x:v>
      </x:c>
      <x:c r="G374" s="12" t="n">
        <x:v>55426.75</x:v>
      </x:c>
      <x:c r="H374" s="12" t="n">
        <x:v>0</x:v>
      </x:c>
      <x:c r="I374" s="13" t="n">
        <x:v>0</x:v>
      </x:c>
      <x:c r="J374" s="2" t="n">
        <x:v>3</x:v>
      </x:c>
      <x:c r="K374" s="2" t="n">
        <x:v>1</x:v>
      </x:c>
      <x:c r="L374" s="12" t="n">
        <x:v>1425.2328</x:v>
      </x:c>
      <x:c r="M374" s="13" t="n">
        <x:v>1</x:v>
      </x:c>
      <x:c r="N374" s="13" t="n">
        <x:f>H374/G374</x:f>
        <x:v>0</x:v>
      </x:c>
      <x:c r="O374" s="13" t="n">
        <x:f>F374/E374</x:f>
        <x:v>0</x:v>
      </x:c>
      <x:c r="P374" s="2" t="str">
        <x:f>IF(AND(E374&gt;='Итоги'!$F$5,N374&lt;='Итоги'!$B$5,O374&gt;='Итоги'!$D$5),"Да","Нет")</x:f>
        <x:v>Нет</x:v>
      </x:c>
    </x:row>
    <x:row r="375" ht="60" customHeight="1">
      <x:c r="A375" s="14" t="str">
        <x:v>Детская одежда</x:v>
      </x:c>
      <x:c r="B375" s="14" t="str">
        <x:v>Одежда для новорожденных</x:v>
      </x:c>
      <x:c r="C375" s="14" t="str">
        <x:v>Одежда для новорожденных</x:v>
      </x:c>
      <x:c r="D375" s="14" t="str">
        <x:v>Брюки для новорожденных</x:v>
      </x:c>
      <x:c r="E375" s="2" t="n">
        <x:v>3</x:v>
      </x:c>
      <x:c r="F375" s="2" t="n">
        <x:v>0</x:v>
      </x:c>
      <x:c r="G375" s="12" t="n">
        <x:v>11251</x:v>
      </x:c>
      <x:c r="H375" s="12" t="n">
        <x:v>0</x:v>
      </x:c>
      <x:c r="I375" s="13" t="n">
        <x:v>0</x:v>
      </x:c>
      <x:c r="J375" s="2" t="n">
        <x:v>3</x:v>
      </x:c>
      <x:c r="K375" s="2" t="n">
        <x:v>2</x:v>
      </x:c>
      <x:c r="L375" s="12" t="n">
        <x:v>3705</x:v>
      </x:c>
      <x:c r="M375" s="13" t="n">
        <x:v>0.609723580126211</x:v>
      </x:c>
      <x:c r="N375" s="13" t="n">
        <x:f>H375/G375</x:f>
        <x:v>0</x:v>
      </x:c>
      <x:c r="O375" s="13" t="n">
        <x:f>F375/E375</x:f>
        <x:v>0</x:v>
      </x:c>
      <x:c r="P375" s="2" t="str">
        <x:f>IF(AND(E375&gt;='Итоги'!$F$5,N375&lt;='Итоги'!$B$5,O375&gt;='Итоги'!$D$5),"Да","Нет")</x:f>
        <x:v>Нет</x:v>
      </x:c>
    </x:row>
    <x:row r="376" ht="60" customHeight="1">
      <x:c r="A376" s="14" t="str">
        <x:v>Книги</x:v>
      </x:c>
      <x:c r="B376" s="14" t="str">
        <x:v>Букинистическое издание</x:v>
      </x:c>
      <x:c r="C376" s="14" t="str">
        <x:v>Букинистика: Нехудожественная литература</x:v>
      </x:c>
      <x:c r="D376" s="14" t="str">
        <x:v>Букинистика: Нехудожественная литература</x:v>
      </x:c>
      <x:c r="E376" s="2" t="n">
        <x:v>3</x:v>
      </x:c>
      <x:c r="F376" s="2" t="n">
        <x:v>0</x:v>
      </x:c>
      <x:c r="G376" s="12" t="n">
        <x:v>17981</x:v>
      </x:c>
      <x:c r="H376" s="12" t="n">
        <x:v>0</x:v>
      </x:c>
      <x:c r="I376" s="13" t="n">
        <x:v>0</x:v>
      </x:c>
      <x:c r="J376" s="2" t="n">
        <x:v>3</x:v>
      </x:c>
      <x:c r="K376" s="2" t="n">
        <x:v>3</x:v>
      </x:c>
      <x:c r="L376" s="12" t="n">
        <x:v>3300</x:v>
      </x:c>
      <x:c r="M376" s="13" t="n">
        <x:v>0.640676269395473</x:v>
      </x:c>
      <x:c r="N376" s="13" t="n">
        <x:f>H376/G376</x:f>
        <x:v>0</x:v>
      </x:c>
      <x:c r="O376" s="13" t="n">
        <x:f>F376/E376</x:f>
        <x:v>0</x:v>
      </x:c>
      <x:c r="P376" s="2" t="str">
        <x:f>IF(AND(E376&gt;='Итоги'!$F$5,N376&lt;='Итоги'!$B$5,O376&gt;='Итоги'!$D$5),"Да","Нет")</x:f>
        <x:v>Нет</x:v>
      </x:c>
    </x:row>
    <x:row r="377" ht="60" customHeight="1">
      <x:c r="A377" s="14" t="str">
        <x:v>Книги</x:v>
      </x:c>
      <x:c r="B377" s="14" t="str">
        <x:v>Печатные книги: Нехудожественная литература</x:v>
      </x:c>
      <x:c r="C377" s="14" t="str">
        <x:v>Печатная книга: Красота, здоровье, спорт</x:v>
      </x:c>
      <x:c r="D377" s="14" t="str">
        <x:v>Печатная книга: Красота, здоровье, спорт</x:v>
      </x:c>
      <x:c r="E377" s="2" t="n">
        <x:v>3</x:v>
      </x:c>
      <x:c r="F377" s="2" t="n">
        <x:v>0</x:v>
      </x:c>
      <x:c r="G377" s="12" t="n">
        <x:v>180380.5358</x:v>
      </x:c>
      <x:c r="H377" s="12" t="n">
        <x:v>0</x:v>
      </x:c>
      <x:c r="I377" s="13" t="n">
        <x:v>0</x:v>
      </x:c>
      <x:c r="J377" s="2" t="n">
        <x:v>3</x:v>
      </x:c>
      <x:c r="K377" s="2" t="n">
        <x:v>3</x:v>
      </x:c>
      <x:c r="L377" s="12" t="n">
        <x:v>1138.5909</x:v>
      </x:c>
      <x:c r="M377" s="13" t="n">
        <x:v>0.5061355405952841</x:v>
      </x:c>
      <x:c r="N377" s="13" t="n">
        <x:f>H377/G377</x:f>
        <x:v>0</x:v>
      </x:c>
      <x:c r="O377" s="13" t="n">
        <x:f>F377/E377</x:f>
        <x:v>0</x:v>
      </x:c>
      <x:c r="P377" s="2" t="str">
        <x:f>IF(AND(E377&gt;='Итоги'!$F$5,N377&lt;='Итоги'!$B$5,O377&gt;='Итоги'!$D$5),"Да","Нет")</x:f>
        <x:v>Нет</x:v>
      </x:c>
    </x:row>
    <x:row r="378" ht="60" customHeight="1">
      <x:c r="A378" s="14" t="str">
        <x:v>Мебель</x:v>
      </x:c>
      <x:c r="B378" s="14" t="str">
        <x:v>Корпусная мебель и мебель для хранения</x:v>
      </x:c>
      <x:c r="C378" s="14" t="str">
        <x:v>Мебель для бизнеса</x:v>
      </x:c>
      <x:c r="D378" s="14" t="str">
        <x:v>Мебель для бизнеса</x:v>
      </x:c>
      <x:c r="E378" s="2" t="n">
        <x:v>3</x:v>
      </x:c>
      <x:c r="F378" s="2" t="n">
        <x:v>0</x:v>
      </x:c>
      <x:c r="G378" s="12" t="n">
        <x:v>235860</x:v>
      </x:c>
      <x:c r="H378" s="12" t="n">
        <x:v>0</x:v>
      </x:c>
      <x:c r="I378" s="13" t="n">
        <x:v>0</x:v>
      </x:c>
      <x:c r="J378" s="2" t="n">
        <x:v>3</x:v>
      </x:c>
      <x:c r="K378" s="2" t="n">
        <x:v>1</x:v>
      </x:c>
      <x:c r="L378" s="12" t="n">
        <x:v>7417.3636</x:v>
      </x:c>
      <x:c r="M378" s="13" t="n">
        <x:v>1</x:v>
      </x:c>
      <x:c r="N378" s="13" t="n">
        <x:f>H378/G378</x:f>
        <x:v>0</x:v>
      </x:c>
      <x:c r="O378" s="13" t="n">
        <x:f>F378/E378</x:f>
        <x:v>0</x:v>
      </x:c>
      <x:c r="P378" s="2" t="str">
        <x:f>IF(AND(E378&gt;='Итоги'!$F$5,N378&lt;='Итоги'!$B$5,O378&gt;='Итоги'!$D$5),"Да","Нет")</x:f>
        <x:v>Нет</x:v>
      </x:c>
    </x:row>
    <x:row r="379" ht="60" customHeight="1">
      <x:c r="A379" s="14" t="str">
        <x:v>Ноутбуки и компьютеры</x:v>
      </x:c>
      <x:c r="B379" s="14" t="str">
        <x:v>Компьютерная периферия Lap&amp;Comp</x:v>
      </x:c>
      <x:c r="C379" s="14" t="str">
        <x:v>Компьютерный манипулятор Lap&amp;Comp</x:v>
      </x:c>
      <x:c r="D379" s="14" t="str">
        <x:v>Клавиатура Apple</x:v>
      </x:c>
      <x:c r="E379" s="2" t="n">
        <x:v>3</x:v>
      </x:c>
      <x:c r="F379" s="2" t="n">
        <x:v>0</x:v>
      </x:c>
      <x:c r="G379" s="12" t="n">
        <x:v>1399940</x:v>
      </x:c>
      <x:c r="H379" s="12" t="n">
        <x:v>0</x:v>
      </x:c>
      <x:c r="I379" s="13" t="n">
        <x:v>0</x:v>
      </x:c>
      <x:c r="J379" s="2" t="n">
        <x:v>3</x:v>
      </x:c>
      <x:c r="K379" s="2" t="n">
        <x:v>1</x:v>
      </x:c>
      <x:c r="L379" s="12" t="n">
        <x:v>16039.5455</x:v>
      </x:c>
      <x:c r="M379" s="13" t="n">
        <x:v>1</x:v>
      </x:c>
      <x:c r="N379" s="13" t="n">
        <x:f>H379/G379</x:f>
        <x:v>0</x:v>
      </x:c>
      <x:c r="O379" s="13" t="n">
        <x:f>F379/E379</x:f>
        <x:v>0</x:v>
      </x:c>
      <x:c r="P379" s="2" t="str">
        <x:f>IF(AND(E379&gt;='Итоги'!$F$5,N379&lt;='Итоги'!$B$5,O379&gt;='Итоги'!$D$5),"Да","Нет")</x:f>
        <x:v>Нет</x:v>
      </x:c>
    </x:row>
    <x:row r="380" ht="60" customHeight="1">
      <x:c r="A380" s="14" t="str">
        <x:v>Одежда</x:v>
      </x:c>
      <x:c r="B380" s="14" t="str">
        <x:v>Белье, домашняя одежда и ЧНИ</x:v>
      </x:c>
      <x:c r="C380" s="14" t="str">
        <x:v>Белье для беременных и кормящих</x:v>
      </x:c>
      <x:c r="D380" s="14" t="str">
        <x:v>Майка для беременных и кормящих</x:v>
      </x:c>
      <x:c r="E380" s="2" t="n">
        <x:v>3</x:v>
      </x:c>
      <x:c r="F380" s="2" t="n">
        <x:v>0</x:v>
      </x:c>
      <x:c r="G380" s="12" t="n">
        <x:v>99776.24</x:v>
      </x:c>
      <x:c r="H380" s="12" t="n">
        <x:v>0</x:v>
      </x:c>
      <x:c r="I380" s="13" t="n">
        <x:v>0</x:v>
      </x:c>
      <x:c r="J380" s="2" t="n">
        <x:v>3</x:v>
      </x:c>
      <x:c r="K380" s="2" t="n">
        <x:v>1</x:v>
      </x:c>
      <x:c r="L380" s="12" t="n">
        <x:v>2235.5</x:v>
      </x:c>
      <x:c r="M380" s="13" t="n">
        <x:v>1</x:v>
      </x:c>
      <x:c r="N380" s="13" t="n">
        <x:f>H380/G380</x:f>
        <x:v>0</x:v>
      </x:c>
      <x:c r="O380" s="13" t="n">
        <x:f>F380/E380</x:f>
        <x:v>0</x:v>
      </x:c>
      <x:c r="P380" s="2" t="str">
        <x:f>IF(AND(E380&gt;='Итоги'!$F$5,N380&lt;='Итоги'!$B$5,O380&gt;='Итоги'!$D$5),"Да","Нет")</x:f>
        <x:v>Нет</x:v>
      </x:c>
    </x:row>
    <x:row r="381" ht="60" customHeight="1">
      <x:c r="A381" s="14" t="str">
        <x:v>Одежда</x:v>
      </x:c>
      <x:c r="B381" s="14" t="str">
        <x:v>Белье, домашняя одежда и ЧНИ</x:v>
      </x:c>
      <x:c r="C381" s="14" t="str">
        <x:v>Домашняя одежда женская</x:v>
      </x:c>
      <x:c r="D381" s="14" t="str">
        <x:v>Толстовка домашняя женская</x:v>
      </x:c>
      <x:c r="E381" s="2" t="n">
        <x:v>3</x:v>
      </x:c>
      <x:c r="F381" s="2" t="n">
        <x:v>0</x:v>
      </x:c>
      <x:c r="G381" s="12" t="n">
        <x:v>55501.25</x:v>
      </x:c>
      <x:c r="H381" s="12" t="n">
        <x:v>0</x:v>
      </x:c>
      <x:c r="I381" s="13" t="n">
        <x:v>0</x:v>
      </x:c>
      <x:c r="J381" s="2" t="n">
        <x:v>3</x:v>
      </x:c>
      <x:c r="K381" s="2" t="n">
        <x:v>1</x:v>
      </x:c>
      <x:c r="L381" s="12" t="n">
        <x:v>5197.5</x:v>
      </x:c>
      <x:c r="M381" s="13" t="n">
        <x:v>1</x:v>
      </x:c>
      <x:c r="N381" s="13" t="n">
        <x:f>H381/G381</x:f>
        <x:v>0</x:v>
      </x:c>
      <x:c r="O381" s="13" t="n">
        <x:f>F381/E381</x:f>
        <x:v>0</x:v>
      </x:c>
      <x:c r="P381" s="2" t="str">
        <x:f>IF(AND(E381&gt;='Итоги'!$F$5,N381&lt;='Итоги'!$B$5,O381&gt;='Итоги'!$D$5),"Да","Нет")</x:f>
        <x:v>Нет</x:v>
      </x:c>
    </x:row>
    <x:row r="382" ht="60" customHeight="1">
      <x:c r="A382" s="14" t="str">
        <x:v>Одежда</x:v>
      </x:c>
      <x:c r="B382" s="14" t="str">
        <x:v>Белье, домашняя одежда и ЧНИ</x:v>
      </x:c>
      <x:c r="C382" s="14" t="str">
        <x:v>Домашняя одежда женская</x:v>
      </x:c>
      <x:c r="D382" s="14" t="str">
        <x:v>Футболка, майка домашняя женская</x:v>
      </x:c>
      <x:c r="E382" s="2" t="n">
        <x:v>3</x:v>
      </x:c>
      <x:c r="F382" s="2" t="n">
        <x:v>0</x:v>
      </x:c>
      <x:c r="G382" s="12" t="n">
        <x:v>97421.75</x:v>
      </x:c>
      <x:c r="H382" s="12" t="n">
        <x:v>0</x:v>
      </x:c>
      <x:c r="I382" s="13" t="n">
        <x:v>0</x:v>
      </x:c>
      <x:c r="J382" s="2" t="n">
        <x:v>3</x:v>
      </x:c>
      <x:c r="K382" s="2" t="n">
        <x:v>1</x:v>
      </x:c>
      <x:c r="L382" s="12" t="n">
        <x:v>4410</x:v>
      </x:c>
      <x:c r="M382" s="13" t="n">
        <x:v>1</x:v>
      </x:c>
      <x:c r="N382" s="13" t="n">
        <x:f>H382/G382</x:f>
        <x:v>0</x:v>
      </x:c>
      <x:c r="O382" s="13" t="n">
        <x:f>F382/E382</x:f>
        <x:v>0</x:v>
      </x:c>
      <x:c r="P382" s="2" t="str">
        <x:f>IF(AND(E382&gt;='Итоги'!$F$5,N382&lt;='Итоги'!$B$5,O382&gt;='Итоги'!$D$5),"Да","Нет")</x:f>
        <x:v>Нет</x:v>
      </x:c>
    </x:row>
    <x:row r="383" ht="60" customHeight="1">
      <x:c r="A383" s="14" t="str">
        <x:v>Одежда</x:v>
      </x:c>
      <x:c r="B383" s="14" t="str">
        <x:v>Белье, домашняя одежда и ЧНИ</x:v>
      </x:c>
      <x:c r="C383" s="14" t="str">
        <x:v>Домашняя одежда мужская</x:v>
      </x:c>
      <x:c r="D383" s="14" t="str">
        <x:v>Футболка домашняя мужская</x:v>
      </x:c>
      <x:c r="E383" s="2" t="n">
        <x:v>3</x:v>
      </x:c>
      <x:c r="F383" s="2" t="n">
        <x:v>0</x:v>
      </x:c>
      <x:c r="G383" s="12" t="n">
        <x:v>50115</x:v>
      </x:c>
      <x:c r="H383" s="12" t="n">
        <x:v>0</x:v>
      </x:c>
      <x:c r="I383" s="13" t="n">
        <x:v>0</x:v>
      </x:c>
      <x:c r="J383" s="2" t="n">
        <x:v>3</x:v>
      </x:c>
      <x:c r="K383" s="2" t="n">
        <x:v>1</x:v>
      </x:c>
      <x:c r="L383" s="12" t="n">
        <x:v>4661</x:v>
      </x:c>
      <x:c r="M383" s="13" t="n">
        <x:v>1</x:v>
      </x:c>
      <x:c r="N383" s="13" t="n">
        <x:f>H383/G383</x:f>
        <x:v>0</x:v>
      </x:c>
      <x:c r="O383" s="13" t="n">
        <x:f>F383/E383</x:f>
        <x:v>0</x:v>
      </x:c>
      <x:c r="P383" s="2" t="str">
        <x:f>IF(AND(E383&gt;='Итоги'!$F$5,N383&lt;='Итоги'!$B$5,O383&gt;='Итоги'!$D$5),"Да","Нет")</x:f>
        <x:v>Нет</x:v>
      </x:c>
    </x:row>
    <x:row r="384" ht="60" customHeight="1">
      <x:c r="A384" s="14" t="str">
        <x:v>Одежда</x:v>
      </x:c>
      <x:c r="B384" s="14" t="str">
        <x:v>Верхняя одежда</x:v>
      </x:c>
      <x:c r="C384" s="14" t="str">
        <x:v>Верхняя одежда мужская</x:v>
      </x:c>
      <x:c r="D384" s="14" t="str">
        <x:v>Комплект верхней одежды мужской</x:v>
      </x:c>
      <x:c r="E384" s="2" t="n">
        <x:v>3</x:v>
      </x:c>
      <x:c r="F384" s="2" t="n">
        <x:v>0</x:v>
      </x:c>
      <x:c r="G384" s="12" t="n">
        <x:v>26864</x:v>
      </x:c>
      <x:c r="H384" s="12" t="n">
        <x:v>0</x:v>
      </x:c>
      <x:c r="I384" s="13" t="n">
        <x:v>0</x:v>
      </x:c>
      <x:c r="J384" s="2" t="n">
        <x:v>3</x:v>
      </x:c>
      <x:c r="K384" s="2" t="n">
        <x:v>3</x:v>
      </x:c>
      <x:c r="L384" s="12" t="n">
        <x:v>6664</x:v>
      </x:c>
      <x:c r="M384" s="13" t="n">
        <x:v>0.4961286480047647</x:v>
      </x:c>
      <x:c r="N384" s="13" t="n">
        <x:f>H384/G384</x:f>
        <x:v>0</x:v>
      </x:c>
      <x:c r="O384" s="13" t="n">
        <x:f>F384/E384</x:f>
        <x:v>0</x:v>
      </x:c>
      <x:c r="P384" s="2" t="str">
        <x:f>IF(AND(E384&gt;='Итоги'!$F$5,N384&lt;='Итоги'!$B$5,O384&gt;='Итоги'!$D$5),"Да","Нет")</x:f>
        <x:v>Нет</x:v>
      </x:c>
    </x:row>
    <x:row r="385" ht="60" customHeight="1">
      <x:c r="A385" s="14" t="str">
        <x:v>Одежда</x:v>
      </x:c>
      <x:c r="B385" s="14" t="str">
        <x:v>Основная одежда женская</x:v>
      </x:c>
      <x:c r="C385" s="14" t="str">
        <x:v>Головные уборы, перчатки, шарфы женские</x:v>
      </x:c>
      <x:c r="D385" s="14" t="str">
        <x:v>Женский снуд-хомут</x:v>
      </x:c>
      <x:c r="E385" s="2" t="n">
        <x:v>3</x:v>
      </x:c>
      <x:c r="F385" s="2" t="n">
        <x:v>0</x:v>
      </x:c>
      <x:c r="G385" s="12" t="n">
        <x:v>356982.4359</x:v>
      </x:c>
      <x:c r="H385" s="12" t="n">
        <x:v>0</x:v>
      </x:c>
      <x:c r="I385" s="13" t="n">
        <x:v>0</x:v>
      </x:c>
      <x:c r="J385" s="2" t="n">
        <x:v>3</x:v>
      </x:c>
      <x:c r="K385" s="2" t="n">
        <x:v>2</x:v>
      </x:c>
      <x:c r="L385" s="12" t="n">
        <x:v>740.536</x:v>
      </x:c>
      <x:c r="M385" s="13" t="n">
        <x:v>0.5143965963956828</x:v>
      </x:c>
      <x:c r="N385" s="13" t="n">
        <x:f>H385/G385</x:f>
        <x:v>0</x:v>
      </x:c>
      <x:c r="O385" s="13" t="n">
        <x:f>F385/E385</x:f>
        <x:v>0</x:v>
      </x:c>
      <x:c r="P385" s="2" t="str">
        <x:f>IF(AND(E385&gt;='Итоги'!$F$5,N385&lt;='Итоги'!$B$5,O385&gt;='Итоги'!$D$5),"Да","Нет")</x:f>
        <x:v>Нет</x:v>
      </x:c>
    </x:row>
    <x:row r="386" ht="60" customHeight="1">
      <x:c r="A386" s="14" t="str">
        <x:v>Одежда</x:v>
      </x:c>
      <x:c r="B386" s="14" t="str">
        <x:v>Основная одежда женская</x:v>
      </x:c>
      <x:c r="C386" s="14" t="str">
        <x:v>Головные уборы, перчатки, шарфы женские</x:v>
      </x:c>
      <x:c r="D386" s="14" t="str">
        <x:v>Женский шарф</x:v>
      </x:c>
      <x:c r="E386" s="2" t="n">
        <x:v>3</x:v>
      </x:c>
      <x:c r="F386" s="2" t="n">
        <x:v>0</x:v>
      </x:c>
      <x:c r="G386" s="12" t="n">
        <x:v>184935.3626</x:v>
      </x:c>
      <x:c r="H386" s="12" t="n">
        <x:v>0</x:v>
      </x:c>
      <x:c r="I386" s="13" t="n">
        <x:v>0</x:v>
      </x:c>
      <x:c r="J386" s="2" t="n">
        <x:v>3</x:v>
      </x:c>
      <x:c r="K386" s="2" t="n">
        <x:v>2</x:v>
      </x:c>
      <x:c r="L386" s="12" t="n">
        <x:v>1608.7381</x:v>
      </x:c>
      <x:c r="M386" s="13" t="n">
        <x:v>0.7650881941169644</x:v>
      </x:c>
      <x:c r="N386" s="13" t="n">
        <x:f>H386/G386</x:f>
        <x:v>0</x:v>
      </x:c>
      <x:c r="O386" s="13" t="n">
        <x:f>F386/E386</x:f>
        <x:v>0</x:v>
      </x:c>
      <x:c r="P386" s="2" t="str">
        <x:f>IF(AND(E386&gt;='Итоги'!$F$5,N386&lt;='Итоги'!$B$5,O386&gt;='Итоги'!$D$5),"Да","Нет")</x:f>
        <x:v>Нет</x:v>
      </x:c>
    </x:row>
    <x:row r="387" ht="60" customHeight="1">
      <x:c r="A387" s="14" t="str">
        <x:v>Одежда</x:v>
      </x:c>
      <x:c r="B387" s="14" t="str">
        <x:v>Спецодежда и одежда для мероприятий</x:v>
      </x:c>
      <x:c r="C387" s="14" t="str">
        <x:v>Спецодежда женская</x:v>
      </x:c>
      <x:c r="D387" s="14" t="str">
        <x:v>Рабочее поло женское</x:v>
      </x:c>
      <x:c r="E387" s="2" t="n">
        <x:v>3</x:v>
      </x:c>
      <x:c r="F387" s="2" t="n">
        <x:v>0</x:v>
      </x:c>
      <x:c r="G387" s="12" t="n">
        <x:v>41835</x:v>
      </x:c>
      <x:c r="H387" s="12" t="n">
        <x:v>0</x:v>
      </x:c>
      <x:c r="I387" s="13" t="n">
        <x:v>0</x:v>
      </x:c>
      <x:c r="J387" s="2" t="n">
        <x:v>3</x:v>
      </x:c>
      <x:c r="K387" s="2" t="n">
        <x:v>1</x:v>
      </x:c>
      <x:c r="L387" s="12" t="n">
        <x:v>2087.4286</x:v>
      </x:c>
      <x:c r="M387" s="13" t="n">
        <x:v>1</x:v>
      </x:c>
      <x:c r="N387" s="13" t="n">
        <x:f>H387/G387</x:f>
        <x:v>0</x:v>
      </x:c>
      <x:c r="O387" s="13" t="n">
        <x:f>F387/E387</x:f>
        <x:v>0</x:v>
      </x:c>
      <x:c r="P387" s="2" t="str">
        <x:f>IF(AND(E387&gt;='Итоги'!$F$5,N387&lt;='Итоги'!$B$5,O387&gt;='Итоги'!$D$5),"Да","Нет")</x:f>
        <x:v>Нет</x:v>
      </x:c>
    </x:row>
    <x:row r="388" ht="60" customHeight="1">
      <x:c r="A388" s="14" t="str">
        <x:v>Одежда</x:v>
      </x:c>
      <x:c r="B388" s="14" t="str">
        <x:v>Спецодежда и одежда для мероприятий</x:v>
      </x:c>
      <x:c r="C388" s="14" t="str">
        <x:v>Спецодежда женская</x:v>
      </x:c>
      <x:c r="D388" s="14" t="str">
        <x:v>Рабочий комбинезон женский</x:v>
      </x:c>
      <x:c r="E388" s="2" t="n">
        <x:v>3</x:v>
      </x:c>
      <x:c r="F388" s="2" t="n">
        <x:v>0</x:v>
      </x:c>
      <x:c r="G388" s="12" t="n">
        <x:v>189784.5</x:v>
      </x:c>
      <x:c r="H388" s="12" t="n">
        <x:v>0</x:v>
      </x:c>
      <x:c r="I388" s="13" t="n">
        <x:v>0</x:v>
      </x:c>
      <x:c r="J388" s="2" t="n">
        <x:v>3</x:v>
      </x:c>
      <x:c r="K388" s="2" t="n">
        <x:v>1</x:v>
      </x:c>
      <x:c r="L388" s="12" t="n">
        <x:v>3621.8077</x:v>
      </x:c>
      <x:c r="M388" s="13" t="n">
        <x:v>1</x:v>
      </x:c>
      <x:c r="N388" s="13" t="n">
        <x:f>H388/G388</x:f>
        <x:v>0</x:v>
      </x:c>
      <x:c r="O388" s="13" t="n">
        <x:f>F388/E388</x:f>
        <x:v>0</x:v>
      </x:c>
      <x:c r="P388" s="2" t="str">
        <x:f>IF(AND(E388&gt;='Итоги'!$F$5,N388&lt;='Итоги'!$B$5,O388&gt;='Итоги'!$D$5),"Да","Нет")</x:f>
        <x:v>Нет</x:v>
      </x:c>
    </x:row>
    <x:row r="389" ht="60" customHeight="1">
      <x:c r="A389" s="14" t="str">
        <x:v>Смартфоны и планшеты</x:v>
      </x:c>
      <x:c r="B389" s="14" t="str">
        <x:v>Средства связи Smart&amp;Tablets</x:v>
      </x:c>
      <x:c r="C389" s="14" t="str">
        <x:v>Аксессуар к мобильным устройствам Smart&amp;Tablets</x:v>
      </x:c>
      <x:c r="D389" s="14" t="str">
        <x:v>Усилители для наушников</x:v>
      </x:c>
      <x:c r="E389" s="2" t="n">
        <x:v>3</x:v>
      </x:c>
      <x:c r="F389" s="2" t="n">
        <x:v>0</x:v>
      </x:c>
      <x:c r="G389" s="12" t="n">
        <x:v>269875</x:v>
      </x:c>
      <x:c r="H389" s="12" t="n">
        <x:v>0</x:v>
      </x:c>
      <x:c r="I389" s="13" t="n">
        <x:v>0</x:v>
      </x:c>
      <x:c r="J389" s="2" t="n">
        <x:v>3</x:v>
      </x:c>
      <x:c r="K389" s="2" t="n">
        <x:v>1</x:v>
      </x:c>
      <x:c r="L389" s="12" t="n">
        <x:v>13372.5</x:v>
      </x:c>
      <x:c r="M389" s="13" t="n">
        <x:v>1</x:v>
      </x:c>
      <x:c r="N389" s="13" t="n">
        <x:f>H389/G389</x:f>
        <x:v>0</x:v>
      </x:c>
      <x:c r="O389" s="13" t="n">
        <x:f>F389/E389</x:f>
        <x:v>0</x:v>
      </x:c>
      <x:c r="P389" s="2" t="str">
        <x:f>IF(AND(E389&gt;='Итоги'!$F$5,N389&lt;='Итоги'!$B$5,O389&gt;='Итоги'!$D$5),"Да","Нет")</x:f>
        <x:v>Нет</x:v>
      </x:c>
    </x:row>
    <x:row r="390" ht="60" customHeight="1">
      <x:c r="A390" s="14" t="str">
        <x:v>Спорт и отдых</x:v>
      </x:c>
      <x:c r="B390" s="14" t="str">
        <x:v>Всесезонные виды спорта</x:v>
      </x:c>
      <x:c r="C390" s="14" t="str">
        <x:v>Конный спорт</x:v>
      </x:c>
      <x:c r="D390" s="14" t="str">
        <x:v>Аксессуары для конного спорта</x:v>
      </x:c>
      <x:c r="E390" s="2" t="n">
        <x:v>3</x:v>
      </x:c>
      <x:c r="F390" s="2" t="n">
        <x:v>0</x:v>
      </x:c>
      <x:c r="G390" s="12" t="n">
        <x:v>223503.3558</x:v>
      </x:c>
      <x:c r="H390" s="12" t="n">
        <x:v>0</x:v>
      </x:c>
      <x:c r="I390" s="13" t="n">
        <x:v>0</x:v>
      </x:c>
      <x:c r="J390" s="2" t="n">
        <x:v>3</x:v>
      </x:c>
      <x:c r="K390" s="2" t="n">
        <x:v>2</x:v>
      </x:c>
      <x:c r="L390" s="12" t="n">
        <x:v>5934</x:v>
      </x:c>
      <x:c r="M390" s="13" t="n">
        <x:v>0.5800673530647722</x:v>
      </x:c>
      <x:c r="N390" s="13" t="n">
        <x:f>H390/G390</x:f>
        <x:v>0</x:v>
      </x:c>
      <x:c r="O390" s="13" t="n">
        <x:f>F390/E390</x:f>
        <x:v>0</x:v>
      </x:c>
      <x:c r="P390" s="2" t="str">
        <x:f>IF(AND(E390&gt;='Итоги'!$F$5,N390&lt;='Итоги'!$B$5,O390&gt;='Итоги'!$D$5),"Да","Нет")</x:f>
        <x:v>Нет</x:v>
      </x:c>
    </x:row>
    <x:row r="391" ht="60" customHeight="1">
      <x:c r="A391" s="14" t="str">
        <x:v>Спорт и отдых</x:v>
      </x:c>
      <x:c r="B391" s="14" t="str">
        <x:v>Всесезонные виды спорта</x:v>
      </x:c>
      <x:c r="C391" s="14" t="str">
        <x:v>Конный спорт</x:v>
      </x:c>
      <x:c r="D391" s="14" t="str">
        <x:v>Седло для конного спорта</x:v>
      </x:c>
      <x:c r="E391" s="2" t="n">
        <x:v>3</x:v>
      </x:c>
      <x:c r="F391" s="2" t="n">
        <x:v>0</x:v>
      </x:c>
      <x:c r="G391" s="12" t="n">
        <x:v>104749.3288</x:v>
      </x:c>
      <x:c r="H391" s="12" t="n">
        <x:v>0</x:v>
      </x:c>
      <x:c r="I391" s="13" t="n">
        <x:v>0</x:v>
      </x:c>
      <x:c r="J391" s="2" t="n">
        <x:v>3</x:v>
      </x:c>
      <x:c r="K391" s="2" t="n">
        <x:v>1</x:v>
      </x:c>
      <x:c r="L391" s="12" t="n">
        <x:v>22384.3288</x:v>
      </x:c>
      <x:c r="M391" s="13" t="n">
        <x:v>1</x:v>
      </x:c>
      <x:c r="N391" s="13" t="n">
        <x:f>H391/G391</x:f>
        <x:v>0</x:v>
      </x:c>
      <x:c r="O391" s="13" t="n">
        <x:f>F391/E391</x:f>
        <x:v>0</x:v>
      </x:c>
      <x:c r="P391" s="2" t="str">
        <x:f>IF(AND(E391&gt;='Итоги'!$F$5,N391&lt;='Итоги'!$B$5,O391&gt;='Итоги'!$D$5),"Да","Нет")</x:f>
        <x:v>Нет</x:v>
      </x:c>
    </x:row>
    <x:row r="392" ht="60" customHeight="1">
      <x:c r="A392" s="14" t="str">
        <x:v>Спорт и отдых</x:v>
      </x:c>
      <x:c r="B392" s="14" t="str">
        <x:v>Единоборства</x:v>
      </x:c>
      <x:c r="C392" s="14" t="str">
        <x:v>Бокс</x:v>
      </x:c>
      <x:c r="D392" s="14" t="str">
        <x:v>Боксерки</x:v>
      </x:c>
      <x:c r="E392" s="2" t="n">
        <x:v>3</x:v>
      </x:c>
      <x:c r="F392" s="2" t="n">
        <x:v>0</x:v>
      </x:c>
      <x:c r="G392" s="12" t="n">
        <x:v>153044</x:v>
      </x:c>
      <x:c r="H392" s="12" t="n">
        <x:v>0</x:v>
      </x:c>
      <x:c r="I392" s="13" t="n">
        <x:v>0</x:v>
      </x:c>
      <x:c r="J392" s="2" t="n">
        <x:v>3</x:v>
      </x:c>
      <x:c r="K392" s="2" t="n">
        <x:v>1</x:v>
      </x:c>
      <x:c r="L392" s="12" t="n">
        <x:v>9676.3333</x:v>
      </x:c>
      <x:c r="M392" s="13" t="n">
        <x:v>1</x:v>
      </x:c>
      <x:c r="N392" s="13" t="n">
        <x:f>H392/G392</x:f>
        <x:v>0</x:v>
      </x:c>
      <x:c r="O392" s="13" t="n">
        <x:f>F392/E392</x:f>
        <x:v>0</x:v>
      </x:c>
      <x:c r="P392" s="2" t="str">
        <x:f>IF(AND(E392&gt;='Итоги'!$F$5,N392&lt;='Итоги'!$B$5,O392&gt;='Итоги'!$D$5),"Да","Нет")</x:f>
        <x:v>Нет</x:v>
      </x:c>
    </x:row>
    <x:row r="393" ht="60" customHeight="1">
      <x:c r="A393" s="14" t="str">
        <x:v>Спорт и отдых</x:v>
      </x:c>
      <x:c r="B393" s="14" t="str">
        <x:v>Колесный транспорт</x:v>
      </x:c>
      <x:c r="C393" s="14" t="str">
        <x:v>Экипировка для велоспорта</x:v>
      </x:c>
      <x:c r="D393" s="14" t="str">
        <x:v>Обувь для велоспорта</x:v>
      </x:c>
      <x:c r="E393" s="2" t="n">
        <x:v>3</x:v>
      </x:c>
      <x:c r="F393" s="2" t="n">
        <x:v>0</x:v>
      </x:c>
      <x:c r="G393" s="12" t="n">
        <x:v>83418</x:v>
      </x:c>
      <x:c r="H393" s="12" t="n">
        <x:v>0</x:v>
      </x:c>
      <x:c r="I393" s="13" t="n">
        <x:v>0</x:v>
      </x:c>
      <x:c r="J393" s="2" t="n">
        <x:v>3</x:v>
      </x:c>
      <x:c r="K393" s="2" t="n">
        <x:v>1</x:v>
      </x:c>
      <x:c r="L393" s="12" t="n">
        <x:v>3760.6667</x:v>
      </x:c>
      <x:c r="M393" s="13" t="n">
        <x:v>1</x:v>
      </x:c>
      <x:c r="N393" s="13" t="n">
        <x:f>H393/G393</x:f>
        <x:v>0</x:v>
      </x:c>
      <x:c r="O393" s="13" t="n">
        <x:f>F393/E393</x:f>
        <x:v>0</x:v>
      </x:c>
      <x:c r="P393" s="2" t="str">
        <x:f>IF(AND(E393&gt;='Итоги'!$F$5,N393&lt;='Итоги'!$B$5,O393&gt;='Итоги'!$D$5),"Да","Нет")</x:f>
        <x:v>Нет</x:v>
      </x:c>
    </x:row>
    <x:row r="394" ht="60" customHeight="1">
      <x:c r="A394" s="14" t="str">
        <x:v>Спорт и отдых</x:v>
      </x:c>
      <x:c r="B394" s="14" t="str">
        <x:v>Товары для охоты</x:v>
      </x:c>
      <x:c r="C394" s="14" t="str">
        <x:v>Уход за охотничьим оружием</x:v>
      </x:c>
      <x:c r="D394" s="14" t="str">
        <x:v>Шомпол для оружия</x:v>
      </x:c>
      <x:c r="E394" s="2" t="n">
        <x:v>3</x:v>
      </x:c>
      <x:c r="F394" s="2" t="n">
        <x:v>0</x:v>
      </x:c>
      <x:c r="G394" s="12" t="n">
        <x:v>373579.224</x:v>
      </x:c>
      <x:c r="H394" s="12" t="n">
        <x:v>0</x:v>
      </x:c>
      <x:c r="I394" s="13" t="n">
        <x:v>0</x:v>
      </x:c>
      <x:c r="J394" s="2" t="n">
        <x:v>3</x:v>
      </x:c>
      <x:c r="K394" s="2" t="n">
        <x:v>1</x:v>
      </x:c>
      <x:c r="L394" s="12" t="n">
        <x:v>1925.8324</x:v>
      </x:c>
      <x:c r="M394" s="13" t="n">
        <x:v>1</x:v>
      </x:c>
      <x:c r="N394" s="13" t="n">
        <x:f>H394/G394</x:f>
        <x:v>0</x:v>
      </x:c>
      <x:c r="O394" s="13" t="n">
        <x:f>F394/E394</x:f>
        <x:v>0</x:v>
      </x:c>
      <x:c r="P394" s="2" t="str">
        <x:f>IF(AND(E394&gt;='Итоги'!$F$5,N394&lt;='Итоги'!$B$5,O394&gt;='Итоги'!$D$5),"Да","Нет")</x:f>
        <x:v>Нет</x:v>
      </x:c>
    </x:row>
    <x:row r="395" ht="60" customHeight="1">
      <x:c r="A395" s="14" t="str">
        <x:v>Спорт и отдых</x:v>
      </x:c>
      <x:c r="B395" s="14" t="str">
        <x:v>Товары для рыбалки</x:v>
      </x:c>
      <x:c r="C395" s="14" t="str">
        <x:v>Одежда для рыбалки</x:v>
      </x:c>
      <x:c r="D395" s="14" t="str">
        <x:v>Панама/шляпа для рыбалки</x:v>
      </x:c>
      <x:c r="E395" s="2" t="n">
        <x:v>3</x:v>
      </x:c>
      <x:c r="F395" s="2" t="n">
        <x:v>0</x:v>
      </x:c>
      <x:c r="G395" s="12" t="n">
        <x:v>197763.842</x:v>
      </x:c>
      <x:c r="H395" s="12" t="n">
        <x:v>0</x:v>
      </x:c>
      <x:c r="I395" s="13" t="n">
        <x:v>0</x:v>
      </x:c>
      <x:c r="J395" s="2" t="n">
        <x:v>3</x:v>
      </x:c>
      <x:c r="K395" s="2" t="n">
        <x:v>1</x:v>
      </x:c>
      <x:c r="L395" s="12" t="n">
        <x:v>1185.0396</x:v>
      </x:c>
      <x:c r="M395" s="13" t="n">
        <x:v>1</x:v>
      </x:c>
      <x:c r="N395" s="13" t="n">
        <x:f>H395/G395</x:f>
        <x:v>0</x:v>
      </x:c>
      <x:c r="O395" s="13" t="n">
        <x:f>F395/E395</x:f>
        <x:v>0</x:v>
      </x:c>
      <x:c r="P395" s="2" t="str">
        <x:f>IF(AND(E395&gt;='Итоги'!$F$5,N395&lt;='Итоги'!$B$5,O395&gt;='Итоги'!$D$5),"Да","Нет")</x:f>
        <x:v>Нет</x:v>
      </x:c>
    </x:row>
    <x:row r="396" ht="60" customHeight="1">
      <x:c r="A396" s="14" t="str">
        <x:v>Спорт и отдых</x:v>
      </x:c>
      <x:c r="B396" s="14" t="str">
        <x:v>Туризм</x:v>
      </x:c>
      <x:c r="C396" s="14" t="str">
        <x:v>Мультитул, нож туристический</x:v>
      </x:c>
      <x:c r="D396" s="14" t="str">
        <x:v>Аксессуары для мультитула и туристического ножа</x:v>
      </x:c>
      <x:c r="E396" s="2" t="n">
        <x:v>3</x:v>
      </x:c>
      <x:c r="F396" s="2" t="n">
        <x:v>0</x:v>
      </x:c>
      <x:c r="G396" s="12" t="n">
        <x:v>183784</x:v>
      </x:c>
      <x:c r="H396" s="12" t="n">
        <x:v>0</x:v>
      </x:c>
      <x:c r="I396" s="13" t="n">
        <x:v>0</x:v>
      </x:c>
      <x:c r="J396" s="2" t="n">
        <x:v>3</x:v>
      </x:c>
      <x:c r="K396" s="2" t="n">
        <x:v>2</x:v>
      </x:c>
      <x:c r="L396" s="12" t="n">
        <x:v>3801.7059</x:v>
      </x:c>
      <x:c r="M396" s="13" t="n">
        <x:v>0.5852413703042703</x:v>
      </x:c>
      <x:c r="N396" s="13" t="n">
        <x:f>H396/G396</x:f>
        <x:v>0</x:v>
      </x:c>
      <x:c r="O396" s="13" t="n">
        <x:f>F396/E396</x:f>
        <x:v>0</x:v>
      </x:c>
      <x:c r="P396" s="2" t="str">
        <x:f>IF(AND(E396&gt;='Итоги'!$F$5,N396&lt;='Итоги'!$B$5,O396&gt;='Итоги'!$D$5),"Да","Нет")</x:f>
        <x:v>Нет</x:v>
      </x:c>
    </x:row>
    <x:row r="397" ht="60" customHeight="1">
      <x:c r="A397" s="14" t="str">
        <x:v>Спорт и отдых</x:v>
      </x:c>
      <x:c r="B397" s="14" t="str">
        <x:v>Туризм</x:v>
      </x:c>
      <x:c r="C397" s="14" t="str">
        <x:v>Фонарь, лампа туристические</x:v>
      </x:c>
      <x:c r="D397" s="14" t="str">
        <x:v>Аккумулятор для фонаря</x:v>
      </x:c>
      <x:c r="E397" s="2" t="n">
        <x:v>3</x:v>
      </x:c>
      <x:c r="F397" s="2" t="n">
        <x:v>0</x:v>
      </x:c>
      <x:c r="G397" s="12" t="n">
        <x:v>565211.55</x:v>
      </x:c>
      <x:c r="H397" s="12" t="n">
        <x:v>0</x:v>
      </x:c>
      <x:c r="I397" s="13" t="n">
        <x:v>0</x:v>
      </x:c>
      <x:c r="J397" s="2" t="n">
        <x:v>3</x:v>
      </x:c>
      <x:c r="K397" s="2" t="n">
        <x:v>1</x:v>
      </x:c>
      <x:c r="L397" s="12" t="n">
        <x:v>1141.4494</x:v>
      </x:c>
      <x:c r="M397" s="13" t="n">
        <x:v>1</x:v>
      </x:c>
      <x:c r="N397" s="13" t="n">
        <x:f>H397/G397</x:f>
        <x:v>0</x:v>
      </x:c>
      <x:c r="O397" s="13" t="n">
        <x:f>F397/E397</x:f>
        <x:v>0</x:v>
      </x:c>
      <x:c r="P397" s="2" t="str">
        <x:f>IF(AND(E397&gt;='Итоги'!$F$5,N397&lt;='Итоги'!$B$5,O397&gt;='Итоги'!$D$5),"Да","Нет")</x:f>
        <x:v>Нет</x:v>
      </x:c>
    </x:row>
    <x:row r="398" ht="60" customHeight="1">
      <x:c r="A398" s="14" t="str">
        <x:v>Строительство и ремонт (DIY)</x:v>
      </x:c>
      <x:c r="B398" s="14" t="str">
        <x:v>Ремонт и строительство</x:v>
      </x:c>
      <x:c r="C398" s="14" t="str">
        <x:v>Отделка пола</x:v>
      </x:c>
      <x:c r="D398" s="14" t="str">
        <x:v>Керамогранит</x:v>
      </x:c>
      <x:c r="E398" s="2" t="n">
        <x:v>3</x:v>
      </x:c>
      <x:c r="F398" s="2" t="n">
        <x:v>0</x:v>
      </x:c>
      <x:c r="G398" s="12" t="n">
        <x:v>464468.14</x:v>
      </x:c>
      <x:c r="H398" s="12" t="n">
        <x:v>0</x:v>
      </x:c>
      <x:c r="I398" s="13" t="n">
        <x:v>0</x:v>
      </x:c>
      <x:c r="J398" s="2" t="n">
        <x:v>3</x:v>
      </x:c>
      <x:c r="K398" s="2" t="n">
        <x:v>1</x:v>
      </x:c>
      <x:c r="L398" s="12" t="n">
        <x:v>2877.833</x:v>
      </x:c>
      <x:c r="M398" s="13" t="n">
        <x:v>1</x:v>
      </x:c>
      <x:c r="N398" s="13" t="n">
        <x:f>H398/G398</x:f>
        <x:v>0</x:v>
      </x:c>
      <x:c r="O398" s="13" t="n">
        <x:f>F398/E398</x:f>
        <x:v>0</x:v>
      </x:c>
      <x:c r="P398" s="2" t="str">
        <x:f>IF(AND(E398&gt;='Итоги'!$F$5,N398&lt;='Итоги'!$B$5,O398&gt;='Итоги'!$D$5),"Да","Нет")</x:f>
        <x:v>Нет</x:v>
      </x:c>
    </x:row>
    <x:row r="399" ht="60" customHeight="1">
      <x:c r="A399" s="14" t="str">
        <x:v>Строительство и ремонт (DIY)</x:v>
      </x:c>
      <x:c r="B399" s="14" t="str">
        <x:v>Ремонт и строительство</x:v>
      </x:c>
      <x:c r="C399" s="14" t="str">
        <x:v>Отделка пола</x:v>
      </x:c>
      <x:c r="D399" s="14" t="str">
        <x:v>Теплоизоляция для теплого пола</x:v>
      </x:c>
      <x:c r="E399" s="2" t="n">
        <x:v>3</x:v>
      </x:c>
      <x:c r="F399" s="2" t="n">
        <x:v>0</x:v>
      </x:c>
      <x:c r="G399" s="12" t="n">
        <x:v>936994</x:v>
      </x:c>
      <x:c r="H399" s="12" t="n">
        <x:v>0</x:v>
      </x:c>
      <x:c r="I399" s="13" t="n">
        <x:v>0</x:v>
      </x:c>
      <x:c r="J399" s="2" t="n">
        <x:v>3</x:v>
      </x:c>
      <x:c r="K399" s="2" t="n">
        <x:v>2</x:v>
      </x:c>
      <x:c r="L399" s="12" t="n">
        <x:v>5262.46</x:v>
      </x:c>
      <x:c r="M399" s="13" t="n">
        <x:v>0.9694491106666638</x:v>
      </x:c>
      <x:c r="N399" s="13" t="n">
        <x:f>H399/G399</x:f>
        <x:v>0</x:v>
      </x:c>
      <x:c r="O399" s="13" t="n">
        <x:f>F399/E399</x:f>
        <x:v>0</x:v>
      </x:c>
      <x:c r="P399" s="2" t="str">
        <x:f>IF(AND(E399&gt;='Итоги'!$F$5,N399&lt;='Итоги'!$B$5,O399&gt;='Итоги'!$D$5),"Да","Нет")</x:f>
        <x:v>Нет</x:v>
      </x:c>
    </x:row>
    <x:row r="400" ht="60" customHeight="1">
      <x:c r="A400" s="14" t="str">
        <x:v>Строительство и ремонт (DIY)</x:v>
      </x:c>
      <x:c r="B400" s="14" t="str">
        <x:v>Ремонт и строительство</x:v>
      </x:c>
      <x:c r="C400" s="14" t="str">
        <x:v>Электротовары</x:v>
      </x:c>
      <x:c r="D400" s="14" t="str">
        <x:v>Система пожаротушения</x:v>
      </x:c>
      <x:c r="E400" s="2" t="n">
        <x:v>3</x:v>
      </x:c>
      <x:c r="F400" s="2" t="n">
        <x:v>0</x:v>
      </x:c>
      <x:c r="G400" s="12" t="n">
        <x:v>521716.0441</x:v>
      </x:c>
      <x:c r="H400" s="12" t="n">
        <x:v>0</x:v>
      </x:c>
      <x:c r="I400" s="13" t="n">
        <x:v>0</x:v>
      </x:c>
      <x:c r="J400" s="2" t="n">
        <x:v>3</x:v>
      </x:c>
      <x:c r="K400" s="2" t="n">
        <x:v>2</x:v>
      </x:c>
      <x:c r="L400" s="12" t="n">
        <x:v>1952.2095</x:v>
      </x:c>
      <x:c r="M400" s="13" t="n">
        <x:v>0.8044835974405105</x:v>
      </x:c>
      <x:c r="N400" s="13" t="n">
        <x:f>H400/G400</x:f>
        <x:v>0</x:v>
      </x:c>
      <x:c r="O400" s="13" t="n">
        <x:f>F400/E400</x:f>
        <x:v>0</x:v>
      </x:c>
      <x:c r="P400" s="2" t="str">
        <x:f>IF(AND(E400&gt;='Итоги'!$F$5,N400&lt;='Итоги'!$B$5,O400&gt;='Итоги'!$D$5),"Да","Нет")</x:f>
        <x:v>Нет</x:v>
      </x:c>
    </x:row>
    <x:row r="401" ht="60" customHeight="1">
      <x:c r="A401" s="14" t="str">
        <x:v>Строительство и ремонт (DIY)</x:v>
      </x:c>
      <x:c r="B401" s="14" t="str">
        <x:v>Сантехника</x:v>
      </x:c>
      <x:c r="C401" s="14" t="str">
        <x:v>Душевая программа</x:v>
      </x:c>
      <x:c r="D401" s="14" t="str">
        <x:v>Встраиваемая часть душевой системы</x:v>
      </x:c>
      <x:c r="E401" s="2" t="n">
        <x:v>3</x:v>
      </x:c>
      <x:c r="F401" s="2" t="n">
        <x:v>0</x:v>
      </x:c>
      <x:c r="G401" s="12" t="n">
        <x:v>290446.7306</x:v>
      </x:c>
      <x:c r="H401" s="12" t="n">
        <x:v>0</x:v>
      </x:c>
      <x:c r="I401" s="13" t="n">
        <x:v>0</x:v>
      </x:c>
      <x:c r="J401" s="2" t="n">
        <x:v>3</x:v>
      </x:c>
      <x:c r="K401" s="2" t="n">
        <x:v>2</x:v>
      </x:c>
      <x:c r="L401" s="12" t="n">
        <x:v>10197.8</x:v>
      </x:c>
      <x:c r="M401" s="13" t="n">
        <x:v>0.7558184578167189</x:v>
      </x:c>
      <x:c r="N401" s="13" t="n">
        <x:f>H401/G401</x:f>
        <x:v>0</x:v>
      </x:c>
      <x:c r="O401" s="13" t="n">
        <x:f>F401/E401</x:f>
        <x:v>0</x:v>
      </x:c>
      <x:c r="P401" s="2" t="str">
        <x:f>IF(AND(E401&gt;='Итоги'!$F$5,N401&lt;='Итоги'!$B$5,O401&gt;='Итоги'!$D$5),"Да","Нет")</x:f>
        <x:v>Нет</x:v>
      </x:c>
    </x:row>
    <x:row r="402" ht="60" customHeight="1">
      <x:c r="A402" s="14" t="str">
        <x:v>Товары для детей и спорта</x:v>
      </x:c>
      <x:c r="B402" s="14" t="str">
        <x:v>КГТ и аксессуары для детей</x:v>
      </x:c>
      <x:c r="C402" s="14" t="str">
        <x:v>Автокресла и аксессуары</x:v>
      </x:c>
      <x:c r="D402" s="14" t="str">
        <x:v>Детское автокресло группы 0-1-2 (0-25 кг)</x:v>
      </x:c>
      <x:c r="E402" s="2" t="n">
        <x:v>3</x:v>
      </x:c>
      <x:c r="F402" s="2" t="n">
        <x:v>0</x:v>
      </x:c>
      <x:c r="G402" s="12" t="n">
        <x:v>63240</x:v>
      </x:c>
      <x:c r="H402" s="12" t="n">
        <x:v>0</x:v>
      </x:c>
      <x:c r="I402" s="13" t="n">
        <x:v>0</x:v>
      </x:c>
      <x:c r="J402" s="2" t="n">
        <x:v>3</x:v>
      </x:c>
      <x:c r="K402" s="2" t="n">
        <x:v>2</x:v>
      </x:c>
      <x:c r="L402" s="12" t="n">
        <x:v>7100</x:v>
      </x:c>
      <x:c r="M402" s="13" t="n">
        <x:v>0.7870967741935484</x:v>
      </x:c>
      <x:c r="N402" s="13" t="n">
        <x:f>H402/G402</x:f>
        <x:v>0</x:v>
      </x:c>
      <x:c r="O402" s="13" t="n">
        <x:f>F402/E402</x:f>
        <x:v>0</x:v>
      </x:c>
      <x:c r="P402" s="2" t="str">
        <x:f>IF(AND(E402&gt;='Итоги'!$F$5,N402&lt;='Итоги'!$B$5,O402&gt;='Итоги'!$D$5),"Да","Нет")</x:f>
        <x:v>Нет</x:v>
      </x:c>
    </x:row>
    <x:row r="403" ht="60" customHeight="1">
      <x:c r="A403" s="14" t="str">
        <x:v>Товары для дома</x:v>
      </x:c>
      <x:c r="B403" s="14" t="str">
        <x:v>Интерьер и декор</x:v>
      </x:c>
      <x:c r="C403" s="14" t="str">
        <x:v>Религиозные товары</x:v>
      </x:c>
      <x:c r="D403" s="14" t="str">
        <x:v>Рушник</x:v>
      </x:c>
      <x:c r="E403" s="2" t="n">
        <x:v>3</x:v>
      </x:c>
      <x:c r="F403" s="2" t="n">
        <x:v>0</x:v>
      </x:c>
      <x:c r="G403" s="12" t="n">
        <x:v>141512.57510000002</x:v>
      </x:c>
      <x:c r="H403" s="12" t="n">
        <x:v>0</x:v>
      </x:c>
      <x:c r="I403" s="13" t="n">
        <x:v>0</x:v>
      </x:c>
      <x:c r="J403" s="2" t="n">
        <x:v>3</x:v>
      </x:c>
      <x:c r="K403" s="2" t="n">
        <x:v>2</x:v>
      </x:c>
      <x:c r="L403" s="12" t="n">
        <x:v>1110.9351</x:v>
      </x:c>
      <x:c r="M403" s="13" t="n">
        <x:v>0.9095981400171694</x:v>
      </x:c>
      <x:c r="N403" s="13" t="n">
        <x:f>H403/G403</x:f>
        <x:v>0</x:v>
      </x:c>
      <x:c r="O403" s="13" t="n">
        <x:f>F403/E403</x:f>
        <x:v>0</x:v>
      </x:c>
      <x:c r="P403" s="2" t="str">
        <x:f>IF(AND(E403&gt;='Итоги'!$F$5,N403&lt;='Итоги'!$B$5,O403&gt;='Итоги'!$D$5),"Да","Нет")</x:f>
        <x:v>Нет</x:v>
      </x:c>
    </x:row>
    <x:row r="404" ht="60" customHeight="1">
      <x:c r="A404" s="14" t="str">
        <x:v>Товары для дома</x:v>
      </x:c>
      <x:c r="B404" s="14" t="str">
        <x:v>Принадлежности для Нового года</x:v>
      </x:c>
      <x:c r="C404" s="14" t="str">
        <x:v>Украшение на елку</x:v>
      </x:c>
      <x:c r="D404" s="14" t="str">
        <x:v>Шары елочные новогодние</x:v>
      </x:c>
      <x:c r="E404" s="2" t="n">
        <x:v>3</x:v>
      </x:c>
      <x:c r="F404" s="2" t="n">
        <x:v>0</x:v>
      </x:c>
      <x:c r="G404" s="12" t="n">
        <x:v>16842</x:v>
      </x:c>
      <x:c r="H404" s="12" t="n">
        <x:v>0</x:v>
      </x:c>
      <x:c r="I404" s="13" t="n">
        <x:v>0</x:v>
      </x:c>
      <x:c r="J404" s="2" t="n">
        <x:v>3</x:v>
      </x:c>
      <x:c r="K404" s="2" t="n">
        <x:v>1</x:v>
      </x:c>
      <x:c r="L404" s="12" t="n">
        <x:v>3383</x:v>
      </x:c>
      <x:c r="M404" s="13" t="n">
        <x:v>1</x:v>
      </x:c>
      <x:c r="N404" s="13" t="n">
        <x:f>H404/G404</x:f>
        <x:v>0</x:v>
      </x:c>
      <x:c r="O404" s="13" t="n">
        <x:f>F404/E404</x:f>
        <x:v>0</x:v>
      </x:c>
      <x:c r="P404" s="2" t="str">
        <x:f>IF(AND(E404&gt;='Итоги'!$F$5,N404&lt;='Итоги'!$B$5,O404&gt;='Итоги'!$D$5),"Да","Нет")</x:f>
        <x:v>Нет</x:v>
      </x:c>
    </x:row>
    <x:row r="405" ht="60" customHeight="1">
      <x:c r="A405" s="14" t="str">
        <x:v>Товары для животных</x:v>
      </x:c>
      <x:c r="B405" s="14" t="str">
        <x:v>Гигиена и уход животных</x:v>
      </x:c>
      <x:c r="C405" s="14" t="str">
        <x:v>Ветеринарные изделия</x:v>
      </x:c>
      <x:c r="D405" s="14" t="str">
        <x:v>Товар для чипирования животных</x:v>
      </x:c>
      <x:c r="E405" s="2" t="n">
        <x:v>3</x:v>
      </x:c>
      <x:c r="F405" s="2" t="n">
        <x:v>0</x:v>
      </x:c>
      <x:c r="G405" s="12" t="n">
        <x:v>244777.96</x:v>
      </x:c>
      <x:c r="H405" s="12" t="n">
        <x:v>0</x:v>
      </x:c>
      <x:c r="I405" s="13" t="n">
        <x:v>0</x:v>
      </x:c>
      <x:c r="J405" s="2" t="n">
        <x:v>3</x:v>
      </x:c>
      <x:c r="K405" s="2" t="n">
        <x:v>1</x:v>
      </x:c>
      <x:c r="L405" s="12" t="n">
        <x:v>4191.0833</x:v>
      </x:c>
      <x:c r="M405" s="13" t="n">
        <x:v>1</x:v>
      </x:c>
      <x:c r="N405" s="13" t="n">
        <x:f>H405/G405</x:f>
        <x:v>0</x:v>
      </x:c>
      <x:c r="O405" s="13" t="n">
        <x:f>F405/E405</x:f>
        <x:v>0</x:v>
      </x:c>
      <x:c r="P405" s="2" t="str">
        <x:f>IF(AND(E405&gt;='Итоги'!$F$5,N405&lt;='Итоги'!$B$5,O405&gt;='Итоги'!$D$5),"Да","Нет")</x:f>
        <x:v>Нет</x:v>
      </x:c>
    </x:row>
    <x:row r="406" ht="60" customHeight="1">
      <x:c r="A406" s="14" t="str">
        <x:v>Товары для животных</x:v>
      </x:c>
      <x:c r="B406" s="14" t="str">
        <x:v>Гигиена и уход животных</x:v>
      </x:c>
      <x:c r="C406" s="14" t="str">
        <x:v>Туалет для животных</x:v>
      </x:c>
      <x:c r="D406" s="14" t="str">
        <x:v>Наполнитель для туалета для грызунов, птиц</x:v>
      </x:c>
      <x:c r="E406" s="2" t="n">
        <x:v>3</x:v>
      </x:c>
      <x:c r="F406" s="2" t="n">
        <x:v>0</x:v>
      </x:c>
      <x:c r="G406" s="12" t="n">
        <x:v>789490.1192</x:v>
      </x:c>
      <x:c r="H406" s="12" t="n">
        <x:v>0</x:v>
      </x:c>
      <x:c r="I406" s="13" t="n">
        <x:v>0</x:v>
      </x:c>
      <x:c r="J406" s="2" t="n">
        <x:v>3</x:v>
      </x:c>
      <x:c r="K406" s="2" t="n">
        <x:v>2</x:v>
      </x:c>
      <x:c r="L406" s="12" t="n">
        <x:v>905.8021</x:v>
      </x:c>
      <x:c r="M406" s="13" t="n">
        <x:v>0.9316225566512448</x:v>
      </x:c>
      <x:c r="N406" s="13" t="n">
        <x:f>H406/G406</x:f>
        <x:v>0</x:v>
      </x:c>
      <x:c r="O406" s="13" t="n">
        <x:f>F406/E406</x:f>
        <x:v>0</x:v>
      </x:c>
      <x:c r="P406" s="2" t="str">
        <x:f>IF(AND(E406&gt;='Итоги'!$F$5,N406&lt;='Итоги'!$B$5,O406&gt;='Итоги'!$D$5),"Да","Нет")</x:f>
        <x:v>Нет</x:v>
      </x:c>
    </x:row>
    <x:row r="407" ht="60" customHeight="1">
      <x:c r="A407" s="14" t="str">
        <x:v>Товары для животных</x:v>
      </x:c>
      <x:c r="B407" s="14" t="str">
        <x:v>Гигиена и уход животных</x:v>
      </x:c>
      <x:c r="C407" s="14" t="str">
        <x:v>Уход за животными</x:v>
      </x:c>
      <x:c r="D407" s="14" t="str">
        <x:v>Средства для ухода за полостью рта животных</x:v>
      </x:c>
      <x:c r="E407" s="2" t="n">
        <x:v>3</x:v>
      </x:c>
      <x:c r="F407" s="2" t="n">
        <x:v>0</x:v>
      </x:c>
      <x:c r="G407" s="12" t="n">
        <x:v>306795.8304</x:v>
      </x:c>
      <x:c r="H407" s="12" t="n">
        <x:v>0</x:v>
      </x:c>
      <x:c r="I407" s="13" t="n">
        <x:v>0</x:v>
      </x:c>
      <x:c r="J407" s="2" t="n">
        <x:v>3</x:v>
      </x:c>
      <x:c r="K407" s="2" t="n">
        <x:v>2</x:v>
      </x:c>
      <x:c r="L407" s="12" t="n">
        <x:v>1289.6842</x:v>
      </x:c>
      <x:c r="M407" s="13" t="n">
        <x:v>0.6805171704184935</x:v>
      </x:c>
      <x:c r="N407" s="13" t="n">
        <x:f>H407/G407</x:f>
        <x:v>0</x:v>
      </x:c>
      <x:c r="O407" s="13" t="n">
        <x:f>F407/E407</x:f>
        <x:v>0</x:v>
      </x:c>
      <x:c r="P407" s="2" t="str">
        <x:f>IF(AND(E407&gt;='Итоги'!$F$5,N407&lt;='Итоги'!$B$5,O407&gt;='Итоги'!$D$5),"Да","Нет")</x:f>
        <x:v>Нет</x:v>
      </x:c>
    </x:row>
    <x:row r="408" ht="60" customHeight="1">
      <x:c r="A408" s="14" t="str">
        <x:v>Товары для животных</x:v>
      </x:c>
      <x:c r="B408" s="14" t="str">
        <x:v>Зоокорм, витамины</x:v>
      </x:c>
      <x:c r="C408" s="14" t="str">
        <x:v>Зоокорм, витамины для мелких животных</x:v>
      </x:c>
      <x:c r="D408" s="14" t="str">
        <x:v>Консервированный корм для грызунов</x:v>
      </x:c>
      <x:c r="E408" s="2" t="n">
        <x:v>3</x:v>
      </x:c>
      <x:c r="F408" s="2" t="n">
        <x:v>0</x:v>
      </x:c>
      <x:c r="G408" s="12" t="n">
        <x:v>394053.8</x:v>
      </x:c>
      <x:c r="H408" s="12" t="n">
        <x:v>0</x:v>
      </x:c>
      <x:c r="I408" s="13" t="n">
        <x:v>0</x:v>
      </x:c>
      <x:c r="J408" s="2" t="n">
        <x:v>3</x:v>
      </x:c>
      <x:c r="K408" s="2" t="n">
        <x:v>2</x:v>
      </x:c>
      <x:c r="L408" s="12" t="n">
        <x:v>1528.7526</x:v>
      </x:c>
      <x:c r="M408" s="13" t="n">
        <x:v>0.9670095809252442</x:v>
      </x:c>
      <x:c r="N408" s="13" t="n">
        <x:f>H408/G408</x:f>
        <x:v>0</x:v>
      </x:c>
      <x:c r="O408" s="13" t="n">
        <x:f>F408/E408</x:f>
        <x:v>0</x:v>
      </x:c>
      <x:c r="P408" s="2" t="str">
        <x:f>IF(AND(E408&gt;='Итоги'!$F$5,N408&lt;='Итоги'!$B$5,O408&gt;='Итоги'!$D$5),"Да","Нет")</x:f>
        <x:v>Нет</x:v>
      </x:c>
    </x:row>
    <x:row r="409" ht="60" customHeight="1">
      <x:c r="A409" s="14" t="str">
        <x:v>Товары для животных</x:v>
      </x:c>
      <x:c r="B409" s="14" t="str">
        <x:v>Товары для прогулки и дрессировки животных</x:v>
      </x:c>
      <x:c r="C409" s="14" t="str">
        <x:v>Аксессуары для прогулки и дрессировки животных</x:v>
      </x:c>
      <x:c r="D409" s="14" t="str">
        <x:v>Игрушка для грызунов</x:v>
      </x:c>
      <x:c r="E409" s="2" t="n">
        <x:v>3</x:v>
      </x:c>
      <x:c r="F409" s="2" t="n">
        <x:v>0</x:v>
      </x:c>
      <x:c r="G409" s="12" t="n">
        <x:v>237062.8575</x:v>
      </x:c>
      <x:c r="H409" s="12" t="n">
        <x:v>0</x:v>
      </x:c>
      <x:c r="I409" s="13" t="n">
        <x:v>0</x:v>
      </x:c>
      <x:c r="J409" s="2" t="n">
        <x:v>3</x:v>
      </x:c>
      <x:c r="K409" s="2" t="n">
        <x:v>2</x:v>
      </x:c>
      <x:c r="L409" s="12" t="n">
        <x:v>1318.8259</x:v>
      </x:c>
      <x:c r="M409" s="13" t="n">
        <x:v>0.788181845821208</x:v>
      </x:c>
      <x:c r="N409" s="13" t="n">
        <x:f>H409/G409</x:f>
        <x:v>0</x:v>
      </x:c>
      <x:c r="O409" s="13" t="n">
        <x:f>F409/E409</x:f>
        <x:v>0</x:v>
      </x:c>
      <x:c r="P409" s="2" t="str">
        <x:f>IF(AND(E409&gt;='Итоги'!$F$5,N409&lt;='Итоги'!$B$5,O409&gt;='Итоги'!$D$5),"Да","Нет")</x:f>
        <x:v>Нет</x:v>
      </x:c>
    </x:row>
    <x:row r="410" ht="60" customHeight="1">
      <x:c r="A410" s="14" t="str">
        <x:v>Хобби и творчество</x:v>
      </x:c>
      <x:c r="B410" s="14" t="str">
        <x:v>Взрослое творчество и хобби</x:v>
      </x:c>
      <x:c r="C410" s="14" t="str">
        <x:v>Декоративные эффекты</x:v>
      </x:c>
      <x:c r="D410" s="14" t="str">
        <x:v>Каттер для рукоделия</x:v>
      </x:c>
      <x:c r="E410" s="2" t="n">
        <x:v>3</x:v>
      </x:c>
      <x:c r="F410" s="2" t="n">
        <x:v>0</x:v>
      </x:c>
      <x:c r="G410" s="12" t="n">
        <x:v>18160.4412</x:v>
      </x:c>
      <x:c r="H410" s="12" t="n">
        <x:v>0</x:v>
      </x:c>
      <x:c r="I410" s="13" t="n">
        <x:v>0</x:v>
      </x:c>
      <x:c r="J410" s="2" t="n">
        <x:v>3</x:v>
      </x:c>
      <x:c r="K410" s="2" t="n">
        <x:v>1</x:v>
      </x:c>
      <x:c r="L410" s="12" t="n">
        <x:v>1075.6</x:v>
      </x:c>
      <x:c r="M410" s="13" t="n">
        <x:v>1</x:v>
      </x:c>
      <x:c r="N410" s="13" t="n">
        <x:f>H410/G410</x:f>
        <x:v>0</x:v>
      </x:c>
      <x:c r="O410" s="13" t="n">
        <x:f>F410/E410</x:f>
        <x:v>0</x:v>
      </x:c>
      <x:c r="P410" s="2" t="str">
        <x:f>IF(AND(E410&gt;='Итоги'!$F$5,N410&lt;='Итоги'!$B$5,O410&gt;='Итоги'!$D$5),"Да","Нет")</x:f>
        <x:v>Нет</x:v>
      </x:c>
    </x:row>
    <x:row r="411" ht="60" customHeight="1">
      <x:c r="A411" s="14" t="str">
        <x:v>Автотовары</x:v>
      </x:c>
      <x:c r="B411" s="14" t="str">
        <x:v>Авто и мото запчасти</x:v>
      </x:c>
      <x:c r="C411" s="14" t="str">
        <x:v>Запчасти для спецтехники</x:v>
      </x:c>
      <x:c r="D411" s="14" t="str">
        <x:v>Запчасти для спецтехники</x:v>
      </x:c>
      <x:c r="E411" s="2" t="n">
        <x:v>2</x:v>
      </x:c>
      <x:c r="F411" s="2" t="n">
        <x:v>0</x:v>
      </x:c>
      <x:c r="G411" s="12" t="n">
        <x:v>258585.431</x:v>
      </x:c>
      <x:c r="H411" s="12" t="n">
        <x:v>0</x:v>
      </x:c>
      <x:c r="I411" s="13" t="n">
        <x:v>0</x:v>
      </x:c>
      <x:c r="J411" s="2" t="n">
        <x:v>2</x:v>
      </x:c>
      <x:c r="K411" s="2" t="n">
        <x:v>1</x:v>
      </x:c>
      <x:c r="L411" s="12" t="n">
        <x:v>962.16345</x:v>
      </x:c>
      <x:c r="M411" s="13" t="n">
        <x:v>1</x:v>
      </x:c>
      <x:c r="N411" s="13" t="n">
        <x:f>H411/G411</x:f>
        <x:v>0</x:v>
      </x:c>
      <x:c r="O411" s="13" t="n">
        <x:f>F411/E411</x:f>
        <x:v>0</x:v>
      </x:c>
      <x:c r="P411" s="2" t="str">
        <x:f>IF(AND(E411&gt;='Итоги'!$F$5,N411&lt;='Итоги'!$B$5,O411&gt;='Итоги'!$D$5),"Да","Нет")</x:f>
        <x:v>Нет</x:v>
      </x:c>
    </x:row>
    <x:row r="412" ht="60" customHeight="1">
      <x:c r="A412" s="14" t="str">
        <x:v>Автотовары</x:v>
      </x:c>
      <x:c r="B412" s="14" t="str">
        <x:v>Авто и мото запчасти</x:v>
      </x:c>
      <x:c r="C412" s="14" t="str">
        <x:v>Кузовные детали</x:v>
      </x:c>
      <x:c r="D412" s="14" t="str">
        <x:v>Кронштейн кузова автомобиля</x:v>
      </x:c>
      <x:c r="E412" s="2" t="n">
        <x:v>2</x:v>
      </x:c>
      <x:c r="F412" s="2" t="n">
        <x:v>0</x:v>
      </x:c>
      <x:c r="G412" s="12" t="n">
        <x:v>48538</x:v>
      </x:c>
      <x:c r="H412" s="12" t="n">
        <x:v>0</x:v>
      </x:c>
      <x:c r="I412" s="13" t="n">
        <x:v>0</x:v>
      </x:c>
      <x:c r="J412" s="2" t="n">
        <x:v>2</x:v>
      </x:c>
      <x:c r="K412" s="2" t="n">
        <x:v>2</x:v>
      </x:c>
      <x:c r="L412" s="12" t="n">
        <x:v>7489.83335</x:v>
      </x:c>
      <x:c r="M412" s="13" t="n">
        <x:v>0.5741480901561663</x:v>
      </x:c>
      <x:c r="N412" s="13" t="n">
        <x:f>H412/G412</x:f>
        <x:v>0</x:v>
      </x:c>
      <x:c r="O412" s="13" t="n">
        <x:f>F412/E412</x:f>
        <x:v>0</x:v>
      </x:c>
      <x:c r="P412" s="2" t="str">
        <x:f>IF(AND(E412&gt;='Итоги'!$F$5,N412&lt;='Итоги'!$B$5,O412&gt;='Итоги'!$D$5),"Да","Нет")</x:f>
        <x:v>Нет</x:v>
      </x:c>
    </x:row>
    <x:row r="413" ht="60" customHeight="1">
      <x:c r="A413" s="14" t="str">
        <x:v>Автотовары</x:v>
      </x:c>
      <x:c r="B413" s="14" t="str">
        <x:v>Авто и мото запчасти</x:v>
      </x:c>
      <x:c r="C413" s="14" t="str">
        <x:v>Система очистки стекол и фар</x:v>
      </x:c>
      <x:c r="D413" s="14" t="str">
        <x:v>Омыватели стекол и фар</x:v>
      </x:c>
      <x:c r="E413" s="2" t="n">
        <x:v>2</x:v>
      </x:c>
      <x:c r="F413" s="2" t="n">
        <x:v>0</x:v>
      </x:c>
      <x:c r="G413" s="12" t="n">
        <x:v>268392.2369</x:v>
      </x:c>
      <x:c r="H413" s="12" t="n">
        <x:v>0</x:v>
      </x:c>
      <x:c r="I413" s="13" t="n">
        <x:v>0</x:v>
      </x:c>
      <x:c r="J413" s="2" t="n">
        <x:v>2</x:v>
      </x:c>
      <x:c r="K413" s="2" t="n">
        <x:v>2</x:v>
      </x:c>
      <x:c r="L413" s="12" t="n">
        <x:v>2844.10915</x:v>
      </x:c>
      <x:c r="M413" s="13" t="n">
        <x:v>0.5114650054172263</x:v>
      </x:c>
      <x:c r="N413" s="13" t="n">
        <x:f>H413/G413</x:f>
        <x:v>0</x:v>
      </x:c>
      <x:c r="O413" s="13" t="n">
        <x:f>F413/E413</x:f>
        <x:v>0</x:v>
      </x:c>
      <x:c r="P413" s="2" t="str">
        <x:f>IF(AND(E413&gt;='Итоги'!$F$5,N413&lt;='Итоги'!$B$5,O413&gt;='Итоги'!$D$5),"Да","Нет")</x:f>
        <x:v>Нет</x:v>
      </x:c>
    </x:row>
    <x:row r="414" ht="60" customHeight="1">
      <x:c r="A414" s="14" t="str">
        <x:v>Автотовары</x:v>
      </x:c>
      <x:c r="B414" s="14" t="str">
        <x:v>Дополнительное оборудование для авто и мото техники</x:v>
      </x:c>
      <x:c r="C414" s="14" t="str">
        <x:v>Оборудование для дооснащения авто</x:v>
      </x:c>
      <x:c r="D414" s="14" t="str">
        <x:v>Комплект дополнительных порогов</x:v>
      </x:c>
      <x:c r="E414" s="2" t="n">
        <x:v>2</x:v>
      </x:c>
      <x:c r="F414" s="2" t="n">
        <x:v>0</x:v>
      </x:c>
      <x:c r="G414" s="12" t="n">
        <x:v>232585.2694</x:v>
      </x:c>
      <x:c r="H414" s="12" t="n">
        <x:v>0</x:v>
      </x:c>
      <x:c r="I414" s="13" t="n">
        <x:v>0</x:v>
      </x:c>
      <x:c r="J414" s="2" t="n">
        <x:v>2</x:v>
      </x:c>
      <x:c r="K414" s="2" t="n">
        <x:v>1</x:v>
      </x:c>
      <x:c r="L414" s="12" t="n">
        <x:v>17889.119749999998</x:v>
      </x:c>
      <x:c r="M414" s="13" t="n">
        <x:v>1</x:v>
      </x:c>
      <x:c r="N414" s="13" t="n">
        <x:f>H414/G414</x:f>
        <x:v>0</x:v>
      </x:c>
      <x:c r="O414" s="13" t="n">
        <x:f>F414/E414</x:f>
        <x:v>0</x:v>
      </x:c>
      <x:c r="P414" s="2" t="str">
        <x:f>IF(AND(E414&gt;='Итоги'!$F$5,N414&lt;='Итоги'!$B$5,O414&gt;='Итоги'!$D$5),"Да","Нет")</x:f>
        <x:v>Нет</x:v>
      </x:c>
    </x:row>
    <x:row r="415" ht="60" customHeight="1">
      <x:c r="A415" s="14" t="str">
        <x:v>Автотовары</x:v>
      </x:c>
      <x:c r="B415" s="14" t="str">
        <x:v>Масла и автохимия</x:v>
      </x:c>
      <x:c r="C415" s="14" t="str">
        <x:v>Масла автомобильные</x:v>
      </x:c>
      <x:c r="D415" s="14" t="str">
        <x:v>Автохимия - Промывочное масло, жидкость</x:v>
      </x:c>
      <x:c r="E415" s="2" t="n">
        <x:v>2</x:v>
      </x:c>
      <x:c r="F415" s="2" t="n">
        <x:v>0</x:v>
      </x:c>
      <x:c r="G415" s="12" t="n">
        <x:v>266603.31</x:v>
      </x:c>
      <x:c r="H415" s="12" t="n">
        <x:v>0</x:v>
      </x:c>
      <x:c r="I415" s="13" t="n">
        <x:v>0</x:v>
      </x:c>
      <x:c r="J415" s="2" t="n">
        <x:v>2</x:v>
      </x:c>
      <x:c r="K415" s="2" t="n">
        <x:v>2</x:v>
      </x:c>
      <x:c r="L415" s="12" t="n">
        <x:v>861.5792</x:v>
      </x:c>
      <x:c r="M415" s="13" t="n">
        <x:v>0.717749190735854</x:v>
      </x:c>
      <x:c r="N415" s="13" t="n">
        <x:f>H415/G415</x:f>
        <x:v>0</x:v>
      </x:c>
      <x:c r="O415" s="13" t="n">
        <x:f>F415/E415</x:f>
        <x:v>0</x:v>
      </x:c>
      <x:c r="P415" s="2" t="str">
        <x:f>IF(AND(E415&gt;='Итоги'!$F$5,N415&lt;='Итоги'!$B$5,O415&gt;='Итоги'!$D$5),"Да","Нет")</x:f>
        <x:v>Нет</x:v>
      </x:c>
    </x:row>
    <x:row r="416" ht="60" customHeight="1">
      <x:c r="A416" s="14" t="str">
        <x:v>Аксессуары</x:v>
      </x:c>
      <x:c r="B416" s="14" t="str">
        <x:v>Очки и аксессуары к ним</x:v>
      </x:c>
      <x:c r="C416" s="14" t="str">
        <x:v>Очки и оправы</x:v>
      </x:c>
      <x:c r="D416" s="14" t="str">
        <x:v>Оправа для очков женская</x:v>
      </x:c>
      <x:c r="E416" s="2" t="n">
        <x:v>2</x:v>
      </x:c>
      <x:c r="F416" s="2" t="n">
        <x:v>0</x:v>
      </x:c>
      <x:c r="G416" s="12" t="n">
        <x:v>65921.81330000001</x:v>
      </x:c>
      <x:c r="H416" s="12" t="n">
        <x:v>0</x:v>
      </x:c>
      <x:c r="I416" s="13" t="n">
        <x:v>0</x:v>
      </x:c>
      <x:c r="J416" s="2" t="n">
        <x:v>2</x:v>
      </x:c>
      <x:c r="K416" s="2" t="n">
        <x:v>2</x:v>
      </x:c>
      <x:c r="L416" s="12" t="n">
        <x:v>3757.0766</x:v>
      </x:c>
      <x:c r="M416" s="13" t="n">
        <x:v>0.9037344441494602</x:v>
      </x:c>
      <x:c r="N416" s="13" t="n">
        <x:f>H416/G416</x:f>
        <x:v>0</x:v>
      </x:c>
      <x:c r="O416" s="13" t="n">
        <x:f>F416/E416</x:f>
        <x:v>0</x:v>
      </x:c>
      <x:c r="P416" s="2" t="str">
        <x:f>IF(AND(E416&gt;='Итоги'!$F$5,N416&lt;='Итоги'!$B$5,O416&gt;='Итоги'!$D$5),"Да","Нет")</x:f>
        <x:v>Нет</x:v>
      </x:c>
    </x:row>
    <x:row r="417" ht="60" customHeight="1">
      <x:c r="A417" s="14" t="str">
        <x:v>Аксессуары для электроники</x:v>
      </x:c>
      <x:c r="B417" s="14" t="str">
        <x:v>Бытовая техника Access</x:v>
      </x:c>
      <x:c r="C417" s="14" t="str">
        <x:v>Запчасти для бытовой техники Access</x:v>
      </x:c>
      <x:c r="D417" s="14" t="str">
        <x:v>Запчасти для машинки для стрижки</x:v>
      </x:c>
      <x:c r="E417" s="2" t="n">
        <x:v>2</x:v>
      </x:c>
      <x:c r="F417" s="2" t="n">
        <x:v>0</x:v>
      </x:c>
      <x:c r="G417" s="12" t="n">
        <x:v>173276</x:v>
      </x:c>
      <x:c r="H417" s="12" t="n">
        <x:v>0</x:v>
      </x:c>
      <x:c r="I417" s="13" t="n">
        <x:v>0</x:v>
      </x:c>
      <x:c r="J417" s="2" t="n">
        <x:v>2</x:v>
      </x:c>
      <x:c r="K417" s="2" t="n">
        <x:v>2</x:v>
      </x:c>
      <x:c r="L417" s="12" t="n">
        <x:v>2050.2966</x:v>
      </x:c>
      <x:c r="M417" s="13" t="n">
        <x:v>0.7858560908608232</x:v>
      </x:c>
      <x:c r="N417" s="13" t="n">
        <x:f>H417/G417</x:f>
        <x:v>0</x:v>
      </x:c>
      <x:c r="O417" s="13" t="n">
        <x:f>F417/E417</x:f>
        <x:v>0</x:v>
      </x:c>
      <x:c r="P417" s="2" t="str">
        <x:f>IF(AND(E417&gt;='Итоги'!$F$5,N417&lt;='Итоги'!$B$5,O417&gt;='Итоги'!$D$5),"Да","Нет")</x:f>
        <x:v>Нет</x:v>
      </x:c>
    </x:row>
    <x:row r="418" ht="60" customHeight="1">
      <x:c r="A418" s="14" t="str">
        <x:v>Аксессуары для электроники</x:v>
      </x:c>
      <x:c r="B418" s="14" t="str">
        <x:v>Оборудование Access</x:v>
      </x:c>
      <x:c r="C418" s="14" t="str">
        <x:v>Технологическое оборудование</x:v>
      </x:c>
      <x:c r="D418" s="14" t="str">
        <x:v>Упаковочное оборудование</x:v>
      </x:c>
      <x:c r="E418" s="2" t="n">
        <x:v>2</x:v>
      </x:c>
      <x:c r="F418" s="2" t="n">
        <x:v>0</x:v>
      </x:c>
      <x:c r="G418" s="12" t="n">
        <x:v>165352.006</x:v>
      </x:c>
      <x:c r="H418" s="12" t="n">
        <x:v>0</x:v>
      </x:c>
      <x:c r="I418" s="13" t="n">
        <x:v>0</x:v>
      </x:c>
      <x:c r="J418" s="2" t="n">
        <x:v>2</x:v>
      </x:c>
      <x:c r="K418" s="2" t="n">
        <x:v>1</x:v>
      </x:c>
      <x:c r="L418" s="12" t="n">
        <x:v>3697.8462</x:v>
      </x:c>
      <x:c r="M418" s="13" t="n">
        <x:v>1</x:v>
      </x:c>
      <x:c r="N418" s="13" t="n">
        <x:f>H418/G418</x:f>
        <x:v>0</x:v>
      </x:c>
      <x:c r="O418" s="13" t="n">
        <x:f>F418/E418</x:f>
        <x:v>0</x:v>
      </x:c>
      <x:c r="P418" s="2" t="str">
        <x:f>IF(AND(E418&gt;='Итоги'!$F$5,N418&lt;='Итоги'!$B$5,O418&gt;='Итоги'!$D$5),"Да","Нет")</x:f>
        <x:v>Нет</x:v>
      </x:c>
    </x:row>
    <x:row r="419" ht="60" customHeight="1">
      <x:c r="A419" s="14" t="str">
        <x:v>Аптека</x:v>
      </x:c>
      <x:c r="B419" s="14" t="str">
        <x:v>Лекарственные средства для животных</x:v>
      </x:c>
      <x:c r="C419" s="14" t="str">
        <x:v>Безрецептурные лекарственные препараты для животных</x:v>
      </x:c>
      <x:c r="D419" s="14" t="str">
        <x:v>ВЕТ Препараты для лечения ЖКТ и печени лицензированные</x:v>
      </x:c>
      <x:c r="E419" s="2" t="n">
        <x:v>2</x:v>
      </x:c>
      <x:c r="F419" s="2" t="n">
        <x:v>0</x:v>
      </x:c>
      <x:c r="G419" s="12" t="n">
        <x:v>249604</x:v>
      </x:c>
      <x:c r="H419" s="12" t="n">
        <x:v>0</x:v>
      </x:c>
      <x:c r="I419" s="13" t="n">
        <x:v>0</x:v>
      </x:c>
      <x:c r="J419" s="2" t="n">
        <x:v>2</x:v>
      </x:c>
      <x:c r="K419" s="2" t="n">
        <x:v>1</x:v>
      </x:c>
      <x:c r="L419" s="12" t="n">
        <x:v>2048.8456</x:v>
      </x:c>
      <x:c r="M419" s="13" t="n">
        <x:v>1</x:v>
      </x:c>
      <x:c r="N419" s="13" t="n">
        <x:f>H419/G419</x:f>
        <x:v>0</x:v>
      </x:c>
      <x:c r="O419" s="13" t="n">
        <x:f>F419/E419</x:f>
        <x:v>0</x:v>
      </x:c>
      <x:c r="P419" s="2" t="str">
        <x:f>IF(AND(E419&gt;='Итоги'!$F$5,N419&lt;='Итоги'!$B$5,O419&gt;='Итоги'!$D$5),"Да","Нет")</x:f>
        <x:v>Нет</x:v>
      </x:c>
    </x:row>
    <x:row r="420" ht="60" customHeight="1">
      <x:c r="A420" s="14" t="str">
        <x:v>Аптека</x:v>
      </x:c>
      <x:c r="B420" s="14" t="str">
        <x:v>Медицинская техника</x:v>
      </x:c>
      <x:c r="C420" s="14" t="str">
        <x:v>Медицинская техника</x:v>
      </x:c>
      <x:c r="D420" s="14" t="str">
        <x:v>Нейростимулятор</x:v>
      </x:c>
      <x:c r="E420" s="2" t="n">
        <x:v>2</x:v>
      </x:c>
      <x:c r="F420" s="2" t="n">
        <x:v>0</x:v>
      </x:c>
      <x:c r="G420" s="12" t="n">
        <x:v>188798.94</x:v>
      </x:c>
      <x:c r="H420" s="12" t="n">
        <x:v>0</x:v>
      </x:c>
      <x:c r="I420" s="13" t="n">
        <x:v>0</x:v>
      </x:c>
      <x:c r="J420" s="2" t="n">
        <x:v>2</x:v>
      </x:c>
      <x:c r="K420" s="2" t="n">
        <x:v>2</x:v>
      </x:c>
      <x:c r="L420" s="12" t="n">
        <x:v>5123.2703</x:v>
      </x:c>
      <x:c r="M420" s="13" t="n">
        <x:v>0.5158132773414935</x:v>
      </x:c>
      <x:c r="N420" s="13" t="n">
        <x:f>H420/G420</x:f>
        <x:v>0</x:v>
      </x:c>
      <x:c r="O420" s="13" t="n">
        <x:f>F420/E420</x:f>
        <x:v>0</x:v>
      </x:c>
      <x:c r="P420" s="2" t="str">
        <x:f>IF(AND(E420&gt;='Итоги'!$F$5,N420&lt;='Итоги'!$B$5,O420&gt;='Итоги'!$D$5),"Да","Нет")</x:f>
        <x:v>Нет</x:v>
      </x:c>
    </x:row>
    <x:row r="421" ht="60" customHeight="1">
      <x:c r="A421" s="14" t="str">
        <x:v>Аптека</x:v>
      </x:c>
      <x:c r="B421" s="14" t="str">
        <x:v>Профессиональное медицинское оборудование</x:v>
      </x:c>
      <x:c r="C421" s="14" t="str">
        <x:v>Лабораторное оборудование</x:v>
      </x:c>
      <x:c r="D421" s="14" t="str">
        <x:v>Медицинские холодильник, морозильник</x:v>
      </x:c>
      <x:c r="E421" s="2" t="n">
        <x:v>2</x:v>
      </x:c>
      <x:c r="F421" s="2" t="n">
        <x:v>0</x:v>
      </x:c>
      <x:c r="G421" s="12" t="n">
        <x:v>527155</x:v>
      </x:c>
      <x:c r="H421" s="12" t="n">
        <x:v>0</x:v>
      </x:c>
      <x:c r="I421" s="13" t="n">
        <x:v>0</x:v>
      </x:c>
      <x:c r="J421" s="2" t="n">
        <x:v>2</x:v>
      </x:c>
      <x:c r="K421" s="2" t="n">
        <x:v>1</x:v>
      </x:c>
      <x:c r="L421" s="12" t="n">
        <x:v>26951.5357</x:v>
      </x:c>
      <x:c r="M421" s="13" t="n">
        <x:v>1</x:v>
      </x:c>
      <x:c r="N421" s="13" t="n">
        <x:f>H421/G421</x:f>
        <x:v>0</x:v>
      </x:c>
      <x:c r="O421" s="13" t="n">
        <x:f>F421/E421</x:f>
        <x:v>0</x:v>
      </x:c>
      <x:c r="P421" s="2" t="str">
        <x:f>IF(AND(E421&gt;='Итоги'!$F$5,N421&lt;='Итоги'!$B$5,O421&gt;='Итоги'!$D$5),"Да","Нет")</x:f>
        <x:v>Нет</x:v>
      </x:c>
    </x:row>
    <x:row r="422" ht="60" customHeight="1">
      <x:c r="A422" s="14" t="str">
        <x:v>Аптека</x:v>
      </x:c>
      <x:c r="B422" s="14" t="str">
        <x:v>Эстетическая медицина</x:v>
      </x:c>
      <x:c r="C422" s="14" t="str">
        <x:v>Эстетическая хирургия</x:v>
      </x:c>
      <x:c r="D422" s="14" t="str">
        <x:v>Пептидные препараты</x:v>
      </x:c>
      <x:c r="E422" s="2" t="n">
        <x:v>2</x:v>
      </x:c>
      <x:c r="F422" s="2" t="n">
        <x:v>0</x:v>
      </x:c>
      <x:c r="G422" s="12" t="n">
        <x:v>409987</x:v>
      </x:c>
      <x:c r="H422" s="12" t="n">
        <x:v>0</x:v>
      </x:c>
      <x:c r="I422" s="13" t="n">
        <x:v>0</x:v>
      </x:c>
      <x:c r="J422" s="2" t="n">
        <x:v>2</x:v>
      </x:c>
      <x:c r="K422" s="2" t="n">
        <x:v>1</x:v>
      </x:c>
      <x:c r="L422" s="12" t="n">
        <x:v>17123.46875</x:v>
      </x:c>
      <x:c r="M422" s="13" t="n">
        <x:v>1</x:v>
      </x:c>
      <x:c r="N422" s="13" t="n">
        <x:f>H422/G422</x:f>
        <x:v>0</x:v>
      </x:c>
      <x:c r="O422" s="13" t="n">
        <x:f>F422/E422</x:f>
        <x:v>0</x:v>
      </x:c>
      <x:c r="P422" s="2" t="str">
        <x:f>IF(AND(E422&gt;='Итоги'!$F$5,N422&lt;='Итоги'!$B$5,O422&gt;='Итоги'!$D$5),"Да","Нет")</x:f>
        <x:v>Нет</x:v>
      </x:c>
    </x:row>
    <x:row r="423" ht="60" customHeight="1">
      <x:c r="A423" s="14" t="str">
        <x:v>Аудио и видеотехника</x:v>
      </x:c>
      <x:c r="B423" s="14" t="str">
        <x:v>Домашняя Аудио и Видеотехника TV&amp;Audio</x:v>
      </x:c>
      <x:c r="C423" s="14" t="str">
        <x:v>Аудиотехника TV&amp;Audio</x:v>
      </x:c>
      <x:c r="D423" s="14" t="str">
        <x:v>Кассетный плеер</x:v>
      </x:c>
      <x:c r="E423" s="2" t="n">
        <x:v>2</x:v>
      </x:c>
      <x:c r="F423" s="2" t="n">
        <x:v>0</x:v>
      </x:c>
      <x:c r="G423" s="12" t="n">
        <x:v>167528.94</x:v>
      </x:c>
      <x:c r="H423" s="12" t="n">
        <x:v>0</x:v>
      </x:c>
      <x:c r="I423" s="13" t="n">
        <x:v>0</x:v>
      </x:c>
      <x:c r="J423" s="2" t="n">
        <x:v>2</x:v>
      </x:c>
      <x:c r="K423" s="2" t="n">
        <x:v>1</x:v>
      </x:c>
      <x:c r="L423" s="12" t="n">
        <x:v>12832.65165</x:v>
      </x:c>
      <x:c r="M423" s="13" t="n">
        <x:v>1</x:v>
      </x:c>
      <x:c r="N423" s="13" t="n">
        <x:f>H423/G423</x:f>
        <x:v>0</x:v>
      </x:c>
      <x:c r="O423" s="13" t="n">
        <x:f>F423/E423</x:f>
        <x:v>0</x:v>
      </x:c>
      <x:c r="P423" s="2" t="str">
        <x:f>IF(AND(E423&gt;='Итоги'!$F$5,N423&lt;='Итоги'!$B$5,O423&gt;='Итоги'!$D$5),"Да","Нет")</x:f>
        <x:v>Нет</x:v>
      </x:c>
    </x:row>
    <x:row r="424" ht="60" customHeight="1">
      <x:c r="A424" s="14" t="str">
        <x:v>Аудио и видеотехника</x:v>
      </x:c>
      <x:c r="B424" s="14" t="str">
        <x:v>Система безопасности TV&amp;Audio</x:v>
      </x:c>
      <x:c r="C424" s="14" t="str">
        <x:v>Безопасность дома TV&amp;Audio</x:v>
      </x:c>
      <x:c r="D424" s="14" t="str">
        <x:v>Аксессуары для домофона</x:v>
      </x:c>
      <x:c r="E424" s="2" t="n">
        <x:v>2</x:v>
      </x:c>
      <x:c r="F424" s="2" t="n">
        <x:v>0</x:v>
      </x:c>
      <x:c r="G424" s="12" t="n">
        <x:v>236234.713</x:v>
      </x:c>
      <x:c r="H424" s="12" t="n">
        <x:v>0</x:v>
      </x:c>
      <x:c r="I424" s="13" t="n">
        <x:v>0</x:v>
      </x:c>
      <x:c r="J424" s="2" t="n">
        <x:v>2</x:v>
      </x:c>
      <x:c r="K424" s="2" t="n">
        <x:v>2</x:v>
      </x:c>
      <x:c r="L424" s="12" t="n">
        <x:v>1763.3194</x:v>
      </x:c>
      <x:c r="M424" s="13" t="n">
        <x:v>0.5834094568481136</x:v>
      </x:c>
      <x:c r="N424" s="13" t="n">
        <x:f>H424/G424</x:f>
        <x:v>0</x:v>
      </x:c>
      <x:c r="O424" s="13" t="n">
        <x:f>F424/E424</x:f>
        <x:v>0</x:v>
      </x:c>
      <x:c r="P424" s="2" t="str">
        <x:f>IF(AND(E424&gt;='Итоги'!$F$5,N424&lt;='Итоги'!$B$5,O424&gt;='Итоги'!$D$5),"Да","Нет")</x:f>
        <x:v>Нет</x:v>
      </x:c>
    </x:row>
    <x:row r="425" ht="60" customHeight="1">
      <x:c r="A425" s="14" t="str">
        <x:v>Аудио и видеотехника</x:v>
      </x:c>
      <x:c r="B425" s="14" t="str">
        <x:v>Система безопасности TV&amp;Audio</x:v>
      </x:c>
      <x:c r="C425" s="14" t="str">
        <x:v>Умный дом TV&amp;Audio</x:v>
      </x:c>
      <x:c r="D425" s="14" t="str">
        <x:v>Устройство для разработчиков Умный дом</x:v>
      </x:c>
      <x:c r="E425" s="2" t="n">
        <x:v>2</x:v>
      </x:c>
      <x:c r="F425" s="2" t="n">
        <x:v>0</x:v>
      </x:c>
      <x:c r="G425" s="12" t="n">
        <x:v>652923.2912</x:v>
      </x:c>
      <x:c r="H425" s="12" t="n">
        <x:v>0</x:v>
      </x:c>
      <x:c r="I425" s="13" t="n">
        <x:v>0</x:v>
      </x:c>
      <x:c r="J425" s="2" t="n">
        <x:v>2</x:v>
      </x:c>
      <x:c r="K425" s="2" t="n">
        <x:v>1</x:v>
      </x:c>
      <x:c r="L425" s="12" t="n">
        <x:v>899.9971</x:v>
      </x:c>
      <x:c r="M425" s="13" t="n">
        <x:v>1</x:v>
      </x:c>
      <x:c r="N425" s="13" t="n">
        <x:f>H425/G425</x:f>
        <x:v>0</x:v>
      </x:c>
      <x:c r="O425" s="13" t="n">
        <x:f>F425/E425</x:f>
        <x:v>0</x:v>
      </x:c>
      <x:c r="P425" s="2" t="str">
        <x:f>IF(AND(E425&gt;='Итоги'!$F$5,N425&lt;='Итоги'!$B$5,O425&gt;='Итоги'!$D$5),"Да","Нет")</x:f>
        <x:v>Нет</x:v>
      </x:c>
    </x:row>
    <x:row r="426" ht="60" customHeight="1">
      <x:c r="A426" s="14" t="str">
        <x:v>Бакалея и кондитерские изделия</x:v>
      </x:c>
      <x:c r="B426" s="14" t="str">
        <x:v>Бакалея</x:v>
      </x:c>
      <x:c r="C426" s="14" t="str">
        <x:v>Макаронные изделия, крупы</x:v>
      </x:c>
      <x:c r="D426" s="14" t="str">
        <x:v>Отруби</x:v>
      </x:c>
      <x:c r="E426" s="2" t="n">
        <x:v>2</x:v>
      </x:c>
      <x:c r="F426" s="2" t="n">
        <x:v>0</x:v>
      </x:c>
      <x:c r="G426" s="12" t="n">
        <x:v>171614</x:v>
      </x:c>
      <x:c r="H426" s="12" t="n">
        <x:v>0</x:v>
      </x:c>
      <x:c r="I426" s="13" t="n">
        <x:v>0</x:v>
      </x:c>
      <x:c r="J426" s="2" t="n">
        <x:v>2</x:v>
      </x:c>
      <x:c r="K426" s="2" t="n">
        <x:v>2</x:v>
      </x:c>
      <x:c r="L426" s="12" t="n">
        <x:v>1007.7647</x:v>
      </x:c>
      <x:c r="M426" s="13" t="n">
        <x:v>0.6488806274546366</x:v>
      </x:c>
      <x:c r="N426" s="13" t="n">
        <x:f>H426/G426</x:f>
        <x:v>0</x:v>
      </x:c>
      <x:c r="O426" s="13" t="n">
        <x:f>F426/E426</x:f>
        <x:v>0</x:v>
      </x:c>
      <x:c r="P426" s="2" t="str">
        <x:f>IF(AND(E426&gt;='Итоги'!$F$5,N426&lt;='Итоги'!$B$5,O426&gt;='Итоги'!$D$5),"Да","Нет")</x:f>
        <x:v>Нет</x:v>
      </x:c>
    </x:row>
    <x:row r="427" ht="60" customHeight="1">
      <x:c r="A427" s="14" t="str">
        <x:v>Бакалея и кондитерские изделия</x:v>
      </x:c>
      <x:c r="B427" s="14" t="str">
        <x:v>Бакалея</x:v>
      </x:c>
      <x:c r="C427" s="14" t="str">
        <x:v>Приправы, специи, травы</x:v>
      </x:c>
      <x:c r="D427" s="14" t="str">
        <x:v>Консервант пищевой</x:v>
      </x:c>
      <x:c r="E427" s="2" t="n">
        <x:v>2</x:v>
      </x:c>
      <x:c r="F427" s="2" t="n">
        <x:v>0</x:v>
      </x:c>
      <x:c r="G427" s="12" t="n">
        <x:v>225659.06</x:v>
      </x:c>
      <x:c r="H427" s="12" t="n">
        <x:v>0</x:v>
      </x:c>
      <x:c r="I427" s="13" t="n">
        <x:v>0</x:v>
      </x:c>
      <x:c r="J427" s="2" t="n">
        <x:v>2</x:v>
      </x:c>
      <x:c r="K427" s="2" t="n">
        <x:v>1</x:v>
      </x:c>
      <x:c r="L427" s="12" t="n">
        <x:v>1662.56865</x:v>
      </x:c>
      <x:c r="M427" s="13" t="n">
        <x:v>1</x:v>
      </x:c>
      <x:c r="N427" s="13" t="n">
        <x:f>H427/G427</x:f>
        <x:v>0</x:v>
      </x:c>
      <x:c r="O427" s="13" t="n">
        <x:f>F427/E427</x:f>
        <x:v>0</x:v>
      </x:c>
      <x:c r="P427" s="2" t="str">
        <x:f>IF(AND(E427&gt;='Итоги'!$F$5,N427&lt;='Итоги'!$B$5,O427&gt;='Итоги'!$D$5),"Да","Нет")</x:f>
        <x:v>Нет</x:v>
      </x:c>
    </x:row>
    <x:row r="428" ht="60" customHeight="1">
      <x:c r="A428" s="14" t="str">
        <x:v>Бакалея и кондитерские изделия</x:v>
      </x:c>
      <x:c r="B428" s="14" t="str">
        <x:v>Бакалея</x:v>
      </x:c>
      <x:c r="C428" s="14" t="str">
        <x:v>Сахар, соль</x:v>
      </x:c>
      <x:c r="D428" s="14" t="str">
        <x:v>Соль пищевая</x:v>
      </x:c>
      <x:c r="E428" s="2" t="n">
        <x:v>2</x:v>
      </x:c>
      <x:c r="F428" s="2" t="n">
        <x:v>0</x:v>
      </x:c>
      <x:c r="G428" s="12" t="n">
        <x:v>117121</x:v>
      </x:c>
      <x:c r="H428" s="12" t="n">
        <x:v>0</x:v>
      </x:c>
      <x:c r="I428" s="13" t="n">
        <x:v>0</x:v>
      </x:c>
      <x:c r="J428" s="2" t="n">
        <x:v>2</x:v>
      </x:c>
      <x:c r="K428" s="2" t="n">
        <x:v>1</x:v>
      </x:c>
      <x:c r="L428" s="12" t="n">
        <x:v>4037.32955</x:v>
      </x:c>
      <x:c r="M428" s="13" t="n">
        <x:v>1</x:v>
      </x:c>
      <x:c r="N428" s="13" t="n">
        <x:f>H428/G428</x:f>
        <x:v>0</x:v>
      </x:c>
      <x:c r="O428" s="13" t="n">
        <x:f>F428/E428</x:f>
        <x:v>0</x:v>
      </x:c>
      <x:c r="P428" s="2" t="str">
        <x:f>IF(AND(E428&gt;='Итоги'!$F$5,N428&lt;='Итоги'!$B$5,O428&gt;='Итоги'!$D$5),"Да","Нет")</x:f>
        <x:v>Нет</x:v>
      </x:c>
    </x:row>
    <x:row r="429" ht="60" customHeight="1">
      <x:c r="A429" s="14" t="str">
        <x:v>Бытовая химия и гигиена рта</x:v>
      </x:c>
      <x:c r="B429" s="14" t="str">
        <x:v>Бытовая химия</x:v>
      </x:c>
      <x:c r="C429" s="14" t="str">
        <x:v>Чистящее и моющее средство</x:v>
      </x:c>
      <x:c r="D429" s="14" t="str">
        <x:v>Средство для удаления известкового налета, ржавчины и накипи</x:v>
      </x:c>
      <x:c r="E429" s="2" t="n">
        <x:v>2</x:v>
      </x:c>
      <x:c r="F429" s="2" t="n">
        <x:v>0</x:v>
      </x:c>
      <x:c r="G429" s="12" t="n">
        <x:v>362527.7845</x:v>
      </x:c>
      <x:c r="H429" s="12" t="n">
        <x:v>0</x:v>
      </x:c>
      <x:c r="I429" s="13" t="n">
        <x:v>0</x:v>
      </x:c>
      <x:c r="J429" s="2" t="n">
        <x:v>2</x:v>
      </x:c>
      <x:c r="K429" s="2" t="n">
        <x:v>2</x:v>
      </x:c>
      <x:c r="L429" s="12" t="n">
        <x:v>1040.1488</x:v>
      </x:c>
      <x:c r="M429" s="13" t="n">
        <x:v>0.540466161152953</x:v>
      </x:c>
      <x:c r="N429" s="13" t="n">
        <x:f>H429/G429</x:f>
        <x:v>0</x:v>
      </x:c>
      <x:c r="O429" s="13" t="n">
        <x:f>F429/E429</x:f>
        <x:v>0</x:v>
      </x:c>
      <x:c r="P429" s="2" t="str">
        <x:f>IF(AND(E429&gt;='Итоги'!$F$5,N429&lt;='Итоги'!$B$5,O429&gt;='Итоги'!$D$5),"Да","Нет")</x:f>
        <x:v>Нет</x:v>
      </x:c>
    </x:row>
    <x:row r="430" ht="60" customHeight="1">
      <x:c r="A430" s="14" t="str">
        <x:v>Детская одежда</x:v>
      </x:c>
      <x:c r="B430" s="14" t="str">
        <x:v>Детская обувь</x:v>
      </x:c>
      <x:c r="C430" s="14" t="str">
        <x:v>Обувь для девочки</x:v>
      </x:c>
      <x:c r="D430" s="14" t="str">
        <x:v>Кроссовки роликовые для девочки</x:v>
      </x:c>
      <x:c r="E430" s="2" t="n">
        <x:v>2</x:v>
      </x:c>
      <x:c r="F430" s="2" t="n">
        <x:v>0</x:v>
      </x:c>
      <x:c r="G430" s="12" t="n">
        <x:v>181193.9</x:v>
      </x:c>
      <x:c r="H430" s="12" t="n">
        <x:v>0</x:v>
      </x:c>
      <x:c r="I430" s="13" t="n">
        <x:v>0</x:v>
      </x:c>
      <x:c r="J430" s="2" t="n">
        <x:v>2</x:v>
      </x:c>
      <x:c r="K430" s="2" t="n">
        <x:v>2</x:v>
      </x:c>
      <x:c r="L430" s="12" t="n">
        <x:v>2593.8708</x:v>
      </x:c>
      <x:c r="M430" s="13" t="n">
        <x:v>0.540392419391602</x:v>
      </x:c>
      <x:c r="N430" s="13" t="n">
        <x:f>H430/G430</x:f>
        <x:v>0</x:v>
      </x:c>
      <x:c r="O430" s="13" t="n">
        <x:f>F430/E430</x:f>
        <x:v>0</x:v>
      </x:c>
      <x:c r="P430" s="2" t="str">
        <x:f>IF(AND(E430&gt;='Итоги'!$F$5,N430&lt;='Итоги'!$B$5,O430&gt;='Итоги'!$D$5),"Да","Нет")</x:f>
        <x:v>Нет</x:v>
      </x:c>
    </x:row>
    <x:row r="431" ht="60" customHeight="1">
      <x:c r="A431" s="14" t="str">
        <x:v>Детская одежда</x:v>
      </x:c>
      <x:c r="B431" s="14" t="str">
        <x:v>Детская обувь</x:v>
      </x:c>
      <x:c r="C431" s="14" t="str">
        <x:v>Обувь для девочки</x:v>
      </x:c>
      <x:c r="D431" s="14" t="str">
        <x:v>Ортопедические ботинки для девочки</x:v>
      </x:c>
      <x:c r="E431" s="2" t="n">
        <x:v>2</x:v>
      </x:c>
      <x:c r="F431" s="2" t="n">
        <x:v>0</x:v>
      </x:c>
      <x:c r="G431" s="12" t="n">
        <x:v>7035</x:v>
      </x:c>
      <x:c r="H431" s="12" t="n">
        <x:v>0</x:v>
      </x:c>
      <x:c r="I431" s="13" t="n">
        <x:v>0</x:v>
      </x:c>
      <x:c r="J431" s="2" t="n">
        <x:v>2</x:v>
      </x:c>
      <x:c r="K431" s="2" t="n">
        <x:v>2</x:v>
      </x:c>
      <x:c r="L431" s="12" t="n">
        <x:v>3517.5</x:v>
      </x:c>
      <x:c r="M431" s="13" t="n">
        <x:v>0.5041933191186923</x:v>
      </x:c>
      <x:c r="N431" s="13" t="n">
        <x:f>H431/G431</x:f>
        <x:v>0</x:v>
      </x:c>
      <x:c r="O431" s="13" t="n">
        <x:f>F431/E431</x:f>
        <x:v>0</x:v>
      </x:c>
      <x:c r="P431" s="2" t="str">
        <x:f>IF(AND(E431&gt;='Итоги'!$F$5,N431&lt;='Итоги'!$B$5,O431&gt;='Итоги'!$D$5),"Да","Нет")</x:f>
        <x:v>Нет</x:v>
      </x:c>
    </x:row>
    <x:row r="432" ht="60" customHeight="1">
      <x:c r="A432" s="14" t="str">
        <x:v>Детская одежда</x:v>
      </x:c>
      <x:c r="B432" s="14" t="str">
        <x:v>Детская одежда</x:v>
      </x:c>
      <x:c r="C432" s="14" t="str">
        <x:v>Верхняя одежда для девочки</x:v>
      </x:c>
      <x:c r="D432" s="14" t="str">
        <x:v>Полукомбинезон зимний для девочки</x:v>
      </x:c>
      <x:c r="E432" s="2" t="n">
        <x:v>2</x:v>
      </x:c>
      <x:c r="F432" s="2" t="n">
        <x:v>0</x:v>
      </x:c>
      <x:c r="G432" s="12" t="n">
        <x:v>24793.44</x:v>
      </x:c>
      <x:c r="H432" s="12" t="n">
        <x:v>0</x:v>
      </x:c>
      <x:c r="I432" s="13" t="n">
        <x:v>0</x:v>
      </x:c>
      <x:c r="J432" s="2" t="n">
        <x:v>2</x:v>
      </x:c>
      <x:c r="K432" s="2" t="n">
        <x:v>1</x:v>
      </x:c>
      <x:c r="L432" s="12" t="n">
        <x:v>1123.7947</x:v>
      </x:c>
      <x:c r="M432" s="13" t="n">
        <x:v>1</x:v>
      </x:c>
      <x:c r="N432" s="13" t="n">
        <x:f>H432/G432</x:f>
        <x:v>0</x:v>
      </x:c>
      <x:c r="O432" s="13" t="n">
        <x:f>F432/E432</x:f>
        <x:v>0</x:v>
      </x:c>
      <x:c r="P432" s="2" t="str">
        <x:f>IF(AND(E432&gt;='Итоги'!$F$5,N432&lt;='Итоги'!$B$5,O432&gt;='Итоги'!$D$5),"Да","Нет")</x:f>
        <x:v>Нет</x:v>
      </x:c>
    </x:row>
    <x:row r="433" ht="60" customHeight="1">
      <x:c r="A433" s="14" t="str">
        <x:v>Детская одежда</x:v>
      </x:c>
      <x:c r="B433" s="14" t="str">
        <x:v>Одежда для новорожденных</x:v>
      </x:c>
      <x:c r="C433" s="14" t="str">
        <x:v>Верхняя одежда для новорожденных</x:v>
      </x:c>
      <x:c r="D433" s="14" t="str">
        <x:v>Комплект демисезонной верхней одежды для новорожденных</x:v>
      </x:c>
      <x:c r="E433" s="2" t="n">
        <x:v>2</x:v>
      </x:c>
      <x:c r="F433" s="2" t="n">
        <x:v>0</x:v>
      </x:c>
      <x:c r="G433" s="12" t="n">
        <x:v>96834.5</x:v>
      </x:c>
      <x:c r="H433" s="12" t="n">
        <x:v>0</x:v>
      </x:c>
      <x:c r="I433" s="13" t="n">
        <x:v>0</x:v>
      </x:c>
      <x:c r="J433" s="2" t="n">
        <x:v>2</x:v>
      </x:c>
      <x:c r="K433" s="2" t="n">
        <x:v>2</x:v>
      </x:c>
      <x:c r="L433" s="12" t="n">
        <x:v>6465.6591</x:v>
      </x:c>
      <x:c r="M433" s="13" t="n">
        <x:v>0.9531055563874444</x:v>
      </x:c>
      <x:c r="N433" s="13" t="n">
        <x:f>H433/G433</x:f>
        <x:v>0</x:v>
      </x:c>
      <x:c r="O433" s="13" t="n">
        <x:f>F433/E433</x:f>
        <x:v>0</x:v>
      </x:c>
      <x:c r="P433" s="2" t="str">
        <x:f>IF(AND(E433&gt;='Итоги'!$F$5,N433&lt;='Итоги'!$B$5,O433&gt;='Итоги'!$D$5),"Да","Нет")</x:f>
        <x:v>Нет</x:v>
      </x:c>
    </x:row>
    <x:row r="434" ht="60" customHeight="1">
      <x:c r="A434" s="14" t="str">
        <x:v>Детское питание</x:v>
      </x:c>
      <x:c r="B434" s="14" t="str">
        <x:v>Детское питание</x:v>
      </x:c>
      <x:c r="C434" s="14" t="str">
        <x:v>Детская бакалея</x:v>
      </x:c>
      <x:c r="D434" s="14" t="str">
        <x:v>Каша для детей до 3 лет</x:v>
      </x:c>
      <x:c r="E434" s="2" t="n">
        <x:v>2</x:v>
      </x:c>
      <x:c r="F434" s="2" t="n">
        <x:v>0</x:v>
      </x:c>
      <x:c r="G434" s="12" t="n">
        <x:v>457873.9899</x:v>
      </x:c>
      <x:c r="H434" s="12" t="n">
        <x:v>0</x:v>
      </x:c>
      <x:c r="I434" s="13" t="n">
        <x:v>0</x:v>
      </x:c>
      <x:c r="J434" s="2" t="n">
        <x:v>2</x:v>
      </x:c>
      <x:c r="K434" s="2" t="n">
        <x:v>2</x:v>
      </x:c>
      <x:c r="L434" s="12" t="n">
        <x:v>1864.72665</x:v>
      </x:c>
      <x:c r="M434" s="13" t="n">
        <x:v>0.7847215780448069</x:v>
      </x:c>
      <x:c r="N434" s="13" t="n">
        <x:f>H434/G434</x:f>
        <x:v>0</x:v>
      </x:c>
      <x:c r="O434" s="13" t="n">
        <x:f>F434/E434</x:f>
        <x:v>0</x:v>
      </x:c>
      <x:c r="P434" s="2" t="str">
        <x:f>IF(AND(E434&gt;='Итоги'!$F$5,N434&lt;='Итоги'!$B$5,O434&gt;='Итоги'!$D$5),"Да","Нет")</x:f>
        <x:v>Нет</x:v>
      </x:c>
    </x:row>
    <x:row r="435" ht="60" customHeight="1">
      <x:c r="A435" s="14" t="str">
        <x:v>Книги</x:v>
      </x:c>
      <x:c r="B435" s="14" t="str">
        <x:v>Печатные книги: Нехудожественная литература</x:v>
      </x:c>
      <x:c r="C435" s="14" t="str">
        <x:v>Печатная книга: Психология</x:v>
      </x:c>
      <x:c r="D435" s="14" t="str">
        <x:v>Печатная книга: Популярная психология</x:v>
      </x:c>
      <x:c r="E435" s="2" t="n">
        <x:v>2</x:v>
      </x:c>
      <x:c r="F435" s="2" t="n">
        <x:v>0</x:v>
      </x:c>
      <x:c r="G435" s="12" t="n">
        <x:v>179223.87410000002</x:v>
      </x:c>
      <x:c r="H435" s="12" t="n">
        <x:v>0</x:v>
      </x:c>
      <x:c r="I435" s="13" t="n">
        <x:v>0</x:v>
      </x:c>
      <x:c r="J435" s="2" t="n">
        <x:v>2</x:v>
      </x:c>
      <x:c r="K435" s="2" t="n">
        <x:v>2</x:v>
      </x:c>
      <x:c r="L435" s="12" t="n">
        <x:v>1169.70205</x:v>
      </x:c>
      <x:c r="M435" s="13" t="n">
        <x:v>0.5176822684249742</x:v>
      </x:c>
      <x:c r="N435" s="13" t="n">
        <x:f>H435/G435</x:f>
        <x:v>0</x:v>
      </x:c>
      <x:c r="O435" s="13" t="n">
        <x:f>F435/E435</x:f>
        <x:v>0</x:v>
      </x:c>
      <x:c r="P435" s="2" t="str">
        <x:f>IF(AND(E435&gt;='Итоги'!$F$5,N435&lt;='Итоги'!$B$5,O435&gt;='Итоги'!$D$5),"Да","Нет")</x:f>
        <x:v>Нет</x:v>
      </x:c>
    </x:row>
    <x:row r="436" ht="60" customHeight="1">
      <x:c r="A436" s="14" t="str">
        <x:v>Мебель</x:v>
      </x:c>
      <x:c r="B436" s="14" t="str">
        <x:v>Корпусная мебель и мебель для хранения</x:v>
      </x:c>
      <x:c r="C436" s="14" t="str">
        <x:v>Шкаф, гардероб</x:v>
      </x:c>
      <x:c r="D436" s="14" t="str">
        <x:v>Корпусные шкафы и гардеробы под заказ</x:v>
      </x:c>
      <x:c r="E436" s="2" t="n">
        <x:v>2</x:v>
      </x:c>
      <x:c r="F436" s="2" t="n">
        <x:v>0</x:v>
      </x:c>
      <x:c r="G436" s="12" t="n">
        <x:v>107684</x:v>
      </x:c>
      <x:c r="H436" s="12" t="n">
        <x:v>0</x:v>
      </x:c>
      <x:c r="I436" s="13" t="n">
        <x:v>0</x:v>
      </x:c>
      <x:c r="J436" s="2" t="n">
        <x:v>2</x:v>
      </x:c>
      <x:c r="K436" s="2" t="n">
        <x:v>1</x:v>
      </x:c>
      <x:c r="L436" s="12" t="n">
        <x:v>17649.75</x:v>
      </x:c>
      <x:c r="M436" s="13" t="n">
        <x:v>1</x:v>
      </x:c>
      <x:c r="N436" s="13" t="n">
        <x:f>H436/G436</x:f>
        <x:v>0</x:v>
      </x:c>
      <x:c r="O436" s="13" t="n">
        <x:f>F436/E436</x:f>
        <x:v>0</x:v>
      </x:c>
      <x:c r="P436" s="2" t="str">
        <x:f>IF(AND(E436&gt;='Итоги'!$F$5,N436&lt;='Итоги'!$B$5,O436&gt;='Итоги'!$D$5),"Да","Нет")</x:f>
        <x:v>Нет</x:v>
      </x:c>
    </x:row>
    <x:row r="437" ht="60" customHeight="1">
      <x:c r="A437" s="14" t="str">
        <x:v>Мелкая бытовая техника</x:v>
      </x:c>
      <x:c r="B437" s="14" t="str">
        <x:v>SDA Климатическая техника</x:v>
      </x:c>
      <x:c r="C437" s="14" t="str">
        <x:v>Климатическая техника SDA</x:v>
      </x:c>
      <x:c r="D437" s="14" t="str">
        <x:v>Очиститель воздуха Dyson</x:v>
      </x:c>
      <x:c r="E437" s="2" t="n">
        <x:v>2</x:v>
      </x:c>
      <x:c r="F437" s="2" t="n">
        <x:v>0</x:v>
      </x:c>
      <x:c r="G437" s="12" t="n">
        <x:v>790822</x:v>
      </x:c>
      <x:c r="H437" s="12" t="n">
        <x:v>0</x:v>
      </x:c>
      <x:c r="I437" s="13" t="n">
        <x:v>0</x:v>
      </x:c>
      <x:c r="J437" s="2" t="n">
        <x:v>2</x:v>
      </x:c>
      <x:c r="K437" s="2" t="n">
        <x:v>1</x:v>
      </x:c>
      <x:c r="L437" s="12" t="n">
        <x:v>44919.26315</x:v>
      </x:c>
      <x:c r="M437" s="13" t="n">
        <x:v>1</x:v>
      </x:c>
      <x:c r="N437" s="13" t="n">
        <x:f>H437/G437</x:f>
        <x:v>0</x:v>
      </x:c>
      <x:c r="O437" s="13" t="n">
        <x:f>F437/E437</x:f>
        <x:v>0</x:v>
      </x:c>
      <x:c r="P437" s="2" t="str">
        <x:f>IF(AND(E437&gt;='Итоги'!$F$5,N437&lt;='Итоги'!$B$5,O437&gt;='Итоги'!$D$5),"Да","Нет")</x:f>
        <x:v>Нет</x:v>
      </x:c>
    </x:row>
    <x:row r="438" ht="60" customHeight="1">
      <x:c r="A438" s="14" t="str">
        <x:v>Мелкая бытовая техника</x:v>
      </x:c>
      <x:c r="B438" s="14" t="str">
        <x:v>Мелкая бытовая техника SDA</x:v>
      </x:c>
      <x:c r="C438" s="14" t="str">
        <x:v>Электронные товары для красоты и здоровья SDA</x:v>
      </x:c>
      <x:c r="D438" s="14" t="str">
        <x:v>Выпрямитель для волос Dyson</x:v>
      </x:c>
      <x:c r="E438" s="2" t="n">
        <x:v>2</x:v>
      </x:c>
      <x:c r="F438" s="2" t="n">
        <x:v>0</x:v>
      </x:c>
      <x:c r="G438" s="12" t="n">
        <x:v>174474</x:v>
      </x:c>
      <x:c r="H438" s="12" t="n">
        <x:v>0</x:v>
      </x:c>
      <x:c r="I438" s="13" t="n">
        <x:v>0</x:v>
      </x:c>
      <x:c r="J438" s="2" t="n">
        <x:v>2</x:v>
      </x:c>
      <x:c r="K438" s="2" t="n">
        <x:v>1</x:v>
      </x:c>
      <x:c r="L438" s="12" t="n">
        <x:v>55858.5</x:v>
      </x:c>
      <x:c r="M438" s="13" t="n">
        <x:v>1</x:v>
      </x:c>
      <x:c r="N438" s="13" t="n">
        <x:f>H438/G438</x:f>
        <x:v>0</x:v>
      </x:c>
      <x:c r="O438" s="13" t="n">
        <x:f>F438/E438</x:f>
        <x:v>0</x:v>
      </x:c>
      <x:c r="P438" s="2" t="str">
        <x:f>IF(AND(E438&gt;='Итоги'!$F$5,N438&lt;='Итоги'!$B$5,O438&gt;='Итоги'!$D$5),"Да","Нет")</x:f>
        <x:v>Нет</x:v>
      </x:c>
    </x:row>
    <x:row r="439" ht="60" customHeight="1">
      <x:c r="A439" s="14" t="str">
        <x:v>Ноутбуки и компьютеры</x:v>
      </x:c>
      <x:c r="B439" s="14" t="str">
        <x:v>Digital</x:v>
      </x:c>
      <x:c r="C439" s="14" t="str">
        <x:v>Цифровой контент - Другое</x:v>
      </x:c>
      <x:c r="D439" s="14" t="str">
        <x:v>Цифровой контент - Пополнение баланса социальной сети</x:v>
      </x:c>
      <x:c r="E439" s="2" t="n">
        <x:v>2</x:v>
      </x:c>
      <x:c r="F439" s="2" t="n">
        <x:v>0</x:v>
      </x:c>
      <x:c r="G439" s="12" t="n">
        <x:v>343779</x:v>
      </x:c>
      <x:c r="H439" s="12" t="n">
        <x:v>0</x:v>
      </x:c>
      <x:c r="I439" s="13" t="n">
        <x:v>0</x:v>
      </x:c>
      <x:c r="J439" s="2" t="n">
        <x:v>2</x:v>
      </x:c>
      <x:c r="K439" s="2" t="n">
        <x:v>1</x:v>
      </x:c>
      <x:c r="L439" s="12" t="n">
        <x:v>2627.45615</x:v>
      </x:c>
      <x:c r="M439" s="13" t="n">
        <x:v>1</x:v>
      </x:c>
      <x:c r="N439" s="13" t="n">
        <x:f>H439/G439</x:f>
        <x:v>0</x:v>
      </x:c>
      <x:c r="O439" s="13" t="n">
        <x:f>F439/E439</x:f>
        <x:v>0</x:v>
      </x:c>
      <x:c r="P439" s="2" t="str">
        <x:f>IF(AND(E439&gt;='Итоги'!$F$5,N439&lt;='Итоги'!$B$5,O439&gt;='Итоги'!$D$5),"Да","Нет")</x:f>
        <x:v>Нет</x:v>
      </x:c>
    </x:row>
    <x:row r="440" ht="60" customHeight="1">
      <x:c r="A440" s="14" t="str">
        <x:v>Ноутбуки и компьютеры</x:v>
      </x:c>
      <x:c r="B440" s="14" t="str">
        <x:v>Digital</x:v>
      </x:c>
      <x:c r="C440" s="14" t="str">
        <x:v>Цифровой контент - Подписки на фильмы, музыку, книги</x:v>
      </x:c>
      <x:c r="D440" s="14" t="str">
        <x:v>Цифровой контент - Подписка на электронную книгу, аудиокнигу</x:v>
      </x:c>
      <x:c r="E440" s="2" t="n">
        <x:v>2</x:v>
      </x:c>
      <x:c r="F440" s="2" t="n">
        <x:v>0</x:v>
      </x:c>
      <x:c r="G440" s="12" t="n">
        <x:v>579300</x:v>
      </x:c>
      <x:c r="H440" s="12" t="n">
        <x:v>0</x:v>
      </x:c>
      <x:c r="I440" s="13" t="n">
        <x:v>0</x:v>
      </x:c>
      <x:c r="J440" s="2" t="n">
        <x:v>2</x:v>
      </x:c>
      <x:c r="K440" s="2" t="n">
        <x:v>1</x:v>
      </x:c>
      <x:c r="L440" s="12" t="n">
        <x:v>2172</x:v>
      </x:c>
      <x:c r="M440" s="13" t="n">
        <x:v>1</x:v>
      </x:c>
      <x:c r="N440" s="13" t="n">
        <x:f>H440/G440</x:f>
        <x:v>0</x:v>
      </x:c>
      <x:c r="O440" s="13" t="n">
        <x:f>F440/E440</x:f>
        <x:v>0</x:v>
      </x:c>
      <x:c r="P440" s="2" t="str">
        <x:f>IF(AND(E440&gt;='Итоги'!$F$5,N440&lt;='Итоги'!$B$5,O440&gt;='Итоги'!$D$5),"Да","Нет")</x:f>
        <x:v>Нет</x:v>
      </x:c>
    </x:row>
    <x:row r="441" ht="60" customHeight="1">
      <x:c r="A441" s="14" t="str">
        <x:v>Ноутбуки и компьютеры</x:v>
      </x:c>
      <x:c r="B441" s="14" t="str">
        <x:v>Digital</x:v>
      </x:c>
      <x:c r="C441" s="14" t="str">
        <x:v>Цифровой контент - Программное обеспечение</x:v>
      </x:c>
      <x:c r="D441" s="14" t="str">
        <x:v>Цифровой контент - Офисное приложение</x:v>
      </x:c>
      <x:c r="E441" s="2" t="n">
        <x:v>2</x:v>
      </x:c>
      <x:c r="F441" s="2" t="n">
        <x:v>0</x:v>
      </x:c>
      <x:c r="G441" s="12" t="n">
        <x:v>706670</x:v>
      </x:c>
      <x:c r="H441" s="12" t="n">
        <x:v>0</x:v>
      </x:c>
      <x:c r="I441" s="13" t="n">
        <x:v>0</x:v>
      </x:c>
      <x:c r="J441" s="2" t="n">
        <x:v>2</x:v>
      </x:c>
      <x:c r="K441" s="2" t="n">
        <x:v>1</x:v>
      </x:c>
      <x:c r="L441" s="12" t="n">
        <x:v>6004.367</x:v>
      </x:c>
      <x:c r="M441" s="13" t="n">
        <x:v>1</x:v>
      </x:c>
      <x:c r="N441" s="13" t="n">
        <x:f>H441/G441</x:f>
        <x:v>0</x:v>
      </x:c>
      <x:c r="O441" s="13" t="n">
        <x:f>F441/E441</x:f>
        <x:v>0</x:v>
      </x:c>
      <x:c r="P441" s="2" t="str">
        <x:f>IF(AND(E441&gt;='Итоги'!$F$5,N441&lt;='Итоги'!$B$5,O441&gt;='Итоги'!$D$5),"Да","Нет")</x:f>
        <x:v>Нет</x:v>
      </x:c>
    </x:row>
    <x:row r="442" ht="60" customHeight="1">
      <x:c r="A442" s="14" t="str">
        <x:v>Ноутбуки и компьютеры</x:v>
      </x:c>
      <x:c r="B442" s="14" t="str">
        <x:v>Компьютерная периферия Lap&amp;Comp</x:v>
      </x:c>
      <x:c r="C442" s="14" t="str">
        <x:v>Сетевое оборудование Lap&amp;Comp</x:v>
      </x:c>
      <x:c r="D442" s="14" t="str">
        <x:v>Сетевой переключатель</x:v>
      </x:c>
      <x:c r="E442" s="2" t="n">
        <x:v>2</x:v>
      </x:c>
      <x:c r="F442" s="2" t="n">
        <x:v>0</x:v>
      </x:c>
      <x:c r="G442" s="12" t="n">
        <x:v>213646.0246</x:v>
      </x:c>
      <x:c r="H442" s="12" t="n">
        <x:v>0</x:v>
      </x:c>
      <x:c r="I442" s="13" t="n">
        <x:v>0</x:v>
      </x:c>
      <x:c r="J442" s="2" t="n">
        <x:v>2</x:v>
      </x:c>
      <x:c r="K442" s="2" t="n">
        <x:v>2</x:v>
      </x:c>
      <x:c r="L442" s="12" t="n">
        <x:v>3052.669</x:v>
      </x:c>
      <x:c r="M442" s="13" t="n">
        <x:v>0.5198319267018087</x:v>
      </x:c>
      <x:c r="N442" s="13" t="n">
        <x:f>H442/G442</x:f>
        <x:v>0</x:v>
      </x:c>
      <x:c r="O442" s="13" t="n">
        <x:f>F442/E442</x:f>
        <x:v>0</x:v>
      </x:c>
      <x:c r="P442" s="2" t="str">
        <x:f>IF(AND(E442&gt;='Итоги'!$F$5,N442&lt;='Итоги'!$B$5,O442&gt;='Итоги'!$D$5),"Да","Нет")</x:f>
        <x:v>Нет</x:v>
      </x:c>
    </x:row>
    <x:row r="443" ht="60" customHeight="1">
      <x:c r="A443" s="14" t="str">
        <x:v>Обувь</x:v>
      </x:c>
      <x:c r="B443" s="14" t="str">
        <x:v>Обувь мужская</x:v>
      </x:c>
      <x:c r="C443" s="14" t="str">
        <x:v>Обувь мужская зимняя</x:v>
      </x:c>
      <x:c r="D443" s="14" t="str">
        <x:v>Мужские Галоши</x:v>
      </x:c>
      <x:c r="E443" s="2" t="n">
        <x:v>2</x:v>
      </x:c>
      <x:c r="F443" s="2" t="n">
        <x:v>0</x:v>
      </x:c>
      <x:c r="G443" s="12" t="n">
        <x:v>182153.4736</x:v>
      </x:c>
      <x:c r="H443" s="12" t="n">
        <x:v>0</x:v>
      </x:c>
      <x:c r="I443" s="13" t="n">
        <x:v>0</x:v>
      </x:c>
      <x:c r="J443" s="2" t="n">
        <x:v>2</x:v>
      </x:c>
      <x:c r="K443" s="2" t="n">
        <x:v>1</x:v>
      </x:c>
      <x:c r="L443" s="12" t="n">
        <x:v>1380.42765</x:v>
      </x:c>
      <x:c r="M443" s="13" t="n">
        <x:v>1</x:v>
      </x:c>
      <x:c r="N443" s="13" t="n">
        <x:f>H443/G443</x:f>
        <x:v>0</x:v>
      </x:c>
      <x:c r="O443" s="13" t="n">
        <x:f>F443/E443</x:f>
        <x:v>0</x:v>
      </x:c>
      <x:c r="P443" s="2" t="str">
        <x:f>IF(AND(E443&gt;='Итоги'!$F$5,N443&lt;='Итоги'!$B$5,O443&gt;='Итоги'!$D$5),"Да","Нет")</x:f>
        <x:v>Нет</x:v>
      </x:c>
    </x:row>
    <x:row r="444" ht="60" customHeight="1">
      <x:c r="A444" s="14" t="str">
        <x:v>Одежда</x:v>
      </x:c>
      <x:c r="B444" s="14" t="str">
        <x:v>Белье, домашняя одежда и ЧНИ</x:v>
      </x:c>
      <x:c r="C444" s="14" t="str">
        <x:v>Домашняя одежда женская</x:v>
      </x:c>
      <x:c r="D444" s="14" t="str">
        <x:v>Лонгслив домашний женский</x:v>
      </x:c>
      <x:c r="E444" s="2" t="n">
        <x:v>2</x:v>
      </x:c>
      <x:c r="F444" s="2" t="n">
        <x:v>0</x:v>
      </x:c>
      <x:c r="G444" s="12" t="n">
        <x:v>23842.75</x:v>
      </x:c>
      <x:c r="H444" s="12" t="n">
        <x:v>0</x:v>
      </x:c>
      <x:c r="I444" s="13" t="n">
        <x:v>0</x:v>
      </x:c>
      <x:c r="J444" s="2" t="n">
        <x:v>2</x:v>
      </x:c>
      <x:c r="K444" s="2" t="n">
        <x:v>1</x:v>
      </x:c>
      <x:c r="L444" s="12" t="n">
        <x:v>1489.0875</x:v>
      </x:c>
      <x:c r="M444" s="13" t="n">
        <x:v>1</x:v>
      </x:c>
      <x:c r="N444" s="13" t="n">
        <x:f>H444/G444</x:f>
        <x:v>0</x:v>
      </x:c>
      <x:c r="O444" s="13" t="n">
        <x:f>F444/E444</x:f>
        <x:v>0</x:v>
      </x:c>
      <x:c r="P444" s="2" t="str">
        <x:f>IF(AND(E444&gt;='Итоги'!$F$5,N444&lt;='Итоги'!$B$5,O444&gt;='Итоги'!$D$5),"Да","Нет")</x:f>
        <x:v>Нет</x:v>
      </x:c>
    </x:row>
    <x:row r="445" ht="60" customHeight="1">
      <x:c r="A445" s="14" t="str">
        <x:v>Одежда</x:v>
      </x:c>
      <x:c r="B445" s="14" t="str">
        <x:v>Белье, домашняя одежда и ЧНИ</x:v>
      </x:c>
      <x:c r="C445" s="14" t="str">
        <x:v>Домашняя одежда мужская</x:v>
      </x:c>
      <x:c r="D445" s="14" t="str">
        <x:v>Комплект домашний мужской</x:v>
      </x:c>
      <x:c r="E445" s="2" t="n">
        <x:v>2</x:v>
      </x:c>
      <x:c r="F445" s="2" t="n">
        <x:v>0</x:v>
      </x:c>
      <x:c r="G445" s="12" t="n">
        <x:v>16865</x:v>
      </x:c>
      <x:c r="H445" s="12" t="n">
        <x:v>0</x:v>
      </x:c>
      <x:c r="I445" s="13" t="n">
        <x:v>0</x:v>
      </x:c>
      <x:c r="J445" s="2" t="n">
        <x:v>2</x:v>
      </x:c>
      <x:c r="K445" s="2" t="n">
        <x:v>1</x:v>
      </x:c>
      <x:c r="L445" s="12" t="n">
        <x:v>8432.5</x:v>
      </x:c>
      <x:c r="M445" s="13" t="n">
        <x:v>1</x:v>
      </x:c>
      <x:c r="N445" s="13" t="n">
        <x:f>H445/G445</x:f>
        <x:v>0</x:v>
      </x:c>
      <x:c r="O445" s="13" t="n">
        <x:f>F445/E445</x:f>
        <x:v>0</x:v>
      </x:c>
      <x:c r="P445" s="2" t="str">
        <x:f>IF(AND(E445&gt;='Итоги'!$F$5,N445&lt;='Итоги'!$B$5,O445&gt;='Итоги'!$D$5),"Да","Нет")</x:f>
        <x:v>Нет</x:v>
      </x:c>
    </x:row>
    <x:row r="446" ht="60" customHeight="1">
      <x:c r="A446" s="14" t="str">
        <x:v>Одежда</x:v>
      </x:c>
      <x:c r="B446" s="14" t="str">
        <x:v>Белье, домашняя одежда и ЧНИ</x:v>
      </x:c>
      <x:c r="C446" s="14" t="str">
        <x:v>Домашняя одежда мужская</x:v>
      </x:c>
      <x:c r="D446" s="14" t="str">
        <x:v>Толстовка домашняя мужская</x:v>
      </x:c>
      <x:c r="E446" s="2" t="n">
        <x:v>2</x:v>
      </x:c>
      <x:c r="F446" s="2" t="n">
        <x:v>0</x:v>
      </x:c>
      <x:c r="G446" s="12" t="n">
        <x:v>11516</x:v>
      </x:c>
      <x:c r="H446" s="12" t="n">
        <x:v>0</x:v>
      </x:c>
      <x:c r="I446" s="13" t="n">
        <x:v>0</x:v>
      </x:c>
      <x:c r="J446" s="2" t="n">
        <x:v>2</x:v>
      </x:c>
      <x:c r="K446" s="2" t="n">
        <x:v>2</x:v>
      </x:c>
      <x:c r="L446" s="12" t="n">
        <x:v>4076.5</x:v>
      </x:c>
      <x:c r="M446" s="13" t="n">
        <x:v>0.5840569642236888</x:v>
      </x:c>
      <x:c r="N446" s="13" t="n">
        <x:f>H446/G446</x:f>
        <x:v>0</x:v>
      </x:c>
      <x:c r="O446" s="13" t="n">
        <x:f>F446/E446</x:f>
        <x:v>0</x:v>
      </x:c>
      <x:c r="P446" s="2" t="str">
        <x:f>IF(AND(E446&gt;='Итоги'!$F$5,N446&lt;='Итоги'!$B$5,O446&gt;='Итоги'!$D$5),"Да","Нет")</x:f>
        <x:v>Нет</x:v>
      </x:c>
    </x:row>
    <x:row r="447" ht="60" customHeight="1">
      <x:c r="A447" s="14" t="str">
        <x:v>Одежда</x:v>
      </x:c>
      <x:c r="B447" s="14" t="str">
        <x:v>Верхняя одежда</x:v>
      </x:c>
      <x:c r="C447" s="14" t="str">
        <x:v>Верхняя одежда женская</x:v>
      </x:c>
      <x:c r="D447" s="14" t="str">
        <x:v>Полукомбинезон утепленный женский</x:v>
      </x:c>
      <x:c r="E447" s="2" t="n">
        <x:v>2</x:v>
      </x:c>
      <x:c r="F447" s="2" t="n">
        <x:v>0</x:v>
      </x:c>
      <x:c r="G447" s="12" t="n">
        <x:v>38008.5</x:v>
      </x:c>
      <x:c r="H447" s="12" t="n">
        <x:v>0</x:v>
      </x:c>
      <x:c r="I447" s="13" t="n">
        <x:v>0</x:v>
      </x:c>
      <x:c r="J447" s="2" t="n">
        <x:v>2</x:v>
      </x:c>
      <x:c r="K447" s="2" t="n">
        <x:v>2</x:v>
      </x:c>
      <x:c r="L447" s="12" t="n">
        <x:v>12629.25</x:v>
      </x:c>
      <x:c r="M447" s="13" t="n">
        <x:v>0.6709025612691898</x:v>
      </x:c>
      <x:c r="N447" s="13" t="n">
        <x:f>H447/G447</x:f>
        <x:v>0</x:v>
      </x:c>
      <x:c r="O447" s="13" t="n">
        <x:f>F447/E447</x:f>
        <x:v>0</x:v>
      </x:c>
      <x:c r="P447" s="2" t="str">
        <x:f>IF(AND(E447&gt;='Итоги'!$F$5,N447&lt;='Итоги'!$B$5,O447&gt;='Итоги'!$D$5),"Да","Нет")</x:f>
        <x:v>Нет</x:v>
      </x:c>
    </x:row>
    <x:row r="448" ht="60" customHeight="1">
      <x:c r="A448" s="14" t="str">
        <x:v>Одежда</x:v>
      </x:c>
      <x:c r="B448" s="14" t="str">
        <x:v>Основная одежда женская</x:v>
      </x:c>
      <x:c r="C448" s="14" t="str">
        <x:v>Головные уборы, перчатки, шарфы женские</x:v>
      </x:c>
      <x:c r="D448" s="14" t="str">
        <x:v>Спортивная балаклава</x:v>
      </x:c>
      <x:c r="E448" s="2" t="n">
        <x:v>2</x:v>
      </x:c>
      <x:c r="F448" s="2" t="n">
        <x:v>0</x:v>
      </x:c>
      <x:c r="G448" s="12" t="n">
        <x:v>127613.46</x:v>
      </x:c>
      <x:c r="H448" s="12" t="n">
        <x:v>0</x:v>
      </x:c>
      <x:c r="I448" s="13" t="n">
        <x:v>0</x:v>
      </x:c>
      <x:c r="J448" s="2" t="n">
        <x:v>2</x:v>
      </x:c>
      <x:c r="K448" s="2" t="n">
        <x:v>2</x:v>
      </x:c>
      <x:c r="L448" s="12" t="n">
        <x:v>2244.7009</x:v>
      </x:c>
      <x:c r="M448" s="13" t="n">
        <x:v>0.7168849586869599</x:v>
      </x:c>
      <x:c r="N448" s="13" t="n">
        <x:f>H448/G448</x:f>
        <x:v>0</x:v>
      </x:c>
      <x:c r="O448" s="13" t="n">
        <x:f>F448/E448</x:f>
        <x:v>0</x:v>
      </x:c>
      <x:c r="P448" s="2" t="str">
        <x:f>IF(AND(E448&gt;='Итоги'!$F$5,N448&lt;='Итоги'!$B$5,O448&gt;='Итоги'!$D$5),"Да","Нет")</x:f>
        <x:v>Нет</x:v>
      </x:c>
    </x:row>
    <x:row r="449" ht="60" customHeight="1">
      <x:c r="A449" s="14" t="str">
        <x:v>Одежда</x:v>
      </x:c>
      <x:c r="B449" s="14" t="str">
        <x:v>Основная одежда мужская</x:v>
      </x:c>
      <x:c r="C449" s="14" t="str">
        <x:v>Головные уборы, перчатки, шарфы мужские</x:v>
      </x:c>
      <x:c r="D449" s="14" t="str">
        <x:v>Мужская шапка кожаная</x:v>
      </x:c>
      <x:c r="E449" s="2" t="n">
        <x:v>2</x:v>
      </x:c>
      <x:c r="F449" s="2" t="n">
        <x:v>0</x:v>
      </x:c>
      <x:c r="G449" s="12" t="n">
        <x:v>9710</x:v>
      </x:c>
      <x:c r="H449" s="12" t="n">
        <x:v>0</x:v>
      </x:c>
      <x:c r="I449" s="13" t="n">
        <x:v>0</x:v>
      </x:c>
      <x:c r="J449" s="2" t="n">
        <x:v>2</x:v>
      </x:c>
      <x:c r="K449" s="2" t="n">
        <x:v>1</x:v>
      </x:c>
      <x:c r="L449" s="12" t="n">
        <x:v>4855</x:v>
      </x:c>
      <x:c r="M449" s="13" t="n">
        <x:v>1</x:v>
      </x:c>
      <x:c r="N449" s="13" t="n">
        <x:f>H449/G449</x:f>
        <x:v>0</x:v>
      </x:c>
      <x:c r="O449" s="13" t="n">
        <x:f>F449/E449</x:f>
        <x:v>0</x:v>
      </x:c>
      <x:c r="P449" s="2" t="str">
        <x:f>IF(AND(E449&gt;='Итоги'!$F$5,N449&lt;='Итоги'!$B$5,O449&gt;='Итоги'!$D$5),"Да","Нет")</x:f>
        <x:v>Нет</x:v>
      </x:c>
    </x:row>
    <x:row r="450" ht="60" customHeight="1">
      <x:c r="A450" s="14" t="str">
        <x:v>Одежда</x:v>
      </x:c>
      <x:c r="B450" s="14" t="str">
        <x:v>Основная одежда мужская</x:v>
      </x:c>
      <x:c r="C450" s="14" t="str">
        <x:v>Головные уборы, перчатки, шарфы мужские</x:v>
      </x:c>
      <x:c r="D450" s="14" t="str">
        <x:v>Мужские перчатки кожаные утепленные</x:v>
      </x:c>
      <x:c r="E450" s="2" t="n">
        <x:v>2</x:v>
      </x:c>
      <x:c r="F450" s="2" t="n">
        <x:v>0</x:v>
      </x:c>
      <x:c r="G450" s="12" t="n">
        <x:v>22527</x:v>
      </x:c>
      <x:c r="H450" s="12" t="n">
        <x:v>0</x:v>
      </x:c>
      <x:c r="I450" s="13" t="n">
        <x:v>0</x:v>
      </x:c>
      <x:c r="J450" s="2" t="n">
        <x:v>2</x:v>
      </x:c>
      <x:c r="K450" s="2" t="n">
        <x:v>1</x:v>
      </x:c>
      <x:c r="L450" s="12" t="n">
        <x:v>7775.25</x:v>
      </x:c>
      <x:c r="M450" s="13" t="n">
        <x:v>1</x:v>
      </x:c>
      <x:c r="N450" s="13" t="n">
        <x:f>H450/G450</x:f>
        <x:v>0</x:v>
      </x:c>
      <x:c r="O450" s="13" t="n">
        <x:f>F450/E450</x:f>
        <x:v>0</x:v>
      </x:c>
      <x:c r="P450" s="2" t="str">
        <x:f>IF(AND(E450&gt;='Итоги'!$F$5,N450&lt;='Итоги'!$B$5,O450&gt;='Итоги'!$D$5),"Да","Нет")</x:f>
        <x:v>Нет</x:v>
      </x:c>
    </x:row>
    <x:row r="451" ht="60" customHeight="1">
      <x:c r="A451" s="14" t="str">
        <x:v>Одежда</x:v>
      </x:c>
      <x:c r="B451" s="14" t="str">
        <x:v>Спецодежда и одежда для мероприятий</x:v>
      </x:c>
      <x:c r="C451" s="14" t="str">
        <x:v>Карнавальные костюмы</x:v>
      </x:c>
      <x:c r="D451" s="14" t="str">
        <x:v>Карнавальная накидка</x:v>
      </x:c>
      <x:c r="E451" s="2" t="n">
        <x:v>2</x:v>
      </x:c>
      <x:c r="F451" s="2" t="n">
        <x:v>0</x:v>
      </x:c>
      <x:c r="G451" s="12" t="n">
        <x:v>379285.1373</x:v>
      </x:c>
      <x:c r="H451" s="12" t="n">
        <x:v>0</x:v>
      </x:c>
      <x:c r="I451" s="13" t="n">
        <x:v>0</x:v>
      </x:c>
      <x:c r="J451" s="2" t="n">
        <x:v>2</x:v>
      </x:c>
      <x:c r="K451" s="2" t="n">
        <x:v>1</x:v>
      </x:c>
      <x:c r="L451" s="12" t="n">
        <x:v>1895.28335</x:v>
      </x:c>
      <x:c r="M451" s="13" t="n">
        <x:v>1</x:v>
      </x:c>
      <x:c r="N451" s="13" t="n">
        <x:f>H451/G451</x:f>
        <x:v>0</x:v>
      </x:c>
      <x:c r="O451" s="13" t="n">
        <x:f>F451/E451</x:f>
        <x:v>0</x:v>
      </x:c>
      <x:c r="P451" s="2" t="str">
        <x:f>IF(AND(E451&gt;='Итоги'!$F$5,N451&lt;='Итоги'!$B$5,O451&gt;='Итоги'!$D$5),"Да","Нет")</x:f>
        <x:v>Нет</x:v>
      </x:c>
    </x:row>
    <x:row r="452" ht="60" customHeight="1">
      <x:c r="A452" s="14" t="str">
        <x:v>Одежда</x:v>
      </x:c>
      <x:c r="B452" s="14" t="str">
        <x:v>Спецодежда и одежда для мероприятий</x:v>
      </x:c>
      <x:c r="C452" s="14" t="str">
        <x:v>Спецодежда женская</x:v>
      </x:c>
      <x:c r="D452" s="14" t="str">
        <x:v>Рабочий халат женский</x:v>
      </x:c>
      <x:c r="E452" s="2" t="n">
        <x:v>2</x:v>
      </x:c>
      <x:c r="F452" s="2" t="n">
        <x:v>0</x:v>
      </x:c>
      <x:c r="G452" s="12" t="n">
        <x:v>16290.75</x:v>
      </x:c>
      <x:c r="H452" s="12" t="n">
        <x:v>0</x:v>
      </x:c>
      <x:c r="I452" s="13" t="n">
        <x:v>0</x:v>
      </x:c>
      <x:c r="J452" s="2" t="n">
        <x:v>2</x:v>
      </x:c>
      <x:c r="K452" s="2" t="n">
        <x:v>1</x:v>
      </x:c>
      <x:c r="L452" s="12" t="n">
        <x:v>2629.8125</x:v>
      </x:c>
      <x:c r="M452" s="13" t="n">
        <x:v>1</x:v>
      </x:c>
      <x:c r="N452" s="13" t="n">
        <x:f>H452/G452</x:f>
        <x:v>0</x:v>
      </x:c>
      <x:c r="O452" s="13" t="n">
        <x:f>F452/E452</x:f>
        <x:v>0</x:v>
      </x:c>
      <x:c r="P452" s="2" t="str">
        <x:f>IF(AND(E452&gt;='Итоги'!$F$5,N452&lt;='Итоги'!$B$5,O452&gt;='Итоги'!$D$5),"Да","Нет")</x:f>
        <x:v>Нет</x:v>
      </x:c>
    </x:row>
    <x:row r="453" ht="60" customHeight="1">
      <x:c r="A453" s="14" t="str">
        <x:v>Спорт и отдых</x:v>
      </x:c>
      <x:c r="B453" s="14" t="str">
        <x:v>Водные виды спорта</x:v>
      </x:c>
      <x:c r="C453" s="14" t="str">
        <x:v>Дайвинг</x:v>
      </x:c>
      <x:c r="D453" s="14" t="str">
        <x:v>Грузовая система для дайвинга</x:v>
      </x:c>
      <x:c r="E453" s="2" t="n">
        <x:v>2</x:v>
      </x:c>
      <x:c r="F453" s="2" t="n">
        <x:v>0</x:v>
      </x:c>
      <x:c r="G453" s="12" t="n">
        <x:v>271715.3972</x:v>
      </x:c>
      <x:c r="H453" s="12" t="n">
        <x:v>0</x:v>
      </x:c>
      <x:c r="I453" s="13" t="n">
        <x:v>0</x:v>
      </x:c>
      <x:c r="J453" s="2" t="n">
        <x:v>2</x:v>
      </x:c>
      <x:c r="K453" s="2" t="n">
        <x:v>1</x:v>
      </x:c>
      <x:c r="L453" s="12" t="n">
        <x:v>1634.55505</x:v>
      </x:c>
      <x:c r="M453" s="13" t="n">
        <x:v>1</x:v>
      </x:c>
      <x:c r="N453" s="13" t="n">
        <x:f>H453/G453</x:f>
        <x:v>0</x:v>
      </x:c>
      <x:c r="O453" s="13" t="n">
        <x:f>F453/E453</x:f>
        <x:v>0</x:v>
      </x:c>
      <x:c r="P453" s="2" t="str">
        <x:f>IF(AND(E453&gt;='Итоги'!$F$5,N453&lt;='Итоги'!$B$5,O453&gt;='Итоги'!$D$5),"Да","Нет")</x:f>
        <x:v>Нет</x:v>
      </x:c>
    </x:row>
    <x:row r="454" ht="60" customHeight="1">
      <x:c r="A454" s="14" t="str">
        <x:v>Спорт и отдых</x:v>
      </x:c>
      <x:c r="B454" s="14" t="str">
        <x:v>Водные виды спорта</x:v>
      </x:c>
      <x:c r="C454" s="14" t="str">
        <x:v>Каяк/байдарка</x:v>
      </x:c>
      <x:c r="D454" s="14" t="str">
        <x:v>Байдарка</x:v>
      </x:c>
      <x:c r="E454" s="2" t="n">
        <x:v>2</x:v>
      </x:c>
      <x:c r="F454" s="2" t="n">
        <x:v>0</x:v>
      </x:c>
      <x:c r="G454" s="12" t="n">
        <x:v>250037</x:v>
      </x:c>
      <x:c r="H454" s="12" t="n">
        <x:v>0</x:v>
      </x:c>
      <x:c r="I454" s="13" t="n">
        <x:v>0</x:v>
      </x:c>
      <x:c r="J454" s="2" t="n">
        <x:v>2</x:v>
      </x:c>
      <x:c r="K454" s="2" t="n">
        <x:v>2</x:v>
      </x:c>
      <x:c r="L454" s="12" t="n">
        <x:v>12079.02275</x:v>
      </x:c>
      <x:c r="M454" s="13" t="n">
        <x:v>0.8874406587825002</x:v>
      </x:c>
      <x:c r="N454" s="13" t="n">
        <x:f>H454/G454</x:f>
        <x:v>0</x:v>
      </x:c>
      <x:c r="O454" s="13" t="n">
        <x:f>F454/E454</x:f>
        <x:v>0</x:v>
      </x:c>
      <x:c r="P454" s="2" t="str">
        <x:f>IF(AND(E454&gt;='Итоги'!$F$5,N454&lt;='Итоги'!$B$5,O454&gt;='Итоги'!$D$5),"Да","Нет")</x:f>
        <x:v>Нет</x:v>
      </x:c>
    </x:row>
    <x:row r="455" ht="60" customHeight="1">
      <x:c r="A455" s="14" t="str">
        <x:v>Спорт и отдых</x:v>
      </x:c>
      <x:c r="B455" s="14" t="str">
        <x:v>Водные виды спорта</x:v>
      </x:c>
      <x:c r="C455" s="14" t="str">
        <x:v>Отдых на воде</x:v>
      </x:c>
      <x:c r="D455" s="14" t="str">
        <x:v>Фал, планка для вейкборда, водных лыж и т.д.</x:v>
      </x:c>
      <x:c r="E455" s="2" t="n">
        <x:v>2</x:v>
      </x:c>
      <x:c r="F455" s="2" t="n">
        <x:v>0</x:v>
      </x:c>
      <x:c r="G455" s="12" t="n">
        <x:v>139190.8144</x:v>
      </x:c>
      <x:c r="H455" s="12" t="n">
        <x:v>0</x:v>
      </x:c>
      <x:c r="I455" s="13" t="n">
        <x:v>0</x:v>
      </x:c>
      <x:c r="J455" s="2" t="n">
        <x:v>2</x:v>
      </x:c>
      <x:c r="K455" s="2" t="n">
        <x:v>2</x:v>
      </x:c>
      <x:c r="L455" s="12" t="n">
        <x:v>4251.7384</x:v>
      </x:c>
      <x:c r="M455" s="13" t="n">
        <x:v>0.7384898237940046</x:v>
      </x:c>
      <x:c r="N455" s="13" t="n">
        <x:f>H455/G455</x:f>
        <x:v>0</x:v>
      </x:c>
      <x:c r="O455" s="13" t="n">
        <x:f>F455/E455</x:f>
        <x:v>0</x:v>
      </x:c>
      <x:c r="P455" s="2" t="str">
        <x:f>IF(AND(E455&gt;='Итоги'!$F$5,N455&lt;='Итоги'!$B$5,O455&gt;='Итоги'!$D$5),"Да","Нет")</x:f>
        <x:v>Нет</x:v>
      </x:c>
    </x:row>
    <x:row r="456" ht="60" customHeight="1">
      <x:c r="A456" s="14" t="str">
        <x:v>Спорт и отдых</x:v>
      </x:c>
      <x:c r="B456" s="14" t="str">
        <x:v>Водные виды спорта</x:v>
      </x:c>
      <x:c r="C456" s="14" t="str">
        <x:v>Плавание</x:v>
      </x:c>
      <x:c r="D456" s="14" t="str">
        <x:v>Набор для плавания</x:v>
      </x:c>
      <x:c r="E456" s="2" t="n">
        <x:v>2</x:v>
      </x:c>
      <x:c r="F456" s="2" t="n">
        <x:v>0</x:v>
      </x:c>
      <x:c r="G456" s="12" t="n">
        <x:v>30849</x:v>
      </x:c>
      <x:c r="H456" s="12" t="n">
        <x:v>0</x:v>
      </x:c>
      <x:c r="I456" s="13" t="n">
        <x:v>0</x:v>
      </x:c>
      <x:c r="J456" s="2" t="n">
        <x:v>2</x:v>
      </x:c>
      <x:c r="K456" s="2" t="n">
        <x:v>2</x:v>
      </x:c>
      <x:c r="L456" s="12" t="n">
        <x:v>2907.91665</x:v>
      </x:c>
      <x:c r="M456" s="13" t="n">
        <x:v>0.8009335796946416</x:v>
      </x:c>
      <x:c r="N456" s="13" t="n">
        <x:f>H456/G456</x:f>
        <x:v>0</x:v>
      </x:c>
      <x:c r="O456" s="13" t="n">
        <x:f>F456/E456</x:f>
        <x:v>0</x:v>
      </x:c>
      <x:c r="P456" s="2" t="str">
        <x:f>IF(AND(E456&gt;='Итоги'!$F$5,N456&lt;='Итоги'!$B$5,O456&gt;='Итоги'!$D$5),"Да","Нет")</x:f>
        <x:v>Нет</x:v>
      </x:c>
    </x:row>
    <x:row r="457" ht="60" customHeight="1">
      <x:c r="A457" s="14" t="str">
        <x:v>Спорт и отдых</x:v>
      </x:c>
      <x:c r="B457" s="14" t="str">
        <x:v>Всесезонные виды спорта</x:v>
      </x:c>
      <x:c r="C457" s="14" t="str">
        <x:v>Конный спорт</x:v>
      </x:c>
      <x:c r="D457" s="14" t="str">
        <x:v>Подпруга, путлища для конного спорта</x:v>
      </x:c>
      <x:c r="E457" s="2" t="n">
        <x:v>2</x:v>
      </x:c>
      <x:c r="F457" s="2" t="n">
        <x:v>0</x:v>
      </x:c>
      <x:c r="G457" s="12" t="n">
        <x:v>12498</x:v>
      </x:c>
      <x:c r="H457" s="12" t="n">
        <x:v>0</x:v>
      </x:c>
      <x:c r="I457" s="13" t="n">
        <x:v>0</x:v>
      </x:c>
      <x:c r="J457" s="2" t="n">
        <x:v>2</x:v>
      </x:c>
      <x:c r="K457" s="2" t="n">
        <x:v>2</x:v>
      </x:c>
      <x:c r="L457" s="12" t="n">
        <x:v>4680.75</x:v>
      </x:c>
      <x:c r="M457" s="13" t="n">
        <x:v>0.5019203072491598</x:v>
      </x:c>
      <x:c r="N457" s="13" t="n">
        <x:f>H457/G457</x:f>
        <x:v>0</x:v>
      </x:c>
      <x:c r="O457" s="13" t="n">
        <x:f>F457/E457</x:f>
        <x:v>0</x:v>
      </x:c>
      <x:c r="P457" s="2" t="str">
        <x:f>IF(AND(E457&gt;='Итоги'!$F$5,N457&lt;='Итоги'!$B$5,O457&gt;='Итоги'!$D$5),"Да","Нет")</x:f>
        <x:v>Нет</x:v>
      </x:c>
    </x:row>
    <x:row r="458" ht="60" customHeight="1">
      <x:c r="A458" s="14" t="str">
        <x:v>Спорт и отдых</x:v>
      </x:c>
      <x:c r="B458" s="14" t="str">
        <x:v>Всесезонные виды спорта</x:v>
      </x:c>
      <x:c r="C458" s="14" t="str">
        <x:v>Теннис</x:v>
      </x:c>
      <x:c r="D458" s="14" t="str">
        <x:v>Корзина для теннисных мячей</x:v>
      </x:c>
      <x:c r="E458" s="2" t="n">
        <x:v>2</x:v>
      </x:c>
      <x:c r="F458" s="2" t="n">
        <x:v>0</x:v>
      </x:c>
      <x:c r="G458" s="12" t="n">
        <x:v>43331</x:v>
      </x:c>
      <x:c r="H458" s="12" t="n">
        <x:v>0</x:v>
      </x:c>
      <x:c r="I458" s="13" t="n">
        <x:v>0</x:v>
      </x:c>
      <x:c r="J458" s="2" t="n">
        <x:v>2</x:v>
      </x:c>
      <x:c r="K458" s="2" t="n">
        <x:v>1</x:v>
      </x:c>
      <x:c r="L458" s="12" t="n">
        <x:v>4804</x:v>
      </x:c>
      <x:c r="M458" s="13" t="n">
        <x:v>1</x:v>
      </x:c>
      <x:c r="N458" s="13" t="n">
        <x:f>H458/G458</x:f>
        <x:v>0</x:v>
      </x:c>
      <x:c r="O458" s="13" t="n">
        <x:f>F458/E458</x:f>
        <x:v>0</x:v>
      </x:c>
      <x:c r="P458" s="2" t="str">
        <x:f>IF(AND(E458&gt;='Итоги'!$F$5,N458&lt;='Итоги'!$B$5,O458&gt;='Итоги'!$D$5),"Да","Нет")</x:f>
        <x:v>Нет</x:v>
      </x:c>
    </x:row>
    <x:row r="459" ht="60" customHeight="1">
      <x:c r="A459" s="14" t="str">
        <x:v>Спорт и отдых</x:v>
      </x:c>
      <x:c r="B459" s="14" t="str">
        <x:v>Всесезонные виды спорта</x:v>
      </x:c>
      <x:c r="C459" s="14" t="str">
        <x:v>Флорбол</x:v>
      </x:c>
      <x:c r="D459" s="14" t="str">
        <x:v>Клюшка для флорбола</x:v>
      </x:c>
      <x:c r="E459" s="2" t="n">
        <x:v>2</x:v>
      </x:c>
      <x:c r="F459" s="2" t="n">
        <x:v>0</x:v>
      </x:c>
      <x:c r="G459" s="12" t="n">
        <x:v>274434.9458</x:v>
      </x:c>
      <x:c r="H459" s="12" t="n">
        <x:v>0</x:v>
      </x:c>
      <x:c r="I459" s="13" t="n">
        <x:v>0</x:v>
      </x:c>
      <x:c r="J459" s="2" t="n">
        <x:v>2</x:v>
      </x:c>
      <x:c r="K459" s="2" t="n">
        <x:v>1</x:v>
      </x:c>
      <x:c r="L459" s="12" t="n">
        <x:v>1753.983</x:v>
      </x:c>
      <x:c r="M459" s="13" t="n">
        <x:v>1</x:v>
      </x:c>
      <x:c r="N459" s="13" t="n">
        <x:f>H459/G459</x:f>
        <x:v>0</x:v>
      </x:c>
      <x:c r="O459" s="13" t="n">
        <x:f>F459/E459</x:f>
        <x:v>0</x:v>
      </x:c>
      <x:c r="P459" s="2" t="str">
        <x:f>IF(AND(E459&gt;='Итоги'!$F$5,N459&lt;='Итоги'!$B$5,O459&gt;='Итоги'!$D$5),"Да","Нет")</x:f>
        <x:v>Нет</x:v>
      </x:c>
    </x:row>
    <x:row r="460" ht="60" customHeight="1">
      <x:c r="A460" s="14" t="str">
        <x:v>Спорт и отдых</x:v>
      </x:c>
      <x:c r="B460" s="14" t="str">
        <x:v>Зимние виды спорта</x:v>
      </x:c>
      <x:c r="C460" s="14" t="str">
        <x:v>Лыжный спорт</x:v>
      </x:c>
      <x:c r="D460" s="14" t="str">
        <x:v>Аксессуары для лыжероллеров</x:v>
      </x:c>
      <x:c r="E460" s="2" t="n">
        <x:v>2</x:v>
      </x:c>
      <x:c r="F460" s="2" t="n">
        <x:v>0</x:v>
      </x:c>
      <x:c r="G460" s="12" t="n">
        <x:v>213150.41</x:v>
      </x:c>
      <x:c r="H460" s="12" t="n">
        <x:v>0</x:v>
      </x:c>
      <x:c r="I460" s="13" t="n">
        <x:v>0</x:v>
      </x:c>
      <x:c r="J460" s="2" t="n">
        <x:v>2</x:v>
      </x:c>
      <x:c r="K460" s="2" t="n">
        <x:v>2</x:v>
      </x:c>
      <x:c r="L460" s="12" t="n">
        <x:v>3824.3325</x:v>
      </x:c>
      <x:c r="M460" s="13" t="n">
        <x:v>0.7388979922675261</x:v>
      </x:c>
      <x:c r="N460" s="13" t="n">
        <x:f>H460/G460</x:f>
        <x:v>0</x:v>
      </x:c>
      <x:c r="O460" s="13" t="n">
        <x:f>F460/E460</x:f>
        <x:v>0</x:v>
      </x:c>
      <x:c r="P460" s="2" t="str">
        <x:f>IF(AND(E460&gt;='Итоги'!$F$5,N460&lt;='Итоги'!$B$5,O460&gt;='Итоги'!$D$5),"Да","Нет")</x:f>
        <x:v>Нет</x:v>
      </x:c>
    </x:row>
    <x:row r="461" ht="60" customHeight="1">
      <x:c r="A461" s="14" t="str">
        <x:v>Спорт и отдых</x:v>
      </x:c>
      <x:c r="B461" s="14" t="str">
        <x:v>Зимние виды спорта</x:v>
      </x:c>
      <x:c r="C461" s="14" t="str">
        <x:v>Хоккей</x:v>
      </x:c>
      <x:c r="D461" s="14" t="str">
        <x:v>Коньки хоккейные</x:v>
      </x:c>
      <x:c r="E461" s="2" t="n">
        <x:v>2</x:v>
      </x:c>
      <x:c r="F461" s="2" t="n">
        <x:v>0</x:v>
      </x:c>
      <x:c r="G461" s="12" t="n">
        <x:v>78506</x:v>
      </x:c>
      <x:c r="H461" s="12" t="n">
        <x:v>0</x:v>
      </x:c>
      <x:c r="I461" s="13" t="n">
        <x:v>0</x:v>
      </x:c>
      <x:c r="J461" s="2" t="n">
        <x:v>2</x:v>
      </x:c>
      <x:c r="K461" s="2" t="n">
        <x:v>2</x:v>
      </x:c>
      <x:c r="L461" s="12" t="n">
        <x:v>39253</x:v>
      </x:c>
      <x:c r="M461" s="13" t="n">
        <x:v>0.5192851501796041</x:v>
      </x:c>
      <x:c r="N461" s="13" t="n">
        <x:f>H461/G461</x:f>
        <x:v>0</x:v>
      </x:c>
      <x:c r="O461" s="13" t="n">
        <x:f>F461/E461</x:f>
        <x:v>0</x:v>
      </x:c>
      <x:c r="P461" s="2" t="str">
        <x:f>IF(AND(E461&gt;='Итоги'!$F$5,N461&lt;='Итоги'!$B$5,O461&gt;='Итоги'!$D$5),"Да","Нет")</x:f>
        <x:v>Нет</x:v>
      </x:c>
    </x:row>
    <x:row r="462" ht="60" customHeight="1">
      <x:c r="A462" s="14" t="str">
        <x:v>Спорт и отдых</x:v>
      </x:c>
      <x:c r="B462" s="14" t="str">
        <x:v>Колесный транспорт</x:v>
      </x:c>
      <x:c r="C462" s="14" t="str">
        <x:v>Велоаксессуары</x:v>
      </x:c>
      <x:c r="D462" s="14" t="str">
        <x:v>Система хранения велосипеда</x:v>
      </x:c>
      <x:c r="E462" s="2" t="n">
        <x:v>2</x:v>
      </x:c>
      <x:c r="F462" s="2" t="n">
        <x:v>0</x:v>
      </x:c>
      <x:c r="G462" s="12" t="n">
        <x:v>499081.6642</x:v>
      </x:c>
      <x:c r="H462" s="12" t="n">
        <x:v>0</x:v>
      </x:c>
      <x:c r="I462" s="13" t="n">
        <x:v>0</x:v>
      </x:c>
      <x:c r="J462" s="2" t="n">
        <x:v>2</x:v>
      </x:c>
      <x:c r="K462" s="2" t="n">
        <x:v>2</x:v>
      </x:c>
      <x:c r="L462" s="12" t="n">
        <x:v>1279.86415</x:v>
      </x:c>
      <x:c r="M462" s="13" t="n">
        <x:v>0.5918873627094874</x:v>
      </x:c>
      <x:c r="N462" s="13" t="n">
        <x:f>H462/G462</x:f>
        <x:v>0</x:v>
      </x:c>
      <x:c r="O462" s="13" t="n">
        <x:f>F462/E462</x:f>
        <x:v>0</x:v>
      </x:c>
      <x:c r="P462" s="2" t="str">
        <x:f>IF(AND(E462&gt;='Итоги'!$F$5,N462&lt;='Итоги'!$B$5,O462&gt;='Итоги'!$D$5),"Да","Нет")</x:f>
        <x:v>Нет</x:v>
      </x:c>
    </x:row>
    <x:row r="463" ht="60" customHeight="1">
      <x:c r="A463" s="14" t="str">
        <x:v>Спорт и отдых</x:v>
      </x:c>
      <x:c r="B463" s="14" t="str">
        <x:v>Колесный транспорт</x:v>
      </x:c>
      <x:c r="C463" s="14" t="str">
        <x:v>Запчасти для велосипеда</x:v>
      </x:c>
      <x:c r="D463" s="14" t="str">
        <x:v>Амортизатор для велосипеда</x:v>
      </x:c>
      <x:c r="E463" s="2" t="n">
        <x:v>2</x:v>
      </x:c>
      <x:c r="F463" s="2" t="n">
        <x:v>0</x:v>
      </x:c>
      <x:c r="G463" s="12" t="n">
        <x:v>123016.826</x:v>
      </x:c>
      <x:c r="H463" s="12" t="n">
        <x:v>0</x:v>
      </x:c>
      <x:c r="I463" s="13" t="n">
        <x:v>0</x:v>
      </x:c>
      <x:c r="J463" s="2" t="n">
        <x:v>2</x:v>
      </x:c>
      <x:c r="K463" s="2" t="n">
        <x:v>2</x:v>
      </x:c>
      <x:c r="L463" s="12" t="n">
        <x:v>1381.3184</x:v>
      </x:c>
      <x:c r="M463" s="13" t="n">
        <x:v>0.7561340885189153</x:v>
      </x:c>
      <x:c r="N463" s="13" t="n">
        <x:f>H463/G463</x:f>
        <x:v>0</x:v>
      </x:c>
      <x:c r="O463" s="13" t="n">
        <x:f>F463/E463</x:f>
        <x:v>0</x:v>
      </x:c>
      <x:c r="P463" s="2" t="str">
        <x:f>IF(AND(E463&gt;='Итоги'!$F$5,N463&lt;='Итоги'!$B$5,O463&gt;='Итоги'!$D$5),"Да","Нет")</x:f>
        <x:v>Нет</x:v>
      </x:c>
    </x:row>
    <x:row r="464" ht="60" customHeight="1">
      <x:c r="A464" s="14" t="str">
        <x:v>Спорт и отдых</x:v>
      </x:c>
      <x:c r="B464" s="14" t="str">
        <x:v>Колесный транспорт</x:v>
      </x:c>
      <x:c r="C464" s="14" t="str">
        <x:v>Самокат</x:v>
      </x:c>
      <x:c r="D464" s="14" t="str">
        <x:v>Аккумулятор для электросамоката</x:v>
      </x:c>
      <x:c r="E464" s="2" t="n">
        <x:v>2</x:v>
      </x:c>
      <x:c r="F464" s="2" t="n">
        <x:v>0</x:v>
      </x:c>
      <x:c r="G464" s="12" t="n">
        <x:v>147150</x:v>
      </x:c>
      <x:c r="H464" s="12" t="n">
        <x:v>0</x:v>
      </x:c>
      <x:c r="I464" s="13" t="n">
        <x:v>0</x:v>
      </x:c>
      <x:c r="J464" s="2" t="n">
        <x:v>2</x:v>
      </x:c>
      <x:c r="K464" s="2" t="n">
        <x:v>1</x:v>
      </x:c>
      <x:c r="L464" s="12" t="n">
        <x:v>9923.26665</x:v>
      </x:c>
      <x:c r="M464" s="13" t="n">
        <x:v>1</x:v>
      </x:c>
      <x:c r="N464" s="13" t="n">
        <x:f>H464/G464</x:f>
        <x:v>0</x:v>
      </x:c>
      <x:c r="O464" s="13" t="n">
        <x:f>F464/E464</x:f>
        <x:v>0</x:v>
      </x:c>
      <x:c r="P464" s="2" t="str">
        <x:f>IF(AND(E464&gt;='Итоги'!$F$5,N464&lt;='Итоги'!$B$5,O464&gt;='Итоги'!$D$5),"Да","Нет")</x:f>
        <x:v>Нет</x:v>
      </x:c>
    </x:row>
    <x:row r="465" ht="60" customHeight="1">
      <x:c r="A465" s="14" t="str">
        <x:v>Спорт и отдых</x:v>
      </x:c>
      <x:c r="B465" s="14" t="str">
        <x:v>Колесный транспорт</x:v>
      </x:c>
      <x:c r="C465" s="14" t="str">
        <x:v>Самокат</x:v>
      </x:c>
      <x:c r="D465" s="14" t="str">
        <x:v>Аксессуары для самоката</x:v>
      </x:c>
      <x:c r="E465" s="2" t="n">
        <x:v>2</x:v>
      </x:c>
      <x:c r="F465" s="2" t="n">
        <x:v>0</x:v>
      </x:c>
      <x:c r="G465" s="12" t="n">
        <x:v>142260</x:v>
      </x:c>
      <x:c r="H465" s="12" t="n">
        <x:v>0</x:v>
      </x:c>
      <x:c r="I465" s="13" t="n">
        <x:v>0</x:v>
      </x:c>
      <x:c r="J465" s="2" t="n">
        <x:v>2</x:v>
      </x:c>
      <x:c r="K465" s="2" t="n">
        <x:v>2</x:v>
      </x:c>
      <x:c r="L465" s="12" t="n">
        <x:v>1675.45435</x:v>
      </x:c>
      <x:c r="M465" s="13" t="n">
        <x:v>0.559665401377759</x:v>
      </x:c>
      <x:c r="N465" s="13" t="n">
        <x:f>H465/G465</x:f>
        <x:v>0</x:v>
      </x:c>
      <x:c r="O465" s="13" t="n">
        <x:f>F465/E465</x:f>
        <x:v>0</x:v>
      </x:c>
      <x:c r="P465" s="2" t="str">
        <x:f>IF(AND(E465&gt;='Итоги'!$F$5,N465&lt;='Итоги'!$B$5,O465&gt;='Итоги'!$D$5),"Да","Нет")</x:f>
        <x:v>Нет</x:v>
      </x:c>
    </x:row>
    <x:row r="466" ht="60" customHeight="1">
      <x:c r="A466" s="14" t="str">
        <x:v>Спорт и отдых</x:v>
      </x:c>
      <x:c r="B466" s="14" t="str">
        <x:v>Товары для охоты</x:v>
      </x:c>
      <x:c r="C466" s="14" t="str">
        <x:v>Аксессуары для охоты</x:v>
      </x:c>
      <x:c r="D466" s="14" t="str">
        <x:v>Манок</x:v>
      </x:c>
      <x:c r="E466" s="2" t="n">
        <x:v>2</x:v>
      </x:c>
      <x:c r="F466" s="2" t="n">
        <x:v>0</x:v>
      </x:c>
      <x:c r="G466" s="12" t="n">
        <x:v>353268.57420000003</x:v>
      </x:c>
      <x:c r="H466" s="12" t="n">
        <x:v>0</x:v>
      </x:c>
      <x:c r="I466" s="13" t="n">
        <x:v>0</x:v>
      </x:c>
      <x:c r="J466" s="2" t="n">
        <x:v>2</x:v>
      </x:c>
      <x:c r="K466" s="2" t="n">
        <x:v>1</x:v>
      </x:c>
      <x:c r="L466" s="12" t="n">
        <x:v>10707.1231</x:v>
      </x:c>
      <x:c r="M466" s="13" t="n">
        <x:v>1</x:v>
      </x:c>
      <x:c r="N466" s="13" t="n">
        <x:f>H466/G466</x:f>
        <x:v>0</x:v>
      </x:c>
      <x:c r="O466" s="13" t="n">
        <x:f>F466/E466</x:f>
        <x:v>0</x:v>
      </x:c>
      <x:c r="P466" s="2" t="str">
        <x:f>IF(AND(E466&gt;='Итоги'!$F$5,N466&lt;='Итоги'!$B$5,O466&gt;='Итоги'!$D$5),"Да","Нет")</x:f>
        <x:v>Нет</x:v>
      </x:c>
    </x:row>
    <x:row r="467" ht="60" customHeight="1">
      <x:c r="A467" s="14" t="str">
        <x:v>Спорт и отдых</x:v>
      </x:c>
      <x:c r="B467" s="14" t="str">
        <x:v>Товары для рыбалки</x:v>
      </x:c>
      <x:c r="C467" s="14" t="str">
        <x:v>Одежда для рыбалки</x:v>
      </x:c>
      <x:c r="D467" s="14" t="str">
        <x:v>Штаны рыболовные</x:v>
      </x:c>
      <x:c r="E467" s="2" t="n">
        <x:v>2</x:v>
      </x:c>
      <x:c r="F467" s="2" t="n">
        <x:v>0</x:v>
      </x:c>
      <x:c r="G467" s="12" t="n">
        <x:v>129075</x:v>
      </x:c>
      <x:c r="H467" s="12" t="n">
        <x:v>0</x:v>
      </x:c>
      <x:c r="I467" s="13" t="n">
        <x:v>0</x:v>
      </x:c>
      <x:c r="J467" s="2" t="n">
        <x:v>2</x:v>
      </x:c>
      <x:c r="K467" s="2" t="n">
        <x:v>1</x:v>
      </x:c>
      <x:c r="L467" s="12" t="n">
        <x:v>4985.433349999999</x:v>
      </x:c>
      <x:c r="M467" s="13" t="n">
        <x:v>1</x:v>
      </x:c>
      <x:c r="N467" s="13" t="n">
        <x:f>H467/G467</x:f>
        <x:v>0</x:v>
      </x:c>
      <x:c r="O467" s="13" t="n">
        <x:f>F467/E467</x:f>
        <x:v>0</x:v>
      </x:c>
      <x:c r="P467" s="2" t="str">
        <x:f>IF(AND(E467&gt;='Итоги'!$F$5,N467&lt;='Итоги'!$B$5,O467&gt;='Итоги'!$D$5),"Да","Нет")</x:f>
        <x:v>Нет</x:v>
      </x:c>
    </x:row>
    <x:row r="468" ht="60" customHeight="1">
      <x:c r="A468" s="14" t="str">
        <x:v>Строительство и ремонт (DIY)</x:v>
      </x:c>
      <x:c r="B468" s="14" t="str">
        <x:v>Освещение</x:v>
      </x:c>
      <x:c r="C468" s="14" t="str">
        <x:v>Аксессуары для светильников</x:v>
      </x:c>
      <x:c r="D468" s="14" t="str">
        <x:v>Пускорегулирующий аппарат для лампы</x:v>
      </x:c>
      <x:c r="E468" s="2" t="n">
        <x:v>2</x:v>
      </x:c>
      <x:c r="F468" s="2" t="n">
        <x:v>0</x:v>
      </x:c>
      <x:c r="G468" s="12" t="n">
        <x:v>472902.03</x:v>
      </x:c>
      <x:c r="H468" s="12" t="n">
        <x:v>0</x:v>
      </x:c>
      <x:c r="I468" s="13" t="n">
        <x:v>0</x:v>
      </x:c>
      <x:c r="J468" s="2" t="n">
        <x:v>2</x:v>
      </x:c>
      <x:c r="K468" s="2" t="n">
        <x:v>2</x:v>
      </x:c>
      <x:c r="L468" s="12" t="n">
        <x:v>5043.61545</x:v>
      </x:c>
      <x:c r="M468" s="13" t="n">
        <x:v>0.7186161370463984</x:v>
      </x:c>
      <x:c r="N468" s="13" t="n">
        <x:f>H468/G468</x:f>
        <x:v>0</x:v>
      </x:c>
      <x:c r="O468" s="13" t="n">
        <x:f>F468/E468</x:f>
        <x:v>0</x:v>
      </x:c>
      <x:c r="P468" s="2" t="str">
        <x:f>IF(AND(E468&gt;='Итоги'!$F$5,N468&lt;='Итоги'!$B$5,O468&gt;='Итоги'!$D$5),"Да","Нет")</x:f>
        <x:v>Нет</x:v>
      </x:c>
    </x:row>
    <x:row r="469" ht="60" customHeight="1">
      <x:c r="A469" s="14" t="str">
        <x:v>Строительство и ремонт (DIY)</x:v>
      </x:c>
      <x:c r="B469" s="14" t="str">
        <x:v>Ремонт и строительство</x:v>
      </x:c>
      <x:c r="C469" s="14" t="str">
        <x:v>Аксессуары для ремонта</x:v>
      </x:c>
      <x:c r="D469" s="14" t="str">
        <x:v>Мобильная стойка ограждения</x:v>
      </x:c>
      <x:c r="E469" s="2" t="n">
        <x:v>2</x:v>
      </x:c>
      <x:c r="F469" s="2" t="n">
        <x:v>0</x:v>
      </x:c>
      <x:c r="G469" s="12" t="n">
        <x:v>600718</x:v>
      </x:c>
      <x:c r="H469" s="12" t="n">
        <x:v>0</x:v>
      </x:c>
      <x:c r="I469" s="13" t="n">
        <x:v>0</x:v>
      </x:c>
      <x:c r="J469" s="2" t="n">
        <x:v>2</x:v>
      </x:c>
      <x:c r="K469" s="2" t="n">
        <x:v>2</x:v>
      </x:c>
      <x:c r="L469" s="12" t="n">
        <x:v>4439.7318</x:v>
      </x:c>
      <x:c r="M469" s="13" t="n">
        <x:v>0.9442217479749232</x:v>
      </x:c>
      <x:c r="N469" s="13" t="n">
        <x:f>H469/G469</x:f>
        <x:v>0</x:v>
      </x:c>
      <x:c r="O469" s="13" t="n">
        <x:f>F469/E469</x:f>
        <x:v>0</x:v>
      </x:c>
      <x:c r="P469" s="2" t="str">
        <x:f>IF(AND(E469&gt;='Итоги'!$F$5,N469&lt;='Итоги'!$B$5,O469&gt;='Итоги'!$D$5),"Да","Нет")</x:f>
        <x:v>Нет</x:v>
      </x:c>
    </x:row>
    <x:row r="470" ht="60" customHeight="1">
      <x:c r="A470" s="14" t="str">
        <x:v>Строительство и ремонт (DIY)</x:v>
      </x:c>
      <x:c r="B470" s="14" t="str">
        <x:v>Ремонт и строительство</x:v>
      </x:c>
      <x:c r="C470" s="14" t="str">
        <x:v>Аксессуары для ремонта</x:v>
      </x:c>
      <x:c r="D470" s="14" t="str">
        <x:v>Строительные ходули</x:v>
      </x:c>
      <x:c r="E470" s="2" t="n">
        <x:v>2</x:v>
      </x:c>
      <x:c r="F470" s="2" t="n">
        <x:v>0</x:v>
      </x:c>
      <x:c r="G470" s="12" t="n">
        <x:v>232240</x:v>
      </x:c>
      <x:c r="H470" s="12" t="n">
        <x:v>0</x:v>
      </x:c>
      <x:c r="I470" s="13" t="n">
        <x:v>0</x:v>
      </x:c>
      <x:c r="J470" s="2" t="n">
        <x:v>2</x:v>
      </x:c>
      <x:c r="K470" s="2" t="n">
        <x:v>1</x:v>
      </x:c>
      <x:c r="L470" s="12" t="n">
        <x:v>10150.14585</x:v>
      </x:c>
      <x:c r="M470" s="13" t="n">
        <x:v>1</x:v>
      </x:c>
      <x:c r="N470" s="13" t="n">
        <x:f>H470/G470</x:f>
        <x:v>0</x:v>
      </x:c>
      <x:c r="O470" s="13" t="n">
        <x:f>F470/E470</x:f>
        <x:v>0</x:v>
      </x:c>
      <x:c r="P470" s="2" t="str">
        <x:f>IF(AND(E470&gt;='Итоги'!$F$5,N470&lt;='Итоги'!$B$5,O470&gt;='Итоги'!$D$5),"Да","Нет")</x:f>
        <x:v>Нет</x:v>
      </x:c>
    </x:row>
    <x:row r="471" ht="60" customHeight="1">
      <x:c r="A471" s="14" t="str">
        <x:v>Товары для детей и спорта</x:v>
      </x:c>
      <x:c r="B471" s="14" t="str">
        <x:v>КГТ и аксессуары для детей</x:v>
      </x:c>
      <x:c r="C471" s="14" t="str">
        <x:v>Детская мебель и аксессуары в дом</x:v>
      </x:c>
      <x:c r="D471" s="14" t="str">
        <x:v>Аксессуары для детской мебели</x:v>
      </x:c>
      <x:c r="E471" s="2" t="n">
        <x:v>2</x:v>
      </x:c>
      <x:c r="F471" s="2" t="n">
        <x:v>0</x:v>
      </x:c>
      <x:c r="G471" s="12" t="n">
        <x:v>8198</x:v>
      </x:c>
      <x:c r="H471" s="12" t="n">
        <x:v>0</x:v>
      </x:c>
      <x:c r="I471" s="13" t="n">
        <x:v>0</x:v>
      </x:c>
      <x:c r="J471" s="2" t="n">
        <x:v>2</x:v>
      </x:c>
      <x:c r="K471" s="2" t="n">
        <x:v>1</x:v>
      </x:c>
      <x:c r="L471" s="12" t="n">
        <x:v>4099</x:v>
      </x:c>
      <x:c r="M471" s="13" t="n">
        <x:v>1</x:v>
      </x:c>
      <x:c r="N471" s="13" t="n">
        <x:f>H471/G471</x:f>
        <x:v>0</x:v>
      </x:c>
      <x:c r="O471" s="13" t="n">
        <x:f>F471/E471</x:f>
        <x:v>0</x:v>
      </x:c>
      <x:c r="P471" s="2" t="str">
        <x:f>IF(AND(E471&gt;='Итоги'!$F$5,N471&lt;='Итоги'!$B$5,O471&gt;='Итоги'!$D$5),"Да","Нет")</x:f>
        <x:v>Нет</x:v>
      </x:c>
    </x:row>
    <x:row r="472" ht="60" customHeight="1">
      <x:c r="A472" s="14" t="str">
        <x:v>Товары для дома</x:v>
      </x:c>
      <x:c r="B472" s="14" t="str">
        <x:v>Антиквариат Хоум Декор</x:v>
      </x:c>
      <x:c r="C472" s="14" t="str">
        <x:v>Коллекционирование Хоум Декор</x:v>
      </x:c>
      <x:c r="D472" s="14" t="str">
        <x:v>Коллекционная модель средств передвижения</x:v>
      </x:c>
      <x:c r="E472" s="2" t="n">
        <x:v>2</x:v>
      </x:c>
      <x:c r="F472" s="2" t="n">
        <x:v>0</x:v>
      </x:c>
      <x:c r="G472" s="12" t="n">
        <x:v>6202</x:v>
      </x:c>
      <x:c r="H472" s="12" t="n">
        <x:v>0</x:v>
      </x:c>
      <x:c r="I472" s="13" t="n">
        <x:v>0</x:v>
      </x:c>
      <x:c r="J472" s="2" t="n">
        <x:v>2</x:v>
      </x:c>
      <x:c r="K472" s="2" t="n">
        <x:v>1</x:v>
      </x:c>
      <x:c r="L472" s="12" t="n">
        <x:v>3101</x:v>
      </x:c>
      <x:c r="M472" s="13" t="n">
        <x:v>1</x:v>
      </x:c>
      <x:c r="N472" s="13" t="n">
        <x:f>H472/G472</x:f>
        <x:v>0</x:v>
      </x:c>
      <x:c r="O472" s="13" t="n">
        <x:f>F472/E472</x:f>
        <x:v>0</x:v>
      </x:c>
      <x:c r="P472" s="2" t="str">
        <x:f>IF(AND(E472&gt;='Итоги'!$F$5,N472&lt;='Итоги'!$B$5,O472&gt;='Итоги'!$D$5),"Да","Нет")</x:f>
        <x:v>Нет</x:v>
      </x:c>
    </x:row>
    <x:row r="473" ht="60" customHeight="1">
      <x:c r="A473" s="14" t="str">
        <x:v>Товары для дома</x:v>
      </x:c>
      <x:c r="B473" s="14" t="str">
        <x:v>Домашний текстиль</x:v>
      </x:c>
      <x:c r="C473" s="14" t="str">
        <x:v>Одеяло</x:v>
      </x:c>
      <x:c r="D473" s="14" t="str">
        <x:v>Спальный комплект (матрас + одеяло + подушка + КПБ)</x:v>
      </x:c>
      <x:c r="E473" s="2" t="n">
        <x:v>2</x:v>
      </x:c>
      <x:c r="F473" s="2" t="n">
        <x:v>0</x:v>
      </x:c>
      <x:c r="G473" s="12" t="n">
        <x:v>207955</x:v>
      </x:c>
      <x:c r="H473" s="12" t="n">
        <x:v>0</x:v>
      </x:c>
      <x:c r="I473" s="13" t="n">
        <x:v>0</x:v>
      </x:c>
      <x:c r="J473" s="2" t="n">
        <x:v>2</x:v>
      </x:c>
      <x:c r="K473" s="2" t="n">
        <x:v>1</x:v>
      </x:c>
      <x:c r="L473" s="12" t="n">
        <x:v>2376.7737</x:v>
      </x:c>
      <x:c r="M473" s="13" t="n">
        <x:v>1</x:v>
      </x:c>
      <x:c r="N473" s="13" t="n">
        <x:f>H473/G473</x:f>
        <x:v>0</x:v>
      </x:c>
      <x:c r="O473" s="13" t="n">
        <x:f>F473/E473</x:f>
        <x:v>0</x:v>
      </x:c>
      <x:c r="P473" s="2" t="str">
        <x:f>IF(AND(E473&gt;='Итоги'!$F$5,N473&lt;='Итоги'!$B$5,O473&gt;='Итоги'!$D$5),"Да","Нет")</x:f>
        <x:v>Нет</x:v>
      </x:c>
    </x:row>
    <x:row r="474" ht="60" customHeight="1">
      <x:c r="A474" s="14" t="str">
        <x:v>Товары для дома</x:v>
      </x:c>
      <x:c r="B474" s="14" t="str">
        <x:v>Интерьер и декор</x:v>
      </x:c>
      <x:c r="C474" s="14" t="str">
        <x:v>Принадлежности для праздника</x:v>
      </x:c>
      <x:c r="D474" s="14" t="str">
        <x:v>Декоративные лента, бант</x:v>
      </x:c>
      <x:c r="E474" s="2" t="n">
        <x:v>2</x:v>
      </x:c>
      <x:c r="F474" s="2" t="n">
        <x:v>0</x:v>
      </x:c>
      <x:c r="G474" s="12" t="n">
        <x:v>43342</x:v>
      </x:c>
      <x:c r="H474" s="12" t="n">
        <x:v>0</x:v>
      </x:c>
      <x:c r="I474" s="13" t="n">
        <x:v>0</x:v>
      </x:c>
      <x:c r="J474" s="2" t="n">
        <x:v>2</x:v>
      </x:c>
      <x:c r="K474" s="2" t="n">
        <x:v>1</x:v>
      </x:c>
      <x:c r="L474" s="12" t="n">
        <x:v>2404.74025</x:v>
      </x:c>
      <x:c r="M474" s="13" t="n">
        <x:v>1</x:v>
      </x:c>
      <x:c r="N474" s="13" t="n">
        <x:f>H474/G474</x:f>
        <x:v>0</x:v>
      </x:c>
      <x:c r="O474" s="13" t="n">
        <x:f>F474/E474</x:f>
        <x:v>0</x:v>
      </x:c>
      <x:c r="P474" s="2" t="str">
        <x:f>IF(AND(E474&gt;='Итоги'!$F$5,N474&lt;='Итоги'!$B$5,O474&gt;='Итоги'!$D$5),"Да","Нет")</x:f>
        <x:v>Нет</x:v>
      </x:c>
    </x:row>
    <x:row r="475" ht="60" customHeight="1">
      <x:c r="A475" s="14" t="str">
        <x:v>Товары для дома</x:v>
      </x:c>
      <x:c r="B475" s="14" t="str">
        <x:v>Интерьер и декор</x:v>
      </x:c>
      <x:c r="C475" s="14" t="str">
        <x:v>Религиозные товары</x:v>
      </x:c>
      <x:c r="D475" s="14" t="str">
        <x:v>Свеча церковная</x:v>
      </x:c>
      <x:c r="E475" s="2" t="n">
        <x:v>2</x:v>
      </x:c>
      <x:c r="F475" s="2" t="n">
        <x:v>0</x:v>
      </x:c>
      <x:c r="G475" s="12" t="n">
        <x:v>75711.879</x:v>
      </x:c>
      <x:c r="H475" s="12" t="n">
        <x:v>0</x:v>
      </x:c>
      <x:c r="I475" s="13" t="n">
        <x:v>0</x:v>
      </x:c>
      <x:c r="J475" s="2" t="n">
        <x:v>2</x:v>
      </x:c>
      <x:c r="K475" s="2" t="n">
        <x:v>1</x:v>
      </x:c>
      <x:c r="L475" s="12" t="n">
        <x:v>1715.0039000000002</x:v>
      </x:c>
      <x:c r="M475" s="13" t="n">
        <x:v>1</x:v>
      </x:c>
      <x:c r="N475" s="13" t="n">
        <x:f>H475/G475</x:f>
        <x:v>0</x:v>
      </x:c>
      <x:c r="O475" s="13" t="n">
        <x:f>F475/E475</x:f>
        <x:v>0</x:v>
      </x:c>
      <x:c r="P475" s="2" t="str">
        <x:f>IF(AND(E475&gt;='Итоги'!$F$5,N475&lt;='Итоги'!$B$5,O475&gt;='Итоги'!$D$5),"Да","Нет")</x:f>
        <x:v>Нет</x:v>
      </x:c>
    </x:row>
    <x:row r="476" ht="60" customHeight="1">
      <x:c r="A476" s="14" t="str">
        <x:v>Товары для дома</x:v>
      </x:c>
      <x:c r="B476" s="14" t="str">
        <x:v>Интерьер и декор</x:v>
      </x:c>
      <x:c r="C476" s="14" t="str">
        <x:v>Табличка, цифры на дверь, крючок</x:v>
      </x:c>
      <x:c r="D476" s="14" t="str">
        <x:v>Крючок, крючок самоклеящийся</x:v>
      </x:c>
      <x:c r="E476" s="2" t="n">
        <x:v>2</x:v>
      </x:c>
      <x:c r="F476" s="2" t="n">
        <x:v>0</x:v>
      </x:c>
      <x:c r="G476" s="12" t="n">
        <x:v>226556.1254</x:v>
      </x:c>
      <x:c r="H476" s="12" t="n">
        <x:v>0</x:v>
      </x:c>
      <x:c r="I476" s="13" t="n">
        <x:v>0</x:v>
      </x:c>
      <x:c r="J476" s="2" t="n">
        <x:v>2</x:v>
      </x:c>
      <x:c r="K476" s="2" t="n">
        <x:v>1</x:v>
      </x:c>
      <x:c r="L476" s="12" t="n">
        <x:v>847.8012</x:v>
      </x:c>
      <x:c r="M476" s="13" t="n">
        <x:v>1</x:v>
      </x:c>
      <x:c r="N476" s="13" t="n">
        <x:f>H476/G476</x:f>
        <x:v>0</x:v>
      </x:c>
      <x:c r="O476" s="13" t="n">
        <x:f>F476/E476</x:f>
        <x:v>0</x:v>
      </x:c>
      <x:c r="P476" s="2" t="str">
        <x:f>IF(AND(E476&gt;='Итоги'!$F$5,N476&lt;='Итоги'!$B$5,O476&gt;='Итоги'!$D$5),"Да","Нет")</x:f>
        <x:v>Нет</x:v>
      </x:c>
    </x:row>
    <x:row r="477" ht="60" customHeight="1">
      <x:c r="A477" s="14" t="str">
        <x:v>Товары для дома</x:v>
      </x:c>
      <x:c r="B477" s="14" t="str">
        <x:v>Кухня</x:v>
      </x:c>
      <x:c r="C477" s="14" t="str">
        <x:v>Питьевое стекло, аксессуар для бара, сосуд для жидкости</x:v>
      </x:c>
      <x:c r="D477" s="14" t="str">
        <x:v>Охладитель для напитков</x:v>
      </x:c>
      <x:c r="E477" s="2" t="n">
        <x:v>2</x:v>
      </x:c>
      <x:c r="F477" s="2" t="n">
        <x:v>0</x:v>
      </x:c>
      <x:c r="G477" s="12" t="n">
        <x:v>114686.807</x:v>
      </x:c>
      <x:c r="H477" s="12" t="n">
        <x:v>0</x:v>
      </x:c>
      <x:c r="I477" s="13" t="n">
        <x:v>0</x:v>
      </x:c>
      <x:c r="J477" s="2" t="n">
        <x:v>2</x:v>
      </x:c>
      <x:c r="K477" s="2" t="n">
        <x:v>2</x:v>
      </x:c>
      <x:c r="L477" s="12" t="n">
        <x:v>4646.14395</x:v>
      </x:c>
      <x:c r="M477" s="13" t="n">
        <x:v>0.9276464292880696</x:v>
      </x:c>
      <x:c r="N477" s="13" t="n">
        <x:f>H477/G477</x:f>
        <x:v>0</x:v>
      </x:c>
      <x:c r="O477" s="13" t="n">
        <x:f>F477/E477</x:f>
        <x:v>0</x:v>
      </x:c>
      <x:c r="P477" s="2" t="str">
        <x:f>IF(AND(E477&gt;='Итоги'!$F$5,N477&lt;='Итоги'!$B$5,O477&gt;='Итоги'!$D$5),"Да","Нет")</x:f>
        <x:v>Нет</x:v>
      </x:c>
    </x:row>
    <x:row r="478" ht="60" customHeight="1">
      <x:c r="A478" s="14" t="str">
        <x:v>Товары для животных</x:v>
      </x:c>
      <x:c r="B478" s="14" t="str">
        <x:v>Гигиена и уход животных</x:v>
      </x:c>
      <x:c r="C478" s="14" t="str">
        <x:v>Ветеринарные средства лечебные нелицензированные</x:v>
      </x:c>
      <x:c r="D478" s="14" t="str">
        <x:v>Спрей лечебный ветеринарный нелицензированный</x:v>
      </x:c>
      <x:c r="E478" s="2" t="n">
        <x:v>2</x:v>
      </x:c>
      <x:c r="F478" s="2" t="n">
        <x:v>0</x:v>
      </x:c>
      <x:c r="G478" s="12" t="n">
        <x:v>480669.5068</x:v>
      </x:c>
      <x:c r="H478" s="12" t="n">
        <x:v>0</x:v>
      </x:c>
      <x:c r="I478" s="13" t="n">
        <x:v>0</x:v>
      </x:c>
      <x:c r="J478" s="2" t="n">
        <x:v>2</x:v>
      </x:c>
      <x:c r="K478" s="2" t="n">
        <x:v>1</x:v>
      </x:c>
      <x:c r="L478" s="12" t="n">
        <x:v>2641.04125</x:v>
      </x:c>
      <x:c r="M478" s="13" t="n">
        <x:v>1</x:v>
      </x:c>
      <x:c r="N478" s="13" t="n">
        <x:f>H478/G478</x:f>
        <x:v>0</x:v>
      </x:c>
      <x:c r="O478" s="13" t="n">
        <x:f>F478/E478</x:f>
        <x:v>0</x:v>
      </x:c>
      <x:c r="P478" s="2" t="str">
        <x:f>IF(AND(E478&gt;='Итоги'!$F$5,N478&lt;='Итоги'!$B$5,O478&gt;='Итоги'!$D$5),"Да","Нет")</x:f>
        <x:v>Нет</x:v>
      </x:c>
    </x:row>
    <x:row r="479" ht="60" customHeight="1">
      <x:c r="A479" s="14" t="str">
        <x:v>Товары для животных</x:v>
      </x:c>
      <x:c r="B479" s="14" t="str">
        <x:v>Гигиена и уход животных</x:v>
      </x:c>
      <x:c r="C479" s="14" t="str">
        <x:v>Уход за животными</x:v>
      </x:c>
      <x:c r="D479" s="14" t="str">
        <x:v>Гель для животных</x:v>
      </x:c>
      <x:c r="E479" s="2" t="n">
        <x:v>2</x:v>
      </x:c>
      <x:c r="F479" s="2" t="n">
        <x:v>0</x:v>
      </x:c>
      <x:c r="G479" s="12" t="n">
        <x:v>401079.455</x:v>
      </x:c>
      <x:c r="H479" s="12" t="n">
        <x:v>0</x:v>
      </x:c>
      <x:c r="I479" s="13" t="n">
        <x:v>0</x:v>
      </x:c>
      <x:c r="J479" s="2" t="n">
        <x:v>2</x:v>
      </x:c>
      <x:c r="K479" s="2" t="n">
        <x:v>2</x:v>
      </x:c>
      <x:c r="L479" s="12" t="n">
        <x:v>1552.62415</x:v>
      </x:c>
      <x:c r="M479" s="13" t="n">
        <x:v>0.7861222166066821</x:v>
      </x:c>
      <x:c r="N479" s="13" t="n">
        <x:f>H479/G479</x:f>
        <x:v>0</x:v>
      </x:c>
      <x:c r="O479" s="13" t="n">
        <x:f>F479/E479</x:f>
        <x:v>0</x:v>
      </x:c>
      <x:c r="P479" s="2" t="str">
        <x:f>IF(AND(E479&gt;='Итоги'!$F$5,N479&lt;='Итоги'!$B$5,O479&gt;='Итоги'!$D$5),"Да","Нет")</x:f>
        <x:v>Нет</x:v>
      </x:c>
    </x:row>
    <x:row r="480" ht="60" customHeight="1">
      <x:c r="A480" s="14" t="str">
        <x:v>Товары для животных</x:v>
      </x:c>
      <x:c r="B480" s="14" t="str">
        <x:v>Гигиена и уход животных</x:v>
      </x:c>
      <x:c r="C480" s="14" t="str">
        <x:v>Уход за животными</x:v>
      </x:c>
      <x:c r="D480" s="14" t="str">
        <x:v>Спрей для животных</x:v>
      </x:c>
      <x:c r="E480" s="2" t="n">
        <x:v>2</x:v>
      </x:c>
      <x:c r="F480" s="2" t="n">
        <x:v>0</x:v>
      </x:c>
      <x:c r="G480" s="12" t="n">
        <x:v>134479</x:v>
      </x:c>
      <x:c r="H480" s="12" t="n">
        <x:v>0</x:v>
      </x:c>
      <x:c r="I480" s="13" t="n">
        <x:v>0</x:v>
      </x:c>
      <x:c r="J480" s="2" t="n">
        <x:v>2</x:v>
      </x:c>
      <x:c r="K480" s="2" t="n">
        <x:v>1</x:v>
      </x:c>
      <x:c r="L480" s="12" t="n">
        <x:v>3256.18335</x:v>
      </x:c>
      <x:c r="M480" s="13" t="n">
        <x:v>1</x:v>
      </x:c>
      <x:c r="N480" s="13" t="n">
        <x:f>H480/G480</x:f>
        <x:v>0</x:v>
      </x:c>
      <x:c r="O480" s="13" t="n">
        <x:f>F480/E480</x:f>
        <x:v>0</x:v>
      </x:c>
      <x:c r="P480" s="2" t="str">
        <x:f>IF(AND(E480&gt;='Итоги'!$F$5,N480&lt;='Итоги'!$B$5,O480&gt;='Итоги'!$D$5),"Да","Нет")</x:f>
        <x:v>Нет</x:v>
      </x:c>
    </x:row>
    <x:row r="481" ht="60" customHeight="1">
      <x:c r="A481" s="14" t="str">
        <x:v>Товары для животных</x:v>
      </x:c>
      <x:c r="B481" s="14" t="str">
        <x:v>Спальное место животного</x:v>
      </x:c>
      <x:c r="C481" s="14" t="str">
        <x:v>Аксессуары для кормления животных</x:v>
      </x:c>
      <x:c r="D481" s="14" t="str">
        <x:v>Видеоняня для животных</x:v>
      </x:c>
      <x:c r="E481" s="2" t="n">
        <x:v>2</x:v>
      </x:c>
      <x:c r="F481" s="2" t="n">
        <x:v>0</x:v>
      </x:c>
      <x:c r="G481" s="12" t="n">
        <x:v>807521</x:v>
      </x:c>
      <x:c r="H481" s="12" t="n">
        <x:v>0</x:v>
      </x:c>
      <x:c r="I481" s="13" t="n">
        <x:v>0</x:v>
      </x:c>
      <x:c r="J481" s="2" t="n">
        <x:v>2</x:v>
      </x:c>
      <x:c r="K481" s="2" t="n">
        <x:v>1</x:v>
      </x:c>
      <x:c r="L481" s="12" t="n">
        <x:v>17227.45585</x:v>
      </x:c>
      <x:c r="M481" s="13" t="n">
        <x:v>1</x:v>
      </x:c>
      <x:c r="N481" s="13" t="n">
        <x:f>H481/G481</x:f>
        <x:v>0</x:v>
      </x:c>
      <x:c r="O481" s="13" t="n">
        <x:f>F481/E481</x:f>
        <x:v>0</x:v>
      </x:c>
      <x:c r="P481" s="2" t="str">
        <x:f>IF(AND(E481&gt;='Итоги'!$F$5,N481&lt;='Итоги'!$B$5,O481&gt;='Итоги'!$D$5),"Да","Нет")</x:f>
        <x:v>Нет</x:v>
      </x:c>
    </x:row>
    <x:row r="482" ht="60" customHeight="1">
      <x:c r="A482" s="14" t="str">
        <x:v>Товары для животных</x:v>
      </x:c>
      <x:c r="B482" s="14" t="str">
        <x:v>Фермерское хозяйство - Оборудование для птицеводства и животноводства</x:v>
      </x:c>
      <x:c r="C482" s="14" t="str">
        <x:v>Изготовление кормов для сельскохозяйственных животных и птиц</x:v>
      </x:c>
      <x:c r="D482" s="14" t="str">
        <x:v>Кормоизмельчитель</x:v>
      </x:c>
      <x:c r="E482" s="2" t="n">
        <x:v>2</x:v>
      </x:c>
      <x:c r="F482" s="2" t="n">
        <x:v>0</x:v>
      </x:c>
      <x:c r="G482" s="12" t="n">
        <x:v>332660</x:v>
      </x:c>
      <x:c r="H482" s="12" t="n">
        <x:v>0</x:v>
      </x:c>
      <x:c r="I482" s="13" t="n">
        <x:v>0</x:v>
      </x:c>
      <x:c r="J482" s="2" t="n">
        <x:v>2</x:v>
      </x:c>
      <x:c r="K482" s="2" t="n">
        <x:v>2</x:v>
      </x:c>
      <x:c r="L482" s="12" t="n">
        <x:v>5459.4643</x:v>
      </x:c>
      <x:c r="M482" s="13" t="n">
        <x:v>0.5028557686526784</x:v>
      </x:c>
      <x:c r="N482" s="13" t="n">
        <x:f>H482/G482</x:f>
        <x:v>0</x:v>
      </x:c>
      <x:c r="O482" s="13" t="n">
        <x:f>F482/E482</x:f>
        <x:v>0</x:v>
      </x:c>
      <x:c r="P482" s="2" t="str">
        <x:f>IF(AND(E482&gt;='Итоги'!$F$5,N482&lt;='Итоги'!$B$5,O482&gt;='Итоги'!$D$5),"Да","Нет")</x:f>
        <x:v>Нет</x:v>
      </x:c>
    </x:row>
    <x:row r="483" ht="60" customHeight="1">
      <x:c r="A483" s="14" t="str">
        <x:v>Товары для красоты и здоровья</x:v>
      </x:c>
      <x:c r="B483" s="14" t="str">
        <x:v>Декоративная косметика</x:v>
      </x:c>
      <x:c r="C483" s="14" t="str">
        <x:v>Маникюр и педикюр</x:v>
      </x:c>
      <x:c r="D483" s="14" t="str">
        <x:v>Аксессуары для маникюра</x:v>
      </x:c>
      <x:c r="E483" s="2" t="n">
        <x:v>2</x:v>
      </x:c>
      <x:c r="F483" s="2" t="n">
        <x:v>0</x:v>
      </x:c>
      <x:c r="G483" s="12" t="n">
        <x:v>288271.82540000003</x:v>
      </x:c>
      <x:c r="H483" s="12" t="n">
        <x:v>0</x:v>
      </x:c>
      <x:c r="I483" s="13" t="n">
        <x:v>0</x:v>
      </x:c>
      <x:c r="J483" s="2" t="n">
        <x:v>2</x:v>
      </x:c>
      <x:c r="K483" s="2" t="n">
        <x:v>2</x:v>
      </x:c>
      <x:c r="L483" s="12" t="n">
        <x:v>1571.9902000000002</x:v>
      </x:c>
      <x:c r="M483" s="13" t="n">
        <x:v>0.6405845584935891</x:v>
      </x:c>
      <x:c r="N483" s="13" t="n">
        <x:f>H483/G483</x:f>
        <x:v>0</x:v>
      </x:c>
      <x:c r="O483" s="13" t="n">
        <x:f>F483/E483</x:f>
        <x:v>0</x:v>
      </x:c>
      <x:c r="P483" s="2" t="str">
        <x:f>IF(AND(E483&gt;='Итоги'!$F$5,N483&lt;='Итоги'!$B$5,O483&gt;='Итоги'!$D$5),"Да","Нет")</x:f>
        <x:v>Нет</x:v>
      </x:c>
    </x:row>
    <x:row r="484" ht="60" customHeight="1">
      <x:c r="A484" s="14" t="str">
        <x:v>Товары для красоты и здоровья</x:v>
      </x:c>
      <x:c r="B484" s="14" t="str">
        <x:v>Косметика для ухода за волосами</x:v>
      </x:c>
      <x:c r="C484" s="14" t="str">
        <x:v>Окрашивание волос для женщин</x:v>
      </x:c>
      <x:c r="D484" s="14" t="str">
        <x:v>Тушь, мелки для волос</x:v>
      </x:c>
      <x:c r="E484" s="2" t="n">
        <x:v>2</x:v>
      </x:c>
      <x:c r="F484" s="2" t="n">
        <x:v>0</x:v>
      </x:c>
      <x:c r="G484" s="12" t="n">
        <x:v>353186.8638</x:v>
      </x:c>
      <x:c r="H484" s="12" t="n">
        <x:v>0</x:v>
      </x:c>
      <x:c r="I484" s="13" t="n">
        <x:v>0</x:v>
      </x:c>
      <x:c r="J484" s="2" t="n">
        <x:v>2</x:v>
      </x:c>
      <x:c r="K484" s="2" t="n">
        <x:v>1</x:v>
      </x:c>
      <x:c r="L484" s="12" t="n">
        <x:v>963.02615</x:v>
      </x:c>
      <x:c r="M484" s="13" t="n">
        <x:v>1</x:v>
      </x:c>
      <x:c r="N484" s="13" t="n">
        <x:f>H484/G484</x:f>
        <x:v>0</x:v>
      </x:c>
      <x:c r="O484" s="13" t="n">
        <x:f>F484/E484</x:f>
        <x:v>0</x:v>
      </x:c>
      <x:c r="P484" s="2" t="str">
        <x:f>IF(AND(E484&gt;='Итоги'!$F$5,N484&lt;='Итоги'!$B$5,O484&gt;='Итоги'!$D$5),"Да","Нет")</x:f>
        <x:v>Нет</x:v>
      </x:c>
    </x:row>
    <x:row r="485" ht="60" customHeight="1">
      <x:c r="A485" s="14" t="str">
        <x:v>Товары для красоты и здоровья</x:v>
      </x:c>
      <x:c r="B485" s="14" t="str">
        <x:v>Косметическая техника</x:v>
      </x:c>
      <x:c r="C485" s="14" t="str">
        <x:v>Оборудование для салона красоты</x:v>
      </x:c>
      <x:c r="D485" s="14" t="str">
        <x:v>Маникюрная подставка для рук</x:v>
      </x:c>
      <x:c r="E485" s="2" t="n">
        <x:v>2</x:v>
      </x:c>
      <x:c r="F485" s="2" t="n">
        <x:v>0</x:v>
      </x:c>
      <x:c r="G485" s="12" t="n">
        <x:v>186621.33</x:v>
      </x:c>
      <x:c r="H485" s="12" t="n">
        <x:v>0</x:v>
      </x:c>
      <x:c r="I485" s="13" t="n">
        <x:v>0</x:v>
      </x:c>
      <x:c r="J485" s="2" t="n">
        <x:v>2</x:v>
      </x:c>
      <x:c r="K485" s="2" t="n">
        <x:v>2</x:v>
      </x:c>
      <x:c r="L485" s="12" t="n">
        <x:v>1444.8615</x:v>
      </x:c>
      <x:c r="M485" s="13" t="n">
        <x:v>0.695452818817656</x:v>
      </x:c>
      <x:c r="N485" s="13" t="n">
        <x:f>H485/G485</x:f>
        <x:v>0</x:v>
      </x:c>
      <x:c r="O485" s="13" t="n">
        <x:f>F485/E485</x:f>
        <x:v>0</x:v>
      </x:c>
      <x:c r="P485" s="2" t="str">
        <x:f>IF(AND(E485&gt;='Итоги'!$F$5,N485&lt;='Итоги'!$B$5,O485&gt;='Итоги'!$D$5),"Да","Нет")</x:f>
        <x:v>Нет</x:v>
      </x:c>
    </x:row>
    <x:row r="486" ht="60" customHeight="1">
      <x:c r="A486" s="14" t="str">
        <x:v>Товары для красоты и здоровья</x:v>
      </x:c>
      <x:c r="B486" s="14" t="str">
        <x:v>Косметическая техника</x:v>
      </x:c>
      <x:c r="C486" s="14" t="str">
        <x:v>Оборудование для салона красоты</x:v>
      </x:c>
      <x:c r="D486" s="14" t="str">
        <x:v>Педикюрная подставка</x:v>
      </x:c>
      <x:c r="E486" s="2" t="n">
        <x:v>2</x:v>
      </x:c>
      <x:c r="F486" s="2" t="n">
        <x:v>0</x:v>
      </x:c>
      <x:c r="G486" s="12" t="n">
        <x:v>85922.7746</x:v>
      </x:c>
      <x:c r="H486" s="12" t="n">
        <x:v>0</x:v>
      </x:c>
      <x:c r="I486" s="13" t="n">
        <x:v>0</x:v>
      </x:c>
      <x:c r="J486" s="2" t="n">
        <x:v>2</x:v>
      </x:c>
      <x:c r="K486" s="2" t="n">
        <x:v>2</x:v>
      </x:c>
      <x:c r="L486" s="12" t="n">
        <x:v>3649.59025</x:v>
      </x:c>
      <x:c r="M486" s="13" t="n">
        <x:v>0.7545121174427251</x:v>
      </x:c>
      <x:c r="N486" s="13" t="n">
        <x:f>H486/G486</x:f>
        <x:v>0</x:v>
      </x:c>
      <x:c r="O486" s="13" t="n">
        <x:f>F486/E486</x:f>
        <x:v>0</x:v>
      </x:c>
      <x:c r="P486" s="2" t="str">
        <x:f>IF(AND(E486&gt;='Итоги'!$F$5,N486&lt;='Итоги'!$B$5,O486&gt;='Итоги'!$D$5),"Да","Нет")</x:f>
        <x:v>Нет</x:v>
      </x:c>
    </x:row>
    <x:row r="487" ht="60" customHeight="1">
      <x:c r="A487" s="14" t="str">
        <x:v>Товары для красоты и здоровья</x:v>
      </x:c>
      <x:c r="B487" s="14" t="str">
        <x:v>Парфюмерия, ароматерапия</x:v>
      </x:c>
      <x:c r="C487" s="14" t="str">
        <x:v>Парфюмерия для мужчин</x:v>
      </x:c>
      <x:c r="D487" s="14" t="str">
        <x:v>Одеколон мужской</x:v>
      </x:c>
      <x:c r="E487" s="2" t="n">
        <x:v>2</x:v>
      </x:c>
      <x:c r="F487" s="2" t="n">
        <x:v>0</x:v>
      </x:c>
      <x:c r="G487" s="12" t="n">
        <x:v>156111.9293</x:v>
      </x:c>
      <x:c r="H487" s="12" t="n">
        <x:v>0</x:v>
      </x:c>
      <x:c r="I487" s="13" t="n">
        <x:v>0</x:v>
      </x:c>
      <x:c r="J487" s="2" t="n">
        <x:v>2</x:v>
      </x:c>
      <x:c r="K487" s="2" t="n">
        <x:v>1</x:v>
      </x:c>
      <x:c r="L487" s="12" t="n">
        <x:v>1077.9145</x:v>
      </x:c>
      <x:c r="M487" s="13" t="n">
        <x:v>1</x:v>
      </x:c>
      <x:c r="N487" s="13" t="n">
        <x:f>H487/G487</x:f>
        <x:v>0</x:v>
      </x:c>
      <x:c r="O487" s="13" t="n">
        <x:f>F487/E487</x:f>
        <x:v>0</x:v>
      </x:c>
      <x:c r="P487" s="2" t="str">
        <x:f>IF(AND(E487&gt;='Итоги'!$F$5,N487&lt;='Итоги'!$B$5,O487&gt;='Итоги'!$D$5),"Да","Нет")</x:f>
        <x:v>Нет</x:v>
      </x:c>
    </x:row>
    <x:row r="488" ht="60" customHeight="1">
      <x:c r="A488" s="14" t="str">
        <x:v>Хобби и творчество</x:v>
      </x:c>
      <x:c r="B488" s="14" t="str">
        <x:v>Взрослое творчество и хобби</x:v>
      </x:c>
      <x:c r="C488" s="14" t="str">
        <x:v>Живопись и аэрография</x:v>
      </x:c>
      <x:c r="D488" s="14" t="str">
        <x:v>Бумага для художников</x:v>
      </x:c>
      <x:c r="E488" s="2" t="n">
        <x:v>2</x:v>
      </x:c>
      <x:c r="F488" s="2" t="n">
        <x:v>0</x:v>
      </x:c>
      <x:c r="G488" s="12" t="n">
        <x:v>218345.2979</x:v>
      </x:c>
      <x:c r="H488" s="12" t="n">
        <x:v>0</x:v>
      </x:c>
      <x:c r="I488" s="13" t="n">
        <x:v>0</x:v>
      </x:c>
      <x:c r="J488" s="2" t="n">
        <x:v>2</x:v>
      </x:c>
      <x:c r="K488" s="2" t="n">
        <x:v>1</x:v>
      </x:c>
      <x:c r="L488" s="12" t="n">
        <x:v>1449.5502</x:v>
      </x:c>
      <x:c r="M488" s="13" t="n">
        <x:v>1</x:v>
      </x:c>
      <x:c r="N488" s="13" t="n">
        <x:f>H488/G488</x:f>
        <x:v>0</x:v>
      </x:c>
      <x:c r="O488" s="13" t="n">
        <x:f>F488/E488</x:f>
        <x:v>0</x:v>
      </x:c>
      <x:c r="P488" s="2" t="str">
        <x:f>IF(AND(E488&gt;='Итоги'!$F$5,N488&lt;='Итоги'!$B$5,O488&gt;='Итоги'!$D$5),"Да","Нет")</x:f>
        <x:v>Нет</x:v>
      </x:c>
    </x:row>
    <x:row r="489" ht="60" customHeight="1">
      <x:c r="A489" s="14" t="str">
        <x:v>Хобби и творчество</x:v>
      </x:c>
      <x:c r="B489" s="14" t="str">
        <x:v>Детское творчество и хобби</x:v>
      </x:c>
      <x:c r="C489" s="14" t="str">
        <x:v>Аксессуар для детского творчества</x:v>
      </x:c>
      <x:c r="D489" s="14" t="str">
        <x:v>Формочки для литья</x:v>
      </x:c>
      <x:c r="E489" s="2" t="n">
        <x:v>2</x:v>
      </x:c>
      <x:c r="F489" s="2" t="n">
        <x:v>0</x:v>
      </x:c>
      <x:c r="G489" s="12" t="n">
        <x:v>78554.4447</x:v>
      </x:c>
      <x:c r="H489" s="12" t="n">
        <x:v>0</x:v>
      </x:c>
      <x:c r="I489" s="13" t="n">
        <x:v>0</x:v>
      </x:c>
      <x:c r="J489" s="2" t="n">
        <x:v>2</x:v>
      </x:c>
      <x:c r="K489" s="2" t="n">
        <x:v>2</x:v>
      </x:c>
      <x:c r="L489" s="12" t="n">
        <x:v>1494.7475</x:v>
      </x:c>
      <x:c r="M489" s="13" t="n">
        <x:v>0.8720703234759166</x:v>
      </x:c>
      <x:c r="N489" s="13" t="n">
        <x:f>H489/G489</x:f>
        <x:v>0</x:v>
      </x:c>
      <x:c r="O489" s="13" t="n">
        <x:f>F489/E489</x:f>
        <x:v>0</x:v>
      </x:c>
      <x:c r="P489" s="2" t="str">
        <x:f>IF(AND(E489&gt;='Итоги'!$F$5,N489&lt;='Итоги'!$B$5,O489&gt;='Итоги'!$D$5),"Да","Нет")</x:f>
        <x:v>Нет</x:v>
      </x:c>
    </x:row>
    <x:row r="490" ht="60" customHeight="1">
      <x:c r="A490" s="14" t="str">
        <x:v>Хобби и творчество</x:v>
      </x:c>
      <x:c r="B490" s="14" t="str">
        <x:v>Детское творчество и хобби</x:v>
      </x:c>
      <x:c r="C490" s="14" t="str">
        <x:v>Рукоделие для детей</x:v>
      </x:c>
      <x:c r="D490" s="14" t="str">
        <x:v>Набор для изготовления свечей</x:v>
      </x:c>
      <x:c r="E490" s="2" t="n">
        <x:v>2</x:v>
      </x:c>
      <x:c r="F490" s="2" t="n">
        <x:v>0</x:v>
      </x:c>
      <x:c r="G490" s="12" t="n">
        <x:v>213296.252</x:v>
      </x:c>
      <x:c r="H490" s="12" t="n">
        <x:v>0</x:v>
      </x:c>
      <x:c r="I490" s="13" t="n">
        <x:v>0</x:v>
      </x:c>
      <x:c r="J490" s="2" t="n">
        <x:v>2</x:v>
      </x:c>
      <x:c r="K490" s="2" t="n">
        <x:v>2</x:v>
      </x:c>
      <x:c r="L490" s="12" t="n">
        <x:v>1899.33485</x:v>
      </x:c>
      <x:c r="M490" s="13" t="n">
        <x:v>0.5485362597932569</x:v>
      </x:c>
      <x:c r="N490" s="13" t="n">
        <x:f>H490/G490</x:f>
        <x:v>0</x:v>
      </x:c>
      <x:c r="O490" s="13" t="n">
        <x:f>F490/E490</x:f>
        <x:v>0</x:v>
      </x:c>
      <x:c r="P490" s="2" t="str">
        <x:f>IF(AND(E490&gt;='Итоги'!$F$5,N490&lt;='Итоги'!$B$5,O490&gt;='Итоги'!$D$5),"Да","Нет")</x:f>
        <x:v>Нет</x:v>
      </x:c>
    </x:row>
    <x:row r="491" ht="60" customHeight="1">
      <x:c r="A491" s="14" t="str">
        <x:v>Школьные принадлежности и канцелярия</x:v>
      </x:c>
      <x:c r="B491" s="14" t="str">
        <x:v>Товары для школы, канцелярия, оборудование</x:v>
      </x:c>
      <x:c r="C491" s="14" t="str">
        <x:v>Оборудование для магазина</x:v>
      </x:c>
      <x:c r="D491" s="14" t="str">
        <x:v>Оборудование для выкладки товаров</x:v>
      </x:c>
      <x:c r="E491" s="2" t="n">
        <x:v>2</x:v>
      </x:c>
      <x:c r="F491" s="2" t="n">
        <x:v>0</x:v>
      </x:c>
      <x:c r="G491" s="12" t="n">
        <x:v>252460</x:v>
      </x:c>
      <x:c r="H491" s="12" t="n">
        <x:v>0</x:v>
      </x:c>
      <x:c r="I491" s="13" t="n">
        <x:v>0</x:v>
      </x:c>
      <x:c r="J491" s="2" t="n">
        <x:v>2</x:v>
      </x:c>
      <x:c r="K491" s="2" t="n">
        <x:v>2</x:v>
      </x:c>
      <x:c r="L491" s="12" t="n">
        <x:v>1922.0776</x:v>
      </x:c>
      <x:c r="M491" s="13" t="n">
        <x:v>0.64265230135467</x:v>
      </x:c>
      <x:c r="N491" s="13" t="n">
        <x:f>H491/G491</x:f>
        <x:v>0</x:v>
      </x:c>
      <x:c r="O491" s="13" t="n">
        <x:f>F491/E491</x:f>
        <x:v>0</x:v>
      </x:c>
      <x:c r="P491" s="2" t="str">
        <x:f>IF(AND(E491&gt;='Итоги'!$F$5,N491&lt;='Итоги'!$B$5,O491&gt;='Итоги'!$D$5),"Да","Нет")</x:f>
        <x:v>Нет</x:v>
      </x:c>
    </x:row>
    <x:row r="492" ht="60" customHeight="1">
      <x:c r="A492" s="14" t="str">
        <x:v>Школьные принадлежности и канцелярия</x:v>
      </x:c>
      <x:c r="B492" s="14" t="str">
        <x:v>Товары для школы, канцелярия, оборудование</x:v>
      </x:c>
      <x:c r="C492" s="14" t="str">
        <x:v>Печати и штампы</x:v>
      </x:c>
      <x:c r="D492" s="14" t="str">
        <x:v>Расходные материалы для изготовления печати, штампа</x:v>
      </x:c>
      <x:c r="E492" s="2" t="n">
        <x:v>2</x:v>
      </x:c>
      <x:c r="F492" s="2" t="n">
        <x:v>0</x:v>
      </x:c>
      <x:c r="G492" s="12" t="n">
        <x:v>183624</x:v>
      </x:c>
      <x:c r="H492" s="12" t="n">
        <x:v>0</x:v>
      </x:c>
      <x:c r="I492" s="13" t="n">
        <x:v>0</x:v>
      </x:c>
      <x:c r="J492" s="2" t="n">
        <x:v>2</x:v>
      </x:c>
      <x:c r="K492" s="2" t="n">
        <x:v>2</x:v>
      </x:c>
      <x:c r="L492" s="12" t="n">
        <x:v>1747.8811</x:v>
      </x:c>
      <x:c r="M492" s="13" t="n">
        <x:v>0.5000707968457282</x:v>
      </x:c>
      <x:c r="N492" s="13" t="n">
        <x:f>H492/G492</x:f>
        <x:v>0</x:v>
      </x:c>
      <x:c r="O492" s="13" t="n">
        <x:f>F492/E492</x:f>
        <x:v>0</x:v>
      </x:c>
      <x:c r="P492" s="2" t="str">
        <x:f>IF(AND(E492&gt;='Итоги'!$F$5,N492&lt;='Итоги'!$B$5,O492&gt;='Итоги'!$D$5),"Да","Нет")</x:f>
        <x:v>Нет</x:v>
      </x:c>
    </x:row>
    <x:row r="493" ht="60" customHeight="1">
      <x:c r="A493" s="14" t="str">
        <x:v>Школьные принадлежности и канцелярия</x:v>
      </x:c>
      <x:c r="B493" s="14" t="str">
        <x:v>Товары для школы, канцелярия, оборудование</x:v>
      </x:c>
      <x:c r="C493" s="14" t="str">
        <x:v>Печати и штампы</x:v>
      </x:c>
      <x:c r="D493" s="14" t="str">
        <x:v>Этикет-пистолет</x:v>
      </x:c>
      <x:c r="E493" s="2" t="n">
        <x:v>2</x:v>
      </x:c>
      <x:c r="F493" s="2" t="n">
        <x:v>0</x:v>
      </x:c>
      <x:c r="G493" s="12" t="n">
        <x:v>231291.17</x:v>
      </x:c>
      <x:c r="H493" s="12" t="n">
        <x:v>0</x:v>
      </x:c>
      <x:c r="I493" s="13" t="n">
        <x:v>0</x:v>
      </x:c>
      <x:c r="J493" s="2" t="n">
        <x:v>2</x:v>
      </x:c>
      <x:c r="K493" s="2" t="n">
        <x:v>2</x:v>
      </x:c>
      <x:c r="L493" s="12" t="n">
        <x:v>1664.01405</x:v>
      </x:c>
      <x:c r="M493" s="13" t="n">
        <x:v>0.5015590089323341</x:v>
      </x:c>
      <x:c r="N493" s="13" t="n">
        <x:f>H493/G493</x:f>
        <x:v>0</x:v>
      </x:c>
      <x:c r="O493" s="13" t="n">
        <x:f>F493/E493</x:f>
        <x:v>0</x:v>
      </x:c>
      <x:c r="P493" s="2" t="str">
        <x:f>IF(AND(E493&gt;='Итоги'!$F$5,N493&lt;='Итоги'!$B$5,O493&gt;='Итоги'!$D$5),"Да","Нет")</x:f>
        <x:v>Нет</x:v>
      </x:c>
    </x:row>
    <x:row r="494" ht="60" customHeight="1">
      <x:c r="A494" s="14" t="str">
        <x:v>Автотовары</x:v>
      </x:c>
      <x:c r="B494" s="14" t="str">
        <x:v>Авто и мото запчасти</x:v>
      </x:c>
      <x:c r="C494" s="14" t="str">
        <x:v>Кузовные детали</x:v>
      </x:c>
      <x:c r="D494" s="14" t="str">
        <x:v>Система пассивной безопаности</x:v>
      </x:c>
      <x:c r="E494" s="2" t="n">
        <x:v>1</x:v>
      </x:c>
      <x:c r="F494" s="2" t="n">
        <x:v>0</x:v>
      </x:c>
      <x:c r="G494" s="12" t="n">
        <x:v>85978.7705</x:v>
      </x:c>
      <x:c r="H494" s="12" t="n">
        <x:v>0</x:v>
      </x:c>
      <x:c r="I494" s="13" t="n">
        <x:v>0</x:v>
      </x:c>
      <x:c r="J494" s="2" t="n">
        <x:v>1</x:v>
      </x:c>
      <x:c r="K494" s="2" t="n">
        <x:v>1</x:v>
      </x:c>
      <x:c r="L494" s="12" t="n">
        <x:v>1343.4183</x:v>
      </x:c>
      <x:c r="M494" s="13" t="n">
        <x:v>1</x:v>
      </x:c>
      <x:c r="N494" s="13" t="n">
        <x:f>H494/G494</x:f>
        <x:v>0</x:v>
      </x:c>
      <x:c r="O494" s="13" t="n">
        <x:f>F494/E494</x:f>
        <x:v>0</x:v>
      </x:c>
      <x:c r="P494" s="2" t="str">
        <x:f>IF(AND(E494&gt;='Итоги'!$F$5,N494&lt;='Итоги'!$B$5,O494&gt;='Итоги'!$D$5),"Да","Нет")</x:f>
        <x:v>Нет</x:v>
      </x:c>
    </x:row>
    <x:row r="495" ht="60" customHeight="1">
      <x:c r="A495" s="14" t="str">
        <x:v>Автотовары</x:v>
      </x:c>
      <x:c r="B495" s="14" t="str">
        <x:v>Дополнительное оборудование для авто и мото техники</x:v>
      </x:c>
      <x:c r="C495" s="14" t="str">
        <x:v>Оборудование для дооснащения авто</x:v>
      </x:c>
      <x:c r="D495" s="14" t="str">
        <x:v>Утеплитель двигателя</x:v>
      </x:c>
      <x:c r="E495" s="2" t="n">
        <x:v>1</x:v>
      </x:c>
      <x:c r="F495" s="2" t="n">
        <x:v>0</x:v>
      </x:c>
      <x:c r="G495" s="12" t="n">
        <x:v>83295.0046</x:v>
      </x:c>
      <x:c r="H495" s="12" t="n">
        <x:v>0</x:v>
      </x:c>
      <x:c r="I495" s="13" t="n">
        <x:v>0</x:v>
      </x:c>
      <x:c r="J495" s="2" t="n">
        <x:v>1</x:v>
      </x:c>
      <x:c r="K495" s="2" t="n">
        <x:v>1</x:v>
      </x:c>
      <x:c r="L495" s="12" t="n">
        <x:v>1301.4844</x:v>
      </x:c>
      <x:c r="M495" s="13" t="n">
        <x:v>1</x:v>
      </x:c>
      <x:c r="N495" s="13" t="n">
        <x:f>H495/G495</x:f>
        <x:v>0</x:v>
      </x:c>
      <x:c r="O495" s="13" t="n">
        <x:f>F495/E495</x:f>
        <x:v>0</x:v>
      </x:c>
      <x:c r="P495" s="2" t="str">
        <x:f>IF(AND(E495&gt;='Итоги'!$F$5,N495&lt;='Итоги'!$B$5,O495&gt;='Итоги'!$D$5),"Да","Нет")</x:f>
        <x:v>Нет</x:v>
      </x:c>
    </x:row>
    <x:row r="496" ht="60" customHeight="1">
      <x:c r="A496" s="14" t="str">
        <x:v>Автотовары</x:v>
      </x:c>
      <x:c r="B496" s="14" t="str">
        <x:v>Масла и автохимия</x:v>
      </x:c>
      <x:c r="C496" s="14" t="str">
        <x:v>Дополнительная авто-мото химия</x:v>
      </x:c>
      <x:c r="D496" s="14" t="str">
        <x:v>Мотохимия</x:v>
      </x:c>
      <x:c r="E496" s="2" t="n">
        <x:v>1</x:v>
      </x:c>
      <x:c r="F496" s="2" t="n">
        <x:v>0</x:v>
      </x:c>
      <x:c r="G496" s="12" t="n">
        <x:v>158096</x:v>
      </x:c>
      <x:c r="H496" s="12" t="n">
        <x:v>0</x:v>
      </x:c>
      <x:c r="I496" s="13" t="n">
        <x:v>0</x:v>
      </x:c>
      <x:c r="J496" s="2" t="n">
        <x:v>1</x:v>
      </x:c>
      <x:c r="K496" s="2" t="n">
        <x:v>1</x:v>
      </x:c>
      <x:c r="L496" s="12" t="n">
        <x:v>878.3111</x:v>
      </x:c>
      <x:c r="M496" s="13" t="n">
        <x:v>1</x:v>
      </x:c>
      <x:c r="N496" s="13" t="n">
        <x:f>H496/G496</x:f>
        <x:v>0</x:v>
      </x:c>
      <x:c r="O496" s="13" t="n">
        <x:f>F496/E496</x:f>
        <x:v>0</x:v>
      </x:c>
      <x:c r="P496" s="2" t="str">
        <x:f>IF(AND(E496&gt;='Итоги'!$F$5,N496&lt;='Итоги'!$B$5,O496&gt;='Итоги'!$D$5),"Да","Нет")</x:f>
        <x:v>Нет</x:v>
      </x:c>
    </x:row>
    <x:row r="497" ht="60" customHeight="1">
      <x:c r="A497" s="14" t="str">
        <x:v>Автотовары</x:v>
      </x:c>
      <x:c r="B497" s="14" t="str">
        <x:v>Универсальные авто и мото аксессуары</x:v>
      </x:c>
      <x:c r="C497" s="14" t="str">
        <x:v>Аксессуары для шин и дисков</x:v>
      </x:c>
      <x:c r="D497" s="14" t="str">
        <x:v>Цепи, ленты антипробуксовочные</x:v>
      </x:c>
      <x:c r="E497" s="2" t="n">
        <x:v>1</x:v>
      </x:c>
      <x:c r="F497" s="2" t="n">
        <x:v>0</x:v>
      </x:c>
      <x:c r="G497" s="12" t="n">
        <x:v>158108.3194</x:v>
      </x:c>
      <x:c r="H497" s="12" t="n">
        <x:v>0</x:v>
      </x:c>
      <x:c r="I497" s="13" t="n">
        <x:v>0</x:v>
      </x:c>
      <x:c r="J497" s="2" t="n">
        <x:v>1</x:v>
      </x:c>
      <x:c r="K497" s="2" t="n">
        <x:v>1</x:v>
      </x:c>
      <x:c r="L497" s="12" t="n">
        <x:v>1351.3532</x:v>
      </x:c>
      <x:c r="M497" s="13" t="n">
        <x:v>1</x:v>
      </x:c>
      <x:c r="N497" s="13" t="n">
        <x:f>H497/G497</x:f>
        <x:v>0</x:v>
      </x:c>
      <x:c r="O497" s="13" t="n">
        <x:f>F497/E497</x:f>
        <x:v>0</x:v>
      </x:c>
      <x:c r="P497" s="2" t="str">
        <x:f>IF(AND(E497&gt;='Итоги'!$F$5,N497&lt;='Итоги'!$B$5,O497&gt;='Итоги'!$D$5),"Да","Нет")</x:f>
        <x:v>Нет</x:v>
      </x:c>
    </x:row>
    <x:row r="498" ht="60" customHeight="1">
      <x:c r="A498" s="14" t="str">
        <x:v>Автотовары</x:v>
      </x:c>
      <x:c r="B498" s="14" t="str">
        <x:v>Универсальные авто и мото аксессуары</x:v>
      </x:c>
      <x:c r="C498" s="14" t="str">
        <x:v>Мотоаксессуары</x:v>
      </x:c>
      <x:c r="D498" s="14" t="str">
        <x:v>Разные мото аксессуары</x:v>
      </x:c>
      <x:c r="E498" s="2" t="n">
        <x:v>1</x:v>
      </x:c>
      <x:c r="F498" s="2" t="n">
        <x:v>0</x:v>
      </x:c>
      <x:c r="G498" s="12" t="n">
        <x:v>75539</x:v>
      </x:c>
      <x:c r="H498" s="12" t="n">
        <x:v>0</x:v>
      </x:c>
      <x:c r="I498" s="13" t="n">
        <x:v>0</x:v>
      </x:c>
      <x:c r="J498" s="2" t="n">
        <x:v>1</x:v>
      </x:c>
      <x:c r="K498" s="2" t="n">
        <x:v>1</x:v>
      </x:c>
      <x:c r="L498" s="12" t="n">
        <x:v>1302.3966</x:v>
      </x:c>
      <x:c r="M498" s="13" t="n">
        <x:v>1</x:v>
      </x:c>
      <x:c r="N498" s="13" t="n">
        <x:f>H498/G498</x:f>
        <x:v>0</x:v>
      </x:c>
      <x:c r="O498" s="13" t="n">
        <x:f>F498/E498</x:f>
        <x:v>0</x:v>
      </x:c>
      <x:c r="P498" s="2" t="str">
        <x:f>IF(AND(E498&gt;='Итоги'!$F$5,N498&lt;='Итоги'!$B$5,O498&gt;='Итоги'!$D$5),"Да","Нет")</x:f>
        <x:v>Нет</x:v>
      </x:c>
    </x:row>
    <x:row r="499" ht="60" customHeight="1">
      <x:c r="A499" s="14" t="str">
        <x:v>Аксессуары</x:v>
      </x:c>
      <x:c r="B499" s="14" t="str">
        <x:v>Бижутерия и часы бижутерные</x:v>
      </x:c>
      <x:c r="C499" s="14" t="str">
        <x:v>Бижутерия</x:v>
      </x:c>
      <x:c r="D499" s="14" t="str">
        <x:v>Бижу бусы</x:v>
      </x:c>
      <x:c r="E499" s="2" t="n">
        <x:v>1</x:v>
      </x:c>
      <x:c r="F499" s="2" t="n">
        <x:v>0</x:v>
      </x:c>
      <x:c r="G499" s="12" t="n">
        <x:v>5927</x:v>
      </x:c>
      <x:c r="H499" s="12" t="n">
        <x:v>0</x:v>
      </x:c>
      <x:c r="I499" s="13" t="n">
        <x:v>0</x:v>
      </x:c>
      <x:c r="J499" s="2" t="n">
        <x:v>1</x:v>
      </x:c>
      <x:c r="K499" s="2" t="n">
        <x:v>1</x:v>
      </x:c>
      <x:c r="L499" s="12" t="n">
        <x:v>5927</x:v>
      </x:c>
      <x:c r="M499" s="13" t="n">
        <x:v>1</x:v>
      </x:c>
      <x:c r="N499" s="13" t="n">
        <x:f>H499/G499</x:f>
        <x:v>0</x:v>
      </x:c>
      <x:c r="O499" s="13" t="n">
        <x:f>F499/E499</x:f>
        <x:v>0</x:v>
      </x:c>
      <x:c r="P499" s="2" t="str">
        <x:f>IF(AND(E499&gt;='Итоги'!$F$5,N499&lt;='Итоги'!$B$5,O499&gt;='Итоги'!$D$5),"Да","Нет")</x:f>
        <x:v>Нет</x:v>
      </x:c>
    </x:row>
    <x:row r="500" ht="60" customHeight="1">
      <x:c r="A500" s="14" t="str">
        <x:v>Аксессуары</x:v>
      </x:c>
      <x:c r="B500" s="14" t="str">
        <x:v>Бижутерия и часы бижутерные</x:v>
      </x:c>
      <x:c r="C500" s="14" t="str">
        <x:v>Украшение для волос</x:v>
      </x:c>
      <x:c r="D500" s="14" t="str">
        <x:v>Повязка для волос женская</x:v>
      </x:c>
      <x:c r="E500" s="2" t="n">
        <x:v>1</x:v>
      </x:c>
      <x:c r="F500" s="2" t="n">
        <x:v>0</x:v>
      </x:c>
      <x:c r="G500" s="12" t="n">
        <x:v>120460</x:v>
      </x:c>
      <x:c r="H500" s="12" t="n">
        <x:v>0</x:v>
      </x:c>
      <x:c r="I500" s="13" t="n">
        <x:v>0</x:v>
      </x:c>
      <x:c r="J500" s="2" t="n">
        <x:v>1</x:v>
      </x:c>
      <x:c r="K500" s="2" t="n">
        <x:v>1</x:v>
      </x:c>
      <x:c r="L500" s="12" t="n">
        <x:v>2737.7273</x:v>
      </x:c>
      <x:c r="M500" s="13" t="n">
        <x:v>1</x:v>
      </x:c>
      <x:c r="N500" s="13" t="n">
        <x:f>H500/G500</x:f>
        <x:v>0</x:v>
      </x:c>
      <x:c r="O500" s="13" t="n">
        <x:f>F500/E500</x:f>
        <x:v>0</x:v>
      </x:c>
      <x:c r="P500" s="2" t="str">
        <x:f>IF(AND(E500&gt;='Итоги'!$F$5,N500&lt;='Итоги'!$B$5,O500&gt;='Итоги'!$D$5),"Да","Нет")</x:f>
        <x:v>Нет</x:v>
      </x:c>
    </x:row>
    <x:row r="501" ht="60" customHeight="1">
      <x:c r="A501" s="14" t="str">
        <x:v>Аксессуары</x:v>
      </x:c>
      <x:c r="B501" s="14" t="str">
        <x:v>Бижутерия и часы бижутерные</x:v>
      </x:c>
      <x:c r="C501" s="14" t="str">
        <x:v>Украшение для волос</x:v>
      </x:c>
      <x:c r="D501" s="14" t="str">
        <x:v>Резинка для волос</x:v>
      </x:c>
      <x:c r="E501" s="2" t="n">
        <x:v>1</x:v>
      </x:c>
      <x:c r="F501" s="2" t="n">
        <x:v>0</x:v>
      </x:c>
      <x:c r="G501" s="12" t="n">
        <x:v>150223.82</x:v>
      </x:c>
      <x:c r="H501" s="12" t="n">
        <x:v>0</x:v>
      </x:c>
      <x:c r="I501" s="13" t="n">
        <x:v>0</x:v>
      </x:c>
      <x:c r="J501" s="2" t="n">
        <x:v>1</x:v>
      </x:c>
      <x:c r="K501" s="2" t="n">
        <x:v>1</x:v>
      </x:c>
      <x:c r="L501" s="12" t="n">
        <x:v>1472.7825</x:v>
      </x:c>
      <x:c r="M501" s="13" t="n">
        <x:v>1</x:v>
      </x:c>
      <x:c r="N501" s="13" t="n">
        <x:f>H501/G501</x:f>
        <x:v>0</x:v>
      </x:c>
      <x:c r="O501" s="13" t="n">
        <x:f>F501/E501</x:f>
        <x:v>0</x:v>
      </x:c>
      <x:c r="P501" s="2" t="str">
        <x:f>IF(AND(E501&gt;='Итоги'!$F$5,N501&lt;='Итоги'!$B$5,O501&gt;='Итоги'!$D$5),"Да","Нет")</x:f>
        <x:v>Нет</x:v>
      </x:c>
    </x:row>
    <x:row r="502" ht="60" customHeight="1">
      <x:c r="A502" s="14" t="str">
        <x:v>Аксессуары</x:v>
      </x:c>
      <x:c r="B502" s="14" t="str">
        <x:v>Галантерея</x:v>
      </x:c>
      <x:c r="C502" s="14" t="str">
        <x:v>Галантерея мужская</x:v>
      </x:c>
      <x:c r="D502" s="14" t="str">
        <x:v>Мужской Несессер</x:v>
      </x:c>
      <x:c r="E502" s="2" t="n">
        <x:v>1</x:v>
      </x:c>
      <x:c r="F502" s="2" t="n">
        <x:v>0</x:v>
      </x:c>
      <x:c r="G502" s="12" t="n">
        <x:v>4455</x:v>
      </x:c>
      <x:c r="H502" s="12" t="n">
        <x:v>0</x:v>
      </x:c>
      <x:c r="I502" s="13" t="n">
        <x:v>0</x:v>
      </x:c>
      <x:c r="J502" s="2" t="n">
        <x:v>1</x:v>
      </x:c>
      <x:c r="K502" s="2" t="n">
        <x:v>1</x:v>
      </x:c>
      <x:c r="L502" s="12" t="n">
        <x:v>4455</x:v>
      </x:c>
      <x:c r="M502" s="13" t="n">
        <x:v>1</x:v>
      </x:c>
      <x:c r="N502" s="13" t="n">
        <x:f>H502/G502</x:f>
        <x:v>0</x:v>
      </x:c>
      <x:c r="O502" s="13" t="n">
        <x:f>F502/E502</x:f>
        <x:v>0</x:v>
      </x:c>
      <x:c r="P502" s="2" t="str">
        <x:f>IF(AND(E502&gt;='Итоги'!$F$5,N502&lt;='Итоги'!$B$5,O502&gt;='Итоги'!$D$5),"Да","Нет")</x:f>
        <x:v>Нет</x:v>
      </x:c>
    </x:row>
    <x:row r="503" ht="60" customHeight="1">
      <x:c r="A503" s="14" t="str">
        <x:v>Аксессуары</x:v>
      </x:c>
      <x:c r="B503" s="14" t="str">
        <x:v>Ювелирные изделия</x:v>
      </x:c>
      <x:c r="C503" s="14" t="str">
        <x:v>Аксессуар ювелирный</x:v>
      </x:c>
      <x:c r="D503" s="14" t="str">
        <x:v>Золото шарм на браслет/цепочку</x:v>
      </x:c>
      <x:c r="E503" s="2" t="n">
        <x:v>1</x:v>
      </x:c>
      <x:c r="F503" s="2" t="n">
        <x:v>0</x:v>
      </x:c>
      <x:c r="G503" s="12" t="n">
        <x:v>141559</x:v>
      </x:c>
      <x:c r="H503" s="12" t="n">
        <x:v>0</x:v>
      </x:c>
      <x:c r="I503" s="13" t="n">
        <x:v>0</x:v>
      </x:c>
      <x:c r="J503" s="2" t="n">
        <x:v>1</x:v>
      </x:c>
      <x:c r="K503" s="2" t="n">
        <x:v>1</x:v>
      </x:c>
      <x:c r="L503" s="12" t="n">
        <x:v>20222.7143</x:v>
      </x:c>
      <x:c r="M503" s="13" t="n">
        <x:v>1</x:v>
      </x:c>
      <x:c r="N503" s="13" t="n">
        <x:f>H503/G503</x:f>
        <x:v>0</x:v>
      </x:c>
      <x:c r="O503" s="13" t="n">
        <x:f>F503/E503</x:f>
        <x:v>0</x:v>
      </x:c>
      <x:c r="P503" s="2" t="str">
        <x:f>IF(AND(E503&gt;='Итоги'!$F$5,N503&lt;='Итоги'!$B$5,O503&gt;='Итоги'!$D$5),"Да","Нет")</x:f>
        <x:v>Нет</x:v>
      </x:c>
    </x:row>
    <x:row r="504" ht="60" customHeight="1">
      <x:c r="A504" s="14" t="str">
        <x:v>Аксессуары</x:v>
      </x:c>
      <x:c r="B504" s="14" t="str">
        <x:v>Ювелирные изделия</x:v>
      </x:c>
      <x:c r="C504" s="14" t="str">
        <x:v>Цепь ювелирная</x:v>
      </x:c>
      <x:c r="D504" s="14" t="str">
        <x:v>Золото бусы</x:v>
      </x:c>
      <x:c r="E504" s="2" t="n">
        <x:v>1</x:v>
      </x:c>
      <x:c r="F504" s="2" t="n">
        <x:v>0</x:v>
      </x:c>
      <x:c r="G504" s="12" t="n">
        <x:v>87478</x:v>
      </x:c>
      <x:c r="H504" s="12" t="n">
        <x:v>0</x:v>
      </x:c>
      <x:c r="I504" s="13" t="n">
        <x:v>0</x:v>
      </x:c>
      <x:c r="J504" s="2" t="n">
        <x:v>1</x:v>
      </x:c>
      <x:c r="K504" s="2" t="n">
        <x:v>1</x:v>
      </x:c>
      <x:c r="L504" s="12" t="n">
        <x:v>12496.8571</x:v>
      </x:c>
      <x:c r="M504" s="13" t="n">
        <x:v>1</x:v>
      </x:c>
      <x:c r="N504" s="13" t="n">
        <x:f>H504/G504</x:f>
        <x:v>0</x:v>
      </x:c>
      <x:c r="O504" s="13" t="n">
        <x:f>F504/E504</x:f>
        <x:v>0</x:v>
      </x:c>
      <x:c r="P504" s="2" t="str">
        <x:f>IF(AND(E504&gt;='Итоги'!$F$5,N504&lt;='Итоги'!$B$5,O504&gt;='Итоги'!$D$5),"Да","Нет")</x:f>
        <x:v>Нет</x:v>
      </x:c>
    </x:row>
    <x:row r="505" ht="60" customHeight="1">
      <x:c r="A505" s="14" t="str">
        <x:v>Аксессуары для электроники</x:v>
      </x:c>
      <x:c r="B505" s="14" t="str">
        <x:v>Аксессуары для МБТ (красота и здоровье) Access</x:v>
      </x:c>
      <x:c r="C505" s="14" t="str">
        <x:v>Насадка для прибора для красоты и здоровья Access</x:v>
      </x:c>
      <x:c r="D505" s="14" t="str">
        <x:v>Насадки для приборов для красоты и здоровья</x:v>
      </x:c>
      <x:c r="E505" s="2" t="n">
        <x:v>1</x:v>
      </x:c>
      <x:c r="F505" s="2" t="n">
        <x:v>0</x:v>
      </x:c>
      <x:c r="G505" s="12" t="n">
        <x:v>104077.8</x:v>
      </x:c>
      <x:c r="H505" s="12" t="n">
        <x:v>0</x:v>
      </x:c>
      <x:c r="I505" s="13" t="n">
        <x:v>0</x:v>
      </x:c>
      <x:c r="J505" s="2" t="n">
        <x:v>1</x:v>
      </x:c>
      <x:c r="K505" s="2" t="n">
        <x:v>1</x:v>
      </x:c>
      <x:c r="L505" s="12" t="n">
        <x:v>4163.112</x:v>
      </x:c>
      <x:c r="M505" s="13" t="n">
        <x:v>1</x:v>
      </x:c>
      <x:c r="N505" s="13" t="n">
        <x:f>H505/G505</x:f>
        <x:v>0</x:v>
      </x:c>
      <x:c r="O505" s="13" t="n">
        <x:f>F505/E505</x:f>
        <x:v>0</x:v>
      </x:c>
      <x:c r="P505" s="2" t="str">
        <x:f>IF(AND(E505&gt;='Итоги'!$F$5,N505&lt;='Итоги'!$B$5,O505&gt;='Итоги'!$D$5),"Да","Нет")</x:f>
        <x:v>Нет</x:v>
      </x:c>
    </x:row>
    <x:row r="506" ht="60" customHeight="1">
      <x:c r="A506" s="14" t="str">
        <x:v>Аксессуары для электроники</x:v>
      </x:c>
      <x:c r="B506" s="14" t="str">
        <x:v>Аксессуары для МБТ (кухня) Access</x:v>
      </x:c>
      <x:c r="C506" s="14" t="str">
        <x:v>Аксессуары для кофемашины, кофеварки Access</x:v>
      </x:c>
      <x:c r="D506" s="14" t="str">
        <x:v>Подставка для капсул кофемашин</x:v>
      </x:c>
      <x:c r="E506" s="2" t="n">
        <x:v>1</x:v>
      </x:c>
      <x:c r="F506" s="2" t="n">
        <x:v>0</x:v>
      </x:c>
      <x:c r="G506" s="12" t="n">
        <x:v>113693</x:v>
      </x:c>
      <x:c r="H506" s="12" t="n">
        <x:v>0</x:v>
      </x:c>
      <x:c r="I506" s="13" t="n">
        <x:v>0</x:v>
      </x:c>
      <x:c r="J506" s="2" t="n">
        <x:v>1</x:v>
      </x:c>
      <x:c r="K506" s="2" t="n">
        <x:v>1</x:v>
      </x:c>
      <x:c r="L506" s="12" t="n">
        <x:v>3920.4483</x:v>
      </x:c>
      <x:c r="M506" s="13" t="n">
        <x:v>1</x:v>
      </x:c>
      <x:c r="N506" s="13" t="n">
        <x:f>H506/G506</x:f>
        <x:v>0</x:v>
      </x:c>
      <x:c r="O506" s="13" t="n">
        <x:f>F506/E506</x:f>
        <x:v>0</x:v>
      </x:c>
      <x:c r="P506" s="2" t="str">
        <x:f>IF(AND(E506&gt;='Итоги'!$F$5,N506&lt;='Итоги'!$B$5,O506&gt;='Итоги'!$D$5),"Да","Нет")</x:f>
        <x:v>Нет</x:v>
      </x:c>
    </x:row>
    <x:row r="507" ht="60" customHeight="1">
      <x:c r="A507" s="14" t="str">
        <x:v>Аксессуары для электроники</x:v>
      </x:c>
      <x:c r="B507" s="14" t="str">
        <x:v>Аксессуары для МБТ (кухня) Access</x:v>
      </x:c>
      <x:c r="C507" s="14" t="str">
        <x:v>Аксессуары для электрических гриля, аэрогриля Access</x:v>
      </x:c>
      <x:c r="D507" s="14" t="str">
        <x:v>Аксессуары для аэрогриля</x:v>
      </x:c>
      <x:c r="E507" s="2" t="n">
        <x:v>1</x:v>
      </x:c>
      <x:c r="F507" s="2" t="n">
        <x:v>0</x:v>
      </x:c>
      <x:c r="G507" s="12" t="n">
        <x:v>191897.5461</x:v>
      </x:c>
      <x:c r="H507" s="12" t="n">
        <x:v>0</x:v>
      </x:c>
      <x:c r="I507" s="13" t="n">
        <x:v>0</x:v>
      </x:c>
      <x:c r="J507" s="2" t="n">
        <x:v>1</x:v>
      </x:c>
      <x:c r="K507" s="2" t="n">
        <x:v>1</x:v>
      </x:c>
      <x:c r="L507" s="12" t="n">
        <x:v>2257.6182</x:v>
      </x:c>
      <x:c r="M507" s="13" t="n">
        <x:v>1</x:v>
      </x:c>
      <x:c r="N507" s="13" t="n">
        <x:f>H507/G507</x:f>
        <x:v>0</x:v>
      </x:c>
      <x:c r="O507" s="13" t="n">
        <x:f>F507/E507</x:f>
        <x:v>0</x:v>
      </x:c>
      <x:c r="P507" s="2" t="str">
        <x:f>IF(AND(E507&gt;='Итоги'!$F$5,N507&lt;='Итоги'!$B$5,O507&gt;='Итоги'!$D$5),"Да","Нет")</x:f>
        <x:v>Нет</x:v>
      </x:c>
    </x:row>
    <x:row r="508" ht="60" customHeight="1">
      <x:c r="A508" s="14" t="str">
        <x:v>Аксессуары для электроники</x:v>
      </x:c>
      <x:c r="B508" s="14" t="str">
        <x:v>Аксессуары для мобильных устройств Access</x:v>
      </x:c>
      <x:c r="C508" s="14" t="str">
        <x:v>Аксессуары для планшетных компьютеров, электронных книг Access</x:v>
      </x:c>
      <x:c r="D508" s="14" t="str">
        <x:v>Чехол для электронной книги</x:v>
      </x:c>
      <x:c r="E508" s="2" t="n">
        <x:v>1</x:v>
      </x:c>
      <x:c r="F508" s="2" t="n">
        <x:v>0</x:v>
      </x:c>
      <x:c r="G508" s="12" t="n">
        <x:v>21990</x:v>
      </x:c>
      <x:c r="H508" s="12" t="n">
        <x:v>0</x:v>
      </x:c>
      <x:c r="I508" s="13" t="n">
        <x:v>0</x:v>
      </x:c>
      <x:c r="J508" s="2" t="n">
        <x:v>1</x:v>
      </x:c>
      <x:c r="K508" s="2" t="n">
        <x:v>1</x:v>
      </x:c>
      <x:c r="L508" s="12" t="n">
        <x:v>916.25</x:v>
      </x:c>
      <x:c r="M508" s="13" t="n">
        <x:v>1</x:v>
      </x:c>
      <x:c r="N508" s="13" t="n">
        <x:f>H508/G508</x:f>
        <x:v>0</x:v>
      </x:c>
      <x:c r="O508" s="13" t="n">
        <x:f>F508/E508</x:f>
        <x:v>0</x:v>
      </x:c>
      <x:c r="P508" s="2" t="str">
        <x:f>IF(AND(E508&gt;='Итоги'!$F$5,N508&lt;='Итоги'!$B$5,O508&gt;='Итоги'!$D$5),"Да","Нет")</x:f>
        <x:v>Нет</x:v>
      </x:c>
    </x:row>
    <x:row r="509" ht="60" customHeight="1">
      <x:c r="A509" s="14" t="str">
        <x:v>Аксессуары для электроники</x:v>
      </x:c>
      <x:c r="B509" s="14" t="str">
        <x:v>Бытовая техника Access</x:v>
      </x:c>
      <x:c r="C509" s="14" t="str">
        <x:v>Запчасти для бытовой техники Access</x:v>
      </x:c>
      <x:c r="D509" s="14" t="str">
        <x:v>Запчасти для блендера</x:v>
      </x:c>
      <x:c r="E509" s="2" t="n">
        <x:v>1</x:v>
      </x:c>
      <x:c r="F509" s="2" t="n">
        <x:v>0</x:v>
      </x:c>
      <x:c r="G509" s="12" t="n">
        <x:v>66794.2987</x:v>
      </x:c>
      <x:c r="H509" s="12" t="n">
        <x:v>0</x:v>
      </x:c>
      <x:c r="I509" s="13" t="n">
        <x:v>0</x:v>
      </x:c>
      <x:c r="J509" s="2" t="n">
        <x:v>1</x:v>
      </x:c>
      <x:c r="K509" s="2" t="n">
        <x:v>1</x:v>
      </x:c>
      <x:c r="L509" s="12" t="n">
        <x:v>3180.6809</x:v>
      </x:c>
      <x:c r="M509" s="13" t="n">
        <x:v>1</x:v>
      </x:c>
      <x:c r="N509" s="13" t="n">
        <x:f>H509/G509</x:f>
        <x:v>0</x:v>
      </x:c>
      <x:c r="O509" s="13" t="n">
        <x:f>F509/E509</x:f>
        <x:v>0</x:v>
      </x:c>
      <x:c r="P509" s="2" t="str">
        <x:f>IF(AND(E509&gt;='Итоги'!$F$5,N509&lt;='Итоги'!$B$5,O509&gt;='Итоги'!$D$5),"Да","Нет")</x:f>
        <x:v>Нет</x:v>
      </x:c>
    </x:row>
    <x:row r="510" ht="60" customHeight="1">
      <x:c r="A510" s="14" t="str">
        <x:v>Аксессуары для электроники</x:v>
      </x:c>
      <x:c r="B510" s="14" t="str">
        <x:v>Бытовая техника Access</x:v>
      </x:c>
      <x:c r="C510" s="14" t="str">
        <x:v>Запчасти для бытовой техники Access</x:v>
      </x:c>
      <x:c r="D510" s="14" t="str">
        <x:v>Запчасти для кофемолки</x:v>
      </x:c>
      <x:c r="E510" s="2" t="n">
        <x:v>1</x:v>
      </x:c>
      <x:c r="F510" s="2" t="n">
        <x:v>0</x:v>
      </x:c>
      <x:c r="G510" s="12" t="n">
        <x:v>127950</x:v>
      </x:c>
      <x:c r="H510" s="12" t="n">
        <x:v>0</x:v>
      </x:c>
      <x:c r="I510" s="13" t="n">
        <x:v>0</x:v>
      </x:c>
      <x:c r="J510" s="2" t="n">
        <x:v>1</x:v>
      </x:c>
      <x:c r="K510" s="2" t="n">
        <x:v>1</x:v>
      </x:c>
      <x:c r="L510" s="12" t="n">
        <x:v>3998.4375</x:v>
      </x:c>
      <x:c r="M510" s="13" t="n">
        <x:v>1</x:v>
      </x:c>
      <x:c r="N510" s="13" t="n">
        <x:f>H510/G510</x:f>
        <x:v>0</x:v>
      </x:c>
      <x:c r="O510" s="13" t="n">
        <x:f>F510/E510</x:f>
        <x:v>0</x:v>
      </x:c>
      <x:c r="P510" s="2" t="str">
        <x:f>IF(AND(E510&gt;='Итоги'!$F$5,N510&lt;='Итоги'!$B$5,O510&gt;='Итоги'!$D$5),"Да","Нет")</x:f>
        <x:v>Нет</x:v>
      </x:c>
    </x:row>
    <x:row r="511" ht="60" customHeight="1">
      <x:c r="A511" s="14" t="str">
        <x:v>Аксессуары для электроники</x:v>
      </x:c>
      <x:c r="B511" s="14" t="str">
        <x:v>Бытовая техника Access</x:v>
      </x:c>
      <x:c r="C511" s="14" t="str">
        <x:v>Запчасти для бытовой техники Access</x:v>
      </x:c>
      <x:c r="D511" s="14" t="str">
        <x:v>Запчасти для кухонного комбайна</x:v>
      </x:c>
      <x:c r="E511" s="2" t="n">
        <x:v>1</x:v>
      </x:c>
      <x:c r="F511" s="2" t="n">
        <x:v>0</x:v>
      </x:c>
      <x:c r="G511" s="12" t="n">
        <x:v>88071.947</x:v>
      </x:c>
      <x:c r="H511" s="12" t="n">
        <x:v>0</x:v>
      </x:c>
      <x:c r="I511" s="13" t="n">
        <x:v>0</x:v>
      </x:c>
      <x:c r="J511" s="2" t="n">
        <x:v>1</x:v>
      </x:c>
      <x:c r="K511" s="2" t="n">
        <x:v>1</x:v>
      </x:c>
      <x:c r="L511" s="12" t="n">
        <x:v>4193.9022</x:v>
      </x:c>
      <x:c r="M511" s="13" t="n">
        <x:v>1</x:v>
      </x:c>
      <x:c r="N511" s="13" t="n">
        <x:f>H511/G511</x:f>
        <x:v>0</x:v>
      </x:c>
      <x:c r="O511" s="13" t="n">
        <x:f>F511/E511</x:f>
        <x:v>0</x:v>
      </x:c>
      <x:c r="P511" s="2" t="str">
        <x:f>IF(AND(E511&gt;='Итоги'!$F$5,N511&lt;='Итоги'!$B$5,O511&gt;='Итоги'!$D$5),"Да","Нет")</x:f>
        <x:v>Нет</x:v>
      </x:c>
    </x:row>
    <x:row r="512" ht="60" customHeight="1">
      <x:c r="A512" s="14" t="str">
        <x:v>Аксессуары для электроники</x:v>
      </x:c>
      <x:c r="B512" s="14" t="str">
        <x:v>Запчасти Access</x:v>
      </x:c>
      <x:c r="C512" s="14" t="str">
        <x:v>Запчасти для телефонов Access</x:v>
      </x:c>
      <x:c r="D512" s="14" t="str">
        <x:v>Инструмент для ремонта смартфонов</x:v>
      </x:c>
      <x:c r="E512" s="2" t="n">
        <x:v>1</x:v>
      </x:c>
      <x:c r="F512" s="2" t="n">
        <x:v>0</x:v>
      </x:c>
      <x:c r="G512" s="12" t="n">
        <x:v>18721</x:v>
      </x:c>
      <x:c r="H512" s="12" t="n">
        <x:v>0</x:v>
      </x:c>
      <x:c r="I512" s="13" t="n">
        <x:v>0</x:v>
      </x:c>
      <x:c r="J512" s="2" t="n">
        <x:v>1</x:v>
      </x:c>
      <x:c r="K512" s="2" t="n">
        <x:v>1</x:v>
      </x:c>
      <x:c r="L512" s="12" t="n">
        <x:v>2674.4286</x:v>
      </x:c>
      <x:c r="M512" s="13" t="n">
        <x:v>1</x:v>
      </x:c>
      <x:c r="N512" s="13" t="n">
        <x:f>H512/G512</x:f>
        <x:v>0</x:v>
      </x:c>
      <x:c r="O512" s="13" t="n">
        <x:f>F512/E512</x:f>
        <x:v>0</x:v>
      </x:c>
      <x:c r="P512" s="2" t="str">
        <x:f>IF(AND(E512&gt;='Итоги'!$F$5,N512&lt;='Итоги'!$B$5,O512&gt;='Итоги'!$D$5),"Да","Нет")</x:f>
        <x:v>Нет</x:v>
      </x:c>
    </x:row>
    <x:row r="513" ht="60" customHeight="1">
      <x:c r="A513" s="14" t="str">
        <x:v>Аксессуары для электроники</x:v>
      </x:c>
      <x:c r="B513" s="14" t="str">
        <x:v>Игровые приставки и аксессуары Access</x:v>
      </x:c>
      <x:c r="C513" s="14" t="str">
        <x:v>Зарядное устройство для игровой приставки Access</x:v>
      </x:c>
      <x:c r="D513" s="14" t="str">
        <x:v>Зарядное устройство универсальное для игровой приставки</x:v>
      </x:c>
      <x:c r="E513" s="2" t="n">
        <x:v>1</x:v>
      </x:c>
      <x:c r="F513" s="2" t="n">
        <x:v>0</x:v>
      </x:c>
      <x:c r="G513" s="12" t="n">
        <x:v>321559.38</x:v>
      </x:c>
      <x:c r="H513" s="12" t="n">
        <x:v>0</x:v>
      </x:c>
      <x:c r="I513" s="13" t="n">
        <x:v>0</x:v>
      </x:c>
      <x:c r="J513" s="2" t="n">
        <x:v>1</x:v>
      </x:c>
      <x:c r="K513" s="2" t="n">
        <x:v>1</x:v>
      </x:c>
      <x:c r="L513" s="12" t="n">
        <x:v>3183.7562</x:v>
      </x:c>
      <x:c r="M513" s="13" t="n">
        <x:v>1</x:v>
      </x:c>
      <x:c r="N513" s="13" t="n">
        <x:f>H513/G513</x:f>
        <x:v>0</x:v>
      </x:c>
      <x:c r="O513" s="13" t="n">
        <x:f>F513/E513</x:f>
        <x:v>0</x:v>
      </x:c>
      <x:c r="P513" s="2" t="str">
        <x:f>IF(AND(E513&gt;='Итоги'!$F$5,N513&lt;='Итоги'!$B$5,O513&gt;='Итоги'!$D$5),"Да","Нет")</x:f>
        <x:v>Нет</x:v>
      </x:c>
    </x:row>
    <x:row r="514" ht="60" customHeight="1">
      <x:c r="A514" s="14" t="str">
        <x:v>Аксессуары для электроники</x:v>
      </x:c>
      <x:c r="B514" s="14" t="str">
        <x:v>Фото и видео Access</x:v>
      </x:c>
      <x:c r="C514" s="14" t="str">
        <x:v>Аксессуар к фото и видео Access</x:v>
      </x:c>
      <x:c r="D514" s="14" t="str">
        <x:v>Аксессуары для фото/видео объектива</x:v>
      </x:c>
      <x:c r="E514" s="2" t="n">
        <x:v>1</x:v>
      </x:c>
      <x:c r="F514" s="2" t="n">
        <x:v>0</x:v>
      </x:c>
      <x:c r="G514" s="12" t="n">
        <x:v>61102</x:v>
      </x:c>
      <x:c r="H514" s="12" t="n">
        <x:v>0</x:v>
      </x:c>
      <x:c r="I514" s="13" t="n">
        <x:v>0</x:v>
      </x:c>
      <x:c r="J514" s="2" t="n">
        <x:v>1</x:v>
      </x:c>
      <x:c r="K514" s="2" t="n">
        <x:v>1</x:v>
      </x:c>
      <x:c r="L514" s="12" t="n">
        <x:v>1018.3667</x:v>
      </x:c>
      <x:c r="M514" s="13" t="n">
        <x:v>1</x:v>
      </x:c>
      <x:c r="N514" s="13" t="n">
        <x:f>H514/G514</x:f>
        <x:v>0</x:v>
      </x:c>
      <x:c r="O514" s="13" t="n">
        <x:f>F514/E514</x:f>
        <x:v>0</x:v>
      </x:c>
      <x:c r="P514" s="2" t="str">
        <x:f>IF(AND(E514&gt;='Итоги'!$F$5,N514&lt;='Итоги'!$B$5,O514&gt;='Итоги'!$D$5),"Да","Нет")</x:f>
        <x:v>Нет</x:v>
      </x:c>
    </x:row>
    <x:row r="515" ht="60" customHeight="1">
      <x:c r="A515" s="14" t="str">
        <x:v>Аксессуары для электроники</x:v>
      </x:c>
      <x:c r="B515" s="14" t="str">
        <x:v>Фото и видео Access</x:v>
      </x:c>
      <x:c r="C515" s="14" t="str">
        <x:v>Аксессуар к фото и видео Access</x:v>
      </x:c>
      <x:c r="D515" s="14" t="str">
        <x:v>Внешний микрофон для фото/видео камер</x:v>
      </x:c>
      <x:c r="E515" s="2" t="n">
        <x:v>1</x:v>
      </x:c>
      <x:c r="F515" s="2" t="n">
        <x:v>0</x:v>
      </x:c>
      <x:c r="G515" s="12" t="n">
        <x:v>13140</x:v>
      </x:c>
      <x:c r="H515" s="12" t="n">
        <x:v>0</x:v>
      </x:c>
      <x:c r="I515" s="13" t="n">
        <x:v>0</x:v>
      </x:c>
      <x:c r="J515" s="2" t="n">
        <x:v>1</x:v>
      </x:c>
      <x:c r="K515" s="2" t="n">
        <x:v>1</x:v>
      </x:c>
      <x:c r="L515" s="12" t="n">
        <x:v>13140</x:v>
      </x:c>
      <x:c r="M515" s="13" t="n">
        <x:v>1</x:v>
      </x:c>
      <x:c r="N515" s="13" t="n">
        <x:f>H515/G515</x:f>
        <x:v>0</x:v>
      </x:c>
      <x:c r="O515" s="13" t="n">
        <x:f>F515/E515</x:f>
        <x:v>0</x:v>
      </x:c>
      <x:c r="P515" s="2" t="str">
        <x:f>IF(AND(E515&gt;='Итоги'!$F$5,N515&lt;='Итоги'!$B$5,O515&gt;='Итоги'!$D$5),"Да","Нет")</x:f>
        <x:v>Нет</x:v>
      </x:c>
    </x:row>
    <x:row r="516" ht="60" customHeight="1">
      <x:c r="A516" s="14" t="str">
        <x:v>Аксессуары для электроники</x:v>
      </x:c>
      <x:c r="B516" s="14" t="str">
        <x:v>Фото и видео Access</x:v>
      </x:c>
      <x:c r="C516" s="14" t="str">
        <x:v>Аксессуар к фото и видео Access</x:v>
      </x:c>
      <x:c r="D516" s="14" t="str">
        <x:v>Кнопка спуска затвора для фото</x:v>
      </x:c>
      <x:c r="E516" s="2" t="n">
        <x:v>1</x:v>
      </x:c>
      <x:c r="F516" s="2" t="n">
        <x:v>0</x:v>
      </x:c>
      <x:c r="G516" s="12" t="n">
        <x:v>81137</x:v>
      </x:c>
      <x:c r="H516" s="12" t="n">
        <x:v>0</x:v>
      </x:c>
      <x:c r="I516" s="13" t="n">
        <x:v>0</x:v>
      </x:c>
      <x:c r="J516" s="2" t="n">
        <x:v>1</x:v>
      </x:c>
      <x:c r="K516" s="2" t="n">
        <x:v>1</x:v>
      </x:c>
      <x:c r="L516" s="12" t="n">
        <x:v>1803.0444</x:v>
      </x:c>
      <x:c r="M516" s="13" t="n">
        <x:v>1</x:v>
      </x:c>
      <x:c r="N516" s="13" t="n">
        <x:f>H516/G516</x:f>
        <x:v>0</x:v>
      </x:c>
      <x:c r="O516" s="13" t="n">
        <x:f>F516/E516</x:f>
        <x:v>0</x:v>
      </x:c>
      <x:c r="P516" s="2" t="str">
        <x:f>IF(AND(E516&gt;='Итоги'!$F$5,N516&lt;='Итоги'!$B$5,O516&gt;='Итоги'!$D$5),"Да","Нет")</x:f>
        <x:v>Нет</x:v>
      </x:c>
    </x:row>
    <x:row r="517" ht="60" customHeight="1">
      <x:c r="A517" s="14" t="str">
        <x:v>Аптека</x:v>
      </x:c>
      <x:c r="B517" s="14" t="str">
        <x:v>Ветеринарное медицинское оборудование</x:v>
      </x:c>
      <x:c r="C517" s="14" t="str">
        <x:v>Ветеринарное медицинское оборудование</x:v>
      </x:c>
      <x:c r="D517" s="14" t="str">
        <x:v>Ветеринарный тонометр</x:v>
      </x:c>
      <x:c r="E517" s="2" t="n">
        <x:v>1</x:v>
      </x:c>
      <x:c r="F517" s="2" t="n">
        <x:v>0</x:v>
      </x:c>
      <x:c r="G517" s="12" t="n">
        <x:v>112244</x:v>
      </x:c>
      <x:c r="H517" s="12" t="n">
        <x:v>0</x:v>
      </x:c>
      <x:c r="I517" s="13" t="n">
        <x:v>0</x:v>
      </x:c>
      <x:c r="J517" s="2" t="n">
        <x:v>1</x:v>
      </x:c>
      <x:c r="K517" s="2" t="n">
        <x:v>1</x:v>
      </x:c>
      <x:c r="L517" s="12" t="n">
        <x:v>8634.1538</x:v>
      </x:c>
      <x:c r="M517" s="13" t="n">
        <x:v>1</x:v>
      </x:c>
      <x:c r="N517" s="13" t="n">
        <x:f>H517/G517</x:f>
        <x:v>0</x:v>
      </x:c>
      <x:c r="O517" s="13" t="n">
        <x:f>F517/E517</x:f>
        <x:v>0</x:v>
      </x:c>
      <x:c r="P517" s="2" t="str">
        <x:f>IF(AND(E517&gt;='Итоги'!$F$5,N517&lt;='Итоги'!$B$5,O517&gt;='Итоги'!$D$5),"Да","Нет")</x:f>
        <x:v>Нет</x:v>
      </x:c>
    </x:row>
    <x:row r="518" ht="60" customHeight="1">
      <x:c r="A518" s="14" t="str">
        <x:v>Аптека</x:v>
      </x:c>
      <x:c r="B518" s="14" t="str">
        <x:v>Витамины и БАДы</x:v>
      </x:c>
      <x:c r="C518" s="14" t="str">
        <x:v>Противопростудные препараты</x:v>
      </x:c>
      <x:c r="D518" s="14" t="str">
        <x:v>БАД для облегчения болей в горле</x:v>
      </x:c>
      <x:c r="E518" s="2" t="n">
        <x:v>1</x:v>
      </x:c>
      <x:c r="F518" s="2" t="n">
        <x:v>0</x:v>
      </x:c>
      <x:c r="G518" s="12" t="n">
        <x:v>176902</x:v>
      </x:c>
      <x:c r="H518" s="12" t="n">
        <x:v>0</x:v>
      </x:c>
      <x:c r="I518" s="13" t="n">
        <x:v>0</x:v>
      </x:c>
      <x:c r="J518" s="2" t="n">
        <x:v>1</x:v>
      </x:c>
      <x:c r="K518" s="2" t="n">
        <x:v>1</x:v>
      </x:c>
      <x:c r="L518" s="12" t="n">
        <x:v>1392.9291</x:v>
      </x:c>
      <x:c r="M518" s="13" t="n">
        <x:v>1</x:v>
      </x:c>
      <x:c r="N518" s="13" t="n">
        <x:f>H518/G518</x:f>
        <x:v>0</x:v>
      </x:c>
      <x:c r="O518" s="13" t="n">
        <x:f>F518/E518</x:f>
        <x:v>0</x:v>
      </x:c>
      <x:c r="P518" s="2" t="str">
        <x:f>IF(AND(E518&gt;='Итоги'!$F$5,N518&lt;='Итоги'!$B$5,O518&gt;='Итоги'!$D$5),"Да","Нет")</x:f>
        <x:v>Нет</x:v>
      </x:c>
    </x:row>
    <x:row r="519" ht="60" customHeight="1">
      <x:c r="A519" s="14" t="str">
        <x:v>Аптека</x:v>
      </x:c>
      <x:c r="B519" s="14" t="str">
        <x:v>Лекарственные средства для животных</x:v>
      </x:c>
      <x:c r="C519" s="14" t="str">
        <x:v>Безрецептурные лекарственные препараты для животных</x:v>
      </x:c>
      <x:c r="D519" s="14" t="str">
        <x:v>ВЕТ Гормональные препараты лицензированные</x:v>
      </x:c>
      <x:c r="E519" s="2" t="n">
        <x:v>1</x:v>
      </x:c>
      <x:c r="F519" s="2" t="n">
        <x:v>0</x:v>
      </x:c>
      <x:c r="G519" s="12" t="n">
        <x:v>103976.5</x:v>
      </x:c>
      <x:c r="H519" s="12" t="n">
        <x:v>0</x:v>
      </x:c>
      <x:c r="I519" s="13" t="n">
        <x:v>0</x:v>
      </x:c>
      <x:c r="J519" s="2" t="n">
        <x:v>1</x:v>
      </x:c>
      <x:c r="K519" s="2" t="n">
        <x:v>1</x:v>
      </x:c>
      <x:c r="L519" s="12" t="n">
        <x:v>1405.0878</x:v>
      </x:c>
      <x:c r="M519" s="13" t="n">
        <x:v>1</x:v>
      </x:c>
      <x:c r="N519" s="13" t="n">
        <x:f>H519/G519</x:f>
        <x:v>0</x:v>
      </x:c>
      <x:c r="O519" s="13" t="n">
        <x:f>F519/E519</x:f>
        <x:v>0</x:v>
      </x:c>
      <x:c r="P519" s="2" t="str">
        <x:f>IF(AND(E519&gt;='Итоги'!$F$5,N519&lt;='Итоги'!$B$5,O519&gt;='Итоги'!$D$5),"Да","Нет")</x:f>
        <x:v>Нет</x:v>
      </x:c>
    </x:row>
    <x:row r="520" ht="60" customHeight="1">
      <x:c r="A520" s="14" t="str">
        <x:v>Аптека</x:v>
      </x:c>
      <x:c r="B520" s="14" t="str">
        <x:v>Лекарственные средства для животных</x:v>
      </x:c>
      <x:c r="C520" s="14" t="str">
        <x:v>Безрецептурные лекарственные препараты для животных</x:v>
      </x:c>
      <x:c r="D520" s="14" t="str">
        <x:v>ВЕТ Лекарства для ушей лицензированные</x:v>
      </x:c>
      <x:c r="E520" s="2" t="n">
        <x:v>1</x:v>
      </x:c>
      <x:c r="F520" s="2" t="n">
        <x:v>0</x:v>
      </x:c>
      <x:c r="G520" s="12" t="n">
        <x:v>286749.05</x:v>
      </x:c>
      <x:c r="H520" s="12" t="n">
        <x:v>0</x:v>
      </x:c>
      <x:c r="I520" s="13" t="n">
        <x:v>0</x:v>
      </x:c>
      <x:c r="J520" s="2" t="n">
        <x:v>1</x:v>
      </x:c>
      <x:c r="K520" s="2" t="n">
        <x:v>1</x:v>
      </x:c>
      <x:c r="L520" s="12" t="n">
        <x:v>1448.2275</x:v>
      </x:c>
      <x:c r="M520" s="13" t="n">
        <x:v>1</x:v>
      </x:c>
      <x:c r="N520" s="13" t="n">
        <x:f>H520/G520</x:f>
        <x:v>0</x:v>
      </x:c>
      <x:c r="O520" s="13" t="n">
        <x:f>F520/E520</x:f>
        <x:v>0</x:v>
      </x:c>
      <x:c r="P520" s="2" t="str">
        <x:f>IF(AND(E520&gt;='Итоги'!$F$5,N520&lt;='Итоги'!$B$5,O520&gt;='Итоги'!$D$5),"Да","Нет")</x:f>
        <x:v>Нет</x:v>
      </x:c>
    </x:row>
    <x:row r="521" ht="60" customHeight="1">
      <x:c r="A521" s="14" t="str">
        <x:v>Аптека</x:v>
      </x:c>
      <x:c r="B521" s="14" t="str">
        <x:v>Лекарственные средства для животных</x:v>
      </x:c>
      <x:c r="C521" s="14" t="str">
        <x:v>Безрецептурные лекарственные препараты для животных</x:v>
      </x:c>
      <x:c r="D521" s="14" t="str">
        <x:v>ВЕТ Препараты для лечения мочеполовой системы лицензированные</x:v>
      </x:c>
      <x:c r="E521" s="2" t="n">
        <x:v>1</x:v>
      </x:c>
      <x:c r="F521" s="2" t="n">
        <x:v>0</x:v>
      </x:c>
      <x:c r="G521" s="12" t="n">
        <x:v>254819</x:v>
      </x:c>
      <x:c r="H521" s="12" t="n">
        <x:v>0</x:v>
      </x:c>
      <x:c r="I521" s="13" t="n">
        <x:v>0</x:v>
      </x:c>
      <x:c r="J521" s="2" t="n">
        <x:v>1</x:v>
      </x:c>
      <x:c r="K521" s="2" t="n">
        <x:v>1</x:v>
      </x:c>
      <x:c r="L521" s="12" t="n">
        <x:v>1612.7785</x:v>
      </x:c>
      <x:c r="M521" s="13" t="n">
        <x:v>1</x:v>
      </x:c>
      <x:c r="N521" s="13" t="n">
        <x:f>H521/G521</x:f>
        <x:v>0</x:v>
      </x:c>
      <x:c r="O521" s="13" t="n">
        <x:f>F521/E521</x:f>
        <x:v>0</x:v>
      </x:c>
      <x:c r="P521" s="2" t="str">
        <x:f>IF(AND(E521&gt;='Итоги'!$F$5,N521&lt;='Итоги'!$B$5,O521&gt;='Итоги'!$D$5),"Да","Нет")</x:f>
        <x:v>Нет</x:v>
      </x:c>
    </x:row>
    <x:row r="522" ht="60" customHeight="1">
      <x:c r="A522" s="14" t="str">
        <x:v>Аптека</x:v>
      </x:c>
      <x:c r="B522" s="14" t="str">
        <x:v>Лекарственные средства для животных</x:v>
      </x:c>
      <x:c r="C522" s="14" t="str">
        <x:v>Безрецептурные лекарственные препараты для животных</x:v>
      </x:c>
      <x:c r="D522" s="14" t="str">
        <x:v>ВЕТ Препараты от глистов лицензированные</x:v>
      </x:c>
      <x:c r="E522" s="2" t="n">
        <x:v>1</x:v>
      </x:c>
      <x:c r="F522" s="2" t="n">
        <x:v>0</x:v>
      </x:c>
      <x:c r="G522" s="12" t="n">
        <x:v>106670</x:v>
      </x:c>
      <x:c r="H522" s="12" t="n">
        <x:v>0</x:v>
      </x:c>
      <x:c r="I522" s="13" t="n">
        <x:v>0</x:v>
      </x:c>
      <x:c r="J522" s="2" t="n">
        <x:v>1</x:v>
      </x:c>
      <x:c r="K522" s="2" t="n">
        <x:v>1</x:v>
      </x:c>
      <x:c r="L522" s="12" t="n">
        <x:v>1035.6311</x:v>
      </x:c>
      <x:c r="M522" s="13" t="n">
        <x:v>1</x:v>
      </x:c>
      <x:c r="N522" s="13" t="n">
        <x:f>H522/G522</x:f>
        <x:v>0</x:v>
      </x:c>
      <x:c r="O522" s="13" t="n">
        <x:f>F522/E522</x:f>
        <x:v>0</x:v>
      </x:c>
      <x:c r="P522" s="2" t="str">
        <x:f>IF(AND(E522&gt;='Итоги'!$F$5,N522&lt;='Итоги'!$B$5,O522&gt;='Итоги'!$D$5),"Да","Нет")</x:f>
        <x:v>Нет</x:v>
      </x:c>
    </x:row>
    <x:row r="523" ht="60" customHeight="1">
      <x:c r="A523" s="14" t="str">
        <x:v>Аптека</x:v>
      </x:c>
      <x:c r="B523" s="14" t="str">
        <x:v>Лекарственные средства для животных</x:v>
      </x:c>
      <x:c r="C523" s="14" t="str">
        <x:v>Безрецептурные лекарственные препараты для животных</x:v>
      </x:c>
      <x:c r="D523" s="14" t="str">
        <x:v>ВЕТ Противомаститные препараты лицензированные</x:v>
      </x:c>
      <x:c r="E523" s="2" t="n">
        <x:v>1</x:v>
      </x:c>
      <x:c r="F523" s="2" t="n">
        <x:v>0</x:v>
      </x:c>
      <x:c r="G523" s="12" t="n">
        <x:v>104102</x:v>
      </x:c>
      <x:c r="H523" s="12" t="n">
        <x:v>0</x:v>
      </x:c>
      <x:c r="I523" s="13" t="n">
        <x:v>0</x:v>
      </x:c>
      <x:c r="J523" s="2" t="n">
        <x:v>1</x:v>
      </x:c>
      <x:c r="K523" s="2" t="n">
        <x:v>1</x:v>
      </x:c>
      <x:c r="L523" s="12" t="n">
        <x:v>1964.1887</x:v>
      </x:c>
      <x:c r="M523" s="13" t="n">
        <x:v>1</x:v>
      </x:c>
      <x:c r="N523" s="13" t="n">
        <x:f>H523/G523</x:f>
        <x:v>0</x:v>
      </x:c>
      <x:c r="O523" s="13" t="n">
        <x:f>F523/E523</x:f>
        <x:v>0</x:v>
      </x:c>
      <x:c r="P523" s="2" t="str">
        <x:f>IF(AND(E523&gt;='Итоги'!$F$5,N523&lt;='Итоги'!$B$5,O523&gt;='Итоги'!$D$5),"Да","Нет")</x:f>
        <x:v>Нет</x:v>
      </x:c>
    </x:row>
    <x:row r="524" ht="60" customHeight="1">
      <x:c r="A524" s="14" t="str">
        <x:v>Аптека</x:v>
      </x:c>
      <x:c r="B524" s="14" t="str">
        <x:v>Медицинская техника</x:v>
      </x:c>
      <x:c r="C524" s="14" t="str">
        <x:v>Медицинская техника</x:v>
      </x:c>
      <x:c r="D524" s="14" t="str">
        <x:v>Аксессуары для медицинской техники</x:v>
      </x:c>
      <x:c r="E524" s="2" t="n">
        <x:v>1</x:v>
      </x:c>
      <x:c r="F524" s="2" t="n">
        <x:v>0</x:v>
      </x:c>
      <x:c r="G524" s="12" t="n">
        <x:v>98891.38</x:v>
      </x:c>
      <x:c r="H524" s="12" t="n">
        <x:v>0</x:v>
      </x:c>
      <x:c r="I524" s="13" t="n">
        <x:v>0</x:v>
      </x:c>
      <x:c r="J524" s="2" t="n">
        <x:v>1</x:v>
      </x:c>
      <x:c r="K524" s="2" t="n">
        <x:v>1</x:v>
      </x:c>
      <x:c r="L524" s="12" t="n">
        <x:v>810.5851</x:v>
      </x:c>
      <x:c r="M524" s="13" t="n">
        <x:v>1</x:v>
      </x:c>
      <x:c r="N524" s="13" t="n">
        <x:f>H524/G524</x:f>
        <x:v>0</x:v>
      </x:c>
      <x:c r="O524" s="13" t="n">
        <x:f>F524/E524</x:f>
        <x:v>0</x:v>
      </x:c>
      <x:c r="P524" s="2" t="str">
        <x:f>IF(AND(E524&gt;='Итоги'!$F$5,N524&lt;='Итоги'!$B$5,O524&gt;='Итоги'!$D$5),"Да","Нет")</x:f>
        <x:v>Нет</x:v>
      </x:c>
    </x:row>
    <x:row r="525" ht="60" customHeight="1">
      <x:c r="A525" s="14" t="str">
        <x:v>Аптека</x:v>
      </x:c>
      <x:c r="B525" s="14" t="str">
        <x:v>Медицинская техника</x:v>
      </x:c>
      <x:c r="C525" s="14" t="str">
        <x:v>Медицинская техника</x:v>
      </x:c>
      <x:c r="D525" s="14" t="str">
        <x:v>Баня и плитка лабораторная</x:v>
      </x:c>
      <x:c r="E525" s="2" t="n">
        <x:v>1</x:v>
      </x:c>
      <x:c r="F525" s="2" t="n">
        <x:v>0</x:v>
      </x:c>
      <x:c r="G525" s="12" t="n">
        <x:v>43891</x:v>
      </x:c>
      <x:c r="H525" s="12" t="n">
        <x:v>0</x:v>
      </x:c>
      <x:c r="I525" s="13" t="n">
        <x:v>0</x:v>
      </x:c>
      <x:c r="J525" s="2" t="n">
        <x:v>1</x:v>
      </x:c>
      <x:c r="K525" s="2" t="n">
        <x:v>1</x:v>
      </x:c>
      <x:c r="L525" s="12" t="n">
        <x:v>10972.75</x:v>
      </x:c>
      <x:c r="M525" s="13" t="n">
        <x:v>1</x:v>
      </x:c>
      <x:c r="N525" s="13" t="n">
        <x:f>H525/G525</x:f>
        <x:v>0</x:v>
      </x:c>
      <x:c r="O525" s="13" t="n">
        <x:f>F525/E525</x:f>
        <x:v>0</x:v>
      </x:c>
      <x:c r="P525" s="2" t="str">
        <x:f>IF(AND(E525&gt;='Итоги'!$F$5,N525&lt;='Итоги'!$B$5,O525&gt;='Итоги'!$D$5),"Да","Нет")</x:f>
        <x:v>Нет</x:v>
      </x:c>
    </x:row>
    <x:row r="526" ht="60" customHeight="1">
      <x:c r="A526" s="14" t="str">
        <x:v>Аптека</x:v>
      </x:c>
      <x:c r="B526" s="14" t="str">
        <x:v>Медицинская техника</x:v>
      </x:c>
      <x:c r="C526" s="14" t="str">
        <x:v>Медицинская техника</x:v>
      </x:c>
      <x:c r="D526" s="14" t="str">
        <x:v>Будильник энурезный</x:v>
      </x:c>
      <x:c r="E526" s="2" t="n">
        <x:v>1</x:v>
      </x:c>
      <x:c r="F526" s="2" t="n">
        <x:v>0</x:v>
      </x:c>
      <x:c r="G526" s="12" t="n">
        <x:v>12295.33</x:v>
      </x:c>
      <x:c r="H526" s="12" t="n">
        <x:v>0</x:v>
      </x:c>
      <x:c r="I526" s="13" t="n">
        <x:v>0</x:v>
      </x:c>
      <x:c r="J526" s="2" t="n">
        <x:v>1</x:v>
      </x:c>
      <x:c r="K526" s="2" t="n">
        <x:v>1</x:v>
      </x:c>
      <x:c r="L526" s="12" t="n">
        <x:v>1117.7573</x:v>
      </x:c>
      <x:c r="M526" s="13" t="n">
        <x:v>1</x:v>
      </x:c>
      <x:c r="N526" s="13" t="n">
        <x:f>H526/G526</x:f>
        <x:v>0</x:v>
      </x:c>
      <x:c r="O526" s="13" t="n">
        <x:f>F526/E526</x:f>
        <x:v>0</x:v>
      </x:c>
      <x:c r="P526" s="2" t="str">
        <x:f>IF(AND(E526&gt;='Итоги'!$F$5,N526&lt;='Итоги'!$B$5,O526&gt;='Итоги'!$D$5),"Да","Нет")</x:f>
        <x:v>Нет</x:v>
      </x:c>
    </x:row>
    <x:row r="527" ht="60" customHeight="1">
      <x:c r="A527" s="14" t="str">
        <x:v>Аптека</x:v>
      </x:c>
      <x:c r="B527" s="14" t="str">
        <x:v>Медицинская техника</x:v>
      </x:c>
      <x:c r="C527" s="14" t="str">
        <x:v>Медицинская техника</x:v>
      </x:c>
      <x:c r="D527" s="14" t="str">
        <x:v>Лампа для прогревания</x:v>
      </x:c>
      <x:c r="E527" s="2" t="n">
        <x:v>1</x:v>
      </x:c>
      <x:c r="F527" s="2" t="n">
        <x:v>0</x:v>
      </x:c>
      <x:c r="G527" s="12" t="n">
        <x:v>88182</x:v>
      </x:c>
      <x:c r="H527" s="12" t="n">
        <x:v>0</x:v>
      </x:c>
      <x:c r="I527" s="13" t="n">
        <x:v>0</x:v>
      </x:c>
      <x:c r="J527" s="2" t="n">
        <x:v>1</x:v>
      </x:c>
      <x:c r="K527" s="2" t="n">
        <x:v>1</x:v>
      </x:c>
      <x:c r="L527" s="12" t="n">
        <x:v>6298.7143</x:v>
      </x:c>
      <x:c r="M527" s="13" t="n">
        <x:v>1</x:v>
      </x:c>
      <x:c r="N527" s="13" t="n">
        <x:f>H527/G527</x:f>
        <x:v>0</x:v>
      </x:c>
      <x:c r="O527" s="13" t="n">
        <x:f>F527/E527</x:f>
        <x:v>0</x:v>
      </x:c>
      <x:c r="P527" s="2" t="str">
        <x:f>IF(AND(E527&gt;='Итоги'!$F$5,N527&lt;='Итоги'!$B$5,O527&gt;='Итоги'!$D$5),"Да","Нет")</x:f>
        <x:v>Нет</x:v>
      </x:c>
    </x:row>
    <x:row r="528" ht="60" customHeight="1">
      <x:c r="A528" s="14" t="str">
        <x:v>Аптека</x:v>
      </x:c>
      <x:c r="B528" s="14" t="str">
        <x:v>Медицинская техника</x:v>
      </x:c>
      <x:c r="C528" s="14" t="str">
        <x:v>Медицинская техника</x:v>
      </x:c>
      <x:c r="D528" s="14" t="str">
        <x:v>Термостат лабораторный</x:v>
      </x:c>
      <x:c r="E528" s="2" t="n">
        <x:v>1</x:v>
      </x:c>
      <x:c r="F528" s="2" t="n">
        <x:v>0</x:v>
      </x:c>
      <x:c r="G528" s="12" t="n">
        <x:v>83786</x:v>
      </x:c>
      <x:c r="H528" s="12" t="n">
        <x:v>0</x:v>
      </x:c>
      <x:c r="I528" s="13" t="n">
        <x:v>0</x:v>
      </x:c>
      <x:c r="J528" s="2" t="n">
        <x:v>1</x:v>
      </x:c>
      <x:c r="K528" s="2" t="n">
        <x:v>1</x:v>
      </x:c>
      <x:c r="L528" s="12" t="n">
        <x:v>27928.6667</x:v>
      </x:c>
      <x:c r="M528" s="13" t="n">
        <x:v>1</x:v>
      </x:c>
      <x:c r="N528" s="13" t="n">
        <x:f>H528/G528</x:f>
        <x:v>0</x:v>
      </x:c>
      <x:c r="O528" s="13" t="n">
        <x:f>F528/E528</x:f>
        <x:v>0</x:v>
      </x:c>
      <x:c r="P528" s="2" t="str">
        <x:f>IF(AND(E528&gt;='Итоги'!$F$5,N528&lt;='Итоги'!$B$5,O528&gt;='Итоги'!$D$5),"Да","Нет")</x:f>
        <x:v>Нет</x:v>
      </x:c>
    </x:row>
    <x:row r="529" ht="60" customHeight="1">
      <x:c r="A529" s="14" t="str">
        <x:v>Аптека</x:v>
      </x:c>
      <x:c r="B529" s="14" t="str">
        <x:v>Медицинская техника</x:v>
      </x:c>
      <x:c r="C529" s="14" t="str">
        <x:v>Приборы и средства диагностики</x:v>
      </x:c>
      <x:c r="D529" s="14" t="str">
        <x:v>Бумага для медицинских приборов</x:v>
      </x:c>
      <x:c r="E529" s="2" t="n">
        <x:v>1</x:v>
      </x:c>
      <x:c r="F529" s="2" t="n">
        <x:v>0</x:v>
      </x:c>
      <x:c r="G529" s="12" t="n">
        <x:v>145067</x:v>
      </x:c>
      <x:c r="H529" s="12" t="n">
        <x:v>0</x:v>
      </x:c>
      <x:c r="I529" s="13" t="n">
        <x:v>0</x:v>
      </x:c>
      <x:c r="J529" s="2" t="n">
        <x:v>1</x:v>
      </x:c>
      <x:c r="K529" s="2" t="n">
        <x:v>1</x:v>
      </x:c>
      <x:c r="L529" s="12" t="n">
        <x:v>853.3353</x:v>
      </x:c>
      <x:c r="M529" s="13" t="n">
        <x:v>1</x:v>
      </x:c>
      <x:c r="N529" s="13" t="n">
        <x:f>H529/G529</x:f>
        <x:v>0</x:v>
      </x:c>
      <x:c r="O529" s="13" t="n">
        <x:f>F529/E529</x:f>
        <x:v>0</x:v>
      </x:c>
      <x:c r="P529" s="2" t="str">
        <x:f>IF(AND(E529&gt;='Итоги'!$F$5,N529&lt;='Итоги'!$B$5,O529&gt;='Итоги'!$D$5),"Да","Нет")</x:f>
        <x:v>Нет</x:v>
      </x:c>
    </x:row>
    <x:row r="530" ht="60" customHeight="1">
      <x:c r="A530" s="14" t="str">
        <x:v>Аптека</x:v>
      </x:c>
      <x:c r="B530" s="14" t="str">
        <x:v>Медицинская техника</x:v>
      </x:c>
      <x:c r="C530" s="14" t="str">
        <x:v>Приборы и средства диагностики</x:v>
      </x:c>
      <x:c r="D530" s="14" t="str">
        <x:v>Весы медицинские</x:v>
      </x:c>
      <x:c r="E530" s="2" t="n">
        <x:v>1</x:v>
      </x:c>
      <x:c r="F530" s="2" t="n">
        <x:v>0</x:v>
      </x:c>
      <x:c r="G530" s="12" t="n">
        <x:v>95913</x:v>
      </x:c>
      <x:c r="H530" s="12" t="n">
        <x:v>0</x:v>
      </x:c>
      <x:c r="I530" s="13" t="n">
        <x:v>0</x:v>
      </x:c>
      <x:c r="J530" s="2" t="n">
        <x:v>1</x:v>
      </x:c>
      <x:c r="K530" s="2" t="n">
        <x:v>1</x:v>
      </x:c>
      <x:c r="L530" s="12" t="n">
        <x:v>31971</x:v>
      </x:c>
      <x:c r="M530" s="13" t="n">
        <x:v>1</x:v>
      </x:c>
      <x:c r="N530" s="13" t="n">
        <x:f>H530/G530</x:f>
        <x:v>0</x:v>
      </x:c>
      <x:c r="O530" s="13" t="n">
        <x:f>F530/E530</x:f>
        <x:v>0</x:v>
      </x:c>
      <x:c r="P530" s="2" t="str">
        <x:f>IF(AND(E530&gt;='Итоги'!$F$5,N530&lt;='Итоги'!$B$5,O530&gt;='Итоги'!$D$5),"Да","Нет")</x:f>
        <x:v>Нет</x:v>
      </x:c>
    </x:row>
    <x:row r="531" ht="60" customHeight="1">
      <x:c r="A531" s="14" t="str">
        <x:v>Аптека</x:v>
      </x:c>
      <x:c r="B531" s="14" t="str">
        <x:v>Медицинская техника</x:v>
      </x:c>
      <x:c r="C531" s="14" t="str">
        <x:v>Приборы и средства диагностики</x:v>
      </x:c>
      <x:c r="D531" s="14" t="str">
        <x:v>Лампа Вуда</x:v>
      </x:c>
      <x:c r="E531" s="2" t="n">
        <x:v>1</x:v>
      </x:c>
      <x:c r="F531" s="2" t="n">
        <x:v>0</x:v>
      </x:c>
      <x:c r="G531" s="12" t="n">
        <x:v>23884</x:v>
      </x:c>
      <x:c r="H531" s="12" t="n">
        <x:v>0</x:v>
      </x:c>
      <x:c r="I531" s="13" t="n">
        <x:v>0</x:v>
      </x:c>
      <x:c r="J531" s="2" t="n">
        <x:v>1</x:v>
      </x:c>
      <x:c r="K531" s="2" t="n">
        <x:v>1</x:v>
      </x:c>
      <x:c r="L531" s="12" t="n">
        <x:v>1326.8889</x:v>
      </x:c>
      <x:c r="M531" s="13" t="n">
        <x:v>1</x:v>
      </x:c>
      <x:c r="N531" s="13" t="n">
        <x:f>H531/G531</x:f>
        <x:v>0</x:v>
      </x:c>
      <x:c r="O531" s="13" t="n">
        <x:f>F531/E531</x:f>
        <x:v>0</x:v>
      </x:c>
      <x:c r="P531" s="2" t="str">
        <x:f>IF(AND(E531&gt;='Итоги'!$F$5,N531&lt;='Итоги'!$B$5,O531&gt;='Итоги'!$D$5),"Да","Нет")</x:f>
        <x:v>Нет</x:v>
      </x:c>
    </x:row>
    <x:row r="532" ht="60" customHeight="1">
      <x:c r="A532" s="14" t="str">
        <x:v>Аптека</x:v>
      </x:c>
      <x:c r="B532" s="14" t="str">
        <x:v>Медицинская техника</x:v>
      </x:c>
      <x:c r="C532" s="14" t="str">
        <x:v>Приборы и средства диагностики</x:v>
      </x:c>
      <x:c r="D532" s="14" t="str">
        <x:v>Рентгеновская пленка</x:v>
      </x:c>
      <x:c r="E532" s="2" t="n">
        <x:v>1</x:v>
      </x:c>
      <x:c r="F532" s="2" t="n">
        <x:v>0</x:v>
      </x:c>
      <x:c r="G532" s="12" t="n">
        <x:v>115621</x:v>
      </x:c>
      <x:c r="H532" s="12" t="n">
        <x:v>0</x:v>
      </x:c>
      <x:c r="I532" s="13" t="n">
        <x:v>0</x:v>
      </x:c>
      <x:c r="J532" s="2" t="n">
        <x:v>1</x:v>
      </x:c>
      <x:c r="K532" s="2" t="n">
        <x:v>1</x:v>
      </x:c>
      <x:c r="L532" s="12" t="n">
        <x:v>2513.5</x:v>
      </x:c>
      <x:c r="M532" s="13" t="n">
        <x:v>1</x:v>
      </x:c>
      <x:c r="N532" s="13" t="n">
        <x:f>H532/G532</x:f>
        <x:v>0</x:v>
      </x:c>
      <x:c r="O532" s="13" t="n">
        <x:f>F532/E532</x:f>
        <x:v>0</x:v>
      </x:c>
      <x:c r="P532" s="2" t="str">
        <x:f>IF(AND(E532&gt;='Итоги'!$F$5,N532&lt;='Итоги'!$B$5,O532&gt;='Итоги'!$D$5),"Да","Нет")</x:f>
        <x:v>Нет</x:v>
      </x:c>
    </x:row>
    <x:row r="533" ht="60" customHeight="1">
      <x:c r="A533" s="14" t="str">
        <x:v>Аптека</x:v>
      </x:c>
      <x:c r="B533" s="14" t="str">
        <x:v>Оптика</x:v>
      </x:c>
      <x:c r="C533" s="14" t="str">
        <x:v>Корригирующие очки</x:v>
      </x:c>
      <x:c r="D533" s="14" t="str">
        <x:v>Салфетки для корригирующих очков</x:v>
      </x:c>
      <x:c r="E533" s="2" t="n">
        <x:v>1</x:v>
      </x:c>
      <x:c r="F533" s="2" t="n">
        <x:v>0</x:v>
      </x:c>
      <x:c r="G533" s="12" t="n">
        <x:v>106397</x:v>
      </x:c>
      <x:c r="H533" s="12" t="n">
        <x:v>0</x:v>
      </x:c>
      <x:c r="I533" s="13" t="n">
        <x:v>0</x:v>
      </x:c>
      <x:c r="J533" s="2" t="n">
        <x:v>1</x:v>
      </x:c>
      <x:c r="K533" s="2" t="n">
        <x:v>1</x:v>
      </x:c>
      <x:c r="L533" s="12" t="n">
        <x:v>925.1913</x:v>
      </x:c>
      <x:c r="M533" s="13" t="n">
        <x:v>1</x:v>
      </x:c>
      <x:c r="N533" s="13" t="n">
        <x:f>H533/G533</x:f>
        <x:v>0</x:v>
      </x:c>
      <x:c r="O533" s="13" t="n">
        <x:f>F533/E533</x:f>
        <x:v>0</x:v>
      </x:c>
      <x:c r="P533" s="2" t="str">
        <x:f>IF(AND(E533&gt;='Итоги'!$F$5,N533&lt;='Итоги'!$B$5,O533&gt;='Итоги'!$D$5),"Да","Нет")</x:f>
        <x:v>Нет</x:v>
      </x:c>
    </x:row>
    <x:row r="534" ht="60" customHeight="1">
      <x:c r="A534" s="14" t="str">
        <x:v>Аптека</x:v>
      </x:c>
      <x:c r="B534" s="14" t="str">
        <x:v>Ортопедия и компрессионный трикотаж</x:v>
      </x:c>
      <x:c r="C534" s="14" t="str">
        <x:v>Специальная медицинская обувь</x:v>
      </x:c>
      <x:c r="D534" s="14" t="str">
        <x:v>Ортопедическая медицинская обувь детская</x:v>
      </x:c>
      <x:c r="E534" s="2" t="n">
        <x:v>1</x:v>
      </x:c>
      <x:c r="F534" s="2" t="n">
        <x:v>0</x:v>
      </x:c>
      <x:c r="G534" s="12" t="n">
        <x:v>7176</x:v>
      </x:c>
      <x:c r="H534" s="12" t="n">
        <x:v>0</x:v>
      </x:c>
      <x:c r="I534" s="13" t="n">
        <x:v>0</x:v>
      </x:c>
      <x:c r="J534" s="2" t="n">
        <x:v>1</x:v>
      </x:c>
      <x:c r="K534" s="2" t="n">
        <x:v>1</x:v>
      </x:c>
      <x:c r="L534" s="12" t="n">
        <x:v>7176</x:v>
      </x:c>
      <x:c r="M534" s="13" t="n">
        <x:v>1</x:v>
      </x:c>
      <x:c r="N534" s="13" t="n">
        <x:f>H534/G534</x:f>
        <x:v>0</x:v>
      </x:c>
      <x:c r="O534" s="13" t="n">
        <x:f>F534/E534</x:f>
        <x:v>0</x:v>
      </x:c>
      <x:c r="P534" s="2" t="str">
        <x:f>IF(AND(E534&gt;='Итоги'!$F$5,N534&lt;='Итоги'!$B$5,O534&gt;='Итоги'!$D$5),"Да","Нет")</x:f>
        <x:v>Нет</x:v>
      </x:c>
    </x:row>
    <x:row r="535" ht="60" customHeight="1">
      <x:c r="A535" s="14" t="str">
        <x:v>Аптека</x:v>
      </x:c>
      <x:c r="B535" s="14" t="str">
        <x:v>Ортопедия и компрессионный трикотаж</x:v>
      </x:c>
      <x:c r="C535" s="14" t="str">
        <x:v>Специальная медицинская обувь</x:v>
      </x:c>
      <x:c r="D535" s="14" t="str">
        <x:v>Ортопедическая медицинская обувь женская</x:v>
      </x:c>
      <x:c r="E535" s="2" t="n">
        <x:v>1</x:v>
      </x:c>
      <x:c r="F535" s="2" t="n">
        <x:v>0</x:v>
      </x:c>
      <x:c r="G535" s="12" t="n">
        <x:v>11934.17</x:v>
      </x:c>
      <x:c r="H535" s="12" t="n">
        <x:v>0</x:v>
      </x:c>
      <x:c r="I535" s="13" t="n">
        <x:v>0</x:v>
      </x:c>
      <x:c r="J535" s="2" t="n">
        <x:v>1</x:v>
      </x:c>
      <x:c r="K535" s="2" t="n">
        <x:v>1</x:v>
      </x:c>
      <x:c r="L535" s="12" t="n">
        <x:v>3978.0567</x:v>
      </x:c>
      <x:c r="M535" s="13" t="n">
        <x:v>1</x:v>
      </x:c>
      <x:c r="N535" s="13" t="n">
        <x:f>H535/G535</x:f>
        <x:v>0</x:v>
      </x:c>
      <x:c r="O535" s="13" t="n">
        <x:f>F535/E535</x:f>
        <x:v>0</x:v>
      </x:c>
      <x:c r="P535" s="2" t="str">
        <x:f>IF(AND(E535&gt;='Итоги'!$F$5,N535&lt;='Итоги'!$B$5,O535&gt;='Итоги'!$D$5),"Да","Нет")</x:f>
        <x:v>Нет</x:v>
      </x:c>
    </x:row>
    <x:row r="536" ht="60" customHeight="1">
      <x:c r="A536" s="14" t="str">
        <x:v>Аптека</x:v>
      </x:c>
      <x:c r="B536" s="14" t="str">
        <x:v>Профессиональные стоматологические приборы и материалы</x:v>
      </x:c>
      <x:c r="C536" s="14" t="str">
        <x:v>Профессиональные стоматологические приборы</x:v>
      </x:c>
      <x:c r="D536" s="14" t="str">
        <x:v>Ретрактор стоматологический</x:v>
      </x:c>
      <x:c r="E536" s="2" t="n">
        <x:v>1</x:v>
      </x:c>
      <x:c r="F536" s="2" t="n">
        <x:v>0</x:v>
      </x:c>
      <x:c r="G536" s="12" t="n">
        <x:v>109890</x:v>
      </x:c>
      <x:c r="H536" s="12" t="n">
        <x:v>0</x:v>
      </x:c>
      <x:c r="I536" s="13" t="n">
        <x:v>0</x:v>
      </x:c>
      <x:c r="J536" s="2" t="n">
        <x:v>1</x:v>
      </x:c>
      <x:c r="K536" s="2" t="n">
        <x:v>1</x:v>
      </x:c>
      <x:c r="L536" s="12" t="n">
        <x:v>1744.2857</x:v>
      </x:c>
      <x:c r="M536" s="13" t="n">
        <x:v>1</x:v>
      </x:c>
      <x:c r="N536" s="13" t="n">
        <x:f>H536/G536</x:f>
        <x:v>0</x:v>
      </x:c>
      <x:c r="O536" s="13" t="n">
        <x:f>F536/E536</x:f>
        <x:v>0</x:v>
      </x:c>
      <x:c r="P536" s="2" t="str">
        <x:f>IF(AND(E536&gt;='Итоги'!$F$5,N536&lt;='Итоги'!$B$5,O536&gt;='Итоги'!$D$5),"Да","Нет")</x:f>
        <x:v>Нет</x:v>
      </x:c>
    </x:row>
    <x:row r="537" ht="60" customHeight="1">
      <x:c r="A537" s="14" t="str">
        <x:v>Аптека</x:v>
      </x:c>
      <x:c r="B537" s="14" t="str">
        <x:v>Средства реабилитации</x:v>
      </x:c>
      <x:c r="C537" s="14" t="str">
        <x:v>Средства реабилитации</x:v>
      </x:c>
      <x:c r="D537" s="14" t="str">
        <x:v>Адаптивная одежда для людей с ограниченными возможностями</x:v>
      </x:c>
      <x:c r="E537" s="2" t="n">
        <x:v>1</x:v>
      </x:c>
      <x:c r="F537" s="2" t="n">
        <x:v>0</x:v>
      </x:c>
      <x:c r="G537" s="12" t="n">
        <x:v>2969</x:v>
      </x:c>
      <x:c r="H537" s="12" t="n">
        <x:v>0</x:v>
      </x:c>
      <x:c r="I537" s="13" t="n">
        <x:v>0</x:v>
      </x:c>
      <x:c r="J537" s="2" t="n">
        <x:v>1</x:v>
      </x:c>
      <x:c r="K537" s="2" t="n">
        <x:v>1</x:v>
      </x:c>
      <x:c r="L537" s="12" t="n">
        <x:v>2969</x:v>
      </x:c>
      <x:c r="M537" s="13" t="n">
        <x:v>1</x:v>
      </x:c>
      <x:c r="N537" s="13" t="n">
        <x:f>H537/G537</x:f>
        <x:v>0</x:v>
      </x:c>
      <x:c r="O537" s="13" t="n">
        <x:f>F537/E537</x:f>
        <x:v>0</x:v>
      </x:c>
      <x:c r="P537" s="2" t="str">
        <x:f>IF(AND(E537&gt;='Итоги'!$F$5,N537&lt;='Итоги'!$B$5,O537&gt;='Итоги'!$D$5),"Да","Нет")</x:f>
        <x:v>Нет</x:v>
      </x:c>
    </x:row>
    <x:row r="538" ht="60" customHeight="1">
      <x:c r="A538" s="14" t="str">
        <x:v>Аптека</x:v>
      </x:c>
      <x:c r="B538" s="14" t="str">
        <x:v>Средства реабилитации</x:v>
      </x:c>
      <x:c r="C538" s="14" t="str">
        <x:v>Средства реабилитации</x:v>
      </x:c>
      <x:c r="D538" s="14" t="str">
        <x:v>Подъемник для инвалидов</x:v>
      </x:c>
      <x:c r="E538" s="2" t="n">
        <x:v>1</x:v>
      </x:c>
      <x:c r="F538" s="2" t="n">
        <x:v>0</x:v>
      </x:c>
      <x:c r="G538" s="12" t="n">
        <x:v>85745</x:v>
      </x:c>
      <x:c r="H538" s="12" t="n">
        <x:v>0</x:v>
      </x:c>
      <x:c r="I538" s="13" t="n">
        <x:v>0</x:v>
      </x:c>
      <x:c r="J538" s="2" t="n">
        <x:v>1</x:v>
      </x:c>
      <x:c r="K538" s="2" t="n">
        <x:v>1</x:v>
      </x:c>
      <x:c r="L538" s="12" t="n">
        <x:v>21436.25</x:v>
      </x:c>
      <x:c r="M538" s="13" t="n">
        <x:v>1</x:v>
      </x:c>
      <x:c r="N538" s="13" t="n">
        <x:f>H538/G538</x:f>
        <x:v>0</x:v>
      </x:c>
      <x:c r="O538" s="13" t="n">
        <x:f>F538/E538</x:f>
        <x:v>0</x:v>
      </x:c>
      <x:c r="P538" s="2" t="str">
        <x:f>IF(AND(E538&gt;='Итоги'!$F$5,N538&lt;='Итоги'!$B$5,O538&gt;='Итоги'!$D$5),"Да","Нет")</x:f>
        <x:v>Нет</x:v>
      </x:c>
    </x:row>
    <x:row r="539" ht="60" customHeight="1">
      <x:c r="A539" s="14" t="str">
        <x:v>Аптека</x:v>
      </x:c>
      <x:c r="B539" s="14" t="str">
        <x:v>Средства реабилитации</x:v>
      </x:c>
      <x:c r="C539" s="14" t="str">
        <x:v>Товары по уходу за стомой</x:v>
      </x:c>
      <x:c r="D539" s="14" t="str">
        <x:v>Герметик для стомы</x:v>
      </x:c>
      <x:c r="E539" s="2" t="n">
        <x:v>1</x:v>
      </x:c>
      <x:c r="F539" s="2" t="n">
        <x:v>0</x:v>
      </x:c>
      <x:c r="G539" s="12" t="n">
        <x:v>148618.54</x:v>
      </x:c>
      <x:c r="H539" s="12" t="n">
        <x:v>0</x:v>
      </x:c>
      <x:c r="I539" s="13" t="n">
        <x:v>0</x:v>
      </x:c>
      <x:c r="J539" s="2" t="n">
        <x:v>1</x:v>
      </x:c>
      <x:c r="K539" s="2" t="n">
        <x:v>1</x:v>
      </x:c>
      <x:c r="L539" s="12" t="n">
        <x:v>946.6149</x:v>
      </x:c>
      <x:c r="M539" s="13" t="n">
        <x:v>1</x:v>
      </x:c>
      <x:c r="N539" s="13" t="n">
        <x:f>H539/G539</x:f>
        <x:v>0</x:v>
      </x:c>
      <x:c r="O539" s="13" t="n">
        <x:f>F539/E539</x:f>
        <x:v>0</x:v>
      </x:c>
      <x:c r="P539" s="2" t="str">
        <x:f>IF(AND(E539&gt;='Итоги'!$F$5,N539&lt;='Итоги'!$B$5,O539&gt;='Итоги'!$D$5),"Да","Нет")</x:f>
        <x:v>Нет</x:v>
      </x:c>
    </x:row>
    <x:row r="540" ht="60" customHeight="1">
      <x:c r="A540" s="14" t="str">
        <x:v>Аптека</x:v>
      </x:c>
      <x:c r="B540" s="14" t="str">
        <x:v>Средства реабилитации</x:v>
      </x:c>
      <x:c r="C540" s="14" t="str">
        <x:v>Товары по уходу за стомой</x:v>
      </x:c>
      <x:c r="D540" s="14" t="str">
        <x:v>Тампон анальные и для стомы</x:v>
      </x:c>
      <x:c r="E540" s="2" t="n">
        <x:v>1</x:v>
      </x:c>
      <x:c r="F540" s="2" t="n">
        <x:v>0</x:v>
      </x:c>
      <x:c r="G540" s="12" t="n">
        <x:v>119104</x:v>
      </x:c>
      <x:c r="H540" s="12" t="n">
        <x:v>0</x:v>
      </x:c>
      <x:c r="I540" s="13" t="n">
        <x:v>0</x:v>
      </x:c>
      <x:c r="J540" s="2" t="n">
        <x:v>1</x:v>
      </x:c>
      <x:c r="K540" s="2" t="n">
        <x:v>1</x:v>
      </x:c>
      <x:c r="L540" s="12" t="n">
        <x:v>5178.4348</x:v>
      </x:c>
      <x:c r="M540" s="13" t="n">
        <x:v>1</x:v>
      </x:c>
      <x:c r="N540" s="13" t="n">
        <x:f>H540/G540</x:f>
        <x:v>0</x:v>
      </x:c>
      <x:c r="O540" s="13" t="n">
        <x:f>F540/E540</x:f>
        <x:v>0</x:v>
      </x:c>
      <x:c r="P540" s="2" t="str">
        <x:f>IF(AND(E540&gt;='Итоги'!$F$5,N540&lt;='Итоги'!$B$5,O540&gt;='Итоги'!$D$5),"Да","Нет")</x:f>
        <x:v>Нет</x:v>
      </x:c>
    </x:row>
    <x:row r="541" ht="60" customHeight="1">
      <x:c r="A541" s="14" t="str">
        <x:v>Аптека</x:v>
      </x:c>
      <x:c r="B541" s="14" t="str">
        <x:v>Тату</x:v>
      </x:c>
      <x:c r="C541" s="14" t="str">
        <x:v>Тату аксессуары</x:v>
      </x:c>
      <x:c r="D541" s="14" t="str">
        <x:v>Тату ключи, винты, щетки</x:v>
      </x:c>
      <x:c r="E541" s="2" t="n">
        <x:v>1</x:v>
      </x:c>
      <x:c r="F541" s="2" t="n">
        <x:v>0</x:v>
      </x:c>
      <x:c r="G541" s="12" t="n">
        <x:v>137171.08</x:v>
      </x:c>
      <x:c r="H541" s="12" t="n">
        <x:v>0</x:v>
      </x:c>
      <x:c r="I541" s="13" t="n">
        <x:v>0</x:v>
      </x:c>
      <x:c r="J541" s="2" t="n">
        <x:v>1</x:v>
      </x:c>
      <x:c r="K541" s="2" t="n">
        <x:v>1</x:v>
      </x:c>
      <x:c r="L541" s="12" t="n">
        <x:v>1693.4701</x:v>
      </x:c>
      <x:c r="M541" s="13" t="n">
        <x:v>1</x:v>
      </x:c>
      <x:c r="N541" s="13" t="n">
        <x:f>H541/G541</x:f>
        <x:v>0</x:v>
      </x:c>
      <x:c r="O541" s="13" t="n">
        <x:f>F541/E541</x:f>
        <x:v>0</x:v>
      </x:c>
      <x:c r="P541" s="2" t="str">
        <x:f>IF(AND(E541&gt;='Итоги'!$F$5,N541&lt;='Итоги'!$B$5,O541&gt;='Итоги'!$D$5),"Да","Нет")</x:f>
        <x:v>Нет</x:v>
      </x:c>
    </x:row>
    <x:row r="542" ht="60" customHeight="1">
      <x:c r="A542" s="14" t="str">
        <x:v>Аудио и видеотехника</x:v>
      </x:c>
      <x:c r="B542" s="14" t="str">
        <x:v>Домашняя Аудио и Видеотехника TV&amp;Audio</x:v>
      </x:c>
      <x:c r="C542" s="14" t="str">
        <x:v>Спутниковое телевидение TV&amp;Audio</x:v>
      </x:c>
      <x:c r="D542" s="14" t="str">
        <x:v>Триколор ТВ</x:v>
      </x:c>
      <x:c r="E542" s="2" t="n">
        <x:v>1</x:v>
      </x:c>
      <x:c r="F542" s="2" t="n">
        <x:v>0</x:v>
      </x:c>
      <x:c r="G542" s="12" t="n">
        <x:v>71280</x:v>
      </x:c>
      <x:c r="H542" s="12" t="n">
        <x:v>0</x:v>
      </x:c>
      <x:c r="I542" s="13" t="n">
        <x:v>0</x:v>
      </x:c>
      <x:c r="J542" s="2" t="n">
        <x:v>1</x:v>
      </x:c>
      <x:c r="K542" s="2" t="n">
        <x:v>1</x:v>
      </x:c>
      <x:c r="L542" s="12" t="n">
        <x:v>5940</x:v>
      </x:c>
      <x:c r="M542" s="13" t="n">
        <x:v>1</x:v>
      </x:c>
      <x:c r="N542" s="13" t="n">
        <x:f>H542/G542</x:f>
        <x:v>0</x:v>
      </x:c>
      <x:c r="O542" s="13" t="n">
        <x:f>F542/E542</x:f>
        <x:v>0</x:v>
      </x:c>
      <x:c r="P542" s="2" t="str">
        <x:f>IF(AND(E542&gt;='Итоги'!$F$5,N542&lt;='Итоги'!$B$5,O542&gt;='Итоги'!$D$5),"Да","Нет")</x:f>
        <x:v>Нет</x:v>
      </x:c>
    </x:row>
    <x:row r="543" ht="60" customHeight="1">
      <x:c r="A543" s="14" t="str">
        <x:v>Аудио и видеотехника</x:v>
      </x:c>
      <x:c r="B543" s="14" t="str">
        <x:v>Система безопасности TV&amp;Audio</x:v>
      </x:c>
      <x:c r="C543" s="14" t="str">
        <x:v>Безопасность дома TV&amp;Audio</x:v>
      </x:c>
      <x:c r="D543" s="14" t="str">
        <x:v>Детектор скрытых жучков, камер</x:v>
      </x:c>
      <x:c r="E543" s="2" t="n">
        <x:v>1</x:v>
      </x:c>
      <x:c r="F543" s="2" t="n">
        <x:v>0</x:v>
      </x:c>
      <x:c r="G543" s="12" t="n">
        <x:v>196083.5711</x:v>
      </x:c>
      <x:c r="H543" s="12" t="n">
        <x:v>0</x:v>
      </x:c>
      <x:c r="I543" s="13" t="n">
        <x:v>0</x:v>
      </x:c>
      <x:c r="J543" s="2" t="n">
        <x:v>1</x:v>
      </x:c>
      <x:c r="K543" s="2" t="n">
        <x:v>1</x:v>
      </x:c>
      <x:c r="L543" s="12" t="n">
        <x:v>3770.8379</x:v>
      </x:c>
      <x:c r="M543" s="13" t="n">
        <x:v>1</x:v>
      </x:c>
      <x:c r="N543" s="13" t="n">
        <x:f>H543/G543</x:f>
        <x:v>0</x:v>
      </x:c>
      <x:c r="O543" s="13" t="n">
        <x:f>F543/E543</x:f>
        <x:v>0</x:v>
      </x:c>
      <x:c r="P543" s="2" t="str">
        <x:f>IF(AND(E543&gt;='Итоги'!$F$5,N543&lt;='Итоги'!$B$5,O543&gt;='Итоги'!$D$5),"Да","Нет")</x:f>
        <x:v>Нет</x:v>
      </x:c>
    </x:row>
    <x:row r="544" ht="60" customHeight="1">
      <x:c r="A544" s="14" t="str">
        <x:v>Бакалея и кондитерские изделия</x:v>
      </x:c>
      <x:c r="B544" s="14" t="str">
        <x:v>Бакалея</x:v>
      </x:c>
      <x:c r="C544" s="14" t="str">
        <x:v>Консервы</x:v>
      </x:c>
      <x:c r="D544" s="14" t="str">
        <x:v>Взбитые сливки</x:v>
      </x:c>
      <x:c r="E544" s="2" t="n">
        <x:v>1</x:v>
      </x:c>
      <x:c r="F544" s="2" t="n">
        <x:v>0</x:v>
      </x:c>
      <x:c r="G544" s="12" t="n">
        <x:v>31440</x:v>
      </x:c>
      <x:c r="H544" s="12" t="n">
        <x:v>0</x:v>
      </x:c>
      <x:c r="I544" s="13" t="n">
        <x:v>0</x:v>
      </x:c>
      <x:c r="J544" s="2" t="n">
        <x:v>1</x:v>
      </x:c>
      <x:c r="K544" s="2" t="n">
        <x:v>1</x:v>
      </x:c>
      <x:c r="L544" s="12" t="n">
        <x:v>3493.3333</x:v>
      </x:c>
      <x:c r="M544" s="13" t="n">
        <x:v>1</x:v>
      </x:c>
      <x:c r="N544" s="13" t="n">
        <x:f>H544/G544</x:f>
        <x:v>0</x:v>
      </x:c>
      <x:c r="O544" s="13" t="n">
        <x:f>F544/E544</x:f>
        <x:v>0</x:v>
      </x:c>
      <x:c r="P544" s="2" t="str">
        <x:f>IF(AND(E544&gt;='Итоги'!$F$5,N544&lt;='Итоги'!$B$5,O544&gt;='Итоги'!$D$5),"Да","Нет")</x:f>
        <x:v>Нет</x:v>
      </x:c>
    </x:row>
    <x:row r="545" ht="60" customHeight="1">
      <x:c r="A545" s="14" t="str">
        <x:v>Бакалея и кондитерские изделия</x:v>
      </x:c>
      <x:c r="B545" s="14" t="str">
        <x:v>Бакалея</x:v>
      </x:c>
      <x:c r="C545" s="14" t="str">
        <x:v>Консервы</x:v>
      </x:c>
      <x:c r="D545" s="14" t="str">
        <x:v>Фруктовые консервы</x:v>
      </x:c>
      <x:c r="E545" s="2" t="n">
        <x:v>1</x:v>
      </x:c>
      <x:c r="F545" s="2" t="n">
        <x:v>0</x:v>
      </x:c>
      <x:c r="G545" s="12" t="n">
        <x:v>8843</x:v>
      </x:c>
      <x:c r="H545" s="12" t="n">
        <x:v>0</x:v>
      </x:c>
      <x:c r="I545" s="13" t="n">
        <x:v>0</x:v>
      </x:c>
      <x:c r="J545" s="2" t="n">
        <x:v>1</x:v>
      </x:c>
      <x:c r="K545" s="2" t="n">
        <x:v>1</x:v>
      </x:c>
      <x:c r="L545" s="12" t="n">
        <x:v>2947.6667</x:v>
      </x:c>
      <x:c r="M545" s="13" t="n">
        <x:v>1</x:v>
      </x:c>
      <x:c r="N545" s="13" t="n">
        <x:f>H545/G545</x:f>
        <x:v>0</x:v>
      </x:c>
      <x:c r="O545" s="13" t="n">
        <x:f>F545/E545</x:f>
        <x:v>0</x:v>
      </x:c>
      <x:c r="P545" s="2" t="str">
        <x:f>IF(AND(E545&gt;='Итоги'!$F$5,N545&lt;='Итоги'!$B$5,O545&gt;='Итоги'!$D$5),"Да","Нет")</x:f>
        <x:v>Нет</x:v>
      </x:c>
    </x:row>
    <x:row r="546" ht="60" customHeight="1">
      <x:c r="A546" s="14" t="str">
        <x:v>Бакалея и кондитерские изделия</x:v>
      </x:c>
      <x:c r="B546" s="14" t="str">
        <x:v>Бакалея</x:v>
      </x:c>
      <x:c r="C546" s="14" t="str">
        <x:v>Макаронные изделия, крупы</x:v>
      </x:c>
      <x:c r="D546" s="14" t="str">
        <x:v>Каша быстрого приготовления</x:v>
      </x:c>
      <x:c r="E546" s="2" t="n">
        <x:v>1</x:v>
      </x:c>
      <x:c r="F546" s="2" t="n">
        <x:v>0</x:v>
      </x:c>
      <x:c r="G546" s="12" t="n">
        <x:v>132402</x:v>
      </x:c>
      <x:c r="H546" s="12" t="n">
        <x:v>0</x:v>
      </x:c>
      <x:c r="I546" s="13" t="n">
        <x:v>0</x:v>
      </x:c>
      <x:c r="J546" s="2" t="n">
        <x:v>1</x:v>
      </x:c>
      <x:c r="K546" s="2" t="n">
        <x:v>1</x:v>
      </x:c>
      <x:c r="L546" s="12" t="n">
        <x:v>1976.1493</x:v>
      </x:c>
      <x:c r="M546" s="13" t="n">
        <x:v>1</x:v>
      </x:c>
      <x:c r="N546" s="13" t="n">
        <x:f>H546/G546</x:f>
        <x:v>0</x:v>
      </x:c>
      <x:c r="O546" s="13" t="n">
        <x:f>F546/E546</x:f>
        <x:v>0</x:v>
      </x:c>
      <x:c r="P546" s="2" t="str">
        <x:f>IF(AND(E546&gt;='Итоги'!$F$5,N546&lt;='Итоги'!$B$5,O546&gt;='Итоги'!$D$5),"Да","Нет")</x:f>
        <x:v>Нет</x:v>
      </x:c>
    </x:row>
    <x:row r="547" ht="60" customHeight="1">
      <x:c r="A547" s="14" t="str">
        <x:v>Бакалея и кондитерские изделия</x:v>
      </x:c>
      <x:c r="B547" s="14" t="str">
        <x:v>Бакалея</x:v>
      </x:c>
      <x:c r="C547" s="14" t="str">
        <x:v>Макаронные изделия, крупы</x:v>
      </x:c>
      <x:c r="D547" s="14" t="str">
        <x:v>Пюре быстрого приготовления</x:v>
      </x:c>
      <x:c r="E547" s="2" t="n">
        <x:v>1</x:v>
      </x:c>
      <x:c r="F547" s="2" t="n">
        <x:v>0</x:v>
      </x:c>
      <x:c r="G547" s="12" t="n">
        <x:v>61779</x:v>
      </x:c>
      <x:c r="H547" s="12" t="n">
        <x:v>0</x:v>
      </x:c>
      <x:c r="I547" s="13" t="n">
        <x:v>0</x:v>
      </x:c>
      <x:c r="J547" s="2" t="n">
        <x:v>1</x:v>
      </x:c>
      <x:c r="K547" s="2" t="n">
        <x:v>1</x:v>
      </x:c>
      <x:c r="L547" s="12" t="n">
        <x:v>1872.0909</x:v>
      </x:c>
      <x:c r="M547" s="13" t="n">
        <x:v>1</x:v>
      </x:c>
      <x:c r="N547" s="13" t="n">
        <x:f>H547/G547</x:f>
        <x:v>0</x:v>
      </x:c>
      <x:c r="O547" s="13" t="n">
        <x:f>F547/E547</x:f>
        <x:v>0</x:v>
      </x:c>
      <x:c r="P547" s="2" t="str">
        <x:f>IF(AND(E547&gt;='Итоги'!$F$5,N547&lt;='Итоги'!$B$5,O547&gt;='Итоги'!$D$5),"Да","Нет")</x:f>
        <x:v>Нет</x:v>
      </x:c>
    </x:row>
    <x:row r="548" ht="60" customHeight="1">
      <x:c r="A548" s="14" t="str">
        <x:v>Бакалея и кондитерские изделия</x:v>
      </x:c>
      <x:c r="B548" s="14" t="str">
        <x:v>Бакалея</x:v>
      </x:c>
      <x:c r="C548" s="14" t="str">
        <x:v>Макаронные изделия, крупы</x:v>
      </x:c>
      <x:c r="D548" s="14" t="str">
        <x:v>Семена и зерна для проращивания</x:v>
      </x:c>
      <x:c r="E548" s="2" t="n">
        <x:v>1</x:v>
      </x:c>
      <x:c r="F548" s="2" t="n">
        <x:v>0</x:v>
      </x:c>
      <x:c r="G548" s="12" t="n">
        <x:v>97140.4589</x:v>
      </x:c>
      <x:c r="H548" s="12" t="n">
        <x:v>0</x:v>
      </x:c>
      <x:c r="I548" s="13" t="n">
        <x:v>0</x:v>
      </x:c>
      <x:c r="J548" s="2" t="n">
        <x:v>1</x:v>
      </x:c>
      <x:c r="K548" s="2" t="n">
        <x:v>1</x:v>
      </x:c>
      <x:c r="L548" s="12" t="n">
        <x:v>1199.2649</x:v>
      </x:c>
      <x:c r="M548" s="13" t="n">
        <x:v>1</x:v>
      </x:c>
      <x:c r="N548" s="13" t="n">
        <x:f>H548/G548</x:f>
        <x:v>0</x:v>
      </x:c>
      <x:c r="O548" s="13" t="n">
        <x:f>F548/E548</x:f>
        <x:v>0</x:v>
      </x:c>
      <x:c r="P548" s="2" t="str">
        <x:f>IF(AND(E548&gt;='Итоги'!$F$5,N548&lt;='Итоги'!$B$5,O548&gt;='Итоги'!$D$5),"Да","Нет")</x:f>
        <x:v>Нет</x:v>
      </x:c>
    </x:row>
    <x:row r="549" ht="60" customHeight="1">
      <x:c r="A549" s="14" t="str">
        <x:v>Бакалея и кондитерские изделия</x:v>
      </x:c>
      <x:c r="B549" s="14" t="str">
        <x:v>Бакалея</x:v>
      </x:c>
      <x:c r="C549" s="14" t="str">
        <x:v>Масла, соусы, уксус</x:v>
      </x:c>
      <x:c r="D549" s="14" t="str">
        <x:v>Кетчуп</x:v>
      </x:c>
      <x:c r="E549" s="2" t="n">
        <x:v>1</x:v>
      </x:c>
      <x:c r="F549" s="2" t="n">
        <x:v>0</x:v>
      </x:c>
      <x:c r="G549" s="12" t="n">
        <x:v>233246.03</x:v>
      </x:c>
      <x:c r="H549" s="12" t="n">
        <x:v>0</x:v>
      </x:c>
      <x:c r="I549" s="13" t="n">
        <x:v>0</x:v>
      </x:c>
      <x:c r="J549" s="2" t="n">
        <x:v>1</x:v>
      </x:c>
      <x:c r="K549" s="2" t="n">
        <x:v>1</x:v>
      </x:c>
      <x:c r="L549" s="12" t="n">
        <x:v>635.5478</x:v>
      </x:c>
      <x:c r="M549" s="13" t="n">
        <x:v>1</x:v>
      </x:c>
      <x:c r="N549" s="13" t="n">
        <x:f>H549/G549</x:f>
        <x:v>0</x:v>
      </x:c>
      <x:c r="O549" s="13" t="n">
        <x:f>F549/E549</x:f>
        <x:v>0</x:v>
      </x:c>
      <x:c r="P549" s="2" t="str">
        <x:f>IF(AND(E549&gt;='Итоги'!$F$5,N549&lt;='Итоги'!$B$5,O549&gt;='Итоги'!$D$5),"Да","Нет")</x:f>
        <x:v>Нет</x:v>
      </x:c>
    </x:row>
    <x:row r="550" ht="60" customHeight="1">
      <x:c r="A550" s="14" t="str">
        <x:v>Бакалея и кондитерские изделия</x:v>
      </x:c>
      <x:c r="B550" s="14" t="str">
        <x:v>Бакалея</x:v>
      </x:c>
      <x:c r="C550" s="14" t="str">
        <x:v>Масла, соусы, уксус</x:v>
      </x:c>
      <x:c r="D550" s="14" t="str">
        <x:v>Майонез</x:v>
      </x:c>
      <x:c r="E550" s="2" t="n">
        <x:v>1</x:v>
      </x:c>
      <x:c r="F550" s="2" t="n">
        <x:v>0</x:v>
      </x:c>
      <x:c r="G550" s="12" t="n">
        <x:v>3087</x:v>
      </x:c>
      <x:c r="H550" s="12" t="n">
        <x:v>0</x:v>
      </x:c>
      <x:c r="I550" s="13" t="n">
        <x:v>0</x:v>
      </x:c>
      <x:c r="J550" s="2" t="n">
        <x:v>1</x:v>
      </x:c>
      <x:c r="K550" s="2" t="n">
        <x:v>1</x:v>
      </x:c>
      <x:c r="L550" s="12" t="n">
        <x:v>1543.5</x:v>
      </x:c>
      <x:c r="M550" s="13" t="n">
        <x:v>1</x:v>
      </x:c>
      <x:c r="N550" s="13" t="n">
        <x:f>H550/G550</x:f>
        <x:v>0</x:v>
      </x:c>
      <x:c r="O550" s="13" t="n">
        <x:f>F550/E550</x:f>
        <x:v>0</x:v>
      </x:c>
      <x:c r="P550" s="2" t="str">
        <x:f>IF(AND(E550&gt;='Итоги'!$F$5,N550&lt;='Итоги'!$B$5,O550&gt;='Итоги'!$D$5),"Да","Нет")</x:f>
        <x:v>Нет</x:v>
      </x:c>
    </x:row>
    <x:row r="551" ht="60" customHeight="1">
      <x:c r="A551" s="14" t="str">
        <x:v>Бакалея и кондитерские изделия</x:v>
      </x:c>
      <x:c r="B551" s="14" t="str">
        <x:v>Кондитерские изделия</x:v>
      </x:c>
      <x:c r="C551" s="14" t="str">
        <x:v>Восточные сладости</x:v>
      </x:c>
      <x:c r="D551" s="14" t="str">
        <x:v>Козинаки</x:v>
      </x:c>
      <x:c r="E551" s="2" t="n">
        <x:v>1</x:v>
      </x:c>
      <x:c r="F551" s="2" t="n">
        <x:v>0</x:v>
      </x:c>
      <x:c r="G551" s="12" t="n">
        <x:v>147953.0561</x:v>
      </x:c>
      <x:c r="H551" s="12" t="n">
        <x:v>0</x:v>
      </x:c>
      <x:c r="I551" s="13" t="n">
        <x:v>0</x:v>
      </x:c>
      <x:c r="J551" s="2" t="n">
        <x:v>1</x:v>
      </x:c>
      <x:c r="K551" s="2" t="n">
        <x:v>1</x:v>
      </x:c>
      <x:c r="L551" s="12" t="n">
        <x:v>1027.4518</x:v>
      </x:c>
      <x:c r="M551" s="13" t="n">
        <x:v>1</x:v>
      </x:c>
      <x:c r="N551" s="13" t="n">
        <x:f>H551/G551</x:f>
        <x:v>0</x:v>
      </x:c>
      <x:c r="O551" s="13" t="n">
        <x:f>F551/E551</x:f>
        <x:v>0</x:v>
      </x:c>
      <x:c r="P551" s="2" t="str">
        <x:f>IF(AND(E551&gt;='Итоги'!$F$5,N551&lt;='Итоги'!$B$5,O551&gt;='Итоги'!$D$5),"Да","Нет")</x:f>
        <x:v>Нет</x:v>
      </x:c>
    </x:row>
    <x:row r="552" ht="60" customHeight="1">
      <x:c r="A552" s="14" t="str">
        <x:v>Бакалея и кондитерские изделия</x:v>
      </x:c>
      <x:c r="B552" s="14" t="str">
        <x:v>Кондитерские изделия</x:v>
      </x:c>
      <x:c r="C552" s="14" t="str">
        <x:v>Конфеты</x:v>
      </x:c>
      <x:c r="D552" s="14" t="str">
        <x:v>Подарок новогодний кондитерский</x:v>
      </x:c>
      <x:c r="E552" s="2" t="n">
        <x:v>1</x:v>
      </x:c>
      <x:c r="F552" s="2" t="n">
        <x:v>0</x:v>
      </x:c>
      <x:c r="G552" s="12" t="n">
        <x:v>7722</x:v>
      </x:c>
      <x:c r="H552" s="12" t="n">
        <x:v>0</x:v>
      </x:c>
      <x:c r="I552" s="13" t="n">
        <x:v>0</x:v>
      </x:c>
      <x:c r="J552" s="2" t="n">
        <x:v>1</x:v>
      </x:c>
      <x:c r="K552" s="2" t="n">
        <x:v>1</x:v>
      </x:c>
      <x:c r="L552" s="12" t="n">
        <x:v>198</x:v>
      </x:c>
      <x:c r="M552" s="13" t="n">
        <x:v>1</x:v>
      </x:c>
      <x:c r="N552" s="13" t="n">
        <x:f>H552/G552</x:f>
        <x:v>0</x:v>
      </x:c>
      <x:c r="O552" s="13" t="n">
        <x:f>F552/E552</x:f>
        <x:v>0</x:v>
      </x:c>
      <x:c r="P552" s="2" t="str">
        <x:f>IF(AND(E552&gt;='Итоги'!$F$5,N552&lt;='Итоги'!$B$5,O552&gt;='Итоги'!$D$5),"Да","Нет")</x:f>
        <x:v>Нет</x:v>
      </x:c>
    </x:row>
    <x:row r="553" ht="60" customHeight="1">
      <x:c r="A553" s="14" t="str">
        <x:v>Бакалея и кондитерские изделия</x:v>
      </x:c>
      <x:c r="B553" s="14" t="str">
        <x:v>Кондитерские изделия</x:v>
      </x:c>
      <x:c r="C553" s="14" t="str">
        <x:v>Мучные изделия</x:v>
      </x:c>
      <x:c r="D553" s="14" t="str">
        <x:v>Пирожные (не кремовые)</x:v>
      </x:c>
      <x:c r="E553" s="2" t="n">
        <x:v>1</x:v>
      </x:c>
      <x:c r="F553" s="2" t="n">
        <x:v>0</x:v>
      </x:c>
      <x:c r="G553" s="12" t="n">
        <x:v>62100.2888</x:v>
      </x:c>
      <x:c r="H553" s="12" t="n">
        <x:v>0</x:v>
      </x:c>
      <x:c r="I553" s="13" t="n">
        <x:v>0</x:v>
      </x:c>
      <x:c r="J553" s="2" t="n">
        <x:v>1</x:v>
      </x:c>
      <x:c r="K553" s="2" t="n">
        <x:v>1</x:v>
      </x:c>
      <x:c r="L553" s="12" t="n">
        <x:v>1242.0058</x:v>
      </x:c>
      <x:c r="M553" s="13" t="n">
        <x:v>1</x:v>
      </x:c>
      <x:c r="N553" s="13" t="n">
        <x:f>H553/G553</x:f>
        <x:v>0</x:v>
      </x:c>
      <x:c r="O553" s="13" t="n">
        <x:f>F553/E553</x:f>
        <x:v>0</x:v>
      </x:c>
      <x:c r="P553" s="2" t="str">
        <x:f>IF(AND(E553&gt;='Итоги'!$F$5,N553&lt;='Итоги'!$B$5,O553&gt;='Итоги'!$D$5),"Да","Нет")</x:f>
        <x:v>Нет</x:v>
      </x:c>
    </x:row>
    <x:row r="554" ht="60" customHeight="1">
      <x:c r="A554" s="14" t="str">
        <x:v>Бакалея и кондитерские изделия</x:v>
      </x:c>
      <x:c r="B554" s="14" t="str">
        <x:v>Кондитерские изделия</x:v>
      </x:c>
      <x:c r="C554" s="14" t="str">
        <x:v>Мучные изделия</x:v>
      </x:c>
      <x:c r="D554" s="14" t="str">
        <x:v>Сушки</x:v>
      </x:c>
      <x:c r="E554" s="2" t="n">
        <x:v>1</x:v>
      </x:c>
      <x:c r="F554" s="2" t="n">
        <x:v>0</x:v>
      </x:c>
      <x:c r="G554" s="12" t="n">
        <x:v>92068.0421</x:v>
      </x:c>
      <x:c r="H554" s="12" t="n">
        <x:v>0</x:v>
      </x:c>
      <x:c r="I554" s="13" t="n">
        <x:v>0</x:v>
      </x:c>
      <x:c r="J554" s="2" t="n">
        <x:v>1</x:v>
      </x:c>
      <x:c r="K554" s="2" t="n">
        <x:v>1</x:v>
      </x:c>
      <x:c r="L554" s="12" t="n">
        <x:v>885.2696</x:v>
      </x:c>
      <x:c r="M554" s="13" t="n">
        <x:v>1</x:v>
      </x:c>
      <x:c r="N554" s="13" t="n">
        <x:f>H554/G554</x:f>
        <x:v>0</x:v>
      </x:c>
      <x:c r="O554" s="13" t="n">
        <x:f>F554/E554</x:f>
        <x:v>0</x:v>
      </x:c>
      <x:c r="P554" s="2" t="str">
        <x:f>IF(AND(E554&gt;='Итоги'!$F$5,N554&lt;='Итоги'!$B$5,O554&gt;='Итоги'!$D$5),"Да","Нет")</x:f>
        <x:v>Нет</x:v>
      </x:c>
    </x:row>
    <x:row r="555" ht="60" customHeight="1">
      <x:c r="A555" s="14" t="str">
        <x:v>Бытовая химия и гигиена рта</x:v>
      </x:c>
      <x:c r="B555" s="14" t="str">
        <x:v>Бытовая химия</x:v>
      </x:c>
      <x:c r="C555" s="14" t="str">
        <x:v>Освежитель воздуха</x:v>
      </x:c>
      <x:c r="D555" s="14" t="str">
        <x:v>Ароматизатор</x:v>
      </x:c>
      <x:c r="E555" s="2" t="n">
        <x:v>1</x:v>
      </x:c>
      <x:c r="F555" s="2" t="n">
        <x:v>0</x:v>
      </x:c>
      <x:c r="G555" s="12" t="n">
        <x:v>3272</x:v>
      </x:c>
      <x:c r="H555" s="12" t="n">
        <x:v>0</x:v>
      </x:c>
      <x:c r="I555" s="13" t="n">
        <x:v>0</x:v>
      </x:c>
      <x:c r="J555" s="2" t="n">
        <x:v>1</x:v>
      </x:c>
      <x:c r="K555" s="2" t="n">
        <x:v>1</x:v>
      </x:c>
      <x:c r="L555" s="12" t="n">
        <x:v>818</x:v>
      </x:c>
      <x:c r="M555" s="13" t="n">
        <x:v>1</x:v>
      </x:c>
      <x:c r="N555" s="13" t="n">
        <x:f>H555/G555</x:f>
        <x:v>0</x:v>
      </x:c>
      <x:c r="O555" s="13" t="n">
        <x:f>F555/E555</x:f>
        <x:v>0</x:v>
      </x:c>
      <x:c r="P555" s="2" t="str">
        <x:f>IF(AND(E555&gt;='Итоги'!$F$5,N555&lt;='Итоги'!$B$5,O555&gt;='Итоги'!$D$5),"Да","Нет")</x:f>
        <x:v>Нет</x:v>
      </x:c>
    </x:row>
    <x:row r="556" ht="60" customHeight="1">
      <x:c r="A556" s="14" t="str">
        <x:v>Бытовая химия и гигиена рта</x:v>
      </x:c>
      <x:c r="B556" s="14" t="str">
        <x:v>Бытовая химия</x:v>
      </x:c>
      <x:c r="C556" s="14" t="str">
        <x:v>Товары для защиты от насекомых и грызунов</x:v>
      </x:c>
      <x:c r="D556" s="14" t="str">
        <x:v>Аэрозоль, спрей от клещей</x:v>
      </x:c>
      <x:c r="E556" s="2" t="n">
        <x:v>1</x:v>
      </x:c>
      <x:c r="F556" s="2" t="n">
        <x:v>0</x:v>
      </x:c>
      <x:c r="G556" s="12" t="n">
        <x:v>94103.2492</x:v>
      </x:c>
      <x:c r="H556" s="12" t="n">
        <x:v>0</x:v>
      </x:c>
      <x:c r="I556" s="13" t="n">
        <x:v>0</x:v>
      </x:c>
      <x:c r="J556" s="2" t="n">
        <x:v>1</x:v>
      </x:c>
      <x:c r="K556" s="2" t="n">
        <x:v>1</x:v>
      </x:c>
      <x:c r="L556" s="12" t="n">
        <x:v>1425.8068</x:v>
      </x:c>
      <x:c r="M556" s="13" t="n">
        <x:v>1</x:v>
      </x:c>
      <x:c r="N556" s="13" t="n">
        <x:f>H556/G556</x:f>
        <x:v>0</x:v>
      </x:c>
      <x:c r="O556" s="13" t="n">
        <x:f>F556/E556</x:f>
        <x:v>0</x:v>
      </x:c>
      <x:c r="P556" s="2" t="str">
        <x:f>IF(AND(E556&gt;='Итоги'!$F$5,N556&lt;='Итоги'!$B$5,O556&gt;='Итоги'!$D$5),"Да","Нет")</x:f>
        <x:v>Нет</x:v>
      </x:c>
    </x:row>
    <x:row r="557" ht="60" customHeight="1">
      <x:c r="A557" s="14" t="str">
        <x:v>Бытовая химия и гигиена рта</x:v>
      </x:c>
      <x:c r="B557" s="14" t="str">
        <x:v>Бытовая химия</x:v>
      </x:c>
      <x:c r="C557" s="14" t="str">
        <x:v>Чистящее и моющее средство</x:v>
      </x:c>
      <x:c r="D557" s="14" t="str">
        <x:v>Средство для чистки изделий из металлов</x:v>
      </x:c>
      <x:c r="E557" s="2" t="n">
        <x:v>1</x:v>
      </x:c>
      <x:c r="F557" s="2" t="n">
        <x:v>0</x:v>
      </x:c>
      <x:c r="G557" s="12" t="n">
        <x:v>114812</x:v>
      </x:c>
      <x:c r="H557" s="12" t="n">
        <x:v>0</x:v>
      </x:c>
      <x:c r="I557" s="13" t="n">
        <x:v>0</x:v>
      </x:c>
      <x:c r="J557" s="2" t="n">
        <x:v>1</x:v>
      </x:c>
      <x:c r="K557" s="2" t="n">
        <x:v>1</x:v>
      </x:c>
      <x:c r="L557" s="12" t="n">
        <x:v>1663.942</x:v>
      </x:c>
      <x:c r="M557" s="13" t="n">
        <x:v>1</x:v>
      </x:c>
      <x:c r="N557" s="13" t="n">
        <x:f>H557/G557</x:f>
        <x:v>0</x:v>
      </x:c>
      <x:c r="O557" s="13" t="n">
        <x:f>F557/E557</x:f>
        <x:v>0</x:v>
      </x:c>
      <x:c r="P557" s="2" t="str">
        <x:f>IF(AND(E557&gt;='Итоги'!$F$5,N557&lt;='Итоги'!$B$5,O557&gt;='Итоги'!$D$5),"Да","Нет")</x:f>
        <x:v>Нет</x:v>
      </x:c>
    </x:row>
    <x:row r="558" ht="60" customHeight="1">
      <x:c r="A558" s="14" t="str">
        <x:v>Бытовая химия и гигиена рта</x:v>
      </x:c>
      <x:c r="B558" s="14" t="str">
        <x:v>Средства для стирки</x:v>
      </x:c>
      <x:c r="C558" s="14" t="str">
        <x:v>Пятновыводитель</x:v>
      </x:c>
      <x:c r="D558" s="14" t="str">
        <x:v>Пятновыводитель специальный</x:v>
      </x:c>
      <x:c r="E558" s="2" t="n">
        <x:v>1</x:v>
      </x:c>
      <x:c r="F558" s="2" t="n">
        <x:v>0</x:v>
      </x:c>
      <x:c r="G558" s="12" t="n">
        <x:v>4380</x:v>
      </x:c>
      <x:c r="H558" s="12" t="n">
        <x:v>0</x:v>
      </x:c>
      <x:c r="I558" s="13" t="n">
        <x:v>0</x:v>
      </x:c>
      <x:c r="J558" s="2" t="n">
        <x:v>1</x:v>
      </x:c>
      <x:c r="K558" s="2" t="n">
        <x:v>1</x:v>
      </x:c>
      <x:c r="L558" s="12" t="n">
        <x:v>1460</x:v>
      </x:c>
      <x:c r="M558" s="13" t="n">
        <x:v>1</x:v>
      </x:c>
      <x:c r="N558" s="13" t="n">
        <x:f>H558/G558</x:f>
        <x:v>0</x:v>
      </x:c>
      <x:c r="O558" s="13" t="n">
        <x:f>F558/E558</x:f>
        <x:v>0</x:v>
      </x:c>
      <x:c r="P558" s="2" t="str">
        <x:f>IF(AND(E558&gt;='Итоги'!$F$5,N558&lt;='Итоги'!$B$5,O558&gt;='Итоги'!$D$5),"Да","Нет")</x:f>
        <x:v>Нет</x:v>
      </x:c>
    </x:row>
    <x:row r="559" ht="60" customHeight="1">
      <x:c r="A559" s="14" t="str">
        <x:v>Детская одежда</x:v>
      </x:c>
      <x:c r="B559" s="14" t="str">
        <x:v>Детская обувь</x:v>
      </x:c>
      <x:c r="C559" s="14" t="str">
        <x:v>Обувь для девочки</x:v>
      </x:c>
      <x:c r="D559" s="14" t="str">
        <x:v>Полусапожки для девочки</x:v>
      </x:c>
      <x:c r="E559" s="2" t="n">
        <x:v>1</x:v>
      </x:c>
      <x:c r="F559" s="2" t="n">
        <x:v>0</x:v>
      </x:c>
      <x:c r="G559" s="12" t="n">
        <x:v>4948</x:v>
      </x:c>
      <x:c r="H559" s="12" t="n">
        <x:v>0</x:v>
      </x:c>
      <x:c r="I559" s="13" t="n">
        <x:v>0</x:v>
      </x:c>
      <x:c r="J559" s="2" t="n">
        <x:v>1</x:v>
      </x:c>
      <x:c r="K559" s="2" t="n">
        <x:v>1</x:v>
      </x:c>
      <x:c r="L559" s="12" t="n">
        <x:v>4948</x:v>
      </x:c>
      <x:c r="M559" s="13" t="n">
        <x:v>1</x:v>
      </x:c>
      <x:c r="N559" s="13" t="n">
        <x:f>H559/G559</x:f>
        <x:v>0</x:v>
      </x:c>
      <x:c r="O559" s="13" t="n">
        <x:f>F559/E559</x:f>
        <x:v>0</x:v>
      </x:c>
      <x:c r="P559" s="2" t="str">
        <x:f>IF(AND(E559&gt;='Итоги'!$F$5,N559&lt;='Итоги'!$B$5,O559&gt;='Итоги'!$D$5),"Да","Нет")</x:f>
        <x:v>Нет</x:v>
      </x:c>
    </x:row>
    <x:row r="560" ht="60" customHeight="1">
      <x:c r="A560" s="14" t="str">
        <x:v>Детская одежда</x:v>
      </x:c>
      <x:c r="B560" s="14" t="str">
        <x:v>Детская обувь</x:v>
      </x:c>
      <x:c r="C560" s="14" t="str">
        <x:v>Обувь для девочки</x:v>
      </x:c>
      <x:c r="D560" s="14" t="str">
        <x:v>Угги для девочки</x:v>
      </x:c>
      <x:c r="E560" s="2" t="n">
        <x:v>1</x:v>
      </x:c>
      <x:c r="F560" s="2" t="n">
        <x:v>0</x:v>
      </x:c>
      <x:c r="G560" s="12" t="n">
        <x:v>3331</x:v>
      </x:c>
      <x:c r="H560" s="12" t="n">
        <x:v>0</x:v>
      </x:c>
      <x:c r="I560" s="13" t="n">
        <x:v>0</x:v>
      </x:c>
      <x:c r="J560" s="2" t="n">
        <x:v>1</x:v>
      </x:c>
      <x:c r="K560" s="2" t="n">
        <x:v>1</x:v>
      </x:c>
      <x:c r="L560" s="12" t="n">
        <x:v>1665.5</x:v>
      </x:c>
      <x:c r="M560" s="13" t="n">
        <x:v>1</x:v>
      </x:c>
      <x:c r="N560" s="13" t="n">
        <x:f>H560/G560</x:f>
        <x:v>0</x:v>
      </x:c>
      <x:c r="O560" s="13" t="n">
        <x:f>F560/E560</x:f>
        <x:v>0</x:v>
      </x:c>
      <x:c r="P560" s="2" t="str">
        <x:f>IF(AND(E560&gt;='Итоги'!$F$5,N560&lt;='Итоги'!$B$5,O560&gt;='Итоги'!$D$5),"Да","Нет")</x:f>
        <x:v>Нет</x:v>
      </x:c>
    </x:row>
    <x:row r="561" ht="60" customHeight="1">
      <x:c r="A561" s="14" t="str">
        <x:v>Детская одежда</x:v>
      </x:c>
      <x:c r="B561" s="14" t="str">
        <x:v>Детская обувь</x:v>
      </x:c>
      <x:c r="C561" s="14" t="str">
        <x:v>Обувь спортивная для девочки</x:v>
      </x:c>
      <x:c r="D561" s="14" t="str">
        <x:v>Шлепанцы спортивные для девочки</x:v>
      </x:c>
      <x:c r="E561" s="2" t="n">
        <x:v>1</x:v>
      </x:c>
      <x:c r="F561" s="2" t="n">
        <x:v>0</x:v>
      </x:c>
      <x:c r="G561" s="12" t="n">
        <x:v>9420</x:v>
      </x:c>
      <x:c r="H561" s="12" t="n">
        <x:v>0</x:v>
      </x:c>
      <x:c r="I561" s="13" t="n">
        <x:v>0</x:v>
      </x:c>
      <x:c r="J561" s="2" t="n">
        <x:v>1</x:v>
      </x:c>
      <x:c r="K561" s="2" t="n">
        <x:v>1</x:v>
      </x:c>
      <x:c r="L561" s="12" t="n">
        <x:v>3140</x:v>
      </x:c>
      <x:c r="M561" s="13" t="n">
        <x:v>1</x:v>
      </x:c>
      <x:c r="N561" s="13" t="n">
        <x:f>H561/G561</x:f>
        <x:v>0</x:v>
      </x:c>
      <x:c r="O561" s="13" t="n">
        <x:f>F561/E561</x:f>
        <x:v>0</x:v>
      </x:c>
      <x:c r="P561" s="2" t="str">
        <x:f>IF(AND(E561&gt;='Итоги'!$F$5,N561&lt;='Итоги'!$B$5,O561&gt;='Итоги'!$D$5),"Да","Нет")</x:f>
        <x:v>Нет</x:v>
      </x:c>
    </x:row>
    <x:row r="562" ht="60" customHeight="1">
      <x:c r="A562" s="14" t="str">
        <x:v>Детская одежда</x:v>
      </x:c>
      <x:c r="B562" s="14" t="str">
        <x:v>Детская обувь</x:v>
      </x:c>
      <x:c r="C562" s="14" t="str">
        <x:v>Обувь спортивная для мальчика</x:v>
      </x:c>
      <x:c r="D562" s="14" t="str">
        <x:v>Шлепанцы спортивные для мальчика</x:v>
      </x:c>
      <x:c r="E562" s="2" t="n">
        <x:v>1</x:v>
      </x:c>
      <x:c r="F562" s="2" t="n">
        <x:v>0</x:v>
      </x:c>
      <x:c r="G562" s="12" t="n">
        <x:v>8046</x:v>
      </x:c>
      <x:c r="H562" s="12" t="n">
        <x:v>0</x:v>
      </x:c>
      <x:c r="I562" s="13" t="n">
        <x:v>0</x:v>
      </x:c>
      <x:c r="J562" s="2" t="n">
        <x:v>1</x:v>
      </x:c>
      <x:c r="K562" s="2" t="n">
        <x:v>1</x:v>
      </x:c>
      <x:c r="L562" s="12" t="n">
        <x:v>1341</x:v>
      </x:c>
      <x:c r="M562" s="13" t="n">
        <x:v>1</x:v>
      </x:c>
      <x:c r="N562" s="13" t="n">
        <x:f>H562/G562</x:f>
        <x:v>0</x:v>
      </x:c>
      <x:c r="O562" s="13" t="n">
        <x:f>F562/E562</x:f>
        <x:v>0</x:v>
      </x:c>
      <x:c r="P562" s="2" t="str">
        <x:f>IF(AND(E562&gt;='Итоги'!$F$5,N562&lt;='Итоги'!$B$5,O562&gt;='Итоги'!$D$5),"Да","Нет")</x:f>
        <x:v>Нет</x:v>
      </x:c>
    </x:row>
    <x:row r="563" ht="60" customHeight="1">
      <x:c r="A563" s="14" t="str">
        <x:v>Детская одежда</x:v>
      </x:c>
      <x:c r="B563" s="14" t="str">
        <x:v>Детская одежда</x:v>
      </x:c>
      <x:c r="C563" s="14" t="str">
        <x:v>Белье и ЧНИ для девочек</x:v>
      </x:c>
      <x:c r="D563" s="14" t="str">
        <x:v>Халат для девочки</x:v>
      </x:c>
      <x:c r="E563" s="2" t="n">
        <x:v>1</x:v>
      </x:c>
      <x:c r="F563" s="2" t="n">
        <x:v>0</x:v>
      </x:c>
      <x:c r="G563" s="12" t="n">
        <x:v>4062</x:v>
      </x:c>
      <x:c r="H563" s="12" t="n">
        <x:v>0</x:v>
      </x:c>
      <x:c r="I563" s="13" t="n">
        <x:v>0</x:v>
      </x:c>
      <x:c r="J563" s="2" t="n">
        <x:v>1</x:v>
      </x:c>
      <x:c r="K563" s="2" t="n">
        <x:v>1</x:v>
      </x:c>
      <x:c r="L563" s="12" t="n">
        <x:v>4062</x:v>
      </x:c>
      <x:c r="M563" s="13" t="n">
        <x:v>1</x:v>
      </x:c>
      <x:c r="N563" s="13" t="n">
        <x:f>H563/G563</x:f>
        <x:v>0</x:v>
      </x:c>
      <x:c r="O563" s="13" t="n">
        <x:f>F563/E563</x:f>
        <x:v>0</x:v>
      </x:c>
      <x:c r="P563" s="2" t="str">
        <x:f>IF(AND(E563&gt;='Итоги'!$F$5,N563&lt;='Итоги'!$B$5,O563&gt;='Итоги'!$D$5),"Да","Нет")</x:f>
        <x:v>Нет</x:v>
      </x:c>
    </x:row>
    <x:row r="564" ht="60" customHeight="1">
      <x:c r="A564" s="14" t="str">
        <x:v>Детская одежда</x:v>
      </x:c>
      <x:c r="B564" s="14" t="str">
        <x:v>Детская одежда</x:v>
      </x:c>
      <x:c r="C564" s="14" t="str">
        <x:v>Белье и ЧНИ для мальчиков</x:v>
      </x:c>
      <x:c r="D564" s="14" t="str">
        <x:v>Плавки спортивные для мальчика</x:v>
      </x:c>
      <x:c r="E564" s="2" t="n">
        <x:v>1</x:v>
      </x:c>
      <x:c r="F564" s="2" t="n">
        <x:v>0</x:v>
      </x:c>
      <x:c r="G564" s="12" t="n">
        <x:v>9104.5</x:v>
      </x:c>
      <x:c r="H564" s="12" t="n">
        <x:v>0</x:v>
      </x:c>
      <x:c r="I564" s="13" t="n">
        <x:v>0</x:v>
      </x:c>
      <x:c r="J564" s="2" t="n">
        <x:v>1</x:v>
      </x:c>
      <x:c r="K564" s="2" t="n">
        <x:v>1</x:v>
      </x:c>
      <x:c r="L564" s="12" t="n">
        <x:v>1300.6429</x:v>
      </x:c>
      <x:c r="M564" s="13" t="n">
        <x:v>1</x:v>
      </x:c>
      <x:c r="N564" s="13" t="n">
        <x:f>H564/G564</x:f>
        <x:v>0</x:v>
      </x:c>
      <x:c r="O564" s="13" t="n">
        <x:f>F564/E564</x:f>
        <x:v>0</x:v>
      </x:c>
      <x:c r="P564" s="2" t="str">
        <x:f>IF(AND(E564&gt;='Итоги'!$F$5,N564&lt;='Итоги'!$B$5,O564&gt;='Итоги'!$D$5),"Да","Нет")</x:f>
        <x:v>Нет</x:v>
      </x:c>
    </x:row>
    <x:row r="565" ht="60" customHeight="1">
      <x:c r="A565" s="14" t="str">
        <x:v>Детская одежда</x:v>
      </x:c>
      <x:c r="B565" s="14" t="str">
        <x:v>Детская одежда</x:v>
      </x:c>
      <x:c r="C565" s="14" t="str">
        <x:v>Верхняя одежда для девочки</x:v>
      </x:c>
      <x:c r="D565" s="14" t="str">
        <x:v>Куртка спортивная зимняя для девочки</x:v>
      </x:c>
      <x:c r="E565" s="2" t="n">
        <x:v>1</x:v>
      </x:c>
      <x:c r="F565" s="2" t="n">
        <x:v>0</x:v>
      </x:c>
      <x:c r="G565" s="12" t="n">
        <x:v>7062</x:v>
      </x:c>
      <x:c r="H565" s="12" t="n">
        <x:v>0</x:v>
      </x:c>
      <x:c r="I565" s="13" t="n">
        <x:v>0</x:v>
      </x:c>
      <x:c r="J565" s="2" t="n">
        <x:v>1</x:v>
      </x:c>
      <x:c r="K565" s="2" t="n">
        <x:v>1</x:v>
      </x:c>
      <x:c r="L565" s="12" t="n">
        <x:v>3531</x:v>
      </x:c>
      <x:c r="M565" s="13" t="n">
        <x:v>1</x:v>
      </x:c>
      <x:c r="N565" s="13" t="n">
        <x:f>H565/G565</x:f>
        <x:v>0</x:v>
      </x:c>
      <x:c r="O565" s="13" t="n">
        <x:f>F565/E565</x:f>
        <x:v>0</x:v>
      </x:c>
      <x:c r="P565" s="2" t="str">
        <x:f>IF(AND(E565&gt;='Итоги'!$F$5,N565&lt;='Итоги'!$B$5,O565&gt;='Итоги'!$D$5),"Да","Нет")</x:f>
        <x:v>Нет</x:v>
      </x:c>
    </x:row>
    <x:row r="566" ht="60" customHeight="1">
      <x:c r="A566" s="14" t="str">
        <x:v>Детская одежда</x:v>
      </x:c>
      <x:c r="B566" s="14" t="str">
        <x:v>Детская одежда</x:v>
      </x:c>
      <x:c r="C566" s="14" t="str">
        <x:v>Верхняя одежда для девочки</x:v>
      </x:c>
      <x:c r="D566" s="14" t="str">
        <x:v>Пальто спортивное для девочки</x:v>
      </x:c>
      <x:c r="E566" s="2" t="n">
        <x:v>1</x:v>
      </x:c>
      <x:c r="F566" s="2" t="n">
        <x:v>0</x:v>
      </x:c>
      <x:c r="G566" s="12" t="n">
        <x:v>6925</x:v>
      </x:c>
      <x:c r="H566" s="12" t="n">
        <x:v>0</x:v>
      </x:c>
      <x:c r="I566" s="13" t="n">
        <x:v>0</x:v>
      </x:c>
      <x:c r="J566" s="2" t="n">
        <x:v>1</x:v>
      </x:c>
      <x:c r="K566" s="2" t="n">
        <x:v>1</x:v>
      </x:c>
      <x:c r="L566" s="12" t="n">
        <x:v>6925</x:v>
      </x:c>
      <x:c r="M566" s="13" t="n">
        <x:v>1</x:v>
      </x:c>
      <x:c r="N566" s="13" t="n">
        <x:f>H566/G566</x:f>
        <x:v>0</x:v>
      </x:c>
      <x:c r="O566" s="13" t="n">
        <x:f>F566/E566</x:f>
        <x:v>0</x:v>
      </x:c>
      <x:c r="P566" s="2" t="str">
        <x:f>IF(AND(E566&gt;='Итоги'!$F$5,N566&lt;='Итоги'!$B$5,O566&gt;='Итоги'!$D$5),"Да","Нет")</x:f>
        <x:v>Нет</x:v>
      </x:c>
    </x:row>
    <x:row r="567" ht="60" customHeight="1">
      <x:c r="A567" s="14" t="str">
        <x:v>Детская одежда</x:v>
      </x:c>
      <x:c r="B567" s="14" t="str">
        <x:v>Детская одежда</x:v>
      </x:c>
      <x:c r="C567" s="14" t="str">
        <x:v>Верхняя одежда для мальчика</x:v>
      </x:c>
      <x:c r="D567" s="14" t="str">
        <x:v>Дождевик для мальчика</x:v>
      </x:c>
      <x:c r="E567" s="2" t="n">
        <x:v>1</x:v>
      </x:c>
      <x:c r="F567" s="2" t="n">
        <x:v>0</x:v>
      </x:c>
      <x:c r="G567" s="12" t="n">
        <x:v>81229.84</x:v>
      </x:c>
      <x:c r="H567" s="12" t="n">
        <x:v>0</x:v>
      </x:c>
      <x:c r="I567" s="13" t="n">
        <x:v>0</x:v>
      </x:c>
      <x:c r="J567" s="2" t="n">
        <x:v>1</x:v>
      </x:c>
      <x:c r="K567" s="2" t="n">
        <x:v>1</x:v>
      </x:c>
      <x:c r="L567" s="12" t="n">
        <x:v>1083.0645</x:v>
      </x:c>
      <x:c r="M567" s="13" t="n">
        <x:v>1</x:v>
      </x:c>
      <x:c r="N567" s="13" t="n">
        <x:f>H567/G567</x:f>
        <x:v>0</x:v>
      </x:c>
      <x:c r="O567" s="13" t="n">
        <x:f>F567/E567</x:f>
        <x:v>0</x:v>
      </x:c>
      <x:c r="P567" s="2" t="str">
        <x:f>IF(AND(E567&gt;='Итоги'!$F$5,N567&lt;='Итоги'!$B$5,O567&gt;='Итоги'!$D$5),"Да","Нет")</x:f>
        <x:v>Нет</x:v>
      </x:c>
    </x:row>
    <x:row r="568" ht="60" customHeight="1">
      <x:c r="A568" s="14" t="str">
        <x:v>Детская одежда</x:v>
      </x:c>
      <x:c r="B568" s="14" t="str">
        <x:v>Детская одежда</x:v>
      </x:c>
      <x:c r="C568" s="14" t="str">
        <x:v>Верхняя одежда для мальчика</x:v>
      </x:c>
      <x:c r="D568" s="14" t="str">
        <x:v>Куртка джинсовая для мальчика</x:v>
      </x:c>
      <x:c r="E568" s="2" t="n">
        <x:v>1</x:v>
      </x:c>
      <x:c r="F568" s="2" t="n">
        <x:v>0</x:v>
      </x:c>
      <x:c r="G568" s="12" t="n">
        <x:v>7938</x:v>
      </x:c>
      <x:c r="H568" s="12" t="n">
        <x:v>0</x:v>
      </x:c>
      <x:c r="I568" s="13" t="n">
        <x:v>0</x:v>
      </x:c>
      <x:c r="J568" s="2" t="n">
        <x:v>1</x:v>
      </x:c>
      <x:c r="K568" s="2" t="n">
        <x:v>1</x:v>
      </x:c>
      <x:c r="L568" s="12" t="n">
        <x:v>1134</x:v>
      </x:c>
      <x:c r="M568" s="13" t="n">
        <x:v>1</x:v>
      </x:c>
      <x:c r="N568" s="13" t="n">
        <x:f>H568/G568</x:f>
        <x:v>0</x:v>
      </x:c>
      <x:c r="O568" s="13" t="n">
        <x:f>F568/E568</x:f>
        <x:v>0</x:v>
      </x:c>
      <x:c r="P568" s="2" t="str">
        <x:f>IF(AND(E568&gt;='Итоги'!$F$5,N568&lt;='Итоги'!$B$5,O568&gt;='Итоги'!$D$5),"Да","Нет")</x:f>
        <x:v>Нет</x:v>
      </x:c>
    </x:row>
    <x:row r="569" ht="60" customHeight="1">
      <x:c r="A569" s="14" t="str">
        <x:v>Детская одежда</x:v>
      </x:c>
      <x:c r="B569" s="14" t="str">
        <x:v>Детская одежда</x:v>
      </x:c>
      <x:c r="C569" s="14" t="str">
        <x:v>Головные уборы, перчатки, шарфы для девочки</x:v>
      </x:c>
      <x:c r="D569" s="14" t="str">
        <x:v>Капор для девочки</x:v>
      </x:c>
      <x:c r="E569" s="2" t="n">
        <x:v>1</x:v>
      </x:c>
      <x:c r="F569" s="2" t="n">
        <x:v>0</x:v>
      </x:c>
      <x:c r="G569" s="12" t="n">
        <x:v>8866</x:v>
      </x:c>
      <x:c r="H569" s="12" t="n">
        <x:v>0</x:v>
      </x:c>
      <x:c r="I569" s="13" t="n">
        <x:v>0</x:v>
      </x:c>
      <x:c r="J569" s="2" t="n">
        <x:v>1</x:v>
      </x:c>
      <x:c r="K569" s="2" t="n">
        <x:v>1</x:v>
      </x:c>
      <x:c r="L569" s="12" t="n">
        <x:v>2955.3333</x:v>
      </x:c>
      <x:c r="M569" s="13" t="n">
        <x:v>1</x:v>
      </x:c>
      <x:c r="N569" s="13" t="n">
        <x:f>H569/G569</x:f>
        <x:v>0</x:v>
      </x:c>
      <x:c r="O569" s="13" t="n">
        <x:f>F569/E569</x:f>
        <x:v>0</x:v>
      </x:c>
      <x:c r="P569" s="2" t="str">
        <x:f>IF(AND(E569&gt;='Итоги'!$F$5,N569&lt;='Итоги'!$B$5,O569&gt;='Итоги'!$D$5),"Да","Нет")</x:f>
        <x:v>Нет</x:v>
      </x:c>
    </x:row>
    <x:row r="570" ht="60" customHeight="1">
      <x:c r="A570" s="14" t="str">
        <x:v>Детская одежда</x:v>
      </x:c>
      <x:c r="B570" s="14" t="str">
        <x:v>Детская одежда</x:v>
      </x:c>
      <x:c r="C570" s="14" t="str">
        <x:v>Головные уборы, перчатки, шарфы для мальчика</x:v>
      </x:c>
      <x:c r="D570" s="14" t="str">
        <x:v>Бейсболка спортивная для мальчика</x:v>
      </x:c>
      <x:c r="E570" s="2" t="n">
        <x:v>1</x:v>
      </x:c>
      <x:c r="F570" s="2" t="n">
        <x:v>0</x:v>
      </x:c>
      <x:c r="G570" s="12" t="n">
        <x:v>3615.5</x:v>
      </x:c>
      <x:c r="H570" s="12" t="n">
        <x:v>0</x:v>
      </x:c>
      <x:c r="I570" s="13" t="n">
        <x:v>0</x:v>
      </x:c>
      <x:c r="J570" s="2" t="n">
        <x:v>1</x:v>
      </x:c>
      <x:c r="K570" s="2" t="n">
        <x:v>1</x:v>
      </x:c>
      <x:c r="L570" s="12" t="n">
        <x:v>903.875</x:v>
      </x:c>
      <x:c r="M570" s="13" t="n">
        <x:v>1</x:v>
      </x:c>
      <x:c r="N570" s="13" t="n">
        <x:f>H570/G570</x:f>
        <x:v>0</x:v>
      </x:c>
      <x:c r="O570" s="13" t="n">
        <x:f>F570/E570</x:f>
        <x:v>0</x:v>
      </x:c>
      <x:c r="P570" s="2" t="str">
        <x:f>IF(AND(E570&gt;='Итоги'!$F$5,N570&lt;='Итоги'!$B$5,O570&gt;='Итоги'!$D$5),"Да","Нет")</x:f>
        <x:v>Нет</x:v>
      </x:c>
    </x:row>
    <x:row r="571" ht="60" customHeight="1">
      <x:c r="A571" s="14" t="str">
        <x:v>Детская одежда</x:v>
      </x:c>
      <x:c r="B571" s="14" t="str">
        <x:v>Детская одежда</x:v>
      </x:c>
      <x:c r="C571" s="14" t="str">
        <x:v>Головные уборы, перчатки, шарфы для мальчика</x:v>
      </x:c>
      <x:c r="D571" s="14" t="str">
        <x:v>Комплект шапка + аксессуар для мальчика</x:v>
      </x:c>
      <x:c r="E571" s="2" t="n">
        <x:v>1</x:v>
      </x:c>
      <x:c r="F571" s="2" t="n">
        <x:v>0</x:v>
      </x:c>
      <x:c r="G571" s="12" t="n">
        <x:v>85271.95</x:v>
      </x:c>
      <x:c r="H571" s="12" t="n">
        <x:v>0</x:v>
      </x:c>
      <x:c r="I571" s="13" t="n">
        <x:v>0</x:v>
      </x:c>
      <x:c r="J571" s="2" t="n">
        <x:v>1</x:v>
      </x:c>
      <x:c r="K571" s="2" t="n">
        <x:v>1</x:v>
      </x:c>
      <x:c r="L571" s="12" t="n">
        <x:v>1065.8994</x:v>
      </x:c>
      <x:c r="M571" s="13" t="n">
        <x:v>1</x:v>
      </x:c>
      <x:c r="N571" s="13" t="n">
        <x:f>H571/G571</x:f>
        <x:v>0</x:v>
      </x:c>
      <x:c r="O571" s="13" t="n">
        <x:f>F571/E571</x:f>
        <x:v>0</x:v>
      </x:c>
      <x:c r="P571" s="2" t="str">
        <x:f>IF(AND(E571&gt;='Итоги'!$F$5,N571&lt;='Итоги'!$B$5,O571&gt;='Итоги'!$D$5),"Да","Нет")</x:f>
        <x:v>Нет</x:v>
      </x:c>
    </x:row>
    <x:row r="572" ht="60" customHeight="1">
      <x:c r="A572" s="14" t="str">
        <x:v>Детская одежда</x:v>
      </x:c>
      <x:c r="B572" s="14" t="str">
        <x:v>Детская одежда</x:v>
      </x:c>
      <x:c r="C572" s="14" t="str">
        <x:v>Одежда для девочки</x:v>
      </x:c>
      <x:c r="D572" s="14" t="str">
        <x:v>Жакет для девочки</x:v>
      </x:c>
      <x:c r="E572" s="2" t="n">
        <x:v>1</x:v>
      </x:c>
      <x:c r="F572" s="2" t="n">
        <x:v>0</x:v>
      </x:c>
      <x:c r="G572" s="12" t="n">
        <x:v>4036</x:v>
      </x:c>
      <x:c r="H572" s="12" t="n">
        <x:v>0</x:v>
      </x:c>
      <x:c r="I572" s="13" t="n">
        <x:v>0</x:v>
      </x:c>
      <x:c r="J572" s="2" t="n">
        <x:v>1</x:v>
      </x:c>
      <x:c r="K572" s="2" t="n">
        <x:v>1</x:v>
      </x:c>
      <x:c r="L572" s="12" t="n">
        <x:v>2018</x:v>
      </x:c>
      <x:c r="M572" s="13" t="n">
        <x:v>1</x:v>
      </x:c>
      <x:c r="N572" s="13" t="n">
        <x:f>H572/G572</x:f>
        <x:v>0</x:v>
      </x:c>
      <x:c r="O572" s="13" t="n">
        <x:f>F572/E572</x:f>
        <x:v>0</x:v>
      </x:c>
      <x:c r="P572" s="2" t="str">
        <x:f>IF(AND(E572&gt;='Итоги'!$F$5,N572&lt;='Итоги'!$B$5,O572&gt;='Итоги'!$D$5),"Да","Нет")</x:f>
        <x:v>Нет</x:v>
      </x:c>
    </x:row>
    <x:row r="573" ht="60" customHeight="1">
      <x:c r="A573" s="14" t="str">
        <x:v>Детская одежда</x:v>
      </x:c>
      <x:c r="B573" s="14" t="str">
        <x:v>Детская одежда</x:v>
      </x:c>
      <x:c r="C573" s="14" t="str">
        <x:v>Одежда для девочки</x:v>
      </x:c>
      <x:c r="D573" s="14" t="str">
        <x:v>Комплект футболок для девочки</x:v>
      </x:c>
      <x:c r="E573" s="2" t="n">
        <x:v>1</x:v>
      </x:c>
      <x:c r="F573" s="2" t="n">
        <x:v>0</x:v>
      </x:c>
      <x:c r="G573" s="12" t="n">
        <x:v>15860</x:v>
      </x:c>
      <x:c r="H573" s="12" t="n">
        <x:v>0</x:v>
      </x:c>
      <x:c r="I573" s="13" t="n">
        <x:v>0</x:v>
      </x:c>
      <x:c r="J573" s="2" t="n">
        <x:v>1</x:v>
      </x:c>
      <x:c r="K573" s="2" t="n">
        <x:v>1</x:v>
      </x:c>
      <x:c r="L573" s="12" t="n">
        <x:v>991.25</x:v>
      </x:c>
      <x:c r="M573" s="13" t="n">
        <x:v>1</x:v>
      </x:c>
      <x:c r="N573" s="13" t="n">
        <x:f>H573/G573</x:f>
        <x:v>0</x:v>
      </x:c>
      <x:c r="O573" s="13" t="n">
        <x:f>F573/E573</x:f>
        <x:v>0</x:v>
      </x:c>
      <x:c r="P573" s="2" t="str">
        <x:f>IF(AND(E573&gt;='Итоги'!$F$5,N573&lt;='Итоги'!$B$5,O573&gt;='Итоги'!$D$5),"Да","Нет")</x:f>
        <x:v>Нет</x:v>
      </x:c>
    </x:row>
    <x:row r="574" ht="60" customHeight="1">
      <x:c r="A574" s="14" t="str">
        <x:v>Детская одежда</x:v>
      </x:c>
      <x:c r="B574" s="14" t="str">
        <x:v>Детская одежда</x:v>
      </x:c>
      <x:c r="C574" s="14" t="str">
        <x:v>Одежда для девочки</x:v>
      </x:c>
      <x:c r="D574" s="14" t="str">
        <x:v>Пиджак для девочки</x:v>
      </x:c>
      <x:c r="E574" s="2" t="n">
        <x:v>1</x:v>
      </x:c>
      <x:c r="F574" s="2" t="n">
        <x:v>0</x:v>
      </x:c>
      <x:c r="G574" s="12" t="n">
        <x:v>24198.94</x:v>
      </x:c>
      <x:c r="H574" s="12" t="n">
        <x:v>0</x:v>
      </x:c>
      <x:c r="I574" s="13" t="n">
        <x:v>0</x:v>
      </x:c>
      <x:c r="J574" s="2" t="n">
        <x:v>1</x:v>
      </x:c>
      <x:c r="K574" s="2" t="n">
        <x:v>1</x:v>
      </x:c>
      <x:c r="L574" s="12" t="n">
        <x:v>4839.788</x:v>
      </x:c>
      <x:c r="M574" s="13" t="n">
        <x:v>1</x:v>
      </x:c>
      <x:c r="N574" s="13" t="n">
        <x:f>H574/G574</x:f>
        <x:v>0</x:v>
      </x:c>
      <x:c r="O574" s="13" t="n">
        <x:f>F574/E574</x:f>
        <x:v>0</x:v>
      </x:c>
      <x:c r="P574" s="2" t="str">
        <x:f>IF(AND(E574&gt;='Итоги'!$F$5,N574&lt;='Итоги'!$B$5,O574&gt;='Итоги'!$D$5),"Да","Нет")</x:f>
        <x:v>Нет</x:v>
      </x:c>
    </x:row>
    <x:row r="575" ht="60" customHeight="1">
      <x:c r="A575" s="14" t="str">
        <x:v>Детская одежда</x:v>
      </x:c>
      <x:c r="B575" s="14" t="str">
        <x:v>Детская одежда</x:v>
      </x:c>
      <x:c r="C575" s="14" t="str">
        <x:v>Одежда для девочки</x:v>
      </x:c>
      <x:c r="D575" s="14" t="str">
        <x:v>Толстовка флисовая для девочки</x:v>
      </x:c>
      <x:c r="E575" s="2" t="n">
        <x:v>1</x:v>
      </x:c>
      <x:c r="F575" s="2" t="n">
        <x:v>0</x:v>
      </x:c>
      <x:c r="G575" s="12" t="n">
        <x:v>3556</x:v>
      </x:c>
      <x:c r="H575" s="12" t="n">
        <x:v>0</x:v>
      </x:c>
      <x:c r="I575" s="13" t="n">
        <x:v>0</x:v>
      </x:c>
      <x:c r="J575" s="2" t="n">
        <x:v>1</x:v>
      </x:c>
      <x:c r="K575" s="2" t="n">
        <x:v>1</x:v>
      </x:c>
      <x:c r="L575" s="12" t="n">
        <x:v>1778</x:v>
      </x:c>
      <x:c r="M575" s="13" t="n">
        <x:v>1</x:v>
      </x:c>
      <x:c r="N575" s="13" t="n">
        <x:f>H575/G575</x:f>
        <x:v>0</x:v>
      </x:c>
      <x:c r="O575" s="13" t="n">
        <x:f>F575/E575</x:f>
        <x:v>0</x:v>
      </x:c>
      <x:c r="P575" s="2" t="str">
        <x:f>IF(AND(E575&gt;='Итоги'!$F$5,N575&lt;='Итоги'!$B$5,O575&gt;='Итоги'!$D$5),"Да","Нет")</x:f>
        <x:v>Нет</x:v>
      </x:c>
    </x:row>
    <x:row r="576" ht="60" customHeight="1">
      <x:c r="A576" s="14" t="str">
        <x:v>Детская одежда</x:v>
      </x:c>
      <x:c r="B576" s="14" t="str">
        <x:v>Детская одежда</x:v>
      </x:c>
      <x:c r="C576" s="14" t="str">
        <x:v>Одежда для девочки</x:v>
      </x:c>
      <x:c r="D576" s="14" t="str">
        <x:v>Худи для девочки</x:v>
      </x:c>
      <x:c r="E576" s="2" t="n">
        <x:v>1</x:v>
      </x:c>
      <x:c r="F576" s="2" t="n">
        <x:v>0</x:v>
      </x:c>
      <x:c r="G576" s="12" t="n">
        <x:v>3906</x:v>
      </x:c>
      <x:c r="H576" s="12" t="n">
        <x:v>0</x:v>
      </x:c>
      <x:c r="I576" s="13" t="n">
        <x:v>0</x:v>
      </x:c>
      <x:c r="J576" s="2" t="n">
        <x:v>1</x:v>
      </x:c>
      <x:c r="K576" s="2" t="n">
        <x:v>1</x:v>
      </x:c>
      <x:c r="L576" s="12" t="n">
        <x:v>1302</x:v>
      </x:c>
      <x:c r="M576" s="13" t="n">
        <x:v>1</x:v>
      </x:c>
      <x:c r="N576" s="13" t="n">
        <x:f>H576/G576</x:f>
        <x:v>0</x:v>
      </x:c>
      <x:c r="O576" s="13" t="n">
        <x:f>F576/E576</x:f>
        <x:v>0</x:v>
      </x:c>
      <x:c r="P576" s="2" t="str">
        <x:f>IF(AND(E576&gt;='Итоги'!$F$5,N576&lt;='Итоги'!$B$5,O576&gt;='Итоги'!$D$5),"Да","Нет")</x:f>
        <x:v>Нет</x:v>
      </x:c>
    </x:row>
    <x:row r="577" ht="60" customHeight="1">
      <x:c r="A577" s="14" t="str">
        <x:v>Детская одежда</x:v>
      </x:c>
      <x:c r="B577" s="14" t="str">
        <x:v>Детская одежда</x:v>
      </x:c>
      <x:c r="C577" s="14" t="str">
        <x:v>Одежда спортивная для девочки</x:v>
      </x:c>
      <x:c r="D577" s="14" t="str">
        <x:v>Платье спортивное для девочки</x:v>
      </x:c>
      <x:c r="E577" s="2" t="n">
        <x:v>1</x:v>
      </x:c>
      <x:c r="F577" s="2" t="n">
        <x:v>0</x:v>
      </x:c>
      <x:c r="G577" s="12" t="n">
        <x:v>10342.12</x:v>
      </x:c>
      <x:c r="H577" s="12" t="n">
        <x:v>0</x:v>
      </x:c>
      <x:c r="I577" s="13" t="n">
        <x:v>0</x:v>
      </x:c>
      <x:c r="J577" s="2" t="n">
        <x:v>1</x:v>
      </x:c>
      <x:c r="K577" s="2" t="n">
        <x:v>1</x:v>
      </x:c>
      <x:c r="L577" s="12" t="n">
        <x:v>1477.4457</x:v>
      </x:c>
      <x:c r="M577" s="13" t="n">
        <x:v>1</x:v>
      </x:c>
      <x:c r="N577" s="13" t="n">
        <x:f>H577/G577</x:f>
        <x:v>0</x:v>
      </x:c>
      <x:c r="O577" s="13" t="n">
        <x:f>F577/E577</x:f>
        <x:v>0</x:v>
      </x:c>
      <x:c r="P577" s="2" t="str">
        <x:f>IF(AND(E577&gt;='Итоги'!$F$5,N577&lt;='Итоги'!$B$5,O577&gt;='Итоги'!$D$5),"Да","Нет")</x:f>
        <x:v>Нет</x:v>
      </x:c>
    </x:row>
    <x:row r="578" ht="60" customHeight="1">
      <x:c r="A578" s="14" t="str">
        <x:v>Детская одежда</x:v>
      </x:c>
      <x:c r="B578" s="14" t="str">
        <x:v>Детская одежда</x:v>
      </x:c>
      <x:c r="C578" s="14" t="str">
        <x:v>Одежда спортивная для девочки</x:v>
      </x:c>
      <x:c r="D578" s="14" t="str">
        <x:v>Свитшот спортивный для девочки</x:v>
      </x:c>
      <x:c r="E578" s="2" t="n">
        <x:v>1</x:v>
      </x:c>
      <x:c r="F578" s="2" t="n">
        <x:v>0</x:v>
      </x:c>
      <x:c r="G578" s="12" t="n">
        <x:v>83929.36</x:v>
      </x:c>
      <x:c r="H578" s="12" t="n">
        <x:v>0</x:v>
      </x:c>
      <x:c r="I578" s="13" t="n">
        <x:v>0</x:v>
      </x:c>
      <x:c r="J578" s="2" t="n">
        <x:v>1</x:v>
      </x:c>
      <x:c r="K578" s="2" t="n">
        <x:v>1</x:v>
      </x:c>
      <x:c r="L578" s="12" t="n">
        <x:v>1678.5872</x:v>
      </x:c>
      <x:c r="M578" s="13" t="n">
        <x:v>1</x:v>
      </x:c>
      <x:c r="N578" s="13" t="n">
        <x:f>H578/G578</x:f>
        <x:v>0</x:v>
      </x:c>
      <x:c r="O578" s="13" t="n">
        <x:f>F578/E578</x:f>
        <x:v>0</x:v>
      </x:c>
      <x:c r="P578" s="2" t="str">
        <x:f>IF(AND(E578&gt;='Итоги'!$F$5,N578&lt;='Итоги'!$B$5,O578&gt;='Итоги'!$D$5),"Да","Нет")</x:f>
        <x:v>Нет</x:v>
      </x:c>
    </x:row>
    <x:row r="579" ht="60" customHeight="1">
      <x:c r="A579" s="14" t="str">
        <x:v>Детская одежда</x:v>
      </x:c>
      <x:c r="B579" s="14" t="str">
        <x:v>Детская одежда</x:v>
      </x:c>
      <x:c r="C579" s="14" t="str">
        <x:v>Одежда спортивная для девочки</x:v>
      </x:c>
      <x:c r="D579" s="14" t="str">
        <x:v>Худи спортивное для девочки</x:v>
      </x:c>
      <x:c r="E579" s="2" t="n">
        <x:v>1</x:v>
      </x:c>
      <x:c r="F579" s="2" t="n">
        <x:v>0</x:v>
      </x:c>
      <x:c r="G579" s="12" t="n">
        <x:v>46306</x:v>
      </x:c>
      <x:c r="H579" s="12" t="n">
        <x:v>0</x:v>
      </x:c>
      <x:c r="I579" s="13" t="n">
        <x:v>0</x:v>
      </x:c>
      <x:c r="J579" s="2" t="n">
        <x:v>1</x:v>
      </x:c>
      <x:c r="K579" s="2" t="n">
        <x:v>1</x:v>
      </x:c>
      <x:c r="L579" s="12" t="n">
        <x:v>1596.7586</x:v>
      </x:c>
      <x:c r="M579" s="13" t="n">
        <x:v>1</x:v>
      </x:c>
      <x:c r="N579" s="13" t="n">
        <x:f>H579/G579</x:f>
        <x:v>0</x:v>
      </x:c>
      <x:c r="O579" s="13" t="n">
        <x:f>F579/E579</x:f>
        <x:v>0</x:v>
      </x:c>
      <x:c r="P579" s="2" t="str">
        <x:f>IF(AND(E579&gt;='Итоги'!$F$5,N579&lt;='Итоги'!$B$5,O579&gt;='Итоги'!$D$5),"Да","Нет")</x:f>
        <x:v>Нет</x:v>
      </x:c>
    </x:row>
    <x:row r="580" ht="60" customHeight="1">
      <x:c r="A580" s="14" t="str">
        <x:v>Детская одежда</x:v>
      </x:c>
      <x:c r="B580" s="14" t="str">
        <x:v>Детская одежда</x:v>
      </x:c>
      <x:c r="C580" s="14" t="str">
        <x:v>Пляжная одежда для девочки</x:v>
      </x:c>
      <x:c r="D580" s="14" t="str">
        <x:v>Костюм, комбинезон плавательный для девочки</x:v>
      </x:c>
      <x:c r="E580" s="2" t="n">
        <x:v>1</x:v>
      </x:c>
      <x:c r="F580" s="2" t="n">
        <x:v>0</x:v>
      </x:c>
      <x:c r="G580" s="12" t="n">
        <x:v>6381</x:v>
      </x:c>
      <x:c r="H580" s="12" t="n">
        <x:v>0</x:v>
      </x:c>
      <x:c r="I580" s="13" t="n">
        <x:v>0</x:v>
      </x:c>
      <x:c r="J580" s="2" t="n">
        <x:v>1</x:v>
      </x:c>
      <x:c r="K580" s="2" t="n">
        <x:v>1</x:v>
      </x:c>
      <x:c r="L580" s="12" t="n">
        <x:v>1276.2</x:v>
      </x:c>
      <x:c r="M580" s="13" t="n">
        <x:v>1</x:v>
      </x:c>
      <x:c r="N580" s="13" t="n">
        <x:f>H580/G580</x:f>
        <x:v>0</x:v>
      </x:c>
      <x:c r="O580" s="13" t="n">
        <x:f>F580/E580</x:f>
        <x:v>0</x:v>
      </x:c>
      <x:c r="P580" s="2" t="str">
        <x:f>IF(AND(E580&gt;='Итоги'!$F$5,N580&lt;='Итоги'!$B$5,O580&gt;='Итоги'!$D$5),"Да","Нет")</x:f>
        <x:v>Нет</x:v>
      </x:c>
    </x:row>
    <x:row r="581" ht="60" customHeight="1">
      <x:c r="A581" s="14" t="str">
        <x:v>Детская одежда</x:v>
      </x:c>
      <x:c r="B581" s="14" t="str">
        <x:v>Детская одежда</x:v>
      </x:c>
      <x:c r="C581" s="14" t="str">
        <x:v>Школьная одежда для мальчика</x:v>
      </x:c>
      <x:c r="D581" s="14" t="str">
        <x:v>Школьный блейзер для мальчика</x:v>
      </x:c>
      <x:c r="E581" s="2" t="n">
        <x:v>1</x:v>
      </x:c>
      <x:c r="F581" s="2" t="n">
        <x:v>0</x:v>
      </x:c>
      <x:c r="G581" s="12" t="n">
        <x:v>51447.9</x:v>
      </x:c>
      <x:c r="H581" s="12" t="n">
        <x:v>0</x:v>
      </x:c>
      <x:c r="I581" s="13" t="n">
        <x:v>0</x:v>
      </x:c>
      <x:c r="J581" s="2" t="n">
        <x:v>1</x:v>
      </x:c>
      <x:c r="K581" s="2" t="n">
        <x:v>1</x:v>
      </x:c>
      <x:c r="L581" s="12" t="n">
        <x:v>1429.1083</x:v>
      </x:c>
      <x:c r="M581" s="13" t="n">
        <x:v>1</x:v>
      </x:c>
      <x:c r="N581" s="13" t="n">
        <x:f>H581/G581</x:f>
        <x:v>0</x:v>
      </x:c>
      <x:c r="O581" s="13" t="n">
        <x:f>F581/E581</x:f>
        <x:v>0</x:v>
      </x:c>
      <x:c r="P581" s="2" t="str">
        <x:f>IF(AND(E581&gt;='Итоги'!$F$5,N581&lt;='Итоги'!$B$5,O581&gt;='Итоги'!$D$5),"Да","Нет")</x:f>
        <x:v>Нет</x:v>
      </x:c>
    </x:row>
    <x:row r="582" ht="60" customHeight="1">
      <x:c r="A582" s="14" t="str">
        <x:v>Детская одежда</x:v>
      </x:c>
      <x:c r="B582" s="14" t="str">
        <x:v>Одежда для новорожденных</x:v>
      </x:c>
      <x:c r="C582" s="14" t="str">
        <x:v>Белье и ЧНИ для новорожденных</x:v>
      </x:c>
      <x:c r="D582" s="14" t="str">
        <x:v>Пижама для новорожденных</x:v>
      </x:c>
      <x:c r="E582" s="2" t="n">
        <x:v>1</x:v>
      </x:c>
      <x:c r="F582" s="2" t="n">
        <x:v>0</x:v>
      </x:c>
      <x:c r="G582" s="12" t="n">
        <x:v>4754.75</x:v>
      </x:c>
      <x:c r="H582" s="12" t="n">
        <x:v>0</x:v>
      </x:c>
      <x:c r="I582" s="13" t="n">
        <x:v>0</x:v>
      </x:c>
      <x:c r="J582" s="2" t="n">
        <x:v>1</x:v>
      </x:c>
      <x:c r="K582" s="2" t="n">
        <x:v>1</x:v>
      </x:c>
      <x:c r="L582" s="12" t="n">
        <x:v>2377.375</x:v>
      </x:c>
      <x:c r="M582" s="13" t="n">
        <x:v>1</x:v>
      </x:c>
      <x:c r="N582" s="13" t="n">
        <x:f>H582/G582</x:f>
        <x:v>0</x:v>
      </x:c>
      <x:c r="O582" s="13" t="n">
        <x:f>F582/E582</x:f>
        <x:v>0</x:v>
      </x:c>
      <x:c r="P582" s="2" t="str">
        <x:f>IF(AND(E582&gt;='Итоги'!$F$5,N582&lt;='Итоги'!$B$5,O582&gt;='Итоги'!$D$5),"Да","Нет")</x:f>
        <x:v>Нет</x:v>
      </x:c>
    </x:row>
    <x:row r="583" ht="60" customHeight="1">
      <x:c r="A583" s="14" t="str">
        <x:v>Детская одежда</x:v>
      </x:c>
      <x:c r="B583" s="14" t="str">
        <x:v>Одежда для новорожденных</x:v>
      </x:c>
      <x:c r="C583" s="14" t="str">
        <x:v>Белье и ЧНИ для новорожденных</x:v>
      </x:c>
      <x:c r="D583" s="14" t="str">
        <x:v>Трусы для новорожденных</x:v>
      </x:c>
      <x:c r="E583" s="2" t="n">
        <x:v>1</x:v>
      </x:c>
      <x:c r="F583" s="2" t="n">
        <x:v>0</x:v>
      </x:c>
      <x:c r="G583" s="12" t="n">
        <x:v>3695</x:v>
      </x:c>
      <x:c r="H583" s="12" t="n">
        <x:v>0</x:v>
      </x:c>
      <x:c r="I583" s="13" t="n">
        <x:v>0</x:v>
      </x:c>
      <x:c r="J583" s="2" t="n">
        <x:v>1</x:v>
      </x:c>
      <x:c r="K583" s="2" t="n">
        <x:v>1</x:v>
      </x:c>
      <x:c r="L583" s="12" t="n">
        <x:v>3695</x:v>
      </x:c>
      <x:c r="M583" s="13" t="n">
        <x:v>1</x:v>
      </x:c>
      <x:c r="N583" s="13" t="n">
        <x:f>H583/G583</x:f>
        <x:v>0</x:v>
      </x:c>
      <x:c r="O583" s="13" t="n">
        <x:f>F583/E583</x:f>
        <x:v>0</x:v>
      </x:c>
      <x:c r="P583" s="2" t="str">
        <x:f>IF(AND(E583&gt;='Итоги'!$F$5,N583&lt;='Итоги'!$B$5,O583&gt;='Итоги'!$D$5),"Да","Нет")</x:f>
        <x:v>Нет</x:v>
      </x:c>
    </x:row>
    <x:row r="584" ht="60" customHeight="1">
      <x:c r="A584" s="14" t="str">
        <x:v>Детская одежда</x:v>
      </x:c>
      <x:c r="B584" s="14" t="str">
        <x:v>Одежда для новорожденных</x:v>
      </x:c>
      <x:c r="C584" s="14" t="str">
        <x:v>Верхняя одежда для новорожденных</x:v>
      </x:c>
      <x:c r="D584" s="14" t="str">
        <x:v>Куртка демисезонная для новорожденных</x:v>
      </x:c>
      <x:c r="E584" s="2" t="n">
        <x:v>1</x:v>
      </x:c>
      <x:c r="F584" s="2" t="n">
        <x:v>0</x:v>
      </x:c>
      <x:c r="G584" s="12" t="n">
        <x:v>4044</x:v>
      </x:c>
      <x:c r="H584" s="12" t="n">
        <x:v>0</x:v>
      </x:c>
      <x:c r="I584" s="13" t="n">
        <x:v>0</x:v>
      </x:c>
      <x:c r="J584" s="2" t="n">
        <x:v>1</x:v>
      </x:c>
      <x:c r="K584" s="2" t="n">
        <x:v>1</x:v>
      </x:c>
      <x:c r="L584" s="12" t="n">
        <x:v>2022</x:v>
      </x:c>
      <x:c r="M584" s="13" t="n">
        <x:v>1</x:v>
      </x:c>
      <x:c r="N584" s="13" t="n">
        <x:f>H584/G584</x:f>
        <x:v>0</x:v>
      </x:c>
      <x:c r="O584" s="13" t="n">
        <x:f>F584/E584</x:f>
        <x:v>0</x:v>
      </x:c>
      <x:c r="P584" s="2" t="str">
        <x:f>IF(AND(E584&gt;='Итоги'!$F$5,N584&lt;='Итоги'!$B$5,O584&gt;='Итоги'!$D$5),"Да","Нет")</x:f>
        <x:v>Нет</x:v>
      </x:c>
    </x:row>
    <x:row r="585" ht="60" customHeight="1">
      <x:c r="A585" s="14" t="str">
        <x:v>Детская одежда</x:v>
      </x:c>
      <x:c r="B585" s="14" t="str">
        <x:v>Одежда для новорожденных</x:v>
      </x:c>
      <x:c r="C585" s="14" t="str">
        <x:v>Головные уборы, перчатки, шарфы для новорожденных</x:v>
      </x:c>
      <x:c r="D585" s="14" t="str">
        <x:v>Шапка для новорожденных</x:v>
      </x:c>
      <x:c r="E585" s="2" t="n">
        <x:v>1</x:v>
      </x:c>
      <x:c r="F585" s="2" t="n">
        <x:v>0</x:v>
      </x:c>
      <x:c r="G585" s="12" t="n">
        <x:v>4020</x:v>
      </x:c>
      <x:c r="H585" s="12" t="n">
        <x:v>0</x:v>
      </x:c>
      <x:c r="I585" s="13" t="n">
        <x:v>0</x:v>
      </x:c>
      <x:c r="J585" s="2" t="n">
        <x:v>1</x:v>
      </x:c>
      <x:c r="K585" s="2" t="n">
        <x:v>1</x:v>
      </x:c>
      <x:c r="L585" s="12" t="n">
        <x:v>2010</x:v>
      </x:c>
      <x:c r="M585" s="13" t="n">
        <x:v>1</x:v>
      </x:c>
      <x:c r="N585" s="13" t="n">
        <x:f>H585/G585</x:f>
        <x:v>0</x:v>
      </x:c>
      <x:c r="O585" s="13" t="n">
        <x:f>F585/E585</x:f>
        <x:v>0</x:v>
      </x:c>
      <x:c r="P585" s="2" t="str">
        <x:f>IF(AND(E585&gt;='Итоги'!$F$5,N585&lt;='Итоги'!$B$5,O585&gt;='Итоги'!$D$5),"Да","Нет")</x:f>
        <x:v>Нет</x:v>
      </x:c>
    </x:row>
    <x:row r="586" ht="60" customHeight="1">
      <x:c r="A586" s="14" t="str">
        <x:v>Детская одежда</x:v>
      </x:c>
      <x:c r="B586" s="14" t="str">
        <x:v>Одежда для новорожденных</x:v>
      </x:c>
      <x:c r="C586" s="14" t="str">
        <x:v>Одежда для новорожденных</x:v>
      </x:c>
      <x:c r="D586" s="14" t="str">
        <x:v>Джинсы для новорожденных</x:v>
      </x:c>
      <x:c r="E586" s="2" t="n">
        <x:v>1</x:v>
      </x:c>
      <x:c r="F586" s="2" t="n">
        <x:v>0</x:v>
      </x:c>
      <x:c r="G586" s="12" t="n">
        <x:v>3840</x:v>
      </x:c>
      <x:c r="H586" s="12" t="n">
        <x:v>0</x:v>
      </x:c>
      <x:c r="I586" s="13" t="n">
        <x:v>0</x:v>
      </x:c>
      <x:c r="J586" s="2" t="n">
        <x:v>1</x:v>
      </x:c>
      <x:c r="K586" s="2" t="n">
        <x:v>1</x:v>
      </x:c>
      <x:c r="L586" s="12" t="n">
        <x:v>3840</x:v>
      </x:c>
      <x:c r="M586" s="13" t="n">
        <x:v>1</x:v>
      </x:c>
      <x:c r="N586" s="13" t="n">
        <x:f>H586/G586</x:f>
        <x:v>0</x:v>
      </x:c>
      <x:c r="O586" s="13" t="n">
        <x:f>F586/E586</x:f>
        <x:v>0</x:v>
      </x:c>
      <x:c r="P586" s="2" t="str">
        <x:f>IF(AND(E586&gt;='Итоги'!$F$5,N586&lt;='Итоги'!$B$5,O586&gt;='Итоги'!$D$5),"Да","Нет")</x:f>
        <x:v>Нет</x:v>
      </x:c>
    </x:row>
    <x:row r="587" ht="60" customHeight="1">
      <x:c r="A587" s="14" t="str">
        <x:v>Детское питание</x:v>
      </x:c>
      <x:c r="B587" s="14" t="str">
        <x:v>Детское питание</x:v>
      </x:c>
      <x:c r="C587" s="14" t="str">
        <x:v>Детская бакалея</x:v>
      </x:c>
      <x:c r="D587" s="14" t="str">
        <x:v>Батончик для детей до 3 лет</x:v>
      </x:c>
      <x:c r="E587" s="2" t="n">
        <x:v>1</x:v>
      </x:c>
      <x:c r="F587" s="2" t="n">
        <x:v>0</x:v>
      </x:c>
      <x:c r="G587" s="12" t="n">
        <x:v>512445.81</x:v>
      </x:c>
      <x:c r="H587" s="12" t="n">
        <x:v>0</x:v>
      </x:c>
      <x:c r="I587" s="13" t="n">
        <x:v>0</x:v>
      </x:c>
      <x:c r="J587" s="2" t="n">
        <x:v>1</x:v>
      </x:c>
      <x:c r="K587" s="2" t="n">
        <x:v>1</x:v>
      </x:c>
      <x:c r="L587" s="12" t="n">
        <x:v>965.058</x:v>
      </x:c>
      <x:c r="M587" s="13" t="n">
        <x:v>1</x:v>
      </x:c>
      <x:c r="N587" s="13" t="n">
        <x:f>H587/G587</x:f>
        <x:v>0</x:v>
      </x:c>
      <x:c r="O587" s="13" t="n">
        <x:f>F587/E587</x:f>
        <x:v>0</x:v>
      </x:c>
      <x:c r="P587" s="2" t="str">
        <x:f>IF(AND(E587&gt;='Итоги'!$F$5,N587&lt;='Итоги'!$B$5,O587&gt;='Итоги'!$D$5),"Да","Нет")</x:f>
        <x:v>Нет</x:v>
      </x:c>
    </x:row>
    <x:row r="588" ht="60" customHeight="1">
      <x:c r="A588" s="14" t="str">
        <x:v>Детское питание</x:v>
      </x:c>
      <x:c r="B588" s="14" t="str">
        <x:v>Детское питание</x:v>
      </x:c>
      <x:c r="C588" s="14" t="str">
        <x:v>Детская бакалея</x:v>
      </x:c>
      <x:c r="D588" s="14" t="str">
        <x:v>Десерт для детей до 3 лет</x:v>
      </x:c>
      <x:c r="E588" s="2" t="n">
        <x:v>1</x:v>
      </x:c>
      <x:c r="F588" s="2" t="n">
        <x:v>0</x:v>
      </x:c>
      <x:c r="G588" s="12" t="n">
        <x:v>190708.9739</x:v>
      </x:c>
      <x:c r="H588" s="12" t="n">
        <x:v>0</x:v>
      </x:c>
      <x:c r="I588" s="13" t="n">
        <x:v>0</x:v>
      </x:c>
      <x:c r="J588" s="2" t="n">
        <x:v>1</x:v>
      </x:c>
      <x:c r="K588" s="2" t="n">
        <x:v>1</x:v>
      </x:c>
      <x:c r="L588" s="12" t="n">
        <x:v>1025.3171</x:v>
      </x:c>
      <x:c r="M588" s="13" t="n">
        <x:v>1</x:v>
      </x:c>
      <x:c r="N588" s="13" t="n">
        <x:f>H588/G588</x:f>
        <x:v>0</x:v>
      </x:c>
      <x:c r="O588" s="13" t="n">
        <x:f>F588/E588</x:f>
        <x:v>0</x:v>
      </x:c>
      <x:c r="P588" s="2" t="str">
        <x:f>IF(AND(E588&gt;='Итоги'!$F$5,N588&lt;='Итоги'!$B$5,O588&gt;='Итоги'!$D$5),"Да","Нет")</x:f>
        <x:v>Нет</x:v>
      </x:c>
    </x:row>
    <x:row r="589" ht="60" customHeight="1">
      <x:c r="A589" s="14" t="str">
        <x:v>Детское питание</x:v>
      </x:c>
      <x:c r="B589" s="14" t="str">
        <x:v>Детское питание</x:v>
      </x:c>
      <x:c r="C589" s="14" t="str">
        <x:v>Детская бакалея</x:v>
      </x:c>
      <x:c r="D589" s="14" t="str">
        <x:v>Масло для детей до 3 лет</x:v>
      </x:c>
      <x:c r="E589" s="2" t="n">
        <x:v>1</x:v>
      </x:c>
      <x:c r="F589" s="2" t="n">
        <x:v>0</x:v>
      </x:c>
      <x:c r="G589" s="12" t="n">
        <x:v>105509</x:v>
      </x:c>
      <x:c r="H589" s="12" t="n">
        <x:v>0</x:v>
      </x:c>
      <x:c r="I589" s="13" t="n">
        <x:v>0</x:v>
      </x:c>
      <x:c r="J589" s="2" t="n">
        <x:v>1</x:v>
      </x:c>
      <x:c r="K589" s="2" t="n">
        <x:v>1</x:v>
      </x:c>
      <x:c r="L589" s="12" t="n">
        <x:v>1134.5054</x:v>
      </x:c>
      <x:c r="M589" s="13" t="n">
        <x:v>1</x:v>
      </x:c>
      <x:c r="N589" s="13" t="n">
        <x:f>H589/G589</x:f>
        <x:v>0</x:v>
      </x:c>
      <x:c r="O589" s="13" t="n">
        <x:f>F589/E589</x:f>
        <x:v>0</x:v>
      </x:c>
      <x:c r="P589" s="2" t="str">
        <x:f>IF(AND(E589&gt;='Итоги'!$F$5,N589&lt;='Итоги'!$B$5,O589&gt;='Итоги'!$D$5),"Да","Нет")</x:f>
        <x:v>Нет</x:v>
      </x:c>
    </x:row>
    <x:row r="590" ht="60" customHeight="1">
      <x:c r="A590" s="14" t="str">
        <x:v>Игрушки</x:v>
      </x:c>
      <x:c r="B590" s="14" t="str">
        <x:v>Игрушки</x:v>
      </x:c>
      <x:c r="C590" s="14" t="str">
        <x:v>Развлекательные игрушки</x:v>
      </x:c>
      <x:c r="D590" s="14" t="str">
        <x:v>Заводная игрушка</x:v>
      </x:c>
      <x:c r="E590" s="2" t="n">
        <x:v>1</x:v>
      </x:c>
      <x:c r="F590" s="2" t="n">
        <x:v>0</x:v>
      </x:c>
      <x:c r="G590" s="12" t="n">
        <x:v>138365</x:v>
      </x:c>
      <x:c r="H590" s="12" t="n">
        <x:v>0</x:v>
      </x:c>
      <x:c r="I590" s="13" t="n">
        <x:v>0</x:v>
      </x:c>
      <x:c r="J590" s="2" t="n">
        <x:v>1</x:v>
      </x:c>
      <x:c r="K590" s="2" t="n">
        <x:v>1</x:v>
      </x:c>
      <x:c r="L590" s="12" t="n">
        <x:v>3074.7778</x:v>
      </x:c>
      <x:c r="M590" s="13" t="n">
        <x:v>1</x:v>
      </x:c>
      <x:c r="N590" s="13" t="n">
        <x:f>H590/G590</x:f>
        <x:v>0</x:v>
      </x:c>
      <x:c r="O590" s="13" t="n">
        <x:f>F590/E590</x:f>
        <x:v>0</x:v>
      </x:c>
      <x:c r="P590" s="2" t="str">
        <x:f>IF(AND(E590&gt;='Итоги'!$F$5,N590&lt;='Итоги'!$B$5,O590&gt;='Итоги'!$D$5),"Да","Нет")</x:f>
        <x:v>Нет</x:v>
      </x:c>
    </x:row>
    <x:row r="591" ht="60" customHeight="1">
      <x:c r="A591" s="14" t="str">
        <x:v>Книги</x:v>
      </x:c>
      <x:c r="B591" s="14" t="str">
        <x:v>Second-hand книга</x:v>
      </x:c>
      <x:c r="C591" s="14" t="str">
        <x:v>Second-hand книга</x:v>
      </x:c>
      <x:c r="D591" s="14" t="str">
        <x:v>Печатная книга: Second-hand книга</x:v>
      </x:c>
      <x:c r="E591" s="2" t="n">
        <x:v>1</x:v>
      </x:c>
      <x:c r="F591" s="2" t="n">
        <x:v>0</x:v>
      </x:c>
      <x:c r="G591" s="12" t="n">
        <x:v>3341</x:v>
      </x:c>
      <x:c r="H591" s="12" t="n">
        <x:v>0</x:v>
      </x:c>
      <x:c r="I591" s="13" t="n">
        <x:v>0</x:v>
      </x:c>
      <x:c r="J591" s="2" t="n">
        <x:v>1</x:v>
      </x:c>
      <x:c r="K591" s="2" t="n">
        <x:v>1</x:v>
      </x:c>
      <x:c r="L591" s="12" t="n">
        <x:v>3341</x:v>
      </x:c>
      <x:c r="M591" s="13" t="n">
        <x:v>1</x:v>
      </x:c>
      <x:c r="N591" s="13" t="n">
        <x:f>H591/G591</x:f>
        <x:v>0</x:v>
      </x:c>
      <x:c r="O591" s="13" t="n">
        <x:f>F591/E591</x:f>
        <x:v>0</x:v>
      </x:c>
      <x:c r="P591" s="2" t="str">
        <x:f>IF(AND(E591&gt;='Итоги'!$F$5,N591&lt;='Итоги'!$B$5,O591&gt;='Итоги'!$D$5),"Да","Нет")</x:f>
        <x:v>Нет</x:v>
      </x:c>
    </x:row>
    <x:row r="592" ht="60" customHeight="1">
      <x:c r="A592" s="14" t="str">
        <x:v>Книги</x:v>
      </x:c>
      <x:c r="B592" s="14" t="str">
        <x:v>Букинистическое издание</x:v>
      </x:c>
      <x:c r="C592" s="14" t="str">
        <x:v>Букинистика: Учебная литература</x:v>
      </x:c>
      <x:c r="D592" s="14" t="str">
        <x:v>Букинистика: Учебная литература</x:v>
      </x:c>
      <x:c r="E592" s="2" t="n">
        <x:v>1</x:v>
      </x:c>
      <x:c r="F592" s="2" t="n">
        <x:v>0</x:v>
      </x:c>
      <x:c r="G592" s="12" t="n">
        <x:v>3500</x:v>
      </x:c>
      <x:c r="H592" s="12" t="n">
        <x:v>0</x:v>
      </x:c>
      <x:c r="I592" s="13" t="n">
        <x:v>0</x:v>
      </x:c>
      <x:c r="J592" s="2" t="n">
        <x:v>1</x:v>
      </x:c>
      <x:c r="K592" s="2" t="n">
        <x:v>1</x:v>
      </x:c>
      <x:c r="L592" s="12" t="n">
        <x:v>3500</x:v>
      </x:c>
      <x:c r="M592" s="13" t="n">
        <x:v>1</x:v>
      </x:c>
      <x:c r="N592" s="13" t="n">
        <x:f>H592/G592</x:f>
        <x:v>0</x:v>
      </x:c>
      <x:c r="O592" s="13" t="n">
        <x:f>F592/E592</x:f>
        <x:v>0</x:v>
      </x:c>
      <x:c r="P592" s="2" t="str">
        <x:f>IF(AND(E592&gt;='Итоги'!$F$5,N592&lt;='Итоги'!$B$5,O592&gt;='Итоги'!$D$5),"Да","Нет")</x:f>
        <x:v>Нет</x:v>
      </x:c>
    </x:row>
    <x:row r="593" ht="60" customHeight="1">
      <x:c r="A593" s="14" t="str">
        <x:v>Книги</x:v>
      </x:c>
      <x:c r="B593" s="14" t="str">
        <x:v>Печатные книги: Нехудожественная литература</x:v>
      </x:c>
      <x:c r="C593" s="14" t="str">
        <x:v>Печатная книга: Юридическая, правовая литература</x:v>
      </x:c>
      <x:c r="D593" s="14" t="str">
        <x:v>Печатная книга: Юридическая, правовая литература</x:v>
      </x:c>
      <x:c r="E593" s="2" t="n">
        <x:v>1</x:v>
      </x:c>
      <x:c r="F593" s="2" t="n">
        <x:v>0</x:v>
      </x:c>
      <x:c r="G593" s="12" t="n">
        <x:v>19898.257</x:v>
      </x:c>
      <x:c r="H593" s="12" t="n">
        <x:v>0</x:v>
      </x:c>
      <x:c r="I593" s="13" t="n">
        <x:v>0</x:v>
      </x:c>
      <x:c r="J593" s="2" t="n">
        <x:v>1</x:v>
      </x:c>
      <x:c r="K593" s="2" t="n">
        <x:v>1</x:v>
      </x:c>
      <x:c r="L593" s="12" t="n">
        <x:v>947.536</x:v>
      </x:c>
      <x:c r="M593" s="13" t="n">
        <x:v>1</x:v>
      </x:c>
      <x:c r="N593" s="13" t="n">
        <x:f>H593/G593</x:f>
        <x:v>0</x:v>
      </x:c>
      <x:c r="O593" s="13" t="n">
        <x:f>F593/E593</x:f>
        <x:v>0</x:v>
      </x:c>
      <x:c r="P593" s="2" t="str">
        <x:f>IF(AND(E593&gt;='Итоги'!$F$5,N593&lt;='Итоги'!$B$5,O593&gt;='Итоги'!$D$5),"Да","Нет")</x:f>
        <x:v>Нет</x:v>
      </x:c>
    </x:row>
    <x:row r="594" ht="60" customHeight="1">
      <x:c r="A594" s="14" t="str">
        <x:v>Книги</x:v>
      </x:c>
      <x:c r="B594" s="14" t="str">
        <x:v>Печатные книги: Художественная литература</x:v>
      </x:c>
      <x:c r="C594" s="14" t="str">
        <x:v>Книги: Поэзия</x:v>
      </x:c>
      <x:c r="D594" s="14" t="str">
        <x:v>Печатная книга: Поэзия</x:v>
      </x:c>
      <x:c r="E594" s="2" t="n">
        <x:v>1</x:v>
      </x:c>
      <x:c r="F594" s="2" t="n">
        <x:v>0</x:v>
      </x:c>
      <x:c r="G594" s="12" t="n">
        <x:v>72480</x:v>
      </x:c>
      <x:c r="H594" s="12" t="n">
        <x:v>0</x:v>
      </x:c>
      <x:c r="I594" s="13" t="n">
        <x:v>0</x:v>
      </x:c>
      <x:c r="J594" s="2" t="n">
        <x:v>1</x:v>
      </x:c>
      <x:c r="K594" s="2" t="n">
        <x:v>1</x:v>
      </x:c>
      <x:c r="L594" s="12" t="n">
        <x:v>2684.4444</x:v>
      </x:c>
      <x:c r="M594" s="13" t="n">
        <x:v>1</x:v>
      </x:c>
      <x:c r="N594" s="13" t="n">
        <x:f>H594/G594</x:f>
        <x:v>0</x:v>
      </x:c>
      <x:c r="O594" s="13" t="n">
        <x:f>F594/E594</x:f>
        <x:v>0</x:v>
      </x:c>
      <x:c r="P594" s="2" t="str">
        <x:f>IF(AND(E594&gt;='Итоги'!$F$5,N594&lt;='Итоги'!$B$5,O594&gt;='Итоги'!$D$5),"Да","Нет")</x:f>
        <x:v>Нет</x:v>
      </x:c>
    </x:row>
    <x:row r="595" ht="60" customHeight="1">
      <x:c r="A595" s="14" t="str">
        <x:v>Крупная бытовая техника</x:v>
      </x:c>
      <x:c r="B595" s="14" t="str">
        <x:v>MDA Встраиваемая техника</x:v>
      </x:c>
      <x:c r="C595" s="14" t="str">
        <x:v>MDA Встраиваемая техника прочее</x:v>
      </x:c>
      <x:c r="D595" s="14" t="str">
        <x:v>Встраиваемый подогреватель для посуды</x:v>
      </x:c>
      <x:c r="E595" s="2" t="n">
        <x:v>1</x:v>
      </x:c>
      <x:c r="F595" s="2" t="n">
        <x:v>0</x:v>
      </x:c>
      <x:c r="G595" s="12" t="n">
        <x:v>82723</x:v>
      </x:c>
      <x:c r="H595" s="12" t="n">
        <x:v>0</x:v>
      </x:c>
      <x:c r="I595" s="13" t="n">
        <x:v>0</x:v>
      </x:c>
      <x:c r="J595" s="2" t="n">
        <x:v>1</x:v>
      </x:c>
      <x:c r="K595" s="2" t="n">
        <x:v>1</x:v>
      </x:c>
      <x:c r="L595" s="12" t="n">
        <x:v>1356.1148</x:v>
      </x:c>
      <x:c r="M595" s="13" t="n">
        <x:v>1</x:v>
      </x:c>
      <x:c r="N595" s="13" t="n">
        <x:f>H595/G595</x:f>
        <x:v>0</x:v>
      </x:c>
      <x:c r="O595" s="13" t="n">
        <x:f>F595/E595</x:f>
        <x:v>0</x:v>
      </x:c>
      <x:c r="P595" s="2" t="str">
        <x:f>IF(AND(E595&gt;='Итоги'!$F$5,N595&lt;='Итоги'!$B$5,O595&gt;='Итоги'!$D$5),"Да","Нет")</x:f>
        <x:v>Нет</x:v>
      </x:c>
    </x:row>
    <x:row r="596" ht="60" customHeight="1">
      <x:c r="A596" s="14" t="str">
        <x:v>Крупная бытовая техника</x:v>
      </x:c>
      <x:c r="B596" s="14" t="str">
        <x:v>MDA Встраиваемая техника</x:v>
      </x:c>
      <x:c r="C596" s="14" t="str">
        <x:v>MDA Встраиваемая техника прочее</x:v>
      </x:c>
      <x:c r="D596" s="14" t="str">
        <x:v>Встраиваемый ящик для упаковки в вакуум</x:v>
      </x:c>
      <x:c r="E596" s="2" t="n">
        <x:v>1</x:v>
      </x:c>
      <x:c r="F596" s="2" t="n">
        <x:v>0</x:v>
      </x:c>
      <x:c r="G596" s="12" t="n">
        <x:v>166904</x:v>
      </x:c>
      <x:c r="H596" s="12" t="n">
        <x:v>0</x:v>
      </x:c>
      <x:c r="I596" s="13" t="n">
        <x:v>0</x:v>
      </x:c>
      <x:c r="J596" s="2" t="n">
        <x:v>1</x:v>
      </x:c>
      <x:c r="K596" s="2" t="n">
        <x:v>1</x:v>
      </x:c>
      <x:c r="L596" s="12" t="n">
        <x:v>166904</x:v>
      </x:c>
      <x:c r="M596" s="13" t="n">
        <x:v>1</x:v>
      </x:c>
      <x:c r="N596" s="13" t="n">
        <x:f>H596/G596</x:f>
        <x:v>0</x:v>
      </x:c>
      <x:c r="O596" s="13" t="n">
        <x:f>F596/E596</x:f>
        <x:v>0</x:v>
      </x:c>
      <x:c r="P596" s="2" t="str">
        <x:f>IF(AND(E596&gt;='Итоги'!$F$5,N596&lt;='Итоги'!$B$5,O596&gt;='Итоги'!$D$5),"Да","Нет")</x:f>
        <x:v>Нет</x:v>
      </x:c>
    </x:row>
    <x:row r="597" ht="60" customHeight="1">
      <x:c r="A597" s="14" t="str">
        <x:v>Крупная бытовая техника</x:v>
      </x:c>
      <x:c r="B597" s="14" t="str">
        <x:v>MDA Встраиваемая техника</x:v>
      </x:c>
      <x:c r="C597" s="14" t="str">
        <x:v>MDA Встраиваемая техника прочее</x:v>
      </x:c>
      <x:c r="D597" s="14" t="str">
        <x:v>Зависимый комплект встраиваемой техники</x:v>
      </x:c>
      <x:c r="E597" s="2" t="n">
        <x:v>1</x:v>
      </x:c>
      <x:c r="F597" s="2" t="n">
        <x:v>0</x:v>
      </x:c>
      <x:c r="G597" s="12" t="n">
        <x:v>94798</x:v>
      </x:c>
      <x:c r="H597" s="12" t="n">
        <x:v>0</x:v>
      </x:c>
      <x:c r="I597" s="13" t="n">
        <x:v>0</x:v>
      </x:c>
      <x:c r="J597" s="2" t="n">
        <x:v>1</x:v>
      </x:c>
      <x:c r="K597" s="2" t="n">
        <x:v>1</x:v>
      </x:c>
      <x:c r="L597" s="12" t="n">
        <x:v>31599.3333</x:v>
      </x:c>
      <x:c r="M597" s="13" t="n">
        <x:v>1</x:v>
      </x:c>
      <x:c r="N597" s="13" t="n">
        <x:f>H597/G597</x:f>
        <x:v>0</x:v>
      </x:c>
      <x:c r="O597" s="13" t="n">
        <x:f>F597/E597</x:f>
        <x:v>0</x:v>
      </x:c>
      <x:c r="P597" s="2" t="str">
        <x:f>IF(AND(E597&gt;='Итоги'!$F$5,N597&lt;='Итоги'!$B$5,O597&gt;='Итоги'!$D$5),"Да","Нет")</x:f>
        <x:v>Нет</x:v>
      </x:c>
    </x:row>
    <x:row r="598" ht="60" customHeight="1">
      <x:c r="A598" s="14" t="str">
        <x:v>Крупная бытовая техника</x:v>
      </x:c>
      <x:c r="B598" s="14" t="str">
        <x:v>Оборудование для предприятий общественного питания MDA</x:v>
      </x:c>
      <x:c r="C598" s="14" t="str">
        <x:v>Оборудование для бара MDA</x:v>
      </x:c>
      <x:c r="D598" s="14" t="str">
        <x:v>Фризер для мороженого</x:v>
      </x:c>
      <x:c r="E598" s="2" t="n">
        <x:v>1</x:v>
      </x:c>
      <x:c r="F598" s="2" t="n">
        <x:v>0</x:v>
      </x:c>
      <x:c r="G598" s="12" t="n">
        <x:v>248965</x:v>
      </x:c>
      <x:c r="H598" s="12" t="n">
        <x:v>0</x:v>
      </x:c>
      <x:c r="I598" s="13" t="n">
        <x:v>0</x:v>
      </x:c>
      <x:c r="J598" s="2" t="n">
        <x:v>1</x:v>
      </x:c>
      <x:c r="K598" s="2" t="n">
        <x:v>1</x:v>
      </x:c>
      <x:c r="L598" s="12" t="n">
        <x:v>31120.625</x:v>
      </x:c>
      <x:c r="M598" s="13" t="n">
        <x:v>1</x:v>
      </x:c>
      <x:c r="N598" s="13" t="n">
        <x:f>H598/G598</x:f>
        <x:v>0</x:v>
      </x:c>
      <x:c r="O598" s="13" t="n">
        <x:f>F598/E598</x:f>
        <x:v>0</x:v>
      </x:c>
      <x:c r="P598" s="2" t="str">
        <x:f>IF(AND(E598&gt;='Итоги'!$F$5,N598&lt;='Итоги'!$B$5,O598&gt;='Итоги'!$D$5),"Да","Нет")</x:f>
        <x:v>Нет</x:v>
      </x:c>
    </x:row>
    <x:row r="599" ht="60" customHeight="1">
      <x:c r="A599" s="14" t="str">
        <x:v>Личная гигиена и детская продукция</x:v>
      </x:c>
      <x:c r="B599" s="14" t="str">
        <x:v>Детская продукция</x:v>
      </x:c>
      <x:c r="C599" s="14" t="str">
        <x:v>Накладки, вкладыши, прокладки для беременных и кормящих</x:v>
      </x:c>
      <x:c r="D599" s="14" t="str">
        <x:v>Накладки, вкладыши, прокладки для беременных и кормящих</x:v>
      </x:c>
      <x:c r="E599" s="2" t="n">
        <x:v>1</x:v>
      </x:c>
      <x:c r="F599" s="2" t="n">
        <x:v>0</x:v>
      </x:c>
      <x:c r="G599" s="12" t="n">
        <x:v>123643</x:v>
      </x:c>
      <x:c r="H599" s="12" t="n">
        <x:v>0</x:v>
      </x:c>
      <x:c r="I599" s="13" t="n">
        <x:v>0</x:v>
      </x:c>
      <x:c r="J599" s="2" t="n">
        <x:v>1</x:v>
      </x:c>
      <x:c r="K599" s="2" t="n">
        <x:v>1</x:v>
      </x:c>
      <x:c r="L599" s="12" t="n">
        <x:v>1166.4434</x:v>
      </x:c>
      <x:c r="M599" s="13" t="n">
        <x:v>1</x:v>
      </x:c>
      <x:c r="N599" s="13" t="n">
        <x:f>H599/G599</x:f>
        <x:v>0</x:v>
      </x:c>
      <x:c r="O599" s="13" t="n">
        <x:f>F599/E599</x:f>
        <x:v>0</x:v>
      </x:c>
      <x:c r="P599" s="2" t="str">
        <x:f>IF(AND(E599&gt;='Итоги'!$F$5,N599&lt;='Итоги'!$B$5,O599&gt;='Итоги'!$D$5),"Да","Нет")</x:f>
        <x:v>Нет</x:v>
      </x:c>
    </x:row>
    <x:row r="600" ht="60" customHeight="1">
      <x:c r="A600" s="14" t="str">
        <x:v>Мебель</x:v>
      </x:c>
      <x:c r="B600" s="14" t="str">
        <x:v>Корпусная мебель и мебель для хранения</x:v>
      </x:c>
      <x:c r="C600" s="14" t="str">
        <x:v>Комплект мебели для гостинной</x:v>
      </x:c>
      <x:c r="D600" s="14" t="str">
        <x:v>Комплект мебели для гостиной</x:v>
      </x:c>
      <x:c r="E600" s="2" t="n">
        <x:v>1</x:v>
      </x:c>
      <x:c r="F600" s="2" t="n">
        <x:v>0</x:v>
      </x:c>
      <x:c r="G600" s="12" t="n">
        <x:v>84033</x:v>
      </x:c>
      <x:c r="H600" s="12" t="n">
        <x:v>0</x:v>
      </x:c>
      <x:c r="I600" s="13" t="n">
        <x:v>0</x:v>
      </x:c>
      <x:c r="J600" s="2" t="n">
        <x:v>1</x:v>
      </x:c>
      <x:c r="K600" s="2" t="n">
        <x:v>1</x:v>
      </x:c>
      <x:c r="L600" s="12" t="n">
        <x:v>7002.75</x:v>
      </x:c>
      <x:c r="M600" s="13" t="n">
        <x:v>1</x:v>
      </x:c>
      <x:c r="N600" s="13" t="n">
        <x:f>H600/G600</x:f>
        <x:v>0</x:v>
      </x:c>
      <x:c r="O600" s="13" t="n">
        <x:f>F600/E600</x:f>
        <x:v>0</x:v>
      </x:c>
      <x:c r="P600" s="2" t="str">
        <x:f>IF(AND(E600&gt;='Итоги'!$F$5,N600&lt;='Итоги'!$B$5,O600&gt;='Итоги'!$D$5),"Да","Нет")</x:f>
        <x:v>Нет</x:v>
      </x:c>
    </x:row>
    <x:row r="601" ht="60" customHeight="1">
      <x:c r="A601" s="14" t="str">
        <x:v>Мебель</x:v>
      </x:c>
      <x:c r="B601" s="14" t="str">
        <x:v>Корпусная мебель и мебель для хранения</x:v>
      </x:c>
      <x:c r="C601" s="14" t="str">
        <x:v>Мебельный корпус, фасады</x:v>
      </x:c>
      <x:c r="D601" s="14" t="str">
        <x:v>Мебельный фасад (кроме кухонного)</x:v>
      </x:c>
      <x:c r="E601" s="2" t="n">
        <x:v>1</x:v>
      </x:c>
      <x:c r="F601" s="2" t="n">
        <x:v>0</x:v>
      </x:c>
      <x:c r="G601" s="12" t="n">
        <x:v>218684.3034</x:v>
      </x:c>
      <x:c r="H601" s="12" t="n">
        <x:v>0</x:v>
      </x:c>
      <x:c r="I601" s="13" t="n">
        <x:v>0</x:v>
      </x:c>
      <x:c r="J601" s="2" t="n">
        <x:v>1</x:v>
      </x:c>
      <x:c r="K601" s="2" t="n">
        <x:v>1</x:v>
      </x:c>
      <x:c r="L601" s="12" t="n">
        <x:v>3471.1794</x:v>
      </x:c>
      <x:c r="M601" s="13" t="n">
        <x:v>1</x:v>
      </x:c>
      <x:c r="N601" s="13" t="n">
        <x:f>H601/G601</x:f>
        <x:v>0</x:v>
      </x:c>
      <x:c r="O601" s="13" t="n">
        <x:f>F601/E601</x:f>
        <x:v>0</x:v>
      </x:c>
      <x:c r="P601" s="2" t="str">
        <x:f>IF(AND(E601&gt;='Итоги'!$F$5,N601&lt;='Итоги'!$B$5,O601&gt;='Итоги'!$D$5),"Да","Нет")</x:f>
        <x:v>Нет</x:v>
      </x:c>
    </x:row>
    <x:row r="602" ht="60" customHeight="1">
      <x:c r="A602" s="14" t="str">
        <x:v>Мебель</x:v>
      </x:c>
      <x:c r="B602" s="14" t="str">
        <x:v>Столы и стулья</x:v>
      </x:c>
      <x:c r="C602" s="14" t="str">
        <x:v>Обеденный стол</x:v>
      </x:c>
      <x:c r="D602" s="14" t="str">
        <x:v>Стол, обеденный стол под заказ</x:v>
      </x:c>
      <x:c r="E602" s="2" t="n">
        <x:v>1</x:v>
      </x:c>
      <x:c r="F602" s="2" t="n">
        <x:v>0</x:v>
      </x:c>
      <x:c r="G602" s="12" t="n">
        <x:v>291259.25</x:v>
      </x:c>
      <x:c r="H602" s="12" t="n">
        <x:v>0</x:v>
      </x:c>
      <x:c r="I602" s="13" t="n">
        <x:v>0</x:v>
      </x:c>
      <x:c r="J602" s="2" t="n">
        <x:v>1</x:v>
      </x:c>
      <x:c r="K602" s="2" t="n">
        <x:v>1</x:v>
      </x:c>
      <x:c r="L602" s="12" t="n">
        <x:v>7664.7171</x:v>
      </x:c>
      <x:c r="M602" s="13" t="n">
        <x:v>1</x:v>
      </x:c>
      <x:c r="N602" s="13" t="n">
        <x:f>H602/G602</x:f>
        <x:v>0</x:v>
      </x:c>
      <x:c r="O602" s="13" t="n">
        <x:f>F602/E602</x:f>
        <x:v>0</x:v>
      </x:c>
      <x:c r="P602" s="2" t="str">
        <x:f>IF(AND(E602&gt;='Итоги'!$F$5,N602&lt;='Итоги'!$B$5,O602&gt;='Итоги'!$D$5),"Да","Нет")</x:f>
        <x:v>Нет</x:v>
      </x:c>
    </x:row>
    <x:row r="603" ht="60" customHeight="1">
      <x:c r="A603" s="14" t="str">
        <x:v>Мелкая бытовая техника</x:v>
      </x:c>
      <x:c r="B603" s="14" t="str">
        <x:v>Мелкая бытовая техника SDA</x:v>
      </x:c>
      <x:c r="C603" s="14" t="str">
        <x:v>Электронная техника для дома SDA</x:v>
      </x:c>
      <x:c r="D603" s="14" t="str">
        <x:v>Термометр электронный для дома</x:v>
      </x:c>
      <x:c r="E603" s="2" t="n">
        <x:v>1</x:v>
      </x:c>
      <x:c r="F603" s="2" t="n">
        <x:v>0</x:v>
      </x:c>
      <x:c r="G603" s="12" t="n">
        <x:v>351052.2331</x:v>
      </x:c>
      <x:c r="H603" s="12" t="n">
        <x:v>0</x:v>
      </x:c>
      <x:c r="I603" s="13" t="n">
        <x:v>0</x:v>
      </x:c>
      <x:c r="J603" s="2" t="n">
        <x:v>1</x:v>
      </x:c>
      <x:c r="K603" s="2" t="n">
        <x:v>1</x:v>
      </x:c>
      <x:c r="L603" s="12" t="n">
        <x:v>1704.1371</x:v>
      </x:c>
      <x:c r="M603" s="13" t="n">
        <x:v>1</x:v>
      </x:c>
      <x:c r="N603" s="13" t="n">
        <x:f>H603/G603</x:f>
        <x:v>0</x:v>
      </x:c>
      <x:c r="O603" s="13" t="n">
        <x:f>F603/E603</x:f>
        <x:v>0</x:v>
      </x:c>
      <x:c r="P603" s="2" t="str">
        <x:f>IF(AND(E603&gt;='Итоги'!$F$5,N603&lt;='Итоги'!$B$5,O603&gt;='Итоги'!$D$5),"Да","Нет")</x:f>
        <x:v>Нет</x:v>
      </x:c>
    </x:row>
    <x:row r="604" ht="60" customHeight="1">
      <x:c r="A604" s="14" t="str">
        <x:v>Напитки</x:v>
      </x:c>
      <x:c r="B604" s="14" t="str">
        <x:v>Напитки холодные</x:v>
      </x:c>
      <x:c r="C604" s="14" t="str">
        <x:v>Кисель, компот, сок</x:v>
      </x:c>
      <x:c r="D604" s="14" t="str">
        <x:v>Нектар</x:v>
      </x:c>
      <x:c r="E604" s="2" t="n">
        <x:v>1</x:v>
      </x:c>
      <x:c r="F604" s="2" t="n">
        <x:v>0</x:v>
      </x:c>
      <x:c r="G604" s="12" t="n">
        <x:v>136653.1265</x:v>
      </x:c>
      <x:c r="H604" s="12" t="n">
        <x:v>0</x:v>
      </x:c>
      <x:c r="I604" s="13" t="n">
        <x:v>0</x:v>
      </x:c>
      <x:c r="J604" s="2" t="n">
        <x:v>1</x:v>
      </x:c>
      <x:c r="K604" s="2" t="n">
        <x:v>1</x:v>
      </x:c>
      <x:c r="L604" s="12" t="n">
        <x:v>1687.0756</x:v>
      </x:c>
      <x:c r="M604" s="13" t="n">
        <x:v>1</x:v>
      </x:c>
      <x:c r="N604" s="13" t="n">
        <x:f>H604/G604</x:f>
        <x:v>0</x:v>
      </x:c>
      <x:c r="O604" s="13" t="n">
        <x:f>F604/E604</x:f>
        <x:v>0</x:v>
      </x:c>
      <x:c r="P604" s="2" t="str">
        <x:f>IF(AND(E604&gt;='Итоги'!$F$5,N604&lt;='Итоги'!$B$5,O604&gt;='Итоги'!$D$5),"Да","Нет")</x:f>
        <x:v>Нет</x:v>
      </x:c>
    </x:row>
    <x:row r="605" ht="60" customHeight="1">
      <x:c r="A605" s="14" t="str">
        <x:v>Ноутбуки и компьютеры</x:v>
      </x:c>
      <x:c r="B605" s="14" t="str">
        <x:v>Digital</x:v>
      </x:c>
      <x:c r="C605" s="14" t="str">
        <x:v>Цифровой контент - Цифровые игры, игровые подписки, DLC, игровая валюта</x:v>
      </x:c>
      <x:c r="D605" s="14" t="str">
        <x:v>Цифровой контент - Игра для Xbox</x:v>
      </x:c>
      <x:c r="E605" s="2" t="n">
        <x:v>1</x:v>
      </x:c>
      <x:c r="F605" s="2" t="n">
        <x:v>0</x:v>
      </x:c>
      <x:c r="G605" s="12" t="n">
        <x:v>736179</x:v>
      </x:c>
      <x:c r="H605" s="12" t="n">
        <x:v>0</x:v>
      </x:c>
      <x:c r="I605" s="13" t="n">
        <x:v>0</x:v>
      </x:c>
      <x:c r="J605" s="2" t="n">
        <x:v>1</x:v>
      </x:c>
      <x:c r="K605" s="2" t="n">
        <x:v>1</x:v>
      </x:c>
      <x:c r="L605" s="12" t="n">
        <x:v>1402.2457</x:v>
      </x:c>
      <x:c r="M605" s="13" t="n">
        <x:v>1</x:v>
      </x:c>
      <x:c r="N605" s="13" t="n">
        <x:f>H605/G605</x:f>
        <x:v>0</x:v>
      </x:c>
      <x:c r="O605" s="13" t="n">
        <x:f>F605/E605</x:f>
        <x:v>0</x:v>
      </x:c>
      <x:c r="P605" s="2" t="str">
        <x:f>IF(AND(E605&gt;='Итоги'!$F$5,N605&lt;='Итоги'!$B$5,O605&gt;='Итоги'!$D$5),"Да","Нет")</x:f>
        <x:v>Нет</x:v>
      </x:c>
    </x:row>
    <x:row r="606" ht="60" customHeight="1">
      <x:c r="A606" s="14" t="str">
        <x:v>Ноутбуки и компьютеры</x:v>
      </x:c>
      <x:c r="B606" s="14" t="str">
        <x:v>Игровые приставки и аксессуары Lap&amp;Comp</x:v>
      </x:c>
      <x:c r="C606" s="14" t="str">
        <x:v>Карта памяти для игровой приставки Lap&amp;Comp</x:v>
      </x:c>
      <x:c r="D606" s="14" t="str">
        <x:v>Карта памяти для игровой приставки</x:v>
      </x:c>
      <x:c r="E606" s="2" t="n">
        <x:v>1</x:v>
      </x:c>
      <x:c r="F606" s="2" t="n">
        <x:v>0</x:v>
      </x:c>
      <x:c r="G606" s="12" t="n">
        <x:v>18660</x:v>
      </x:c>
      <x:c r="H606" s="12" t="n">
        <x:v>0</x:v>
      </x:c>
      <x:c r="I606" s="13" t="n">
        <x:v>0</x:v>
      </x:c>
      <x:c r="J606" s="2" t="n">
        <x:v>1</x:v>
      </x:c>
      <x:c r="K606" s="2" t="n">
        <x:v>1</x:v>
      </x:c>
      <x:c r="L606" s="12" t="n">
        <x:v>2073.3333</x:v>
      </x:c>
      <x:c r="M606" s="13" t="n">
        <x:v>1</x:v>
      </x:c>
      <x:c r="N606" s="13" t="n">
        <x:f>H606/G606</x:f>
        <x:v>0</x:v>
      </x:c>
      <x:c r="O606" s="13" t="n">
        <x:f>F606/E606</x:f>
        <x:v>0</x:v>
      </x:c>
      <x:c r="P606" s="2" t="str">
        <x:f>IF(AND(E606&gt;='Итоги'!$F$5,N606&lt;='Итоги'!$B$5,O606&gt;='Итоги'!$D$5),"Да","Нет")</x:f>
        <x:v>Нет</x:v>
      </x:c>
    </x:row>
    <x:row r="607" ht="60" customHeight="1">
      <x:c r="A607" s="14" t="str">
        <x:v>Ноутбуки и компьютеры</x:v>
      </x:c>
      <x:c r="B607" s="14" t="str">
        <x:v>Компьютерная офисная техника Lap&amp;Comp</x:v>
      </x:c>
      <x:c r="C607" s="14" t="str">
        <x:v>Компьютерная офисная техника Lap&amp;Comp</x:v>
      </x:c>
      <x:c r="D607" s="14" t="str">
        <x:v>Полиграфическое оборудование</x:v>
      </x:c>
      <x:c r="E607" s="2" t="n">
        <x:v>1</x:v>
      </x:c>
      <x:c r="F607" s="2" t="n">
        <x:v>0</x:v>
      </x:c>
      <x:c r="G607" s="12" t="n">
        <x:v>228495</x:v>
      </x:c>
      <x:c r="H607" s="12" t="n">
        <x:v>0</x:v>
      </x:c>
      <x:c r="I607" s="13" t="n">
        <x:v>0</x:v>
      </x:c>
      <x:c r="J607" s="2" t="n">
        <x:v>1</x:v>
      </x:c>
      <x:c r="K607" s="2" t="n">
        <x:v>1</x:v>
      </x:c>
      <x:c r="L607" s="12" t="n">
        <x:v>15233</x:v>
      </x:c>
      <x:c r="M607" s="13" t="n">
        <x:v>1</x:v>
      </x:c>
      <x:c r="N607" s="13" t="n">
        <x:f>H607/G607</x:f>
        <x:v>0</x:v>
      </x:c>
      <x:c r="O607" s="13" t="n">
        <x:f>F607/E607</x:f>
        <x:v>0</x:v>
      </x:c>
      <x:c r="P607" s="2" t="str">
        <x:f>IF(AND(E607&gt;='Итоги'!$F$5,N607&lt;='Итоги'!$B$5,O607&gt;='Итоги'!$D$5),"Да","Нет")</x:f>
        <x:v>Нет</x:v>
      </x:c>
    </x:row>
    <x:row r="608" ht="60" customHeight="1">
      <x:c r="A608" s="14" t="str">
        <x:v>Ноутбуки и компьютеры</x:v>
      </x:c>
      <x:c r="B608" s="14" t="str">
        <x:v>Компьютерная периферия Lap&amp;Comp</x:v>
      </x:c>
      <x:c r="C608" s="14" t="str">
        <x:v>Периферийное оборудование Lap&amp;Comp</x:v>
      </x:c>
      <x:c r="D608" s="14" t="str">
        <x:v>Оборудование для наглядного изучения электроники</x:v>
      </x:c>
      <x:c r="E608" s="2" t="n">
        <x:v>1</x:v>
      </x:c>
      <x:c r="F608" s="2" t="n">
        <x:v>0</x:v>
      </x:c>
      <x:c r="G608" s="12" t="n">
        <x:v>87132</x:v>
      </x:c>
      <x:c r="H608" s="12" t="n">
        <x:v>0</x:v>
      </x:c>
      <x:c r="I608" s="13" t="n">
        <x:v>0</x:v>
      </x:c>
      <x:c r="J608" s="2" t="n">
        <x:v>1</x:v>
      </x:c>
      <x:c r="K608" s="2" t="n">
        <x:v>1</x:v>
      </x:c>
      <x:c r="L608" s="12" t="n">
        <x:v>2234.1538</x:v>
      </x:c>
      <x:c r="M608" s="13" t="n">
        <x:v>1</x:v>
      </x:c>
      <x:c r="N608" s="13" t="n">
        <x:f>H608/G608</x:f>
        <x:v>0</x:v>
      </x:c>
      <x:c r="O608" s="13" t="n">
        <x:f>F608/E608</x:f>
        <x:v>0</x:v>
      </x:c>
      <x:c r="P608" s="2" t="str">
        <x:f>IF(AND(E608&gt;='Итоги'!$F$5,N608&lt;='Итоги'!$B$5,O608&gt;='Итоги'!$D$5),"Да","Нет")</x:f>
        <x:v>Нет</x:v>
      </x:c>
    </x:row>
    <x:row r="609" ht="60" customHeight="1">
      <x:c r="A609" s="14" t="str">
        <x:v>Ноутбуки и компьютеры</x:v>
      </x:c>
      <x:c r="B609" s="14" t="str">
        <x:v>Компьютерные комплектующие Lap&amp;Comp</x:v>
      </x:c>
      <x:c r="C609" s="14" t="str">
        <x:v>Компьютерные комплектующие Lap&amp;Comp</x:v>
      </x:c>
      <x:c r="D609" s="14" t="str">
        <x:v>Сетевой шлюз</x:v>
      </x:c>
      <x:c r="E609" s="2" t="n">
        <x:v>1</x:v>
      </x:c>
      <x:c r="F609" s="2" t="n">
        <x:v>0</x:v>
      </x:c>
      <x:c r="G609" s="12" t="n">
        <x:v>212913</x:v>
      </x:c>
      <x:c r="H609" s="12" t="n">
        <x:v>0</x:v>
      </x:c>
      <x:c r="I609" s="13" t="n">
        <x:v>0</x:v>
      </x:c>
      <x:c r="J609" s="2" t="n">
        <x:v>1</x:v>
      </x:c>
      <x:c r="K609" s="2" t="n">
        <x:v>1</x:v>
      </x:c>
      <x:c r="L609" s="12" t="n">
        <x:v>2765.1039</x:v>
      </x:c>
      <x:c r="M609" s="13" t="n">
        <x:v>1</x:v>
      </x:c>
      <x:c r="N609" s="13" t="n">
        <x:f>H609/G609</x:f>
        <x:v>0</x:v>
      </x:c>
      <x:c r="O609" s="13" t="n">
        <x:f>F609/E609</x:f>
        <x:v>0</x:v>
      </x:c>
      <x:c r="P609" s="2" t="str">
        <x:f>IF(AND(E609&gt;='Итоги'!$F$5,N609&lt;='Итоги'!$B$5,O609&gt;='Итоги'!$D$5),"Да","Нет")</x:f>
        <x:v>Нет</x:v>
      </x:c>
    </x:row>
    <x:row r="610" ht="60" customHeight="1">
      <x:c r="A610" s="14" t="str">
        <x:v>Ноутбуки и компьютеры</x:v>
      </x:c>
      <x:c r="B610" s="14" t="str">
        <x:v>Компьютерные комплектующие Lap&amp;Comp</x:v>
      </x:c>
      <x:c r="C610" s="14" t="str">
        <x:v>Компьютерные комплектующие Lap&amp;Comp</x:v>
      </x:c>
      <x:c r="D610" s="14" t="str">
        <x:v>Устройство видеомонтажа</x:v>
      </x:c>
      <x:c r="E610" s="2" t="n">
        <x:v>1</x:v>
      </x:c>
      <x:c r="F610" s="2" t="n">
        <x:v>0</x:v>
      </x:c>
      <x:c r="G610" s="12" t="n">
        <x:v>102005</x:v>
      </x:c>
      <x:c r="H610" s="12" t="n">
        <x:v>0</x:v>
      </x:c>
      <x:c r="I610" s="13" t="n">
        <x:v>0</x:v>
      </x:c>
      <x:c r="J610" s="2" t="n">
        <x:v>1</x:v>
      </x:c>
      <x:c r="K610" s="2" t="n">
        <x:v>1</x:v>
      </x:c>
      <x:c r="L610" s="12" t="n">
        <x:v>51002.5</x:v>
      </x:c>
      <x:c r="M610" s="13" t="n">
        <x:v>1</x:v>
      </x:c>
      <x:c r="N610" s="13" t="n">
        <x:f>H610/G610</x:f>
        <x:v>0</x:v>
      </x:c>
      <x:c r="O610" s="13" t="n">
        <x:f>F610/E610</x:f>
        <x:v>0</x:v>
      </x:c>
      <x:c r="P610" s="2" t="str">
        <x:f>IF(AND(E610&gt;='Итоги'!$F$5,N610&lt;='Итоги'!$B$5,O610&gt;='Итоги'!$D$5),"Да","Нет")</x:f>
        <x:v>Нет</x:v>
      </x:c>
    </x:row>
    <x:row r="611" ht="60" customHeight="1">
      <x:c r="A611" s="14" t="str">
        <x:v>Ноутбуки и компьютеры</x:v>
      </x:c>
      <x:c r="B611" s="14" t="str">
        <x:v>Ноутбуки и стационарные компьютеры Lap&amp;Comp</x:v>
      </x:c>
      <x:c r="C611" s="14" t="str">
        <x:v>Стационарные компьютеры Lap&amp;Comp</x:v>
      </x:c>
      <x:c r="D611" s="14" t="str">
        <x:v>Моноблок Apple</x:v>
      </x:c>
      <x:c r="E611" s="2" t="n">
        <x:v>1</x:v>
      </x:c>
      <x:c r="F611" s="2" t="n">
        <x:v>0</x:v>
      </x:c>
      <x:c r="G611" s="12" t="n">
        <x:v>139491</x:v>
      </x:c>
      <x:c r="H611" s="12" t="n">
        <x:v>0</x:v>
      </x:c>
      <x:c r="I611" s="13" t="n">
        <x:v>0</x:v>
      </x:c>
      <x:c r="J611" s="2" t="n">
        <x:v>1</x:v>
      </x:c>
      <x:c r="K611" s="2" t="n">
        <x:v>1</x:v>
      </x:c>
      <x:c r="L611" s="12" t="n">
        <x:v>139491</x:v>
      </x:c>
      <x:c r="M611" s="13" t="n">
        <x:v>1</x:v>
      </x:c>
      <x:c r="N611" s="13" t="n">
        <x:f>H611/G611</x:f>
        <x:v>0</x:v>
      </x:c>
      <x:c r="O611" s="13" t="n">
        <x:f>F611/E611</x:f>
        <x:v>0</x:v>
      </x:c>
      <x:c r="P611" s="2" t="str">
        <x:f>IF(AND(E611&gt;='Итоги'!$F$5,N611&lt;='Итоги'!$B$5,O611&gt;='Итоги'!$D$5),"Да","Нет")</x:f>
        <x:v>Нет</x:v>
      </x:c>
    </x:row>
    <x:row r="612" ht="60" customHeight="1">
      <x:c r="A612" s="14" t="str">
        <x:v>Ноутбуки и компьютеры</x:v>
      </x:c>
      <x:c r="B612" s="14" t="str">
        <x:v>Расходный материал для электроники Lap&amp;Comp</x:v>
      </x:c>
      <x:c r="C612" s="14" t="str">
        <x:v>Расходный материал для электроники Lap&amp;Comp</x:v>
      </x:c>
      <x:c r="D612" s="14" t="str">
        <x:v>Бумага для плоттера</x:v>
      </x:c>
      <x:c r="E612" s="2" t="n">
        <x:v>1</x:v>
      </x:c>
      <x:c r="F612" s="2" t="n">
        <x:v>0</x:v>
      </x:c>
      <x:c r="G612" s="12" t="n">
        <x:v>43443</x:v>
      </x:c>
      <x:c r="H612" s="12" t="n">
        <x:v>0</x:v>
      </x:c>
      <x:c r="I612" s="13" t="n">
        <x:v>0</x:v>
      </x:c>
      <x:c r="J612" s="2" t="n">
        <x:v>1</x:v>
      </x:c>
      <x:c r="K612" s="2" t="n">
        <x:v>1</x:v>
      </x:c>
      <x:c r="L612" s="12" t="n">
        <x:v>1974.6818</x:v>
      </x:c>
      <x:c r="M612" s="13" t="n">
        <x:v>1</x:v>
      </x:c>
      <x:c r="N612" s="13" t="n">
        <x:f>H612/G612</x:f>
        <x:v>0</x:v>
      </x:c>
      <x:c r="O612" s="13" t="n">
        <x:f>F612/E612</x:f>
        <x:v>0</x:v>
      </x:c>
      <x:c r="P612" s="2" t="str">
        <x:f>IF(AND(E612&gt;='Итоги'!$F$5,N612&lt;='Итоги'!$B$5,O612&gt;='Итоги'!$D$5),"Да","Нет")</x:f>
        <x:v>Нет</x:v>
      </x:c>
    </x:row>
    <x:row r="613" ht="60" customHeight="1">
      <x:c r="A613" s="14" t="str">
        <x:v>Обувь</x:v>
      </x:c>
      <x:c r="B613" s="14" t="str">
        <x:v>Обувь женская</x:v>
      </x:c>
      <x:c r="C613" s="14" t="str">
        <x:v>Обувь женская зимняя</x:v>
      </x:c>
      <x:c r="D613" s="14" t="str">
        <x:v>Женские Полуботинки зимние</x:v>
      </x:c>
      <x:c r="E613" s="2" t="n">
        <x:v>1</x:v>
      </x:c>
      <x:c r="F613" s="2" t="n">
        <x:v>0</x:v>
      </x:c>
      <x:c r="G613" s="12" t="n">
        <x:v>80583.47</x:v>
      </x:c>
      <x:c r="H613" s="12" t="n">
        <x:v>0</x:v>
      </x:c>
      <x:c r="I613" s="13" t="n">
        <x:v>0</x:v>
      </x:c>
      <x:c r="J613" s="2" t="n">
        <x:v>1</x:v>
      </x:c>
      <x:c r="K613" s="2" t="n">
        <x:v>1</x:v>
      </x:c>
      <x:c r="L613" s="12" t="n">
        <x:v>982.7252</x:v>
      </x:c>
      <x:c r="M613" s="13" t="n">
        <x:v>1</x:v>
      </x:c>
      <x:c r="N613" s="13" t="n">
        <x:f>H613/G613</x:f>
        <x:v>0</x:v>
      </x:c>
      <x:c r="O613" s="13" t="n">
        <x:f>F613/E613</x:f>
        <x:v>0</x:v>
      </x:c>
      <x:c r="P613" s="2" t="str">
        <x:f>IF(AND(E613&gt;='Итоги'!$F$5,N613&lt;='Итоги'!$B$5,O613&gt;='Итоги'!$D$5),"Да","Нет")</x:f>
        <x:v>Нет</x:v>
      </x:c>
    </x:row>
    <x:row r="614" ht="60" customHeight="1">
      <x:c r="A614" s="14" t="str">
        <x:v>Обувь</x:v>
      </x:c>
      <x:c r="B614" s="14" t="str">
        <x:v>Обувь женская</x:v>
      </x:c>
      <x:c r="C614" s="14" t="str">
        <x:v>Обувь женская повседневная</x:v>
      </x:c>
      <x:c r="D614" s="14" t="str">
        <x:v>Женские Топсайдеры</x:v>
      </x:c>
      <x:c r="E614" s="2" t="n">
        <x:v>1</x:v>
      </x:c>
      <x:c r="F614" s="2" t="n">
        <x:v>0</x:v>
      </x:c>
      <x:c r="G614" s="12" t="n">
        <x:v>3675.5921</x:v>
      </x:c>
      <x:c r="H614" s="12" t="n">
        <x:v>0</x:v>
      </x:c>
      <x:c r="I614" s="13" t="n">
        <x:v>0</x:v>
      </x:c>
      <x:c r="J614" s="2" t="n">
        <x:v>1</x:v>
      </x:c>
      <x:c r="K614" s="2" t="n">
        <x:v>1</x:v>
      </x:c>
      <x:c r="L614" s="12" t="n">
        <x:v>3675.5921</x:v>
      </x:c>
      <x:c r="M614" s="13" t="n">
        <x:v>1</x:v>
      </x:c>
      <x:c r="N614" s="13" t="n">
        <x:f>H614/G614</x:f>
        <x:v>0</x:v>
      </x:c>
      <x:c r="O614" s="13" t="n">
        <x:f>F614/E614</x:f>
        <x:v>0</x:v>
      </x:c>
      <x:c r="P614" s="2" t="str">
        <x:f>IF(AND(E614&gt;='Итоги'!$F$5,N614&lt;='Итоги'!$B$5,O614&gt;='Итоги'!$D$5),"Да","Нет")</x:f>
        <x:v>Нет</x:v>
      </x:c>
    </x:row>
    <x:row r="615" ht="60" customHeight="1">
      <x:c r="A615" s="14" t="str">
        <x:v>Обувь</x:v>
      </x:c>
      <x:c r="B615" s="14" t="str">
        <x:v>Обувь мужская</x:v>
      </x:c>
      <x:c r="C615" s="14" t="str">
        <x:v>Обувь мужская демисезон</x:v>
      </x:c>
      <x:c r="D615" s="14" t="str">
        <x:v>Мужские Сапоги демисезонные</x:v>
      </x:c>
      <x:c r="E615" s="2" t="n">
        <x:v>1</x:v>
      </x:c>
      <x:c r="F615" s="2" t="n">
        <x:v>0</x:v>
      </x:c>
      <x:c r="G615" s="12" t="n">
        <x:v>56541</x:v>
      </x:c>
      <x:c r="H615" s="12" t="n">
        <x:v>0</x:v>
      </x:c>
      <x:c r="I615" s="13" t="n">
        <x:v>0</x:v>
      </x:c>
      <x:c r="J615" s="2" t="n">
        <x:v>1</x:v>
      </x:c>
      <x:c r="K615" s="2" t="n">
        <x:v>1</x:v>
      </x:c>
      <x:c r="L615" s="12" t="n">
        <x:v>3533.8125</x:v>
      </x:c>
      <x:c r="M615" s="13" t="n">
        <x:v>1</x:v>
      </x:c>
      <x:c r="N615" s="13" t="n">
        <x:f>H615/G615</x:f>
        <x:v>0</x:v>
      </x:c>
      <x:c r="O615" s="13" t="n">
        <x:f>F615/E615</x:f>
        <x:v>0</x:v>
      </x:c>
      <x:c r="P615" s="2" t="str">
        <x:f>IF(AND(E615&gt;='Итоги'!$F$5,N615&lt;='Итоги'!$B$5,O615&gt;='Итоги'!$D$5),"Да","Нет")</x:f>
        <x:v>Нет</x:v>
      </x:c>
    </x:row>
    <x:row r="616" ht="60" customHeight="1">
      <x:c r="A616" s="14" t="str">
        <x:v>Обувь</x:v>
      </x:c>
      <x:c r="B616" s="14" t="str">
        <x:v>Обувь мужская</x:v>
      </x:c>
      <x:c r="C616" s="14" t="str">
        <x:v>Обувь мужская зимняя</x:v>
      </x:c>
      <x:c r="D616" s="14" t="str">
        <x:v>Мужские Полусапоги зимние</x:v>
      </x:c>
      <x:c r="E616" s="2" t="n">
        <x:v>1</x:v>
      </x:c>
      <x:c r="F616" s="2" t="n">
        <x:v>0</x:v>
      </x:c>
      <x:c r="G616" s="12" t="n">
        <x:v>81393.3952</x:v>
      </x:c>
      <x:c r="H616" s="12" t="n">
        <x:v>0</x:v>
      </x:c>
      <x:c r="I616" s="13" t="n">
        <x:v>0</x:v>
      </x:c>
      <x:c r="J616" s="2" t="n">
        <x:v>1</x:v>
      </x:c>
      <x:c r="K616" s="2" t="n">
        <x:v>1</x:v>
      </x:c>
      <x:c r="L616" s="12" t="n">
        <x:v>1043.5051</x:v>
      </x:c>
      <x:c r="M616" s="13" t="n">
        <x:v>1</x:v>
      </x:c>
      <x:c r="N616" s="13" t="n">
        <x:f>H616/G616</x:f>
        <x:v>0</x:v>
      </x:c>
      <x:c r="O616" s="13" t="n">
        <x:f>F616/E616</x:f>
        <x:v>0</x:v>
      </x:c>
      <x:c r="P616" s="2" t="str">
        <x:f>IF(AND(E616&gt;='Итоги'!$F$5,N616&lt;='Итоги'!$B$5,O616&gt;='Итоги'!$D$5),"Да","Нет")</x:f>
        <x:v>Нет</x:v>
      </x:c>
    </x:row>
    <x:row r="617" ht="60" customHeight="1">
      <x:c r="A617" s="14" t="str">
        <x:v>Обувь</x:v>
      </x:c>
      <x:c r="B617" s="14" t="str">
        <x:v>Обувь мужская</x:v>
      </x:c>
      <x:c r="C617" s="14" t="str">
        <x:v>Обувь мужская зимняя</x:v>
      </x:c>
      <x:c r="D617" s="14" t="str">
        <x:v>Мужские Сапоги зимние</x:v>
      </x:c>
      <x:c r="E617" s="2" t="n">
        <x:v>1</x:v>
      </x:c>
      <x:c r="F617" s="2" t="n">
        <x:v>0</x:v>
      </x:c>
      <x:c r="G617" s="12" t="n">
        <x:v>3808</x:v>
      </x:c>
      <x:c r="H617" s="12" t="n">
        <x:v>0</x:v>
      </x:c>
      <x:c r="I617" s="13" t="n">
        <x:v>0</x:v>
      </x:c>
      <x:c r="J617" s="2" t="n">
        <x:v>1</x:v>
      </x:c>
      <x:c r="K617" s="2" t="n">
        <x:v>1</x:v>
      </x:c>
      <x:c r="L617" s="12" t="n">
        <x:v>3808</x:v>
      </x:c>
      <x:c r="M617" s="13" t="n">
        <x:v>1</x:v>
      </x:c>
      <x:c r="N617" s="13" t="n">
        <x:f>H617/G617</x:f>
        <x:v>0</x:v>
      </x:c>
      <x:c r="O617" s="13" t="n">
        <x:f>F617/E617</x:f>
        <x:v>0</x:v>
      </x:c>
      <x:c r="P617" s="2" t="str">
        <x:f>IF(AND(E617&gt;='Итоги'!$F$5,N617&lt;='Итоги'!$B$5,O617&gt;='Итоги'!$D$5),"Да","Нет")</x:f>
        <x:v>Нет</x:v>
      </x:c>
    </x:row>
    <x:row r="618" ht="60" customHeight="1">
      <x:c r="A618" s="14" t="str">
        <x:v>Обувь</x:v>
      </x:c>
      <x:c r="B618" s="14" t="str">
        <x:v>Специальная обувь</x:v>
      </x:c>
      <x:c r="C618" s="14" t="str">
        <x:v>Спецобувь женская</x:v>
      </x:c>
      <x:c r="D618" s="14" t="str">
        <x:v>Рабочие берцы женские</x:v>
      </x:c>
      <x:c r="E618" s="2" t="n">
        <x:v>1</x:v>
      </x:c>
      <x:c r="F618" s="2" t="n">
        <x:v>0</x:v>
      </x:c>
      <x:c r="G618" s="12" t="n">
        <x:v>8932</x:v>
      </x:c>
      <x:c r="H618" s="12" t="n">
        <x:v>0</x:v>
      </x:c>
      <x:c r="I618" s="13" t="n">
        <x:v>0</x:v>
      </x:c>
      <x:c r="J618" s="2" t="n">
        <x:v>1</x:v>
      </x:c>
      <x:c r="K618" s="2" t="n">
        <x:v>1</x:v>
      </x:c>
      <x:c r="L618" s="12" t="n">
        <x:v>2977.3333</x:v>
      </x:c>
      <x:c r="M618" s="13" t="n">
        <x:v>1</x:v>
      </x:c>
      <x:c r="N618" s="13" t="n">
        <x:f>H618/G618</x:f>
        <x:v>0</x:v>
      </x:c>
      <x:c r="O618" s="13" t="n">
        <x:f>F618/E618</x:f>
        <x:v>0</x:v>
      </x:c>
      <x:c r="P618" s="2" t="str">
        <x:f>IF(AND(E618&gt;='Итоги'!$F$5,N618&lt;='Итоги'!$B$5,O618&gt;='Итоги'!$D$5),"Да","Нет")</x:f>
        <x:v>Нет</x:v>
      </x:c>
    </x:row>
    <x:row r="619" ht="60" customHeight="1">
      <x:c r="A619" s="14" t="str">
        <x:v>Обувь</x:v>
      </x:c>
      <x:c r="B619" s="14" t="str">
        <x:v>Специальная обувь</x:v>
      </x:c>
      <x:c r="C619" s="14" t="str">
        <x:v>Спецобувь мужская</x:v>
      </x:c>
      <x:c r="D619" s="14" t="str">
        <x:v>Рабочие кеды мужские</x:v>
      </x:c>
      <x:c r="E619" s="2" t="n">
        <x:v>1</x:v>
      </x:c>
      <x:c r="F619" s="2" t="n">
        <x:v>0</x:v>
      </x:c>
      <x:c r="G619" s="12" t="n">
        <x:v>104546.58</x:v>
      </x:c>
      <x:c r="H619" s="12" t="n">
        <x:v>0</x:v>
      </x:c>
      <x:c r="I619" s="13" t="n">
        <x:v>0</x:v>
      </x:c>
      <x:c r="J619" s="2" t="n">
        <x:v>1</x:v>
      </x:c>
      <x:c r="K619" s="2" t="n">
        <x:v>1</x:v>
      </x:c>
      <x:c r="L619" s="12" t="n">
        <x:v>1834.1505</x:v>
      </x:c>
      <x:c r="M619" s="13" t="n">
        <x:v>1</x:v>
      </x:c>
      <x:c r="N619" s="13" t="n">
        <x:f>H619/G619</x:f>
        <x:v>0</x:v>
      </x:c>
      <x:c r="O619" s="13" t="n">
        <x:f>F619/E619</x:f>
        <x:v>0</x:v>
      </x:c>
      <x:c r="P619" s="2" t="str">
        <x:f>IF(AND(E619&gt;='Итоги'!$F$5,N619&lt;='Итоги'!$B$5,O619&gt;='Итоги'!$D$5),"Да","Нет")</x:f>
        <x:v>Нет</x:v>
      </x:c>
    </x:row>
    <x:row r="620" ht="60" customHeight="1">
      <x:c r="A620" s="14" t="str">
        <x:v>Одежда</x:v>
      </x:c>
      <x:c r="B620" s="14" t="str">
        <x:v>Верхняя одежда</x:v>
      </x:c>
      <x:c r="C620" s="14" t="str">
        <x:v>Верхняя одежда женская</x:v>
      </x:c>
      <x:c r="D620" s="14" t="str">
        <x:v>Брюки утепленные женские</x:v>
      </x:c>
      <x:c r="E620" s="2" t="n">
        <x:v>1</x:v>
      </x:c>
      <x:c r="F620" s="2" t="n">
        <x:v>0</x:v>
      </x:c>
      <x:c r="G620" s="12" t="n">
        <x:v>3189</x:v>
      </x:c>
      <x:c r="H620" s="12" t="n">
        <x:v>0</x:v>
      </x:c>
      <x:c r="I620" s="13" t="n">
        <x:v>0</x:v>
      </x:c>
      <x:c r="J620" s="2" t="n">
        <x:v>1</x:v>
      </x:c>
      <x:c r="K620" s="2" t="n">
        <x:v>1</x:v>
      </x:c>
      <x:c r="L620" s="12" t="n">
        <x:v>3189</x:v>
      </x:c>
      <x:c r="M620" s="13" t="n">
        <x:v>1</x:v>
      </x:c>
      <x:c r="N620" s="13" t="n">
        <x:f>H620/G620</x:f>
        <x:v>0</x:v>
      </x:c>
      <x:c r="O620" s="13" t="n">
        <x:f>F620/E620</x:f>
        <x:v>0</x:v>
      </x:c>
      <x:c r="P620" s="2" t="str">
        <x:f>IF(AND(E620&gt;='Итоги'!$F$5,N620&lt;='Итоги'!$B$5,O620&gt;='Итоги'!$D$5),"Да","Нет")</x:f>
        <x:v>Нет</x:v>
      </x:c>
    </x:row>
    <x:row r="621" ht="60" customHeight="1">
      <x:c r="A621" s="14" t="str">
        <x:v>Одежда</x:v>
      </x:c>
      <x:c r="B621" s="14" t="str">
        <x:v>Верхняя одежда</x:v>
      </x:c>
      <x:c r="C621" s="14" t="str">
        <x:v>Верхняя одежда мужская</x:v>
      </x:c>
      <x:c r="D621" s="14" t="str">
        <x:v>Дубленка мужская из натурального меха</x:v>
      </x:c>
      <x:c r="E621" s="2" t="n">
        <x:v>1</x:v>
      </x:c>
      <x:c r="F621" s="2" t="n">
        <x:v>0</x:v>
      </x:c>
      <x:c r="G621" s="12" t="n">
        <x:v>26638</x:v>
      </x:c>
      <x:c r="H621" s="12" t="n">
        <x:v>0</x:v>
      </x:c>
      <x:c r="I621" s="13" t="n">
        <x:v>0</x:v>
      </x:c>
      <x:c r="J621" s="2" t="n">
        <x:v>1</x:v>
      </x:c>
      <x:c r="K621" s="2" t="n">
        <x:v>1</x:v>
      </x:c>
      <x:c r="L621" s="12" t="n">
        <x:v>26638</x:v>
      </x:c>
      <x:c r="M621" s="13" t="n">
        <x:v>1</x:v>
      </x:c>
      <x:c r="N621" s="13" t="n">
        <x:f>H621/G621</x:f>
        <x:v>0</x:v>
      </x:c>
      <x:c r="O621" s="13" t="n">
        <x:f>F621/E621</x:f>
        <x:v>0</x:v>
      </x:c>
      <x:c r="P621" s="2" t="str">
        <x:f>IF(AND(E621&gt;='Итоги'!$F$5,N621&lt;='Итоги'!$B$5,O621&gt;='Итоги'!$D$5),"Да","Нет")</x:f>
        <x:v>Нет</x:v>
      </x:c>
    </x:row>
    <x:row r="622" ht="60" customHeight="1">
      <x:c r="A622" s="14" t="str">
        <x:v>Одежда</x:v>
      </x:c>
      <x:c r="B622" s="14" t="str">
        <x:v>Основная одежда женская</x:v>
      </x:c>
      <x:c r="C622" s="14" t="str">
        <x:v>Головные уборы, перчатки, шарфы женские</x:v>
      </x:c>
      <x:c r="D622" s="14" t="str">
        <x:v>Женский платок утепленный</x:v>
      </x:c>
      <x:c r="E622" s="2" t="n">
        <x:v>1</x:v>
      </x:c>
      <x:c r="F622" s="2" t="n">
        <x:v>0</x:v>
      </x:c>
      <x:c r="G622" s="12" t="n">
        <x:v>103316.643</x:v>
      </x:c>
      <x:c r="H622" s="12" t="n">
        <x:v>0</x:v>
      </x:c>
      <x:c r="I622" s="13" t="n">
        <x:v>0</x:v>
      </x:c>
      <x:c r="J622" s="2" t="n">
        <x:v>1</x:v>
      </x:c>
      <x:c r="K622" s="2" t="n">
        <x:v>1</x:v>
      </x:c>
      <x:c r="L622" s="12" t="n">
        <x:v>5437.7181</x:v>
      </x:c>
      <x:c r="M622" s="13" t="n">
        <x:v>1</x:v>
      </x:c>
      <x:c r="N622" s="13" t="n">
        <x:f>H622/G622</x:f>
        <x:v>0</x:v>
      </x:c>
      <x:c r="O622" s="13" t="n">
        <x:f>F622/E622</x:f>
        <x:v>0</x:v>
      </x:c>
      <x:c r="P622" s="2" t="str">
        <x:f>IF(AND(E622&gt;='Итоги'!$F$5,N622&lt;='Итоги'!$B$5,O622&gt;='Итоги'!$D$5),"Да","Нет")</x:f>
        <x:v>Нет</x:v>
      </x:c>
    </x:row>
    <x:row r="623" ht="60" customHeight="1">
      <x:c r="A623" s="14" t="str">
        <x:v>Одежда</x:v>
      </x:c>
      <x:c r="B623" s="14" t="str">
        <x:v>Основная одежда мужская</x:v>
      </x:c>
      <x:c r="C623" s="14" t="str">
        <x:v>Головные уборы, перчатки, шарфы мужские</x:v>
      </x:c>
      <x:c r="D623" s="14" t="str">
        <x:v>Мужские перчатки кожаные легкие</x:v>
      </x:c>
      <x:c r="E623" s="2" t="n">
        <x:v>1</x:v>
      </x:c>
      <x:c r="F623" s="2" t="n">
        <x:v>0</x:v>
      </x:c>
      <x:c r="G623" s="12" t="n">
        <x:v>18583.25</x:v>
      </x:c>
      <x:c r="H623" s="12" t="n">
        <x:v>0</x:v>
      </x:c>
      <x:c r="I623" s="13" t="n">
        <x:v>0</x:v>
      </x:c>
      <x:c r="J623" s="2" t="n">
        <x:v>1</x:v>
      </x:c>
      <x:c r="K623" s="2" t="n">
        <x:v>1</x:v>
      </x:c>
      <x:c r="L623" s="12" t="n">
        <x:v>4645.8125</x:v>
      </x:c>
      <x:c r="M623" s="13" t="n">
        <x:v>1</x:v>
      </x:c>
      <x:c r="N623" s="13" t="n">
        <x:f>H623/G623</x:f>
        <x:v>0</x:v>
      </x:c>
      <x:c r="O623" s="13" t="n">
        <x:f>F623/E623</x:f>
        <x:v>0</x:v>
      </x:c>
      <x:c r="P623" s="2" t="str">
        <x:f>IF(AND(E623&gt;='Итоги'!$F$5,N623&lt;='Итоги'!$B$5,O623&gt;='Итоги'!$D$5),"Да","Нет")</x:f>
        <x:v>Нет</x:v>
      </x:c>
    </x:row>
    <x:row r="624" ht="60" customHeight="1">
      <x:c r="A624" s="14" t="str">
        <x:v>Одежда</x:v>
      </x:c>
      <x:c r="B624" s="14" t="str">
        <x:v>Основная одежда мужская</x:v>
      </x:c>
      <x:c r="C624" s="14" t="str">
        <x:v>Спортивная основная одежда мужская низы</x:v>
      </x:c>
      <x:c r="D624" s="14" t="str">
        <x:v>Термобелье мужское - штаны</x:v>
      </x:c>
      <x:c r="E624" s="2" t="n">
        <x:v>1</x:v>
      </x:c>
      <x:c r="F624" s="2" t="n">
        <x:v>0</x:v>
      </x:c>
      <x:c r="G624" s="12" t="n">
        <x:v>23867</x:v>
      </x:c>
      <x:c r="H624" s="12" t="n">
        <x:v>0</x:v>
      </x:c>
      <x:c r="I624" s="13" t="n">
        <x:v>0</x:v>
      </x:c>
      <x:c r="J624" s="2" t="n">
        <x:v>1</x:v>
      </x:c>
      <x:c r="K624" s="2" t="n">
        <x:v>1</x:v>
      </x:c>
      <x:c r="L624" s="12" t="n">
        <x:v>5966.75</x:v>
      </x:c>
      <x:c r="M624" s="13" t="n">
        <x:v>1</x:v>
      </x:c>
      <x:c r="N624" s="13" t="n">
        <x:f>H624/G624</x:f>
        <x:v>0</x:v>
      </x:c>
      <x:c r="O624" s="13" t="n">
        <x:f>F624/E624</x:f>
        <x:v>0</x:v>
      </x:c>
      <x:c r="P624" s="2" t="str">
        <x:f>IF(AND(E624&gt;='Итоги'!$F$5,N624&lt;='Итоги'!$B$5,O624&gt;='Итоги'!$D$5),"Да","Нет")</x:f>
        <x:v>Нет</x:v>
      </x:c>
    </x:row>
    <x:row r="625" ht="60" customHeight="1">
      <x:c r="A625" s="14" t="str">
        <x:v>Одежда</x:v>
      </x:c>
      <x:c r="B625" s="14" t="str">
        <x:v>Спецодежда и одежда для мероприятий</x:v>
      </x:c>
      <x:c r="C625" s="14" t="str">
        <x:v>Карнавальные костюмы</x:v>
      </x:c>
      <x:c r="D625" s="14" t="str">
        <x:v>Карнавальная рубашка мужская</x:v>
      </x:c>
      <x:c r="E625" s="2" t="n">
        <x:v>1</x:v>
      </x:c>
      <x:c r="F625" s="2" t="n">
        <x:v>0</x:v>
      </x:c>
      <x:c r="G625" s="12" t="n">
        <x:v>72062</x:v>
      </x:c>
      <x:c r="H625" s="12" t="n">
        <x:v>0</x:v>
      </x:c>
      <x:c r="I625" s="13" t="n">
        <x:v>0</x:v>
      </x:c>
      <x:c r="J625" s="2" t="n">
        <x:v>1</x:v>
      </x:c>
      <x:c r="K625" s="2" t="n">
        <x:v>1</x:v>
      </x:c>
      <x:c r="L625" s="12" t="n">
        <x:v>1334.4815</x:v>
      </x:c>
      <x:c r="M625" s="13" t="n">
        <x:v>1</x:v>
      </x:c>
      <x:c r="N625" s="13" t="n">
        <x:f>H625/G625</x:f>
        <x:v>0</x:v>
      </x:c>
      <x:c r="O625" s="13" t="n">
        <x:f>F625/E625</x:f>
        <x:v>0</x:v>
      </x:c>
      <x:c r="P625" s="2" t="str">
        <x:f>IF(AND(E625&gt;='Итоги'!$F$5,N625&lt;='Итоги'!$B$5,O625&gt;='Итоги'!$D$5),"Да","Нет")</x:f>
        <x:v>Нет</x:v>
      </x:c>
    </x:row>
    <x:row r="626" ht="60" customHeight="1">
      <x:c r="A626" s="14" t="str">
        <x:v>Одежда</x:v>
      </x:c>
      <x:c r="B626" s="14" t="str">
        <x:v>Спецодежда и одежда для мероприятий</x:v>
      </x:c>
      <x:c r="C626" s="14" t="str">
        <x:v>Спецодежда женская</x:v>
      </x:c>
      <x:c r="D626" s="14" t="str">
        <x:v>Медицинские брюки женские</x:v>
      </x:c>
      <x:c r="E626" s="2" t="n">
        <x:v>1</x:v>
      </x:c>
      <x:c r="F626" s="2" t="n">
        <x:v>0</x:v>
      </x:c>
      <x:c r="G626" s="12" t="n">
        <x:v>3205</x:v>
      </x:c>
      <x:c r="H626" s="12" t="n">
        <x:v>0</x:v>
      </x:c>
      <x:c r="I626" s="13" t="n">
        <x:v>0</x:v>
      </x:c>
      <x:c r="J626" s="2" t="n">
        <x:v>1</x:v>
      </x:c>
      <x:c r="K626" s="2" t="n">
        <x:v>1</x:v>
      </x:c>
      <x:c r="L626" s="12" t="n">
        <x:v>3205</x:v>
      </x:c>
      <x:c r="M626" s="13" t="n">
        <x:v>1</x:v>
      </x:c>
      <x:c r="N626" s="13" t="n">
        <x:f>H626/G626</x:f>
        <x:v>0</x:v>
      </x:c>
      <x:c r="O626" s="13" t="n">
        <x:f>F626/E626</x:f>
        <x:v>0</x:v>
      </x:c>
      <x:c r="P626" s="2" t="str">
        <x:f>IF(AND(E626&gt;='Итоги'!$F$5,N626&lt;='Итоги'!$B$5,O626&gt;='Итоги'!$D$5),"Да","Нет")</x:f>
        <x:v>Нет</x:v>
      </x:c>
    </x:row>
    <x:row r="627" ht="60" customHeight="1">
      <x:c r="A627" s="14" t="str">
        <x:v>Одежда</x:v>
      </x:c>
      <x:c r="B627" s="14" t="str">
        <x:v>Спецодежда и одежда для мероприятий</x:v>
      </x:c>
      <x:c r="C627" s="14" t="str">
        <x:v>Спецодежда женская</x:v>
      </x:c>
      <x:c r="D627" s="14" t="str">
        <x:v>Рабочее платье женское</x:v>
      </x:c>
      <x:c r="E627" s="2" t="n">
        <x:v>1</x:v>
      </x:c>
      <x:c r="F627" s="2" t="n">
        <x:v>0</x:v>
      </x:c>
      <x:c r="G627" s="12" t="n">
        <x:v>13905.66</x:v>
      </x:c>
      <x:c r="H627" s="12" t="n">
        <x:v>0</x:v>
      </x:c>
      <x:c r="I627" s="13" t="n">
        <x:v>0</x:v>
      </x:c>
      <x:c r="J627" s="2" t="n">
        <x:v>1</x:v>
      </x:c>
      <x:c r="K627" s="2" t="n">
        <x:v>1</x:v>
      </x:c>
      <x:c r="L627" s="12" t="n">
        <x:v>2781.132</x:v>
      </x:c>
      <x:c r="M627" s="13" t="n">
        <x:v>1</x:v>
      </x:c>
      <x:c r="N627" s="13" t="n">
        <x:f>H627/G627</x:f>
        <x:v>0</x:v>
      </x:c>
      <x:c r="O627" s="13" t="n">
        <x:f>F627/E627</x:f>
        <x:v>0</x:v>
      </x:c>
      <x:c r="P627" s="2" t="str">
        <x:f>IF(AND(E627&gt;='Итоги'!$F$5,N627&lt;='Итоги'!$B$5,O627&gt;='Итоги'!$D$5),"Да","Нет")</x:f>
        <x:v>Нет</x:v>
      </x:c>
    </x:row>
    <x:row r="628" ht="60" customHeight="1">
      <x:c r="A628" s="14" t="str">
        <x:v>Одежда</x:v>
      </x:c>
      <x:c r="B628" s="14" t="str">
        <x:v>Спецодежда и одежда для мероприятий</x:v>
      </x:c>
      <x:c r="C628" s="14" t="str">
        <x:v>Спецодежда мужская</x:v>
      </x:c>
      <x:c r="D628" s="14" t="str">
        <x:v>Сигнальные брюки мужские</x:v>
      </x:c>
      <x:c r="E628" s="2" t="n">
        <x:v>1</x:v>
      </x:c>
      <x:c r="F628" s="2" t="n">
        <x:v>0</x:v>
      </x:c>
      <x:c r="G628" s="12" t="n">
        <x:v>3182</x:v>
      </x:c>
      <x:c r="H628" s="12" t="n">
        <x:v>0</x:v>
      </x:c>
      <x:c r="I628" s="13" t="n">
        <x:v>0</x:v>
      </x:c>
      <x:c r="J628" s="2" t="n">
        <x:v>1</x:v>
      </x:c>
      <x:c r="K628" s="2" t="n">
        <x:v>1</x:v>
      </x:c>
      <x:c r="L628" s="12" t="n">
        <x:v>3182</x:v>
      </x:c>
      <x:c r="M628" s="13" t="n">
        <x:v>1</x:v>
      </x:c>
      <x:c r="N628" s="13" t="n">
        <x:f>H628/G628</x:f>
        <x:v>0</x:v>
      </x:c>
      <x:c r="O628" s="13" t="n">
        <x:f>F628/E628</x:f>
        <x:v>0</x:v>
      </x:c>
      <x:c r="P628" s="2" t="str">
        <x:f>IF(AND(E628&gt;='Итоги'!$F$5,N628&lt;='Итоги'!$B$5,O628&gt;='Итоги'!$D$5),"Да","Нет")</x:f>
        <x:v>Нет</x:v>
      </x:c>
    </x:row>
    <x:row r="629" ht="60" customHeight="1">
      <x:c r="A629" s="14" t="str">
        <x:v>Смартфоны и планшеты</x:v>
      </x:c>
      <x:c r="B629" s="14" t="str">
        <x:v>Средства связи Smart&amp;Tablets</x:v>
      </x:c>
      <x:c r="C629" s="14" t="str">
        <x:v>Телефон Smart&amp;Tablets</x:v>
      </x:c>
      <x:c r="D629" s="14" t="str">
        <x:v>Смартфон Sony</x:v>
      </x:c>
      <x:c r="E629" s="2" t="n">
        <x:v>1</x:v>
      </x:c>
      <x:c r="F629" s="2" t="n">
        <x:v>0</x:v>
      </x:c>
      <x:c r="G629" s="12" t="n">
        <x:v>96727</x:v>
      </x:c>
      <x:c r="H629" s="12" t="n">
        <x:v>0</x:v>
      </x:c>
      <x:c r="I629" s="13" t="n">
        <x:v>0</x:v>
      </x:c>
      <x:c r="J629" s="2" t="n">
        <x:v>1</x:v>
      </x:c>
      <x:c r="K629" s="2" t="n">
        <x:v>1</x:v>
      </x:c>
      <x:c r="L629" s="12" t="n">
        <x:v>96727</x:v>
      </x:c>
      <x:c r="M629" s="13" t="n">
        <x:v>1</x:v>
      </x:c>
      <x:c r="N629" s="13" t="n">
        <x:f>H629/G629</x:f>
        <x:v>0</x:v>
      </x:c>
      <x:c r="O629" s="13" t="n">
        <x:f>F629/E629</x:f>
        <x:v>0</x:v>
      </x:c>
      <x:c r="P629" s="2" t="str">
        <x:f>IF(AND(E629&gt;='Итоги'!$F$5,N629&lt;='Итоги'!$B$5,O629&gt;='Итоги'!$D$5),"Да","Нет")</x:f>
        <x:v>Нет</x:v>
      </x:c>
    </x:row>
    <x:row r="630" ht="60" customHeight="1">
      <x:c r="A630" s="14" t="str">
        <x:v>Спорт и отдых</x:v>
      </x:c>
      <x:c r="B630" s="14" t="str">
        <x:v>Водные виды спорта</x:v>
      </x:c>
      <x:c r="C630" s="14" t="str">
        <x:v>Серфинг</x:v>
      </x:c>
      <x:c r="D630" s="14" t="str">
        <x:v>Аксессуары для серфинга</x:v>
      </x:c>
      <x:c r="E630" s="2" t="n">
        <x:v>1</x:v>
      </x:c>
      <x:c r="F630" s="2" t="n">
        <x:v>0</x:v>
      </x:c>
      <x:c r="G630" s="12" t="n">
        <x:v>11644</x:v>
      </x:c>
      <x:c r="H630" s="12" t="n">
        <x:v>0</x:v>
      </x:c>
      <x:c r="I630" s="13" t="n">
        <x:v>0</x:v>
      </x:c>
      <x:c r="J630" s="2" t="n">
        <x:v>1</x:v>
      </x:c>
      <x:c r="K630" s="2" t="n">
        <x:v>1</x:v>
      </x:c>
      <x:c r="L630" s="12" t="n">
        <x:v>1455.5</x:v>
      </x:c>
      <x:c r="M630" s="13" t="n">
        <x:v>1</x:v>
      </x:c>
      <x:c r="N630" s="13" t="n">
        <x:f>H630/G630</x:f>
        <x:v>0</x:v>
      </x:c>
      <x:c r="O630" s="13" t="n">
        <x:f>F630/E630</x:f>
        <x:v>0</x:v>
      </x:c>
      <x:c r="P630" s="2" t="str">
        <x:f>IF(AND(E630&gt;='Итоги'!$F$5,N630&lt;='Итоги'!$B$5,O630&gt;='Итоги'!$D$5),"Да","Нет")</x:f>
        <x:v>Нет</x:v>
      </x:c>
    </x:row>
    <x:row r="631" ht="60" customHeight="1">
      <x:c r="A631" s="14" t="str">
        <x:v>Спорт и отдых</x:v>
      </x:c>
      <x:c r="B631" s="14" t="str">
        <x:v>Водные виды спорта</x:v>
      </x:c>
      <x:c r="C631" s="14" t="str">
        <x:v>Яхтинг</x:v>
      </x:c>
      <x:c r="D631" s="14" t="str">
        <x:v>Средства для покраски, ремонта и ухода за яхтой</x:v>
      </x:c>
      <x:c r="E631" s="2" t="n">
        <x:v>1</x:v>
      </x:c>
      <x:c r="F631" s="2" t="n">
        <x:v>0</x:v>
      </x:c>
      <x:c r="G631" s="12" t="n">
        <x:v>111978</x:v>
      </x:c>
      <x:c r="H631" s="12" t="n">
        <x:v>0</x:v>
      </x:c>
      <x:c r="I631" s="13" t="n">
        <x:v>0</x:v>
      </x:c>
      <x:c r="J631" s="2" t="n">
        <x:v>1</x:v>
      </x:c>
      <x:c r="K631" s="2" t="n">
        <x:v>1</x:v>
      </x:c>
      <x:c r="L631" s="12" t="n">
        <x:v>4665.75</x:v>
      </x:c>
      <x:c r="M631" s="13" t="n">
        <x:v>1</x:v>
      </x:c>
      <x:c r="N631" s="13" t="n">
        <x:f>H631/G631</x:f>
        <x:v>0</x:v>
      </x:c>
      <x:c r="O631" s="13" t="n">
        <x:f>F631/E631</x:f>
        <x:v>0</x:v>
      </x:c>
      <x:c r="P631" s="2" t="str">
        <x:f>IF(AND(E631&gt;='Итоги'!$F$5,N631&lt;='Итоги'!$B$5,O631&gt;='Итоги'!$D$5),"Да","Нет")</x:f>
        <x:v>Нет</x:v>
      </x:c>
    </x:row>
    <x:row r="632" ht="60" customHeight="1">
      <x:c r="A632" s="14" t="str">
        <x:v>Спорт и отдых</x:v>
      </x:c>
      <x:c r="B632" s="14" t="str">
        <x:v>Всесезонные виды спорта</x:v>
      </x:c>
      <x:c r="C632" s="14" t="str">
        <x:v>Конный спорт</x:v>
      </x:c>
      <x:c r="D632" s="14" t="str">
        <x:v>Вальтрап, меховушка для конного спорта</x:v>
      </x:c>
      <x:c r="E632" s="2" t="n">
        <x:v>1</x:v>
      </x:c>
      <x:c r="F632" s="2" t="n">
        <x:v>0</x:v>
      </x:c>
      <x:c r="G632" s="12" t="n">
        <x:v>82905</x:v>
      </x:c>
      <x:c r="H632" s="12" t="n">
        <x:v>0</x:v>
      </x:c>
      <x:c r="I632" s="13" t="n">
        <x:v>0</x:v>
      </x:c>
      <x:c r="J632" s="2" t="n">
        <x:v>1</x:v>
      </x:c>
      <x:c r="K632" s="2" t="n">
        <x:v>1</x:v>
      </x:c>
      <x:c r="L632" s="12" t="n">
        <x:v>2858.7931</x:v>
      </x:c>
      <x:c r="M632" s="13" t="n">
        <x:v>1</x:v>
      </x:c>
      <x:c r="N632" s="13" t="n">
        <x:f>H632/G632</x:f>
        <x:v>0</x:v>
      </x:c>
      <x:c r="O632" s="13" t="n">
        <x:f>F632/E632</x:f>
        <x:v>0</x:v>
      </x:c>
      <x:c r="P632" s="2" t="str">
        <x:f>IF(AND(E632&gt;='Итоги'!$F$5,N632&lt;='Итоги'!$B$5,O632&gt;='Итоги'!$D$5),"Да","Нет")</x:f>
        <x:v>Нет</x:v>
      </x:c>
    </x:row>
    <x:row r="633" ht="60" customHeight="1">
      <x:c r="A633" s="14" t="str">
        <x:v>Спорт и отдых</x:v>
      </x:c>
      <x:c r="B633" s="14" t="str">
        <x:v>Всесезонные виды спорта</x:v>
      </x:c>
      <x:c r="C633" s="14" t="str">
        <x:v>Теннис настольный</x:v>
      </x:c>
      <x:c r="D633" s="14" t="str">
        <x:v>Мяч для настольного тенниса</x:v>
      </x:c>
      <x:c r="E633" s="2" t="n">
        <x:v>1</x:v>
      </x:c>
      <x:c r="F633" s="2" t="n">
        <x:v>0</x:v>
      </x:c>
      <x:c r="G633" s="12" t="n">
        <x:v>78601</x:v>
      </x:c>
      <x:c r="H633" s="12" t="n">
        <x:v>0</x:v>
      </x:c>
      <x:c r="I633" s="13" t="n">
        <x:v>0</x:v>
      </x:c>
      <x:c r="J633" s="2" t="n">
        <x:v>1</x:v>
      </x:c>
      <x:c r="K633" s="2" t="n">
        <x:v>1</x:v>
      </x:c>
      <x:c r="L633" s="12" t="n">
        <x:v>1708.7174</x:v>
      </x:c>
      <x:c r="M633" s="13" t="n">
        <x:v>1</x:v>
      </x:c>
      <x:c r="N633" s="13" t="n">
        <x:f>H633/G633</x:f>
        <x:v>0</x:v>
      </x:c>
      <x:c r="O633" s="13" t="n">
        <x:f>F633/E633</x:f>
        <x:v>0</x:v>
      </x:c>
      <x:c r="P633" s="2" t="str">
        <x:f>IF(AND(E633&gt;='Итоги'!$F$5,N633&lt;='Итоги'!$B$5,O633&gt;='Итоги'!$D$5),"Да","Нет")</x:f>
        <x:v>Нет</x:v>
      </x:c>
    </x:row>
    <x:row r="634" ht="60" customHeight="1">
      <x:c r="A634" s="14" t="str">
        <x:v>Спорт и отдых</x:v>
      </x:c>
      <x:c r="B634" s="14" t="str">
        <x:v>Всесезонные виды спорта</x:v>
      </x:c>
      <x:c r="C634" s="14" t="str">
        <x:v>Теннис настольный</x:v>
      </x:c>
      <x:c r="D634" s="14" t="str">
        <x:v>Тренажер для настольного тенниса</x:v>
      </x:c>
      <x:c r="E634" s="2" t="n">
        <x:v>1</x:v>
      </x:c>
      <x:c r="F634" s="2" t="n">
        <x:v>0</x:v>
      </x:c>
      <x:c r="G634" s="12" t="n">
        <x:v>56176</x:v>
      </x:c>
      <x:c r="H634" s="12" t="n">
        <x:v>0</x:v>
      </x:c>
      <x:c r="I634" s="13" t="n">
        <x:v>0</x:v>
      </x:c>
      <x:c r="J634" s="2" t="n">
        <x:v>1</x:v>
      </x:c>
      <x:c r="K634" s="2" t="n">
        <x:v>1</x:v>
      </x:c>
      <x:c r="L634" s="12" t="n">
        <x:v>28088</x:v>
      </x:c>
      <x:c r="M634" s="13" t="n">
        <x:v>1</x:v>
      </x:c>
      <x:c r="N634" s="13" t="n">
        <x:f>H634/G634</x:f>
        <x:v>0</x:v>
      </x:c>
      <x:c r="O634" s="13" t="n">
        <x:f>F634/E634</x:f>
        <x:v>0</x:v>
      </x:c>
      <x:c r="P634" s="2" t="str">
        <x:f>IF(AND(E634&gt;='Итоги'!$F$5,N634&lt;='Итоги'!$B$5,O634&gt;='Итоги'!$D$5),"Да","Нет")</x:f>
        <x:v>Нет</x:v>
      </x:c>
    </x:row>
    <x:row r="635" ht="60" customHeight="1">
      <x:c r="A635" s="14" t="str">
        <x:v>Спорт и отдых</x:v>
      </x:c>
      <x:c r="B635" s="14" t="str">
        <x:v>Единоборства</x:v>
      </x:c>
      <x:c r="C635" s="14" t="str">
        <x:v>Бокс</x:v>
      </x:c>
      <x:c r="D635" s="14" t="str">
        <x:v>Капа</x:v>
      </x:c>
      <x:c r="E635" s="2" t="n">
        <x:v>1</x:v>
      </x:c>
      <x:c r="F635" s="2" t="n">
        <x:v>0</x:v>
      </x:c>
      <x:c r="G635" s="12" t="n">
        <x:v>187382.1446</x:v>
      </x:c>
      <x:c r="H635" s="12" t="n">
        <x:v>0</x:v>
      </x:c>
      <x:c r="I635" s="13" t="n">
        <x:v>0</x:v>
      </x:c>
      <x:c r="J635" s="2" t="n">
        <x:v>1</x:v>
      </x:c>
      <x:c r="K635" s="2" t="n">
        <x:v>1</x:v>
      </x:c>
      <x:c r="L635" s="12" t="n">
        <x:v>1193.5168</x:v>
      </x:c>
      <x:c r="M635" s="13" t="n">
        <x:v>1</x:v>
      </x:c>
      <x:c r="N635" s="13" t="n">
        <x:f>H635/G635</x:f>
        <x:v>0</x:v>
      </x:c>
      <x:c r="O635" s="13" t="n">
        <x:f>F635/E635</x:f>
        <x:v>0</x:v>
      </x:c>
      <x:c r="P635" s="2" t="str">
        <x:f>IF(AND(E635&gt;='Итоги'!$F$5,N635&lt;='Итоги'!$B$5,O635&gt;='Итоги'!$D$5),"Да","Нет")</x:f>
        <x:v>Нет</x:v>
      </x:c>
    </x:row>
    <x:row r="636" ht="60" customHeight="1">
      <x:c r="A636" s="14" t="str">
        <x:v>Спорт и отдых</x:v>
      </x:c>
      <x:c r="B636" s="14" t="str">
        <x:v>Единоборства</x:v>
      </x:c>
      <x:c r="C636" s="14" t="str">
        <x:v>Борьба</x:v>
      </x:c>
      <x:c r="D636" s="14" t="str">
        <x:v>Трико для борьбы</x:v>
      </x:c>
      <x:c r="E636" s="2" t="n">
        <x:v>1</x:v>
      </x:c>
      <x:c r="F636" s="2" t="n">
        <x:v>0</x:v>
      </x:c>
      <x:c r="G636" s="12" t="n">
        <x:v>11428</x:v>
      </x:c>
      <x:c r="H636" s="12" t="n">
        <x:v>0</x:v>
      </x:c>
      <x:c r="I636" s="13" t="n">
        <x:v>0</x:v>
      </x:c>
      <x:c r="J636" s="2" t="n">
        <x:v>1</x:v>
      </x:c>
      <x:c r="K636" s="2" t="n">
        <x:v>1</x:v>
      </x:c>
      <x:c r="L636" s="12" t="n">
        <x:v>2857</x:v>
      </x:c>
      <x:c r="M636" s="13" t="n">
        <x:v>1</x:v>
      </x:c>
      <x:c r="N636" s="13" t="n">
        <x:f>H636/G636</x:f>
        <x:v>0</x:v>
      </x:c>
      <x:c r="O636" s="13" t="n">
        <x:f>F636/E636</x:f>
        <x:v>0</x:v>
      </x:c>
      <x:c r="P636" s="2" t="str">
        <x:f>IF(AND(E636&gt;='Итоги'!$F$5,N636&lt;='Итоги'!$B$5,O636&gt;='Итоги'!$D$5),"Да","Нет")</x:f>
        <x:v>Нет</x:v>
      </x:c>
    </x:row>
    <x:row r="637" ht="60" customHeight="1">
      <x:c r="A637" s="14" t="str">
        <x:v>Спорт и отдых</x:v>
      </x:c>
      <x:c r="B637" s="14" t="str">
        <x:v>Единоборства</x:v>
      </x:c>
      <x:c r="C637" s="14" t="str">
        <x:v>Дзюдо, айкидо</x:v>
      </x:c>
      <x:c r="D637" s="14" t="str">
        <x:v>Кимоно для дзюдо, айкидо</x:v>
      </x:c>
      <x:c r="E637" s="2" t="n">
        <x:v>1</x:v>
      </x:c>
      <x:c r="F637" s="2" t="n">
        <x:v>0</x:v>
      </x:c>
      <x:c r="G637" s="12" t="n">
        <x:v>7463</x:v>
      </x:c>
      <x:c r="H637" s="12" t="n">
        <x:v>0</x:v>
      </x:c>
      <x:c r="I637" s="13" t="n">
        <x:v>0</x:v>
      </x:c>
      <x:c r="J637" s="2" t="n">
        <x:v>1</x:v>
      </x:c>
      <x:c r="K637" s="2" t="n">
        <x:v>1</x:v>
      </x:c>
      <x:c r="L637" s="12" t="n">
        <x:v>7463</x:v>
      </x:c>
      <x:c r="M637" s="13" t="n">
        <x:v>1</x:v>
      </x:c>
      <x:c r="N637" s="13" t="n">
        <x:f>H637/G637</x:f>
        <x:v>0</x:v>
      </x:c>
      <x:c r="O637" s="13" t="n">
        <x:f>F637/E637</x:f>
        <x:v>0</x:v>
      </x:c>
      <x:c r="P637" s="2" t="str">
        <x:f>IF(AND(E637&gt;='Итоги'!$F$5,N637&lt;='Итоги'!$B$5,O637&gt;='Итоги'!$D$5),"Да","Нет")</x:f>
        <x:v>Нет</x:v>
      </x:c>
    </x:row>
    <x:row r="638" ht="60" customHeight="1">
      <x:c r="A638" s="14" t="str">
        <x:v>Спорт и отдых</x:v>
      </x:c>
      <x:c r="B638" s="14" t="str">
        <x:v>Единоборства</x:v>
      </x:c>
      <x:c r="C638" s="14" t="str">
        <x:v>Карате</x:v>
      </x:c>
      <x:c r="D638" s="14" t="str">
        <x:v>Кимоно для карате</x:v>
      </x:c>
      <x:c r="E638" s="2" t="n">
        <x:v>1</x:v>
      </x:c>
      <x:c r="F638" s="2" t="n">
        <x:v>0</x:v>
      </x:c>
      <x:c r="G638" s="12" t="n">
        <x:v>3496</x:v>
      </x:c>
      <x:c r="H638" s="12" t="n">
        <x:v>0</x:v>
      </x:c>
      <x:c r="I638" s="13" t="n">
        <x:v>0</x:v>
      </x:c>
      <x:c r="J638" s="2" t="n">
        <x:v>1</x:v>
      </x:c>
      <x:c r="K638" s="2" t="n">
        <x:v>1</x:v>
      </x:c>
      <x:c r="L638" s="12" t="n">
        <x:v>3496</x:v>
      </x:c>
      <x:c r="M638" s="13" t="n">
        <x:v>1</x:v>
      </x:c>
      <x:c r="N638" s="13" t="n">
        <x:f>H638/G638</x:f>
        <x:v>0</x:v>
      </x:c>
      <x:c r="O638" s="13" t="n">
        <x:f>F638/E638</x:f>
        <x:v>0</x:v>
      </x:c>
      <x:c r="P638" s="2" t="str">
        <x:f>IF(AND(E638&gt;='Итоги'!$F$5,N638&lt;='Итоги'!$B$5,O638&gt;='Итоги'!$D$5),"Да","Нет")</x:f>
        <x:v>Нет</x:v>
      </x:c>
    </x:row>
    <x:row r="639" ht="60" customHeight="1">
      <x:c r="A639" s="14" t="str">
        <x:v>Спорт и отдых</x:v>
      </x:c>
      <x:c r="B639" s="14" t="str">
        <x:v>Единоборства</x:v>
      </x:c>
      <x:c r="C639" s="14" t="str">
        <x:v>Рукопашный бой</x:v>
      </x:c>
      <x:c r="D639" s="14" t="str">
        <x:v>Перчатки для рукопашного боя</x:v>
      </x:c>
      <x:c r="E639" s="2" t="n">
        <x:v>1</x:v>
      </x:c>
      <x:c r="F639" s="2" t="n">
        <x:v>0</x:v>
      </x:c>
      <x:c r="G639" s="12" t="n">
        <x:v>72505</x:v>
      </x:c>
      <x:c r="H639" s="12" t="n">
        <x:v>0</x:v>
      </x:c>
      <x:c r="I639" s="13" t="n">
        <x:v>0</x:v>
      </x:c>
      <x:c r="J639" s="2" t="n">
        <x:v>1</x:v>
      </x:c>
      <x:c r="K639" s="2" t="n">
        <x:v>1</x:v>
      </x:c>
      <x:c r="L639" s="12" t="n">
        <x:v>3152.3913</x:v>
      </x:c>
      <x:c r="M639" s="13" t="n">
        <x:v>1</x:v>
      </x:c>
      <x:c r="N639" s="13" t="n">
        <x:f>H639/G639</x:f>
        <x:v>0</x:v>
      </x:c>
      <x:c r="O639" s="13" t="n">
        <x:f>F639/E639</x:f>
        <x:v>0</x:v>
      </x:c>
      <x:c r="P639" s="2" t="str">
        <x:f>IF(AND(E639&gt;='Итоги'!$F$5,N639&lt;='Итоги'!$B$5,O639&gt;='Итоги'!$D$5),"Да","Нет")</x:f>
        <x:v>Нет</x:v>
      </x:c>
    </x:row>
    <x:row r="640" ht="60" customHeight="1">
      <x:c r="A640" s="14" t="str">
        <x:v>Спорт и отдых</x:v>
      </x:c>
      <x:c r="B640" s="14" t="str">
        <x:v>Единоборства</x:v>
      </x:c>
      <x:c r="C640" s="14" t="str">
        <x:v>Рукопашный бой</x:v>
      </x:c>
      <x:c r="D640" s="14" t="str">
        <x:v>Шлем для рукопашного боя</x:v>
      </x:c>
      <x:c r="E640" s="2" t="n">
        <x:v>1</x:v>
      </x:c>
      <x:c r="F640" s="2" t="n">
        <x:v>0</x:v>
      </x:c>
      <x:c r="G640" s="12" t="n">
        <x:v>10695</x:v>
      </x:c>
      <x:c r="H640" s="12" t="n">
        <x:v>0</x:v>
      </x:c>
      <x:c r="I640" s="13" t="n">
        <x:v>0</x:v>
      </x:c>
      <x:c r="J640" s="2" t="n">
        <x:v>1</x:v>
      </x:c>
      <x:c r="K640" s="2" t="n">
        <x:v>1</x:v>
      </x:c>
      <x:c r="L640" s="12" t="n">
        <x:v>5347.5</x:v>
      </x:c>
      <x:c r="M640" s="13" t="n">
        <x:v>1</x:v>
      </x:c>
      <x:c r="N640" s="13" t="n">
        <x:f>H640/G640</x:f>
        <x:v>0</x:v>
      </x:c>
      <x:c r="O640" s="13" t="n">
        <x:f>F640/E640</x:f>
        <x:v>0</x:v>
      </x:c>
      <x:c r="P640" s="2" t="str">
        <x:f>IF(AND(E640&gt;='Итоги'!$F$5,N640&lt;='Итоги'!$B$5,O640&gt;='Итоги'!$D$5),"Да","Нет")</x:f>
        <x:v>Нет</x:v>
      </x:c>
    </x:row>
    <x:row r="641" ht="60" customHeight="1">
      <x:c r="A641" s="14" t="str">
        <x:v>Спорт и отдых</x:v>
      </x:c>
      <x:c r="B641" s="14" t="str">
        <x:v>Зимние виды спорта</x:v>
      </x:c>
      <x:c r="C641" s="14" t="str">
        <x:v>Лыжный спорт</x:v>
      </x:c>
      <x:c r="D641" s="14" t="str">
        <x:v>Ботинки лыжные</x:v>
      </x:c>
      <x:c r="E641" s="2" t="n">
        <x:v>1</x:v>
      </x:c>
      <x:c r="F641" s="2" t="n">
        <x:v>0</x:v>
      </x:c>
      <x:c r="G641" s="12" t="n">
        <x:v>4209</x:v>
      </x:c>
      <x:c r="H641" s="12" t="n">
        <x:v>0</x:v>
      </x:c>
      <x:c r="I641" s="13" t="n">
        <x:v>0</x:v>
      </x:c>
      <x:c r="J641" s="2" t="n">
        <x:v>1</x:v>
      </x:c>
      <x:c r="K641" s="2" t="n">
        <x:v>1</x:v>
      </x:c>
      <x:c r="L641" s="12" t="n">
        <x:v>4209</x:v>
      </x:c>
      <x:c r="M641" s="13" t="n">
        <x:v>1</x:v>
      </x:c>
      <x:c r="N641" s="13" t="n">
        <x:f>H641/G641</x:f>
        <x:v>0</x:v>
      </x:c>
      <x:c r="O641" s="13" t="n">
        <x:f>F641/E641</x:f>
        <x:v>0</x:v>
      </x:c>
      <x:c r="P641" s="2" t="str">
        <x:f>IF(AND(E641&gt;='Итоги'!$F$5,N641&lt;='Итоги'!$B$5,O641&gt;='Итоги'!$D$5),"Да","Нет")</x:f>
        <x:v>Нет</x:v>
      </x:c>
    </x:row>
    <x:row r="642" ht="60" customHeight="1">
      <x:c r="A642" s="14" t="str">
        <x:v>Спорт и отдых</x:v>
      </x:c>
      <x:c r="B642" s="14" t="str">
        <x:v>Зимние виды спорта</x:v>
      </x:c>
      <x:c r="C642" s="14" t="str">
        <x:v>Лыжный спорт</x:v>
      </x:c>
      <x:c r="D642" s="14" t="str">
        <x:v>Лыжный комплект</x:v>
      </x:c>
      <x:c r="E642" s="2" t="n">
        <x:v>1</x:v>
      </x:c>
      <x:c r="F642" s="2" t="n">
        <x:v>0</x:v>
      </x:c>
      <x:c r="G642" s="12" t="n">
        <x:v>4250</x:v>
      </x:c>
      <x:c r="H642" s="12" t="n">
        <x:v>0</x:v>
      </x:c>
      <x:c r="I642" s="13" t="n">
        <x:v>0</x:v>
      </x:c>
      <x:c r="J642" s="2" t="n">
        <x:v>1</x:v>
      </x:c>
      <x:c r="K642" s="2" t="n">
        <x:v>1</x:v>
      </x:c>
      <x:c r="L642" s="12" t="n">
        <x:v>850</x:v>
      </x:c>
      <x:c r="M642" s="13" t="n">
        <x:v>1</x:v>
      </x:c>
      <x:c r="N642" s="13" t="n">
        <x:f>H642/G642</x:f>
        <x:v>0</x:v>
      </x:c>
      <x:c r="O642" s="13" t="n">
        <x:f>F642/E642</x:f>
        <x:v>0</x:v>
      </x:c>
      <x:c r="P642" s="2" t="str">
        <x:f>IF(AND(E642&gt;='Итоги'!$F$5,N642&lt;='Итоги'!$B$5,O642&gt;='Итоги'!$D$5),"Да","Нет")</x:f>
        <x:v>Нет</x:v>
      </x:c>
    </x:row>
    <x:row r="643" ht="60" customHeight="1">
      <x:c r="A643" s="14" t="str">
        <x:v>Спорт и отдых</x:v>
      </x:c>
      <x:c r="B643" s="14" t="str">
        <x:v>Зимние виды спорта</x:v>
      </x:c>
      <x:c r="C643" s="14" t="str">
        <x:v>Лыжный спорт</x:v>
      </x:c>
      <x:c r="D643" s="14" t="str">
        <x:v>Смазка, парафин для лыж</x:v>
      </x:c>
      <x:c r="E643" s="2" t="n">
        <x:v>1</x:v>
      </x:c>
      <x:c r="F643" s="2" t="n">
        <x:v>0</x:v>
      </x:c>
      <x:c r="G643" s="12" t="n">
        <x:v>99600</x:v>
      </x:c>
      <x:c r="H643" s="12" t="n">
        <x:v>0</x:v>
      </x:c>
      <x:c r="I643" s="13" t="n">
        <x:v>0</x:v>
      </x:c>
      <x:c r="J643" s="2" t="n">
        <x:v>1</x:v>
      </x:c>
      <x:c r="K643" s="2" t="n">
        <x:v>1</x:v>
      </x:c>
      <x:c r="L643" s="12" t="n">
        <x:v>5858.8235</x:v>
      </x:c>
      <x:c r="M643" s="13" t="n">
        <x:v>1</x:v>
      </x:c>
      <x:c r="N643" s="13" t="n">
        <x:f>H643/G643</x:f>
        <x:v>0</x:v>
      </x:c>
      <x:c r="O643" s="13" t="n">
        <x:f>F643/E643</x:f>
        <x:v>0</x:v>
      </x:c>
      <x:c r="P643" s="2" t="str">
        <x:f>IF(AND(E643&gt;='Итоги'!$F$5,N643&lt;='Итоги'!$B$5,O643&gt;='Итоги'!$D$5),"Да","Нет")</x:f>
        <x:v>Нет</x:v>
      </x:c>
    </x:row>
    <x:row r="644" ht="60" customHeight="1">
      <x:c r="A644" s="14" t="str">
        <x:v>Спорт и отдых</x:v>
      </x:c>
      <x:c r="B644" s="14" t="str">
        <x:v>Зимние виды спорта</x:v>
      </x:c>
      <x:c r="C644" s="14" t="str">
        <x:v>Сноуборд</x:v>
      </x:c>
      <x:c r="D644" s="14" t="str">
        <x:v>Чехол, сумка для сноуборда</x:v>
      </x:c>
      <x:c r="E644" s="2" t="n">
        <x:v>1</x:v>
      </x:c>
      <x:c r="F644" s="2" t="n">
        <x:v>0</x:v>
      </x:c>
      <x:c r="G644" s="12" t="n">
        <x:v>5791</x:v>
      </x:c>
      <x:c r="H644" s="12" t="n">
        <x:v>0</x:v>
      </x:c>
      <x:c r="I644" s="13" t="n">
        <x:v>0</x:v>
      </x:c>
      <x:c r="J644" s="2" t="n">
        <x:v>1</x:v>
      </x:c>
      <x:c r="K644" s="2" t="n">
        <x:v>1</x:v>
      </x:c>
      <x:c r="L644" s="12" t="n">
        <x:v>5791</x:v>
      </x:c>
      <x:c r="M644" s="13" t="n">
        <x:v>1</x:v>
      </x:c>
      <x:c r="N644" s="13" t="n">
        <x:f>H644/G644</x:f>
        <x:v>0</x:v>
      </x:c>
      <x:c r="O644" s="13" t="n">
        <x:f>F644/E644</x:f>
        <x:v>0</x:v>
      </x:c>
      <x:c r="P644" s="2" t="str">
        <x:f>IF(AND(E644&gt;='Итоги'!$F$5,N644&lt;='Итоги'!$B$5,O644&gt;='Итоги'!$D$5),"Да","Нет")</x:f>
        <x:v>Нет</x:v>
      </x:c>
    </x:row>
    <x:row r="645" ht="60" customHeight="1">
      <x:c r="A645" s="14" t="str">
        <x:v>Спорт и отдых</x:v>
      </x:c>
      <x:c r="B645" s="14" t="str">
        <x:v>Зимние виды спорта</x:v>
      </x:c>
      <x:c r="C645" s="14" t="str">
        <x:v>Фигурное катание</x:v>
      </x:c>
      <x:c r="D645" s="14" t="str">
        <x:v>Сумки и чехлы для коньков</x:v>
      </x:c>
      <x:c r="E645" s="2" t="n">
        <x:v>1</x:v>
      </x:c>
      <x:c r="F645" s="2" t="n">
        <x:v>0</x:v>
      </x:c>
      <x:c r="G645" s="12" t="n">
        <x:v>16363</x:v>
      </x:c>
      <x:c r="H645" s="12" t="n">
        <x:v>0</x:v>
      </x:c>
      <x:c r="I645" s="13" t="n">
        <x:v>0</x:v>
      </x:c>
      <x:c r="J645" s="2" t="n">
        <x:v>1</x:v>
      </x:c>
      <x:c r="K645" s="2" t="n">
        <x:v>1</x:v>
      </x:c>
      <x:c r="L645" s="12" t="n">
        <x:v>8181.5</x:v>
      </x:c>
      <x:c r="M645" s="13" t="n">
        <x:v>1</x:v>
      </x:c>
      <x:c r="N645" s="13" t="n">
        <x:f>H645/G645</x:f>
        <x:v>0</x:v>
      </x:c>
      <x:c r="O645" s="13" t="n">
        <x:f>F645/E645</x:f>
        <x:v>0</x:v>
      </x:c>
      <x:c r="P645" s="2" t="str">
        <x:f>IF(AND(E645&gt;='Итоги'!$F$5,N645&lt;='Итоги'!$B$5,O645&gt;='Итоги'!$D$5),"Да","Нет")</x:f>
        <x:v>Нет</x:v>
      </x:c>
    </x:row>
    <x:row r="646" ht="60" customHeight="1">
      <x:c r="A646" s="14" t="str">
        <x:v>Спорт и отдых</x:v>
      </x:c>
      <x:c r="B646" s="14" t="str">
        <x:v>Колесный транспорт</x:v>
      </x:c>
      <x:c r="C646" s="14" t="str">
        <x:v>Ролики</x:v>
      </x:c>
      <x:c r="D646" s="14" t="str">
        <x:v>Сумка, чехол для роликов</x:v>
      </x:c>
      <x:c r="E646" s="2" t="n">
        <x:v>1</x:v>
      </x:c>
      <x:c r="F646" s="2" t="n">
        <x:v>0</x:v>
      </x:c>
      <x:c r="G646" s="12" t="n">
        <x:v>100969</x:v>
      </x:c>
      <x:c r="H646" s="12" t="n">
        <x:v>0</x:v>
      </x:c>
      <x:c r="I646" s="13" t="n">
        <x:v>0</x:v>
      </x:c>
      <x:c r="J646" s="2" t="n">
        <x:v>1</x:v>
      </x:c>
      <x:c r="K646" s="2" t="n">
        <x:v>1</x:v>
      </x:c>
      <x:c r="L646" s="12" t="n">
        <x:v>1109.5495</x:v>
      </x:c>
      <x:c r="M646" s="13" t="n">
        <x:v>1</x:v>
      </x:c>
      <x:c r="N646" s="13" t="n">
        <x:f>H646/G646</x:f>
        <x:v>0</x:v>
      </x:c>
      <x:c r="O646" s="13" t="n">
        <x:f>F646/E646</x:f>
        <x:v>0</x:v>
      </x:c>
      <x:c r="P646" s="2" t="str">
        <x:f>IF(AND(E646&gt;='Итоги'!$F$5,N646&lt;='Итоги'!$B$5,O646&gt;='Итоги'!$D$5),"Да","Нет")</x:f>
        <x:v>Нет</x:v>
      </x:c>
    </x:row>
    <x:row r="647" ht="60" customHeight="1">
      <x:c r="A647" s="14" t="str">
        <x:v>Спорт и отдых</x:v>
      </x:c>
      <x:c r="B647" s="14" t="str">
        <x:v>Страйкбол и пневматика</x:v>
      </x:c>
      <x:c r="C647" s="14" t="str">
        <x:v>Пейнтбол и лазертаг</x:v>
      </x:c>
      <x:c r="D647" s="14" t="str">
        <x:v>Шары для пейнтбола</x:v>
      </x:c>
      <x:c r="E647" s="2" t="n">
        <x:v>1</x:v>
      </x:c>
      <x:c r="F647" s="2" t="n">
        <x:v>0</x:v>
      </x:c>
      <x:c r="G647" s="12" t="n">
        <x:v>435897.8211</x:v>
      </x:c>
      <x:c r="H647" s="12" t="n">
        <x:v>0</x:v>
      </x:c>
      <x:c r="I647" s="13" t="n">
        <x:v>0</x:v>
      </x:c>
      <x:c r="J647" s="2" t="n">
        <x:v>1</x:v>
      </x:c>
      <x:c r="K647" s="2" t="n">
        <x:v>1</x:v>
      </x:c>
      <x:c r="L647" s="12" t="n">
        <x:v>1972.3883</x:v>
      </x:c>
      <x:c r="M647" s="13" t="n">
        <x:v>1</x:v>
      </x:c>
      <x:c r="N647" s="13" t="n">
        <x:f>H647/G647</x:f>
        <x:v>0</x:v>
      </x:c>
      <x:c r="O647" s="13" t="n">
        <x:f>F647/E647</x:f>
        <x:v>0</x:v>
      </x:c>
      <x:c r="P647" s="2" t="str">
        <x:f>IF(AND(E647&gt;='Итоги'!$F$5,N647&lt;='Итоги'!$B$5,O647&gt;='Итоги'!$D$5),"Да","Нет")</x:f>
        <x:v>Нет</x:v>
      </x:c>
    </x:row>
    <x:row r="648" ht="60" customHeight="1">
      <x:c r="A648" s="14" t="str">
        <x:v>Спорт и отдых</x:v>
      </x:c>
      <x:c r="B648" s="14" t="str">
        <x:v>Товары для охоты</x:v>
      </x:c>
      <x:c r="C648" s="14" t="str">
        <x:v>Аксессуары для охотничьего оружия</x:v>
      </x:c>
      <x:c r="D648" s="14" t="str">
        <x:v>Ложе оружейное</x:v>
      </x:c>
      <x:c r="E648" s="2" t="n">
        <x:v>1</x:v>
      </x:c>
      <x:c r="F648" s="2" t="n">
        <x:v>0</x:v>
      </x:c>
      <x:c r="G648" s="12" t="n">
        <x:v>41548</x:v>
      </x:c>
      <x:c r="H648" s="12" t="n">
        <x:v>0</x:v>
      </x:c>
      <x:c r="I648" s="13" t="n">
        <x:v>0</x:v>
      </x:c>
      <x:c r="J648" s="2" t="n">
        <x:v>1</x:v>
      </x:c>
      <x:c r="K648" s="2" t="n">
        <x:v>1</x:v>
      </x:c>
      <x:c r="L648" s="12" t="n">
        <x:v>41548</x:v>
      </x:c>
      <x:c r="M648" s="13" t="n">
        <x:v>1</x:v>
      </x:c>
      <x:c r="N648" s="13" t="n">
        <x:f>H648/G648</x:f>
        <x:v>0</x:v>
      </x:c>
      <x:c r="O648" s="13" t="n">
        <x:f>F648/E648</x:f>
        <x:v>0</x:v>
      </x:c>
      <x:c r="P648" s="2" t="str">
        <x:f>IF(AND(E648&gt;='Итоги'!$F$5,N648&lt;='Итоги'!$B$5,O648&gt;='Итоги'!$D$5),"Да","Нет")</x:f>
        <x:v>Нет</x:v>
      </x:c>
    </x:row>
    <x:row r="649" ht="60" customHeight="1">
      <x:c r="A649" s="14" t="str">
        <x:v>Спорт и отдых</x:v>
      </x:c>
      <x:c r="B649" s="14" t="str">
        <x:v>Товары для охоты</x:v>
      </x:c>
      <x:c r="C649" s="14" t="str">
        <x:v>Аксессуары для охотничьего оружия</x:v>
      </x:c>
      <x:c r="D649" s="14" t="str">
        <x:v>Мушка, целик</x:v>
      </x:c>
      <x:c r="E649" s="2" t="n">
        <x:v>1</x:v>
      </x:c>
      <x:c r="F649" s="2" t="n">
        <x:v>0</x:v>
      </x:c>
      <x:c r="G649" s="12" t="n">
        <x:v>85434</x:v>
      </x:c>
      <x:c r="H649" s="12" t="n">
        <x:v>0</x:v>
      </x:c>
      <x:c r="I649" s="13" t="n">
        <x:v>0</x:v>
      </x:c>
      <x:c r="J649" s="2" t="n">
        <x:v>1</x:v>
      </x:c>
      <x:c r="K649" s="2" t="n">
        <x:v>1</x:v>
      </x:c>
      <x:c r="L649" s="12" t="n">
        <x:v>982</x:v>
      </x:c>
      <x:c r="M649" s="13" t="n">
        <x:v>1</x:v>
      </x:c>
      <x:c r="N649" s="13" t="n">
        <x:f>H649/G649</x:f>
        <x:v>0</x:v>
      </x:c>
      <x:c r="O649" s="13" t="n">
        <x:f>F649/E649</x:f>
        <x:v>0</x:v>
      </x:c>
      <x:c r="P649" s="2" t="str">
        <x:f>IF(AND(E649&gt;='Итоги'!$F$5,N649&lt;='Итоги'!$B$5,O649&gt;='Итоги'!$D$5),"Да","Нет")</x:f>
        <x:v>Нет</x:v>
      </x:c>
    </x:row>
    <x:row r="650" ht="60" customHeight="1">
      <x:c r="A650" s="14" t="str">
        <x:v>Спорт и отдых</x:v>
      </x:c>
      <x:c r="B650" s="14" t="str">
        <x:v>Товары для охоты</x:v>
      </x:c>
      <x:c r="C650" s="14" t="str">
        <x:v>Аксессуары для охоты</x:v>
      </x:c>
      <x:c r="D650" s="14" t="str">
        <x:v>Приманка для охоты</x:v>
      </x:c>
      <x:c r="E650" s="2" t="n">
        <x:v>1</x:v>
      </x:c>
      <x:c r="F650" s="2" t="n">
        <x:v>0</x:v>
      </x:c>
      <x:c r="G650" s="12" t="n">
        <x:v>103798</x:v>
      </x:c>
      <x:c r="H650" s="12" t="n">
        <x:v>0</x:v>
      </x:c>
      <x:c r="I650" s="13" t="n">
        <x:v>0</x:v>
      </x:c>
      <x:c r="J650" s="2" t="n">
        <x:v>1</x:v>
      </x:c>
      <x:c r="K650" s="2" t="n">
        <x:v>1</x:v>
      </x:c>
      <x:c r="L650" s="12" t="n">
        <x:v>4718.0909</x:v>
      </x:c>
      <x:c r="M650" s="13" t="n">
        <x:v>1</x:v>
      </x:c>
      <x:c r="N650" s="13" t="n">
        <x:f>H650/G650</x:f>
        <x:v>0</x:v>
      </x:c>
      <x:c r="O650" s="13" t="n">
        <x:f>F650/E650</x:f>
        <x:v>0</x:v>
      </x:c>
      <x:c r="P650" s="2" t="str">
        <x:f>IF(AND(E650&gt;='Итоги'!$F$5,N650&lt;='Итоги'!$B$5,O650&gt;='Итоги'!$D$5),"Да","Нет")</x:f>
        <x:v>Нет</x:v>
      </x:c>
    </x:row>
    <x:row r="651" ht="60" customHeight="1">
      <x:c r="A651" s="14" t="str">
        <x:v>Спорт и отдых</x:v>
      </x:c>
      <x:c r="B651" s="14" t="str">
        <x:v>Товары для охоты</x:v>
      </x:c>
      <x:c r="C651" s="14" t="str">
        <x:v>Сумка, чехол, кейс для охоты</x:v>
      </x:c>
      <x:c r="D651" s="14" t="str">
        <x:v>Кейс охотничий</x:v>
      </x:c>
      <x:c r="E651" s="2" t="n">
        <x:v>1</x:v>
      </x:c>
      <x:c r="F651" s="2" t="n">
        <x:v>0</x:v>
      </x:c>
      <x:c r="G651" s="12" t="n">
        <x:v>63641.4903</x:v>
      </x:c>
      <x:c r="H651" s="12" t="n">
        <x:v>0</x:v>
      </x:c>
      <x:c r="I651" s="13" t="n">
        <x:v>0</x:v>
      </x:c>
      <x:c r="J651" s="2" t="n">
        <x:v>1</x:v>
      </x:c>
      <x:c r="K651" s="2" t="n">
        <x:v>1</x:v>
      </x:c>
      <x:c r="L651" s="12" t="n">
        <x:v>2651.7288</x:v>
      </x:c>
      <x:c r="M651" s="13" t="n">
        <x:v>1</x:v>
      </x:c>
      <x:c r="N651" s="13" t="n">
        <x:f>H651/G651</x:f>
        <x:v>0</x:v>
      </x:c>
      <x:c r="O651" s="13" t="n">
        <x:f>F651/E651</x:f>
        <x:v>0</x:v>
      </x:c>
      <x:c r="P651" s="2" t="str">
        <x:f>IF(AND(E651&gt;='Итоги'!$F$5,N651&lt;='Итоги'!$B$5,O651&gt;='Итоги'!$D$5),"Да","Нет")</x:f>
        <x:v>Нет</x:v>
      </x:c>
    </x:row>
    <x:row r="652" ht="60" customHeight="1">
      <x:c r="A652" s="14" t="str">
        <x:v>Спорт и отдых</x:v>
      </x:c>
      <x:c r="B652" s="14" t="str">
        <x:v>Товары для охоты</x:v>
      </x:c>
      <x:c r="C652" s="14" t="str">
        <x:v>Уход за охотничьим оружием</x:v>
      </x:c>
      <x:c r="D652" s="14" t="str">
        <x:v>Патч для чистки оружия</x:v>
      </x:c>
      <x:c r="E652" s="2" t="n">
        <x:v>1</x:v>
      </x:c>
      <x:c r="F652" s="2" t="n">
        <x:v>0</x:v>
      </x:c>
      <x:c r="G652" s="12" t="n">
        <x:v>160375.5565</x:v>
      </x:c>
      <x:c r="H652" s="12" t="n">
        <x:v>0</x:v>
      </x:c>
      <x:c r="I652" s="13" t="n">
        <x:v>0</x:v>
      </x:c>
      <x:c r="J652" s="2" t="n">
        <x:v>1</x:v>
      </x:c>
      <x:c r="K652" s="2" t="n">
        <x:v>1</x:v>
      </x:c>
      <x:c r="L652" s="12" t="n">
        <x:v>996.1215</x:v>
      </x:c>
      <x:c r="M652" s="13" t="n">
        <x:v>1</x:v>
      </x:c>
      <x:c r="N652" s="13" t="n">
        <x:f>H652/G652</x:f>
        <x:v>0</x:v>
      </x:c>
      <x:c r="O652" s="13" t="n">
        <x:f>F652/E652</x:f>
        <x:v>0</x:v>
      </x:c>
      <x:c r="P652" s="2" t="str">
        <x:f>IF(AND(E652&gt;='Итоги'!$F$5,N652&lt;='Итоги'!$B$5,O652&gt;='Итоги'!$D$5),"Да","Нет")</x:f>
        <x:v>Нет</x:v>
      </x:c>
    </x:row>
    <x:row r="653" ht="60" customHeight="1">
      <x:c r="A653" s="14" t="str">
        <x:v>Спорт и отдых</x:v>
      </x:c>
      <x:c r="B653" s="14" t="str">
        <x:v>Товары для рыбалки</x:v>
      </x:c>
      <x:c r="C653" s="14" t="str">
        <x:v>Зимняя рыбалка</x:v>
      </x:c>
      <x:c r="D653" s="14" t="str">
        <x:v>Ледобур рыболовный</x:v>
      </x:c>
      <x:c r="E653" s="2" t="n">
        <x:v>1</x:v>
      </x:c>
      <x:c r="F653" s="2" t="n">
        <x:v>0</x:v>
      </x:c>
      <x:c r="G653" s="12" t="n">
        <x:v>114681</x:v>
      </x:c>
      <x:c r="H653" s="12" t="n">
        <x:v>0</x:v>
      </x:c>
      <x:c r="I653" s="13" t="n">
        <x:v>0</x:v>
      </x:c>
      <x:c r="J653" s="2" t="n">
        <x:v>1</x:v>
      </x:c>
      <x:c r="K653" s="2" t="n">
        <x:v>1</x:v>
      </x:c>
      <x:c r="L653" s="12" t="n">
        <x:v>2293.62</x:v>
      </x:c>
      <x:c r="M653" s="13" t="n">
        <x:v>1</x:v>
      </x:c>
      <x:c r="N653" s="13" t="n">
        <x:f>H653/G653</x:f>
        <x:v>0</x:v>
      </x:c>
      <x:c r="O653" s="13" t="n">
        <x:f>F653/E653</x:f>
        <x:v>0</x:v>
      </x:c>
      <x:c r="P653" s="2" t="str">
        <x:f>IF(AND(E653&gt;='Итоги'!$F$5,N653&lt;='Итоги'!$B$5,O653&gt;='Итоги'!$D$5),"Да","Нет")</x:f>
        <x:v>Нет</x:v>
      </x:c>
    </x:row>
    <x:row r="654" ht="60" customHeight="1">
      <x:c r="A654" s="14" t="str">
        <x:v>Спорт и отдых</x:v>
      </x:c>
      <x:c r="B654" s="14" t="str">
        <x:v>Товары для рыбалки</x:v>
      </x:c>
      <x:c r="C654" s="14" t="str">
        <x:v>Обувь для рыбалки</x:v>
      </x:c>
      <x:c r="D654" s="14" t="str">
        <x:v>Ботинки для рыбалки</x:v>
      </x:c>
      <x:c r="E654" s="2" t="n">
        <x:v>1</x:v>
      </x:c>
      <x:c r="F654" s="2" t="n">
        <x:v>0</x:v>
      </x:c>
      <x:c r="G654" s="12" t="n">
        <x:v>13137</x:v>
      </x:c>
      <x:c r="H654" s="12" t="n">
        <x:v>0</x:v>
      </x:c>
      <x:c r="I654" s="13" t="n">
        <x:v>0</x:v>
      </x:c>
      <x:c r="J654" s="2" t="n">
        <x:v>1</x:v>
      </x:c>
      <x:c r="K654" s="2" t="n">
        <x:v>1</x:v>
      </x:c>
      <x:c r="L654" s="12" t="n">
        <x:v>6568.5</x:v>
      </x:c>
      <x:c r="M654" s="13" t="n">
        <x:v>1</x:v>
      </x:c>
      <x:c r="N654" s="13" t="n">
        <x:f>H654/G654</x:f>
        <x:v>0</x:v>
      </x:c>
      <x:c r="O654" s="13" t="n">
        <x:f>F654/E654</x:f>
        <x:v>0</x:v>
      </x:c>
      <x:c r="P654" s="2" t="str">
        <x:f>IF(AND(E654&gt;='Итоги'!$F$5,N654&lt;='Итоги'!$B$5,O654&gt;='Итоги'!$D$5),"Да","Нет")</x:f>
        <x:v>Нет</x:v>
      </x:c>
    </x:row>
    <x:row r="655" ht="60" customHeight="1">
      <x:c r="A655" s="14" t="str">
        <x:v>Спорт и отдых</x:v>
      </x:c>
      <x:c r="B655" s="14" t="str">
        <x:v>Товары для рыбалки</x:v>
      </x:c>
      <x:c r="C655" s="14" t="str">
        <x:v>Одежда для рыбалки</x:v>
      </x:c>
      <x:c r="D655" s="14" t="str">
        <x:v>Бейсболка/кепка для рыбалки</x:v>
      </x:c>
      <x:c r="E655" s="2" t="n">
        <x:v>1</x:v>
      </x:c>
      <x:c r="F655" s="2" t="n">
        <x:v>0</x:v>
      </x:c>
      <x:c r="G655" s="12" t="n">
        <x:v>192079.9899</x:v>
      </x:c>
      <x:c r="H655" s="12" t="n">
        <x:v>0</x:v>
      </x:c>
      <x:c r="I655" s="13" t="n">
        <x:v>0</x:v>
      </x:c>
      <x:c r="J655" s="2" t="n">
        <x:v>1</x:v>
      </x:c>
      <x:c r="K655" s="2" t="n">
        <x:v>1</x:v>
      </x:c>
      <x:c r="L655" s="12" t="n">
        <x:v>1477.5384</x:v>
      </x:c>
      <x:c r="M655" s="13" t="n">
        <x:v>1</x:v>
      </x:c>
      <x:c r="N655" s="13" t="n">
        <x:f>H655/G655</x:f>
        <x:v>0</x:v>
      </x:c>
      <x:c r="O655" s="13" t="n">
        <x:f>F655/E655</x:f>
        <x:v>0</x:v>
      </x:c>
      <x:c r="P655" s="2" t="str">
        <x:f>IF(AND(E655&gt;='Итоги'!$F$5,N655&lt;='Итоги'!$B$5,O655&gt;='Итоги'!$D$5),"Да","Нет")</x:f>
        <x:v>Нет</x:v>
      </x:c>
    </x:row>
    <x:row r="656" ht="60" customHeight="1">
      <x:c r="A656" s="14" t="str">
        <x:v>Спорт и отдых</x:v>
      </x:c>
      <x:c r="B656" s="14" t="str">
        <x:v>Товары для рыбалки</x:v>
      </x:c>
      <x:c r="C656" s="14" t="str">
        <x:v>Одежда для рыбалки</x:v>
      </x:c>
      <x:c r="D656" s="14" t="str">
        <x:v>Костюм рыболовный утепленный</x:v>
      </x:c>
      <x:c r="E656" s="2" t="n">
        <x:v>1</x:v>
      </x:c>
      <x:c r="F656" s="2" t="n">
        <x:v>0</x:v>
      </x:c>
      <x:c r="G656" s="12" t="n">
        <x:v>15816</x:v>
      </x:c>
      <x:c r="H656" s="12" t="n">
        <x:v>0</x:v>
      </x:c>
      <x:c r="I656" s="13" t="n">
        <x:v>0</x:v>
      </x:c>
      <x:c r="J656" s="2" t="n">
        <x:v>1</x:v>
      </x:c>
      <x:c r="K656" s="2" t="n">
        <x:v>1</x:v>
      </x:c>
      <x:c r="L656" s="12" t="n">
        <x:v>15816</x:v>
      </x:c>
      <x:c r="M656" s="13" t="n">
        <x:v>1</x:v>
      </x:c>
      <x:c r="N656" s="13" t="n">
        <x:f>H656/G656</x:f>
        <x:v>0</x:v>
      </x:c>
      <x:c r="O656" s="13" t="n">
        <x:f>F656/E656</x:f>
        <x:v>0</x:v>
      </x:c>
      <x:c r="P656" s="2" t="str">
        <x:f>IF(AND(E656&gt;='Итоги'!$F$5,N656&lt;='Итоги'!$B$5,O656&gt;='Итоги'!$D$5),"Да","Нет")</x:f>
        <x:v>Нет</x:v>
      </x:c>
    </x:row>
    <x:row r="657" ht="60" customHeight="1">
      <x:c r="A657" s="14" t="str">
        <x:v>Спорт и отдых</x:v>
      </x:c>
      <x:c r="B657" s="14" t="str">
        <x:v>Товары для рыбалки</x:v>
      </x:c>
      <x:c r="C657" s="14" t="str">
        <x:v>Ящик, коробка рыболовные</x:v>
      </x:c>
      <x:c r="D657" s="14" t="str">
        <x:v>Ящик для зимней рыбалки</x:v>
      </x:c>
      <x:c r="E657" s="2" t="n">
        <x:v>1</x:v>
      </x:c>
      <x:c r="F657" s="2" t="n">
        <x:v>0</x:v>
      </x:c>
      <x:c r="G657" s="12" t="n">
        <x:v>3972</x:v>
      </x:c>
      <x:c r="H657" s="12" t="n">
        <x:v>0</x:v>
      </x:c>
      <x:c r="I657" s="13" t="n">
        <x:v>0</x:v>
      </x:c>
      <x:c r="J657" s="2" t="n">
        <x:v>1</x:v>
      </x:c>
      <x:c r="K657" s="2" t="n">
        <x:v>1</x:v>
      </x:c>
      <x:c r="L657" s="12" t="n">
        <x:v>3972</x:v>
      </x:c>
      <x:c r="M657" s="13" t="n">
        <x:v>1</x:v>
      </x:c>
      <x:c r="N657" s="13" t="n">
        <x:f>H657/G657</x:f>
        <x:v>0</x:v>
      </x:c>
      <x:c r="O657" s="13" t="n">
        <x:f>F657/E657</x:f>
        <x:v>0</x:v>
      </x:c>
      <x:c r="P657" s="2" t="str">
        <x:f>IF(AND(E657&gt;='Итоги'!$F$5,N657&lt;='Итоги'!$B$5,O657&gt;='Итоги'!$D$5),"Да","Нет")</x:f>
        <x:v>Нет</x:v>
      </x:c>
    </x:row>
    <x:row r="658" ht="60" customHeight="1">
      <x:c r="A658" s="14" t="str">
        <x:v>Спорт и отдых</x:v>
      </x:c>
      <x:c r="B658" s="14" t="str">
        <x:v>Тренажеры и фитнес</x:v>
      </x:c>
      <x:c r="C658" s="14" t="str">
        <x:v>Йога, пилатес</x:v>
      </x:c>
      <x:c r="D658" s="14" t="str">
        <x:v>Утяжелитель для йоги, пилатеса</x:v>
      </x:c>
      <x:c r="E658" s="2" t="n">
        <x:v>1</x:v>
      </x:c>
      <x:c r="F658" s="2" t="n">
        <x:v>0</x:v>
      </x:c>
      <x:c r="G658" s="12" t="n">
        <x:v>210961.8024</x:v>
      </x:c>
      <x:c r="H658" s="12" t="n">
        <x:v>0</x:v>
      </x:c>
      <x:c r="I658" s="13" t="n">
        <x:v>0</x:v>
      </x:c>
      <x:c r="J658" s="2" t="n">
        <x:v>1</x:v>
      </x:c>
      <x:c r="K658" s="2" t="n">
        <x:v>1</x:v>
      </x:c>
      <x:c r="L658" s="12" t="n">
        <x:v>864.5976</x:v>
      </x:c>
      <x:c r="M658" s="13" t="n">
        <x:v>1</x:v>
      </x:c>
      <x:c r="N658" s="13" t="n">
        <x:f>H658/G658</x:f>
        <x:v>0</x:v>
      </x:c>
      <x:c r="O658" s="13" t="n">
        <x:f>F658/E658</x:f>
        <x:v>0</x:v>
      </x:c>
      <x:c r="P658" s="2" t="str">
        <x:f>IF(AND(E658&gt;='Итоги'!$F$5,N658&lt;='Итоги'!$B$5,O658&gt;='Итоги'!$D$5),"Да","Нет")</x:f>
        <x:v>Нет</x:v>
      </x:c>
    </x:row>
    <x:row r="659" ht="60" customHeight="1">
      <x:c r="A659" s="14" t="str">
        <x:v>Спорт и отдых</x:v>
      </x:c>
      <x:c r="B659" s="14" t="str">
        <x:v>Тренажеры и фитнес</x:v>
      </x:c>
      <x:c r="C659" s="14" t="str">
        <x:v>Танцы</x:v>
      </x:c>
      <x:c r="D659" s="14" t="str">
        <x:v>Оборудование для танцев</x:v>
      </x:c>
      <x:c r="E659" s="2" t="n">
        <x:v>1</x:v>
      </x:c>
      <x:c r="F659" s="2" t="n">
        <x:v>0</x:v>
      </x:c>
      <x:c r="G659" s="12" t="n">
        <x:v>151153</x:v>
      </x:c>
      <x:c r="H659" s="12" t="n">
        <x:v>0</x:v>
      </x:c>
      <x:c r="I659" s="13" t="n">
        <x:v>0</x:v>
      </x:c>
      <x:c r="J659" s="2" t="n">
        <x:v>1</x:v>
      </x:c>
      <x:c r="K659" s="2" t="n">
        <x:v>1</x:v>
      </x:c>
      <x:c r="L659" s="12" t="n">
        <x:v>10796.6429</x:v>
      </x:c>
      <x:c r="M659" s="13" t="n">
        <x:v>1</x:v>
      </x:c>
      <x:c r="N659" s="13" t="n">
        <x:f>H659/G659</x:f>
        <x:v>0</x:v>
      </x:c>
      <x:c r="O659" s="13" t="n">
        <x:f>F659/E659</x:f>
        <x:v>0</x:v>
      </x:c>
      <x:c r="P659" s="2" t="str">
        <x:f>IF(AND(E659&gt;='Итоги'!$F$5,N659&lt;='Итоги'!$B$5,O659&gt;='Итоги'!$D$5),"Да","Нет")</x:f>
        <x:v>Нет</x:v>
      </x:c>
    </x:row>
    <x:row r="660" ht="60" customHeight="1">
      <x:c r="A660" s="14" t="str">
        <x:v>Спорт и отдых</x:v>
      </x:c>
      <x:c r="B660" s="14" t="str">
        <x:v>Тренажеры и фитнес</x:v>
      </x:c>
      <x:c r="C660" s="14" t="str">
        <x:v>Фитнес</x:v>
      </x:c>
      <x:c r="D660" s="14" t="str">
        <x:v>Аксессуары для фитнеса</x:v>
      </x:c>
      <x:c r="E660" s="2" t="n">
        <x:v>1</x:v>
      </x:c>
      <x:c r="F660" s="2" t="n">
        <x:v>0</x:v>
      </x:c>
      <x:c r="G660" s="12" t="n">
        <x:v>90481</x:v>
      </x:c>
      <x:c r="H660" s="12" t="n">
        <x:v>0</x:v>
      </x:c>
      <x:c r="I660" s="13" t="n">
        <x:v>0</x:v>
      </x:c>
      <x:c r="J660" s="2" t="n">
        <x:v>1</x:v>
      </x:c>
      <x:c r="K660" s="2" t="n">
        <x:v>1</x:v>
      </x:c>
      <x:c r="L660" s="12" t="n">
        <x:v>18096.2</x:v>
      </x:c>
      <x:c r="M660" s="13" t="n">
        <x:v>1</x:v>
      </x:c>
      <x:c r="N660" s="13" t="n">
        <x:f>H660/G660</x:f>
        <x:v>0</x:v>
      </x:c>
      <x:c r="O660" s="13" t="n">
        <x:f>F660/E660</x:f>
        <x:v>0</x:v>
      </x:c>
      <x:c r="P660" s="2" t="str">
        <x:f>IF(AND(E660&gt;='Итоги'!$F$5,N660&lt;='Итоги'!$B$5,O660&gt;='Итоги'!$D$5),"Да","Нет")</x:f>
        <x:v>Нет</x:v>
      </x:c>
    </x:row>
    <x:row r="661" ht="60" customHeight="1">
      <x:c r="A661" s="14" t="str">
        <x:v>Спорт и отдых</x:v>
      </x:c>
      <x:c r="B661" s="14" t="str">
        <x:v>Тренажеры и фитнес</x:v>
      </x:c>
      <x:c r="C661" s="14" t="str">
        <x:v>Фитнес</x:v>
      </x:c>
      <x:c r="D661" s="14" t="str">
        <x:v>Спортивный массажер разогревочный</x:v>
      </x:c>
      <x:c r="E661" s="2" t="n">
        <x:v>1</x:v>
      </x:c>
      <x:c r="F661" s="2" t="n">
        <x:v>0</x:v>
      </x:c>
      <x:c r="G661" s="12" t="n">
        <x:v>506786.5255</x:v>
      </x:c>
      <x:c r="H661" s="12" t="n">
        <x:v>0</x:v>
      </x:c>
      <x:c r="I661" s="13" t="n">
        <x:v>0</x:v>
      </x:c>
      <x:c r="J661" s="2" t="n">
        <x:v>1</x:v>
      </x:c>
      <x:c r="K661" s="2" t="n">
        <x:v>1</x:v>
      </x:c>
      <x:c r="L661" s="12" t="n">
        <x:v>13696.9331</x:v>
      </x:c>
      <x:c r="M661" s="13" t="n">
        <x:v>1</x:v>
      </x:c>
      <x:c r="N661" s="13" t="n">
        <x:f>H661/G661</x:f>
        <x:v>0</x:v>
      </x:c>
      <x:c r="O661" s="13" t="n">
        <x:f>F661/E661</x:f>
        <x:v>0</x:v>
      </x:c>
      <x:c r="P661" s="2" t="str">
        <x:f>IF(AND(E661&gt;='Итоги'!$F$5,N661&lt;='Итоги'!$B$5,O661&gt;='Итоги'!$D$5),"Да","Нет")</x:f>
        <x:v>Нет</x:v>
      </x:c>
    </x:row>
    <x:row r="662" ht="60" customHeight="1">
      <x:c r="A662" s="14" t="str">
        <x:v>Спорт и отдых</x:v>
      </x:c>
      <x:c r="B662" s="14" t="str">
        <x:v>Тренажеры и фитнес</x:v>
      </x:c>
      <x:c r="C662" s="14" t="str">
        <x:v>Художественная гимнастика</x:v>
      </x:c>
      <x:c r="D662" s="14" t="str">
        <x:v>Лента для гимнастики</x:v>
      </x:c>
      <x:c r="E662" s="2" t="n">
        <x:v>1</x:v>
      </x:c>
      <x:c r="F662" s="2" t="n">
        <x:v>0</x:v>
      </x:c>
      <x:c r="G662" s="12" t="n">
        <x:v>30971</x:v>
      </x:c>
      <x:c r="H662" s="12" t="n">
        <x:v>0</x:v>
      </x:c>
      <x:c r="I662" s="13" t="n">
        <x:v>0</x:v>
      </x:c>
      <x:c r="J662" s="2" t="n">
        <x:v>1</x:v>
      </x:c>
      <x:c r="K662" s="2" t="n">
        <x:v>1</x:v>
      </x:c>
      <x:c r="L662" s="12" t="n">
        <x:v>3097.1</x:v>
      </x:c>
      <x:c r="M662" s="13" t="n">
        <x:v>1</x:v>
      </x:c>
      <x:c r="N662" s="13" t="n">
        <x:f>H662/G662</x:f>
        <x:v>0</x:v>
      </x:c>
      <x:c r="O662" s="13" t="n">
        <x:f>F662/E662</x:f>
        <x:v>0</x:v>
      </x:c>
      <x:c r="P662" s="2" t="str">
        <x:f>IF(AND(E662&gt;='Итоги'!$F$5,N662&lt;='Итоги'!$B$5,O662&gt;='Итоги'!$D$5),"Да","Нет")</x:f>
        <x:v>Нет</x:v>
      </x:c>
    </x:row>
    <x:row r="663" ht="60" customHeight="1">
      <x:c r="A663" s="14" t="str">
        <x:v>Спорт и отдых</x:v>
      </x:c>
      <x:c r="B663" s="14" t="str">
        <x:v>Туризм</x:v>
      </x:c>
      <x:c r="C663" s="14" t="str">
        <x:v>Инструменты для туризма</x:v>
      </x:c>
      <x:c r="D663" s="14" t="str">
        <x:v>Пила туристическая</x:v>
      </x:c>
      <x:c r="E663" s="2" t="n">
        <x:v>1</x:v>
      </x:c>
      <x:c r="F663" s="2" t="n">
        <x:v>0</x:v>
      </x:c>
      <x:c r="G663" s="12" t="n">
        <x:v>136453.6234</x:v>
      </x:c>
      <x:c r="H663" s="12" t="n">
        <x:v>0</x:v>
      </x:c>
      <x:c r="I663" s="13" t="n">
        <x:v>0</x:v>
      </x:c>
      <x:c r="J663" s="2" t="n">
        <x:v>1</x:v>
      </x:c>
      <x:c r="K663" s="2" t="n">
        <x:v>1</x:v>
      </x:c>
      <x:c r="L663" s="12" t="n">
        <x:v>967.7562</x:v>
      </x:c>
      <x:c r="M663" s="13" t="n">
        <x:v>1</x:v>
      </x:c>
      <x:c r="N663" s="13" t="n">
        <x:f>H663/G663</x:f>
        <x:v>0</x:v>
      </x:c>
      <x:c r="O663" s="13" t="n">
        <x:f>F663/E663</x:f>
        <x:v>0</x:v>
      </x:c>
      <x:c r="P663" s="2" t="str">
        <x:f>IF(AND(E663&gt;='Итоги'!$F$5,N663&lt;='Итоги'!$B$5,O663&gt;='Итоги'!$D$5),"Да","Нет")</x:f>
        <x:v>Нет</x:v>
      </x:c>
    </x:row>
    <x:row r="664" ht="60" customHeight="1">
      <x:c r="A664" s="14" t="str">
        <x:v>Спорт и отдых</x:v>
      </x:c>
      <x:c r="B664" s="14" t="str">
        <x:v>Туризм</x:v>
      </x:c>
      <x:c r="C664" s="14" t="str">
        <x:v>Металлоискатель</x:v>
      </x:c>
      <x:c r="D664" s="14" t="str">
        <x:v>Катушка для металлоискателя</x:v>
      </x:c>
      <x:c r="E664" s="2" t="n">
        <x:v>1</x:v>
      </x:c>
      <x:c r="F664" s="2" t="n">
        <x:v>0</x:v>
      </x:c>
      <x:c r="G664" s="12" t="n">
        <x:v>8759</x:v>
      </x:c>
      <x:c r="H664" s="12" t="n">
        <x:v>0</x:v>
      </x:c>
      <x:c r="I664" s="13" t="n">
        <x:v>0</x:v>
      </x:c>
      <x:c r="J664" s="2" t="n">
        <x:v>1</x:v>
      </x:c>
      <x:c r="K664" s="2" t="n">
        <x:v>1</x:v>
      </x:c>
      <x:c r="L664" s="12" t="n">
        <x:v>8759</x:v>
      </x:c>
      <x:c r="M664" s="13" t="n">
        <x:v>1</x:v>
      </x:c>
      <x:c r="N664" s="13" t="n">
        <x:f>H664/G664</x:f>
        <x:v>0</x:v>
      </x:c>
      <x:c r="O664" s="13" t="n">
        <x:f>F664/E664</x:f>
        <x:v>0</x:v>
      </x:c>
      <x:c r="P664" s="2" t="str">
        <x:f>IF(AND(E664&gt;='Итоги'!$F$5,N664&lt;='Итоги'!$B$5,O664&gt;='Итоги'!$D$5),"Да","Нет")</x:f>
        <x:v>Нет</x:v>
      </x:c>
    </x:row>
    <x:row r="665" ht="60" customHeight="1">
      <x:c r="A665" s="14" t="str">
        <x:v>Спорт и отдых</x:v>
      </x:c>
      <x:c r="B665" s="14" t="str">
        <x:v>Туризм</x:v>
      </x:c>
      <x:c r="C665" s="14" t="str">
        <x:v>Снаряжение для альпинизма и скалолазания</x:v>
      </x:c>
      <x:c r="D665" s="14" t="str">
        <x:v>Лопата лавинная</x:v>
      </x:c>
      <x:c r="E665" s="2" t="n">
        <x:v>1</x:v>
      </x:c>
      <x:c r="F665" s="2" t="n">
        <x:v>0</x:v>
      </x:c>
      <x:c r="G665" s="12" t="n">
        <x:v>16563</x:v>
      </x:c>
      <x:c r="H665" s="12" t="n">
        <x:v>0</x:v>
      </x:c>
      <x:c r="I665" s="13" t="n">
        <x:v>0</x:v>
      </x:c>
      <x:c r="J665" s="2" t="n">
        <x:v>1</x:v>
      </x:c>
      <x:c r="K665" s="2" t="n">
        <x:v>1</x:v>
      </x:c>
      <x:c r="L665" s="12" t="n">
        <x:v>8281.5</x:v>
      </x:c>
      <x:c r="M665" s="13" t="n">
        <x:v>1</x:v>
      </x:c>
      <x:c r="N665" s="13" t="n">
        <x:f>H665/G665</x:f>
        <x:v>0</x:v>
      </x:c>
      <x:c r="O665" s="13" t="n">
        <x:f>F665/E665</x:f>
        <x:v>0</x:v>
      </x:c>
      <x:c r="P665" s="2" t="str">
        <x:f>IF(AND(E665&gt;='Итоги'!$F$5,N665&lt;='Итоги'!$B$5,O665&gt;='Итоги'!$D$5),"Да","Нет")</x:f>
        <x:v>Нет</x:v>
      </x:c>
    </x:row>
    <x:row r="666" ht="60" customHeight="1">
      <x:c r="A666" s="14" t="str">
        <x:v>Строительство и ремонт (DIY)</x:v>
      </x:c>
      <x:c r="B666" s="14" t="str">
        <x:v>Инструменты</x:v>
      </x:c>
      <x:c r="C666" s="14" t="str">
        <x:v>Инструмент ручной для строительства, ремонта</x:v>
      </x:c>
      <x:c r="D666" s="14" t="str">
        <x:v>Наковальня</x:v>
      </x:c>
      <x:c r="E666" s="2" t="n">
        <x:v>1</x:v>
      </x:c>
      <x:c r="F666" s="2" t="n">
        <x:v>0</x:v>
      </x:c>
      <x:c r="G666" s="12" t="n">
        <x:v>18981</x:v>
      </x:c>
      <x:c r="H666" s="12" t="n">
        <x:v>0</x:v>
      </x:c>
      <x:c r="I666" s="13" t="n">
        <x:v>0</x:v>
      </x:c>
      <x:c r="J666" s="2" t="n">
        <x:v>1</x:v>
      </x:c>
      <x:c r="K666" s="2" t="n">
        <x:v>1</x:v>
      </x:c>
      <x:c r="L666" s="12" t="n">
        <x:v>6327</x:v>
      </x:c>
      <x:c r="M666" s="13" t="n">
        <x:v>1</x:v>
      </x:c>
      <x:c r="N666" s="13" t="n">
        <x:f>H666/G666</x:f>
        <x:v>0</x:v>
      </x:c>
      <x:c r="O666" s="13" t="n">
        <x:f>F666/E666</x:f>
        <x:v>0</x:v>
      </x:c>
      <x:c r="P666" s="2" t="str">
        <x:f>IF(AND(E666&gt;='Итоги'!$F$5,N666&lt;='Итоги'!$B$5,O666&gt;='Итоги'!$D$5),"Да","Нет")</x:f>
        <x:v>Нет</x:v>
      </x:c>
    </x:row>
    <x:row r="667" ht="60" customHeight="1">
      <x:c r="A667" s="14" t="str">
        <x:v>Строительство и ремонт (DIY)</x:v>
      </x:c>
      <x:c r="B667" s="14" t="str">
        <x:v>Инструменты</x:v>
      </x:c>
      <x:c r="C667" s="14" t="str">
        <x:v>Инструмент ручной для строительства, ремонта</x:v>
      </x:c>
      <x:c r="D667" s="14" t="str">
        <x:v>Разметочный инструмент</x:v>
      </x:c>
      <x:c r="E667" s="2" t="n">
        <x:v>1</x:v>
      </x:c>
      <x:c r="F667" s="2" t="n">
        <x:v>0</x:v>
      </x:c>
      <x:c r="G667" s="12" t="n">
        <x:v>179268.6256</x:v>
      </x:c>
      <x:c r="H667" s="12" t="n">
        <x:v>0</x:v>
      </x:c>
      <x:c r="I667" s="13" t="n">
        <x:v>0</x:v>
      </x:c>
      <x:c r="J667" s="2" t="n">
        <x:v>1</x:v>
      </x:c>
      <x:c r="K667" s="2" t="n">
        <x:v>1</x:v>
      </x:c>
      <x:c r="L667" s="12" t="n">
        <x:v>995.9368</x:v>
      </x:c>
      <x:c r="M667" s="13" t="n">
        <x:v>1</x:v>
      </x:c>
      <x:c r="N667" s="13" t="n">
        <x:f>H667/G667</x:f>
        <x:v>0</x:v>
      </x:c>
      <x:c r="O667" s="13" t="n">
        <x:f>F667/E667</x:f>
        <x:v>0</x:v>
      </x:c>
      <x:c r="P667" s="2" t="str">
        <x:f>IF(AND(E667&gt;='Итоги'!$F$5,N667&lt;='Итоги'!$B$5,O667&gt;='Итоги'!$D$5),"Да","Нет")</x:f>
        <x:v>Нет</x:v>
      </x:c>
    </x:row>
    <x:row r="668" ht="60" customHeight="1">
      <x:c r="A668" s="14" t="str">
        <x:v>Строительство и ремонт (DIY)</x:v>
      </x:c>
      <x:c r="B668" s="14" t="str">
        <x:v>Инструменты</x:v>
      </x:c>
      <x:c r="C668" s="14" t="str">
        <x:v>Инструмент ручной для строительства, ремонта</x:v>
      </x:c>
      <x:c r="D668" s="14" t="str">
        <x:v>Штукатурно-отделочный инструмент</x:v>
      </x:c>
      <x:c r="E668" s="2" t="n">
        <x:v>1</x:v>
      </x:c>
      <x:c r="F668" s="2" t="n">
        <x:v>0</x:v>
      </x:c>
      <x:c r="G668" s="12" t="n">
        <x:v>110964</x:v>
      </x:c>
      <x:c r="H668" s="12" t="n">
        <x:v>0</x:v>
      </x:c>
      <x:c r="I668" s="13" t="n">
        <x:v>0</x:v>
      </x:c>
      <x:c r="J668" s="2" t="n">
        <x:v>1</x:v>
      </x:c>
      <x:c r="K668" s="2" t="n">
        <x:v>1</x:v>
      </x:c>
      <x:c r="L668" s="12" t="n">
        <x:v>13870.5</x:v>
      </x:c>
      <x:c r="M668" s="13" t="n">
        <x:v>1</x:v>
      </x:c>
      <x:c r="N668" s="13" t="n">
        <x:f>H668/G668</x:f>
        <x:v>0</x:v>
      </x:c>
      <x:c r="O668" s="13" t="n">
        <x:f>F668/E668</x:f>
        <x:v>0</x:v>
      </x:c>
      <x:c r="P668" s="2" t="str">
        <x:f>IF(AND(E668&gt;='Итоги'!$F$5,N668&lt;='Итоги'!$B$5,O668&gt;='Итоги'!$D$5),"Да","Нет")</x:f>
        <x:v>Нет</x:v>
      </x:c>
    </x:row>
    <x:row r="669" ht="60" customHeight="1">
      <x:c r="A669" s="14" t="str">
        <x:v>Строительство и ремонт (DIY)</x:v>
      </x:c>
      <x:c r="B669" s="14" t="str">
        <x:v>Инструменты</x:v>
      </x:c>
      <x:c r="C669" s="14" t="str">
        <x:v>Оснастка для инструмента</x:v>
      </x:c>
      <x:c r="D669" s="14" t="str">
        <x:v>Комплектующие для ЧПУ</x:v>
      </x:c>
      <x:c r="E669" s="2" t="n">
        <x:v>1</x:v>
      </x:c>
      <x:c r="F669" s="2" t="n">
        <x:v>0</x:v>
      </x:c>
      <x:c r="G669" s="12" t="n">
        <x:v>50194.8913</x:v>
      </x:c>
      <x:c r="H669" s="12" t="n">
        <x:v>0</x:v>
      </x:c>
      <x:c r="I669" s="13" t="n">
        <x:v>0</x:v>
      </x:c>
      <x:c r="J669" s="2" t="n">
        <x:v>1</x:v>
      </x:c>
      <x:c r="K669" s="2" t="n">
        <x:v>1</x:v>
      </x:c>
      <x:c r="L669" s="12" t="n">
        <x:v>1568.5904</x:v>
      </x:c>
      <x:c r="M669" s="13" t="n">
        <x:v>1</x:v>
      </x:c>
      <x:c r="N669" s="13" t="n">
        <x:f>H669/G669</x:f>
        <x:v>0</x:v>
      </x:c>
      <x:c r="O669" s="13" t="n">
        <x:f>F669/E669</x:f>
        <x:v>0</x:v>
      </x:c>
      <x:c r="P669" s="2" t="str">
        <x:f>IF(AND(E669&gt;='Итоги'!$F$5,N669&lt;='Итоги'!$B$5,O669&gt;='Итоги'!$D$5),"Да","Нет")</x:f>
        <x:v>Нет</x:v>
      </x:c>
    </x:row>
    <x:row r="670" ht="60" customHeight="1">
      <x:c r="A670" s="14" t="str">
        <x:v>Строительство и ремонт (DIY)</x:v>
      </x:c>
      <x:c r="B670" s="14" t="str">
        <x:v>Инструменты</x:v>
      </x:c>
      <x:c r="C670" s="14" t="str">
        <x:v>Техника для строительства, ремонта</x:v>
      </x:c>
      <x:c r="D670" s="14" t="str">
        <x:v>Кузнечное оборудование</x:v>
      </x:c>
      <x:c r="E670" s="2" t="n">
        <x:v>1</x:v>
      </x:c>
      <x:c r="F670" s="2" t="n">
        <x:v>0</x:v>
      </x:c>
      <x:c r="G670" s="12" t="n">
        <x:v>16750</x:v>
      </x:c>
      <x:c r="H670" s="12" t="n">
        <x:v>0</x:v>
      </x:c>
      <x:c r="I670" s="13" t="n">
        <x:v>0</x:v>
      </x:c>
      <x:c r="J670" s="2" t="n">
        <x:v>1</x:v>
      </x:c>
      <x:c r="K670" s="2" t="n">
        <x:v>1</x:v>
      </x:c>
      <x:c r="L670" s="12" t="n">
        <x:v>1675</x:v>
      </x:c>
      <x:c r="M670" s="13" t="n">
        <x:v>1</x:v>
      </x:c>
      <x:c r="N670" s="13" t="n">
        <x:f>H670/G670</x:f>
        <x:v>0</x:v>
      </x:c>
      <x:c r="O670" s="13" t="n">
        <x:f>F670/E670</x:f>
        <x:v>0</x:v>
      </x:c>
      <x:c r="P670" s="2" t="str">
        <x:f>IF(AND(E670&gt;='Итоги'!$F$5,N670&lt;='Итоги'!$B$5,O670&gt;='Итоги'!$D$5),"Да","Нет")</x:f>
        <x:v>Нет</x:v>
      </x:c>
    </x:row>
    <x:row r="671" ht="60" customHeight="1">
      <x:c r="A671" s="14" t="str">
        <x:v>Строительство и ремонт (DIY)</x:v>
      </x:c>
      <x:c r="B671" s="14" t="str">
        <x:v>Освещение</x:v>
      </x:c>
      <x:c r="C671" s="14" t="str">
        <x:v>Лампочка</x:v>
      </x:c>
      <x:c r="D671" s="14" t="str">
        <x:v>Патрон для лампочки</x:v>
      </x:c>
      <x:c r="E671" s="2" t="n">
        <x:v>1</x:v>
      </x:c>
      <x:c r="F671" s="2" t="n">
        <x:v>0</x:v>
      </x:c>
      <x:c r="G671" s="12" t="n">
        <x:v>3169.686</x:v>
      </x:c>
      <x:c r="H671" s="12" t="n">
        <x:v>0</x:v>
      </x:c>
      <x:c r="I671" s="13" t="n">
        <x:v>0</x:v>
      </x:c>
      <x:c r="J671" s="2" t="n">
        <x:v>1</x:v>
      </x:c>
      <x:c r="K671" s="2" t="n">
        <x:v>1</x:v>
      </x:c>
      <x:c r="L671" s="12" t="n">
        <x:v>1584.843</x:v>
      </x:c>
      <x:c r="M671" s="13" t="n">
        <x:v>1</x:v>
      </x:c>
      <x:c r="N671" s="13" t="n">
        <x:f>H671/G671</x:f>
        <x:v>0</x:v>
      </x:c>
      <x:c r="O671" s="13" t="n">
        <x:f>F671/E671</x:f>
        <x:v>0</x:v>
      </x:c>
      <x:c r="P671" s="2" t="str">
        <x:f>IF(AND(E671&gt;='Итоги'!$F$5,N671&lt;='Итоги'!$B$5,O671&gt;='Итоги'!$D$5),"Да","Нет")</x:f>
        <x:v>Нет</x:v>
      </x:c>
    </x:row>
    <x:row r="672" ht="60" customHeight="1">
      <x:c r="A672" s="14" t="str">
        <x:v>Строительство и ремонт (DIY)</x:v>
      </x:c>
      <x:c r="B672" s="14" t="str">
        <x:v>Ремонт и строительство</x:v>
      </x:c>
      <x:c r="C672" s="14" t="str">
        <x:v>Аксессуары для ремонта</x:v>
      </x:c>
      <x:c r="D672" s="14" t="str">
        <x:v>Аварийное ограждение</x:v>
      </x:c>
      <x:c r="E672" s="2" t="n">
        <x:v>1</x:v>
      </x:c>
      <x:c r="F672" s="2" t="n">
        <x:v>0</x:v>
      </x:c>
      <x:c r="G672" s="12" t="n">
        <x:v>195217.3408</x:v>
      </x:c>
      <x:c r="H672" s="12" t="n">
        <x:v>0</x:v>
      </x:c>
      <x:c r="I672" s="13" t="n">
        <x:v>0</x:v>
      </x:c>
      <x:c r="J672" s="2" t="n">
        <x:v>1</x:v>
      </x:c>
      <x:c r="K672" s="2" t="n">
        <x:v>1</x:v>
      </x:c>
      <x:c r="L672" s="12" t="n">
        <x:v>1501.6719</x:v>
      </x:c>
      <x:c r="M672" s="13" t="n">
        <x:v>1</x:v>
      </x:c>
      <x:c r="N672" s="13" t="n">
        <x:f>H672/G672</x:f>
        <x:v>0</x:v>
      </x:c>
      <x:c r="O672" s="13" t="n">
        <x:f>F672/E672</x:f>
        <x:v>0</x:v>
      </x:c>
      <x:c r="P672" s="2" t="str">
        <x:f>IF(AND(E672&gt;='Итоги'!$F$5,N672&lt;='Итоги'!$B$5,O672&gt;='Итоги'!$D$5),"Да","Нет")</x:f>
        <x:v>Нет</x:v>
      </x:c>
    </x:row>
    <x:row r="673" ht="60" customHeight="1">
      <x:c r="A673" s="14" t="str">
        <x:v>Строительство и ремонт (DIY)</x:v>
      </x:c>
      <x:c r="B673" s="14" t="str">
        <x:v>Ремонт и строительство</x:v>
      </x:c>
      <x:c r="C673" s="14" t="str">
        <x:v>Изоляционные материалы</x:v>
      </x:c>
      <x:c r="D673" s="14" t="str">
        <x:v>Инъекционная гидроизоляция</x:v>
      </x:c>
      <x:c r="E673" s="2" t="n">
        <x:v>1</x:v>
      </x:c>
      <x:c r="F673" s="2" t="n">
        <x:v>0</x:v>
      </x:c>
      <x:c r="G673" s="12" t="n">
        <x:v>210603</x:v>
      </x:c>
      <x:c r="H673" s="12" t="n">
        <x:v>0</x:v>
      </x:c>
      <x:c r="I673" s="13" t="n">
        <x:v>0</x:v>
      </x:c>
      <x:c r="J673" s="2" t="n">
        <x:v>1</x:v>
      </x:c>
      <x:c r="K673" s="2" t="n">
        <x:v>1</x:v>
      </x:c>
      <x:c r="L673" s="12" t="n">
        <x:v>5691.973</x:v>
      </x:c>
      <x:c r="M673" s="13" t="n">
        <x:v>1</x:v>
      </x:c>
      <x:c r="N673" s="13" t="n">
        <x:f>H673/G673</x:f>
        <x:v>0</x:v>
      </x:c>
      <x:c r="O673" s="13" t="n">
        <x:f>F673/E673</x:f>
        <x:v>0</x:v>
      </x:c>
      <x:c r="P673" s="2" t="str">
        <x:f>IF(AND(E673&gt;='Итоги'!$F$5,N673&lt;='Итоги'!$B$5,O673&gt;='Итоги'!$D$5),"Да","Нет")</x:f>
        <x:v>Нет</x:v>
      </x:c>
    </x:row>
    <x:row r="674" ht="60" customHeight="1">
      <x:c r="A674" s="14" t="str">
        <x:v>Строительство и ремонт (DIY)</x:v>
      </x:c>
      <x:c r="B674" s="14" t="str">
        <x:v>Ремонт и строительство</x:v>
      </x:c>
      <x:c r="C674" s="14" t="str">
        <x:v>Скобяные изделия</x:v>
      </x:c>
      <x:c r="D674" s="14" t="str">
        <x:v>Завертка, задвижка дверные</x:v>
      </x:c>
      <x:c r="E674" s="2" t="n">
        <x:v>1</x:v>
      </x:c>
      <x:c r="F674" s="2" t="n">
        <x:v>0</x:v>
      </x:c>
      <x:c r="G674" s="12" t="n">
        <x:v>85933.1994</x:v>
      </x:c>
      <x:c r="H674" s="12" t="n">
        <x:v>0</x:v>
      </x:c>
      <x:c r="I674" s="13" t="n">
        <x:v>0</x:v>
      </x:c>
      <x:c r="J674" s="2" t="n">
        <x:v>1</x:v>
      </x:c>
      <x:c r="K674" s="2" t="n">
        <x:v>1</x:v>
      </x:c>
      <x:c r="L674" s="12" t="n">
        <x:v>1101.7077</x:v>
      </x:c>
      <x:c r="M674" s="13" t="n">
        <x:v>1</x:v>
      </x:c>
      <x:c r="N674" s="13" t="n">
        <x:f>H674/G674</x:f>
        <x:v>0</x:v>
      </x:c>
      <x:c r="O674" s="13" t="n">
        <x:f>F674/E674</x:f>
        <x:v>0</x:v>
      </x:c>
      <x:c r="P674" s="2" t="str">
        <x:f>IF(AND(E674&gt;='Итоги'!$F$5,N674&lt;='Итоги'!$B$5,O674&gt;='Итоги'!$D$5),"Да","Нет")</x:f>
        <x:v>Нет</x:v>
      </x:c>
    </x:row>
    <x:row r="675" ht="60" customHeight="1">
      <x:c r="A675" s="14" t="str">
        <x:v>Строительство и ремонт (DIY)</x:v>
      </x:c>
      <x:c r="B675" s="14" t="str">
        <x:v>Ремонт и строительство</x:v>
      </x:c>
      <x:c r="C675" s="14" t="str">
        <x:v>Скобяные изделия</x:v>
      </x:c>
      <x:c r="D675" s="14" t="str">
        <x:v>Клипса для крепления трубы</x:v>
      </x:c>
      <x:c r="E675" s="2" t="n">
        <x:v>1</x:v>
      </x:c>
      <x:c r="F675" s="2" t="n">
        <x:v>0</x:v>
      </x:c>
      <x:c r="G675" s="12" t="n">
        <x:v>99686.4272</x:v>
      </x:c>
      <x:c r="H675" s="12" t="n">
        <x:v>0</x:v>
      </x:c>
      <x:c r="I675" s="13" t="n">
        <x:v>0</x:v>
      </x:c>
      <x:c r="J675" s="2" t="n">
        <x:v>1</x:v>
      </x:c>
      <x:c r="K675" s="2" t="n">
        <x:v>1</x:v>
      </x:c>
      <x:c r="L675" s="12" t="n">
        <x:v>4334.1925</x:v>
      </x:c>
      <x:c r="M675" s="13" t="n">
        <x:v>1</x:v>
      </x:c>
      <x:c r="N675" s="13" t="n">
        <x:f>H675/G675</x:f>
        <x:v>0</x:v>
      </x:c>
      <x:c r="O675" s="13" t="n">
        <x:f>F675/E675</x:f>
        <x:v>0</x:v>
      </x:c>
      <x:c r="P675" s="2" t="str">
        <x:f>IF(AND(E675&gt;='Итоги'!$F$5,N675&lt;='Итоги'!$B$5,O675&gt;='Итоги'!$D$5),"Да","Нет")</x:f>
        <x:v>Нет</x:v>
      </x:c>
    </x:row>
    <x:row r="676" ht="60" customHeight="1">
      <x:c r="A676" s="14" t="str">
        <x:v>Строительство и ремонт (DIY)</x:v>
      </x:c>
      <x:c r="B676" s="14" t="str">
        <x:v>Ремонт и строительство</x:v>
      </x:c>
      <x:c r="C676" s="14" t="str">
        <x:v>Скобяные изделия</x:v>
      </x:c>
      <x:c r="D676" s="14" t="str">
        <x:v>Цилиндр для замка</x:v>
      </x:c>
      <x:c r="E676" s="2" t="n">
        <x:v>1</x:v>
      </x:c>
      <x:c r="F676" s="2" t="n">
        <x:v>0</x:v>
      </x:c>
      <x:c r="G676" s="12" t="n">
        <x:v>88976</x:v>
      </x:c>
      <x:c r="H676" s="12" t="n">
        <x:v>0</x:v>
      </x:c>
      <x:c r="I676" s="13" t="n">
        <x:v>0</x:v>
      </x:c>
      <x:c r="J676" s="2" t="n">
        <x:v>1</x:v>
      </x:c>
      <x:c r="K676" s="2" t="n">
        <x:v>1</x:v>
      </x:c>
      <x:c r="L676" s="12" t="n">
        <x:v>889.76</x:v>
      </x:c>
      <x:c r="M676" s="13" t="n">
        <x:v>1</x:v>
      </x:c>
      <x:c r="N676" s="13" t="n">
        <x:f>H676/G676</x:f>
        <x:v>0</x:v>
      </x:c>
      <x:c r="O676" s="13" t="n">
        <x:f>F676/E676</x:f>
        <x:v>0</x:v>
      </x:c>
      <x:c r="P676" s="2" t="str">
        <x:f>IF(AND(E676&gt;='Итоги'!$F$5,N676&lt;='Итоги'!$B$5,O676&gt;='Итоги'!$D$5),"Да","Нет")</x:f>
        <x:v>Нет</x:v>
      </x:c>
    </x:row>
    <x:row r="677" ht="60" customHeight="1">
      <x:c r="A677" s="14" t="str">
        <x:v>Строительство и ремонт (DIY)</x:v>
      </x:c>
      <x:c r="B677" s="14" t="str">
        <x:v>Ремонт и строительство</x:v>
      </x:c>
      <x:c r="C677" s="14" t="str">
        <x:v>Спецодежда, средства защиты</x:v>
      </x:c>
      <x:c r="D677" s="14" t="str">
        <x:v>Аварийно-спасательное снаряжение</x:v>
      </x:c>
      <x:c r="E677" s="2" t="n">
        <x:v>1</x:v>
      </x:c>
      <x:c r="F677" s="2" t="n">
        <x:v>0</x:v>
      </x:c>
      <x:c r="G677" s="12" t="n">
        <x:v>49393</x:v>
      </x:c>
      <x:c r="H677" s="12" t="n">
        <x:v>0</x:v>
      </x:c>
      <x:c r="I677" s="13" t="n">
        <x:v>0</x:v>
      </x:c>
      <x:c r="J677" s="2" t="n">
        <x:v>1</x:v>
      </x:c>
      <x:c r="K677" s="2" t="n">
        <x:v>1</x:v>
      </x:c>
      <x:c r="L677" s="12" t="n">
        <x:v>1703.2069</x:v>
      </x:c>
      <x:c r="M677" s="13" t="n">
        <x:v>1</x:v>
      </x:c>
      <x:c r="N677" s="13" t="n">
        <x:f>H677/G677</x:f>
        <x:v>0</x:v>
      </x:c>
      <x:c r="O677" s="13" t="n">
        <x:f>F677/E677</x:f>
        <x:v>0</x:v>
      </x:c>
      <x:c r="P677" s="2" t="str">
        <x:f>IF(AND(E677&gt;='Итоги'!$F$5,N677&lt;='Итоги'!$B$5,O677&gt;='Итоги'!$D$5),"Да","Нет")</x:f>
        <x:v>Нет</x:v>
      </x:c>
    </x:row>
    <x:row r="678" ht="60" customHeight="1">
      <x:c r="A678" s="14" t="str">
        <x:v>Строительство и ремонт (DIY)</x:v>
      </x:c>
      <x:c r="B678" s="14" t="str">
        <x:v>Ремонт и строительство</x:v>
      </x:c>
      <x:c r="C678" s="14" t="str">
        <x:v>Спецодежда, средства защиты</x:v>
      </x:c>
      <x:c r="D678" s="14" t="str">
        <x:v>Аксессуары для промышленного альпинизма</x:v>
      </x:c>
      <x:c r="E678" s="2" t="n">
        <x:v>1</x:v>
      </x:c>
      <x:c r="F678" s="2" t="n">
        <x:v>0</x:v>
      </x:c>
      <x:c r="G678" s="12" t="n">
        <x:v>77661</x:v>
      </x:c>
      <x:c r="H678" s="12" t="n">
        <x:v>0</x:v>
      </x:c>
      <x:c r="I678" s="13" t="n">
        <x:v>0</x:v>
      </x:c>
      <x:c r="J678" s="2" t="n">
        <x:v>1</x:v>
      </x:c>
      <x:c r="K678" s="2" t="n">
        <x:v>1</x:v>
      </x:c>
      <x:c r="L678" s="12" t="n">
        <x:v>25887</x:v>
      </x:c>
      <x:c r="M678" s="13" t="n">
        <x:v>1</x:v>
      </x:c>
      <x:c r="N678" s="13" t="n">
        <x:f>H678/G678</x:f>
        <x:v>0</x:v>
      </x:c>
      <x:c r="O678" s="13" t="n">
        <x:f>F678/E678</x:f>
        <x:v>0</x:v>
      </x:c>
      <x:c r="P678" s="2" t="str">
        <x:f>IF(AND(E678&gt;='Итоги'!$F$5,N678&lt;='Итоги'!$B$5,O678&gt;='Итоги'!$D$5),"Да","Нет")</x:f>
        <x:v>Нет</x:v>
      </x:c>
    </x:row>
    <x:row r="679" ht="60" customHeight="1">
      <x:c r="A679" s="14" t="str">
        <x:v>Строительство и ремонт (DIY)</x:v>
      </x:c>
      <x:c r="B679" s="14" t="str">
        <x:v>Ремонт и строительство</x:v>
      </x:c>
      <x:c r="C679" s="14" t="str">
        <x:v>Спецодежда, средства защиты</x:v>
      </x:c>
      <x:c r="D679" s="14" t="str">
        <x:v>Средства защиты</x:v>
      </x:c>
      <x:c r="E679" s="2" t="n">
        <x:v>1</x:v>
      </x:c>
      <x:c r="F679" s="2" t="n">
        <x:v>0</x:v>
      </x:c>
      <x:c r="G679" s="12" t="n">
        <x:v>126637</x:v>
      </x:c>
      <x:c r="H679" s="12" t="n">
        <x:v>0</x:v>
      </x:c>
      <x:c r="I679" s="13" t="n">
        <x:v>0</x:v>
      </x:c>
      <x:c r="J679" s="2" t="n">
        <x:v>1</x:v>
      </x:c>
      <x:c r="K679" s="2" t="n">
        <x:v>1</x:v>
      </x:c>
      <x:c r="L679" s="12" t="n">
        <x:v>2694.4043</x:v>
      </x:c>
      <x:c r="M679" s="13" t="n">
        <x:v>1</x:v>
      </x:c>
      <x:c r="N679" s="13" t="n">
        <x:f>H679/G679</x:f>
        <x:v>0</x:v>
      </x:c>
      <x:c r="O679" s="13" t="n">
        <x:f>F679/E679</x:f>
        <x:v>0</x:v>
      </x:c>
      <x:c r="P679" s="2" t="str">
        <x:f>IF(AND(E679&gt;='Итоги'!$F$5,N679&lt;='Итоги'!$B$5,O679&gt;='Итоги'!$D$5),"Да","Нет")</x:f>
        <x:v>Нет</x:v>
      </x:c>
    </x:row>
    <x:row r="680" ht="60" customHeight="1">
      <x:c r="A680" s="14" t="str">
        <x:v>Строительство и ремонт (DIY)</x:v>
      </x:c>
      <x:c r="B680" s="14" t="str">
        <x:v>Ремонт и строительство</x:v>
      </x:c>
      <x:c r="C680" s="14" t="str">
        <x:v>Столярные изделия</x:v>
      </x:c>
      <x:c r="D680" s="14" t="str">
        <x:v>ДПК (древесно-полимерный композит)</x:v>
      </x:c>
      <x:c r="E680" s="2" t="n">
        <x:v>1</x:v>
      </x:c>
      <x:c r="F680" s="2" t="n">
        <x:v>0</x:v>
      </x:c>
      <x:c r="G680" s="12" t="n">
        <x:v>95437</x:v>
      </x:c>
      <x:c r="H680" s="12" t="n">
        <x:v>0</x:v>
      </x:c>
      <x:c r="I680" s="13" t="n">
        <x:v>0</x:v>
      </x:c>
      <x:c r="J680" s="2" t="n">
        <x:v>1</x:v>
      </x:c>
      <x:c r="K680" s="2" t="n">
        <x:v>1</x:v>
      </x:c>
      <x:c r="L680" s="12" t="n">
        <x:v>1424.4328</x:v>
      </x:c>
      <x:c r="M680" s="13" t="n">
        <x:v>1</x:v>
      </x:c>
      <x:c r="N680" s="13" t="n">
        <x:f>H680/G680</x:f>
        <x:v>0</x:v>
      </x:c>
      <x:c r="O680" s="13" t="n">
        <x:f>F680/E680</x:f>
        <x:v>0</x:v>
      </x:c>
      <x:c r="P680" s="2" t="str">
        <x:f>IF(AND(E680&gt;='Итоги'!$F$5,N680&lt;='Итоги'!$B$5,O680&gt;='Итоги'!$D$5),"Да","Нет")</x:f>
        <x:v>Нет</x:v>
      </x:c>
    </x:row>
    <x:row r="681" ht="60" customHeight="1">
      <x:c r="A681" s="14" t="str">
        <x:v>Строительство и ремонт (DIY)</x:v>
      </x:c>
      <x:c r="B681" s="14" t="str">
        <x:v>Ремонт и строительство</x:v>
      </x:c>
      <x:c r="C681" s="14" t="str">
        <x:v>Столярные изделия</x:v>
      </x:c>
      <x:c r="D681" s="14" t="str">
        <x:v>Рольставни и комплектующие</x:v>
      </x:c>
      <x:c r="E681" s="2" t="n">
        <x:v>1</x:v>
      </x:c>
      <x:c r="F681" s="2" t="n">
        <x:v>0</x:v>
      </x:c>
      <x:c r="G681" s="12" t="n">
        <x:v>87295</x:v>
      </x:c>
      <x:c r="H681" s="12" t="n">
        <x:v>0</x:v>
      </x:c>
      <x:c r="I681" s="13" t="n">
        <x:v>0</x:v>
      </x:c>
      <x:c r="J681" s="2" t="n">
        <x:v>1</x:v>
      </x:c>
      <x:c r="K681" s="2" t="n">
        <x:v>1</x:v>
      </x:c>
      <x:c r="L681" s="12" t="n">
        <x:v>3117.6786</x:v>
      </x:c>
      <x:c r="M681" s="13" t="n">
        <x:v>1</x:v>
      </x:c>
      <x:c r="N681" s="13" t="n">
        <x:f>H681/G681</x:f>
        <x:v>0</x:v>
      </x:c>
      <x:c r="O681" s="13" t="n">
        <x:f>F681/E681</x:f>
        <x:v>0</x:v>
      </x:c>
      <x:c r="P681" s="2" t="str">
        <x:f>IF(AND(E681&gt;='Итоги'!$F$5,N681&lt;='Итоги'!$B$5,O681&gt;='Итоги'!$D$5),"Да","Нет")</x:f>
        <x:v>Нет</x:v>
      </x:c>
    </x:row>
    <x:row r="682" ht="60" customHeight="1">
      <x:c r="A682" s="14" t="str">
        <x:v>Строительство и ремонт (DIY)</x:v>
      </x:c>
      <x:c r="B682" s="14" t="str">
        <x:v>Ремонт и строительство</x:v>
      </x:c>
      <x:c r="C682" s="14" t="str">
        <x:v>Стройматериалы</x:v>
      </x:c>
      <x:c r="D682" s="14" t="str">
        <x:v>Крепеж и комплектующие для поликарбоната</x:v>
      </x:c>
      <x:c r="E682" s="2" t="n">
        <x:v>1</x:v>
      </x:c>
      <x:c r="F682" s="2" t="n">
        <x:v>0</x:v>
      </x:c>
      <x:c r="G682" s="12" t="n">
        <x:v>85255</x:v>
      </x:c>
      <x:c r="H682" s="12" t="n">
        <x:v>0</x:v>
      </x:c>
      <x:c r="I682" s="13" t="n">
        <x:v>0</x:v>
      </x:c>
      <x:c r="J682" s="2" t="n">
        <x:v>1</x:v>
      </x:c>
      <x:c r="K682" s="2" t="n">
        <x:v>1</x:v>
      </x:c>
      <x:c r="L682" s="12" t="n">
        <x:v>2131.375</x:v>
      </x:c>
      <x:c r="M682" s="13" t="n">
        <x:v>1</x:v>
      </x:c>
      <x:c r="N682" s="13" t="n">
        <x:f>H682/G682</x:f>
        <x:v>0</x:v>
      </x:c>
      <x:c r="O682" s="13" t="n">
        <x:f>F682/E682</x:f>
        <x:v>0</x:v>
      </x:c>
      <x:c r="P682" s="2" t="str">
        <x:f>IF(AND(E682&gt;='Итоги'!$F$5,N682&lt;='Итоги'!$B$5,O682&gt;='Итоги'!$D$5),"Да","Нет")</x:f>
        <x:v>Нет</x:v>
      </x:c>
    </x:row>
    <x:row r="683" ht="60" customHeight="1">
      <x:c r="A683" s="14" t="str">
        <x:v>Строительство и ремонт (DIY)</x:v>
      </x:c>
      <x:c r="B683" s="14" t="str">
        <x:v>Ремонт и строительство</x:v>
      </x:c>
      <x:c r="C683" s="14" t="str">
        <x:v>Электротовары</x:v>
      </x:c>
      <x:c r="D683" s="14" t="str">
        <x:v>Вилка, штепсель электрические</x:v>
      </x:c>
      <x:c r="E683" s="2" t="n">
        <x:v>1</x:v>
      </x:c>
      <x:c r="F683" s="2" t="n">
        <x:v>0</x:v>
      </x:c>
      <x:c r="G683" s="12" t="n">
        <x:v>135834.32</x:v>
      </x:c>
      <x:c r="H683" s="12" t="n">
        <x:v>0</x:v>
      </x:c>
      <x:c r="I683" s="13" t="n">
        <x:v>0</x:v>
      </x:c>
      <x:c r="J683" s="2" t="n">
        <x:v>1</x:v>
      </x:c>
      <x:c r="K683" s="2" t="n">
        <x:v>1</x:v>
      </x:c>
      <x:c r="L683" s="12" t="n">
        <x:v>1386.0645</x:v>
      </x:c>
      <x:c r="M683" s="13" t="n">
        <x:v>1</x:v>
      </x:c>
      <x:c r="N683" s="13" t="n">
        <x:f>H683/G683</x:f>
        <x:v>0</x:v>
      </x:c>
      <x:c r="O683" s="13" t="n">
        <x:f>F683/E683</x:f>
        <x:v>0</x:v>
      </x:c>
      <x:c r="P683" s="2" t="str">
        <x:f>IF(AND(E683&gt;='Итоги'!$F$5,N683&lt;='Итоги'!$B$5,O683&gt;='Итоги'!$D$5),"Да","Нет")</x:f>
        <x:v>Нет</x:v>
      </x:c>
    </x:row>
    <x:row r="684" ht="60" customHeight="1">
      <x:c r="A684" s="14" t="str">
        <x:v>Строительство и ремонт (DIY)</x:v>
      </x:c>
      <x:c r="B684" s="14" t="str">
        <x:v>Сад и огород</x:v>
      </x:c>
      <x:c r="C684" s="14" t="str">
        <x:v>Садовый инструмент</x:v>
      </x:c>
      <x:c r="D684" s="14" t="str">
        <x:v>Навесное оборудование и запчасти для снегоуборщика</x:v>
      </x:c>
      <x:c r="E684" s="2" t="n">
        <x:v>1</x:v>
      </x:c>
      <x:c r="F684" s="2" t="n">
        <x:v>0</x:v>
      </x:c>
      <x:c r="G684" s="12" t="n">
        <x:v>46920</x:v>
      </x:c>
      <x:c r="H684" s="12" t="n">
        <x:v>0</x:v>
      </x:c>
      <x:c r="I684" s="13" t="n">
        <x:v>0</x:v>
      </x:c>
      <x:c r="J684" s="2" t="n">
        <x:v>1</x:v>
      </x:c>
      <x:c r="K684" s="2" t="n">
        <x:v>1</x:v>
      </x:c>
      <x:c r="L684" s="12" t="n">
        <x:v>1564</x:v>
      </x:c>
      <x:c r="M684" s="13" t="n">
        <x:v>1</x:v>
      </x:c>
      <x:c r="N684" s="13" t="n">
        <x:f>H684/G684</x:f>
        <x:v>0</x:v>
      </x:c>
      <x:c r="O684" s="13" t="n">
        <x:f>F684/E684</x:f>
        <x:v>0</x:v>
      </x:c>
      <x:c r="P684" s="2" t="str">
        <x:f>IF(AND(E684&gt;='Итоги'!$F$5,N684&lt;='Итоги'!$B$5,O684&gt;='Итоги'!$D$5),"Да","Нет")</x:f>
        <x:v>Нет</x:v>
      </x:c>
    </x:row>
    <x:row r="685" ht="60" customHeight="1">
      <x:c r="A685" s="14" t="str">
        <x:v>Строительство и ремонт (DIY)</x:v>
      </x:c>
      <x:c r="B685" s="14" t="str">
        <x:v>Сад и огород</x:v>
      </x:c>
      <x:c r="C685" s="14" t="str">
        <x:v>Товары для бани и сауны</x:v>
      </x:c>
      <x:c r="D685" s="14" t="str">
        <x:v>Шапка для бани и сауны</x:v>
      </x:c>
      <x:c r="E685" s="2" t="n">
        <x:v>1</x:v>
      </x:c>
      <x:c r="F685" s="2" t="n">
        <x:v>0</x:v>
      </x:c>
      <x:c r="G685" s="12" t="n">
        <x:v>71807</x:v>
      </x:c>
      <x:c r="H685" s="12" t="n">
        <x:v>0</x:v>
      </x:c>
      <x:c r="I685" s="13" t="n">
        <x:v>0</x:v>
      </x:c>
      <x:c r="J685" s="2" t="n">
        <x:v>1</x:v>
      </x:c>
      <x:c r="K685" s="2" t="n">
        <x:v>1</x:v>
      </x:c>
      <x:c r="L685" s="12" t="n">
        <x:v>3419.381</x:v>
      </x:c>
      <x:c r="M685" s="13" t="n">
        <x:v>1</x:v>
      </x:c>
      <x:c r="N685" s="13" t="n">
        <x:f>H685/G685</x:f>
        <x:v>0</x:v>
      </x:c>
      <x:c r="O685" s="13" t="n">
        <x:f>F685/E685</x:f>
        <x:v>0</x:v>
      </x:c>
      <x:c r="P685" s="2" t="str">
        <x:f>IF(AND(E685&gt;='Итоги'!$F$5,N685&lt;='Итоги'!$B$5,O685&gt;='Итоги'!$D$5),"Да","Нет")</x:f>
        <x:v>Нет</x:v>
      </x:c>
    </x:row>
    <x:row r="686" ht="60" customHeight="1">
      <x:c r="A686" s="14" t="str">
        <x:v>Строительство и ремонт (DIY)</x:v>
      </x:c>
      <x:c r="B686" s="14" t="str">
        <x:v>Сантехника</x:v>
      </x:c>
      <x:c r="C686" s="14" t="str">
        <x:v>Смеситель</x:v>
      </x:c>
      <x:c r="D686" s="14" t="str">
        <x:v>Дивертор для смесителя</x:v>
      </x:c>
      <x:c r="E686" s="2" t="n">
        <x:v>1</x:v>
      </x:c>
      <x:c r="F686" s="2" t="n">
        <x:v>0</x:v>
      </x:c>
      <x:c r="G686" s="12" t="n">
        <x:v>103228</x:v>
      </x:c>
      <x:c r="H686" s="12" t="n">
        <x:v>0</x:v>
      </x:c>
      <x:c r="I686" s="13" t="n">
        <x:v>0</x:v>
      </x:c>
      <x:c r="J686" s="2" t="n">
        <x:v>1</x:v>
      </x:c>
      <x:c r="K686" s="2" t="n">
        <x:v>1</x:v>
      </x:c>
      <x:c r="L686" s="12" t="n">
        <x:v>3686.7143</x:v>
      </x:c>
      <x:c r="M686" s="13" t="n">
        <x:v>1</x:v>
      </x:c>
      <x:c r="N686" s="13" t="n">
        <x:f>H686/G686</x:f>
        <x:v>0</x:v>
      </x:c>
      <x:c r="O686" s="13" t="n">
        <x:f>F686/E686</x:f>
        <x:v>0</x:v>
      </x:c>
      <x:c r="P686" s="2" t="str">
        <x:f>IF(AND(E686&gt;='Итоги'!$F$5,N686&lt;='Итоги'!$B$5,O686&gt;='Итоги'!$D$5),"Да","Нет")</x:f>
        <x:v>Нет</x:v>
      </x:c>
    </x:row>
    <x:row r="687" ht="60" customHeight="1">
      <x:c r="A687" s="14" t="str">
        <x:v>Товары для детей и спорта</x:v>
      </x:c>
      <x:c r="B687" s="14" t="str">
        <x:v>КГТ и аксессуары для детей</x:v>
      </x:c>
      <x:c r="C687" s="14" t="str">
        <x:v>Аксессуары для роддома</x:v>
      </x:c>
      <x:c r="D687" s="14" t="str">
        <x:v>Сумка в роддом без наполнения прозрачная</x:v>
      </x:c>
      <x:c r="E687" s="2" t="n">
        <x:v>1</x:v>
      </x:c>
      <x:c r="F687" s="2" t="n">
        <x:v>0</x:v>
      </x:c>
      <x:c r="G687" s="12" t="n">
        <x:v>50350.683</x:v>
      </x:c>
      <x:c r="H687" s="12" t="n">
        <x:v>0</x:v>
      </x:c>
      <x:c r="I687" s="13" t="n">
        <x:v>0</x:v>
      </x:c>
      <x:c r="J687" s="2" t="n">
        <x:v>1</x:v>
      </x:c>
      <x:c r="K687" s="2" t="n">
        <x:v>1</x:v>
      </x:c>
      <x:c r="L687" s="12" t="n">
        <x:v>1525.7783</x:v>
      </x:c>
      <x:c r="M687" s="13" t="n">
        <x:v>1</x:v>
      </x:c>
      <x:c r="N687" s="13" t="n">
        <x:f>H687/G687</x:f>
        <x:v>0</x:v>
      </x:c>
      <x:c r="O687" s="13" t="n">
        <x:f>F687/E687</x:f>
        <x:v>0</x:v>
      </x:c>
      <x:c r="P687" s="2" t="str">
        <x:f>IF(AND(E687&gt;='Итоги'!$F$5,N687&lt;='Итоги'!$B$5,O687&gt;='Итоги'!$D$5),"Да","Нет")</x:f>
        <x:v>Нет</x:v>
      </x:c>
    </x:row>
    <x:row r="688" ht="60" customHeight="1">
      <x:c r="A688" s="14" t="str">
        <x:v>Товары для детей и спорта</x:v>
      </x:c>
      <x:c r="B688" s="14" t="str">
        <x:v>КГТ и аксессуары для детей</x:v>
      </x:c>
      <x:c r="C688" s="14" t="str">
        <x:v>Детская мебель и аксессуары в дом</x:v>
      </x:c>
      <x:c r="D688" s="14" t="str">
        <x:v>Люлька-переноска для детей</x:v>
      </x:c>
      <x:c r="E688" s="2" t="n">
        <x:v>1</x:v>
      </x:c>
      <x:c r="F688" s="2" t="n">
        <x:v>0</x:v>
      </x:c>
      <x:c r="G688" s="12" t="n">
        <x:v>149451.4673</x:v>
      </x:c>
      <x:c r="H688" s="12" t="n">
        <x:v>0</x:v>
      </x:c>
      <x:c r="I688" s="13" t="n">
        <x:v>0</x:v>
      </x:c>
      <x:c r="J688" s="2" t="n">
        <x:v>1</x:v>
      </x:c>
      <x:c r="K688" s="2" t="n">
        <x:v>1</x:v>
      </x:c>
      <x:c r="L688" s="12" t="n">
        <x:v>4395.6314</x:v>
      </x:c>
      <x:c r="M688" s="13" t="n">
        <x:v>1</x:v>
      </x:c>
      <x:c r="N688" s="13" t="n">
        <x:f>H688/G688</x:f>
        <x:v>0</x:v>
      </x:c>
      <x:c r="O688" s="13" t="n">
        <x:f>F688/E688</x:f>
        <x:v>0</x:v>
      </x:c>
      <x:c r="P688" s="2" t="str">
        <x:f>IF(AND(E688&gt;='Итоги'!$F$5,N688&lt;='Итоги'!$B$5,O688&gt;='Итоги'!$D$5),"Да","Нет")</x:f>
        <x:v>Нет</x:v>
      </x:c>
    </x:row>
    <x:row r="689" ht="60" customHeight="1">
      <x:c r="A689" s="14" t="str">
        <x:v>Товары для детей и спорта</x:v>
      </x:c>
      <x:c r="B689" s="14" t="str">
        <x:v>КГТ и аксессуары для детей</x:v>
      </x:c>
      <x:c r="C689" s="14" t="str">
        <x:v>Детская мебель и аксессуары в дом</x:v>
      </x:c>
      <x:c r="D689" s="14" t="str">
        <x:v>Фоторамка детская</x:v>
      </x:c>
      <x:c r="E689" s="2" t="n">
        <x:v>1</x:v>
      </x:c>
      <x:c r="F689" s="2" t="n">
        <x:v>0</x:v>
      </x:c>
      <x:c r="G689" s="12" t="n">
        <x:v>112881.4907</x:v>
      </x:c>
      <x:c r="H689" s="12" t="n">
        <x:v>0</x:v>
      </x:c>
      <x:c r="I689" s="13" t="n">
        <x:v>0</x:v>
      </x:c>
      <x:c r="J689" s="2" t="n">
        <x:v>1</x:v>
      </x:c>
      <x:c r="K689" s="2" t="n">
        <x:v>1</x:v>
      </x:c>
      <x:c r="L689" s="12" t="n">
        <x:v>888.8306</x:v>
      </x:c>
      <x:c r="M689" s="13" t="n">
        <x:v>1</x:v>
      </x:c>
      <x:c r="N689" s="13" t="n">
        <x:f>H689/G689</x:f>
        <x:v>0</x:v>
      </x:c>
      <x:c r="O689" s="13" t="n">
        <x:f>F689/E689</x:f>
        <x:v>0</x:v>
      </x:c>
      <x:c r="P689" s="2" t="str">
        <x:f>IF(AND(E689&gt;='Итоги'!$F$5,N689&lt;='Итоги'!$B$5,O689&gt;='Итоги'!$D$5),"Да","Нет")</x:f>
        <x:v>Нет</x:v>
      </x:c>
    </x:row>
    <x:row r="690" ht="60" customHeight="1">
      <x:c r="A690" s="14" t="str">
        <x:v>Товары для детей и спорта</x:v>
      </x:c>
      <x:c r="B690" s="14" t="str">
        <x:v>Спорт детский</x:v>
      </x:c>
      <x:c r="C690" s="14" t="str">
        <x:v>Товары для плаванья и бассейны детские</x:v>
      </x:c>
      <x:c r="D690" s="14" t="str">
        <x:v>Приспособление, игрушка для плавания детские</x:v>
      </x:c>
      <x:c r="E690" s="2" t="n">
        <x:v>1</x:v>
      </x:c>
      <x:c r="F690" s="2" t="n">
        <x:v>0</x:v>
      </x:c>
      <x:c r="G690" s="12" t="n">
        <x:v>3154</x:v>
      </x:c>
      <x:c r="H690" s="12" t="n">
        <x:v>0</x:v>
      </x:c>
      <x:c r="I690" s="13" t="n">
        <x:v>0</x:v>
      </x:c>
      <x:c r="J690" s="2" t="n">
        <x:v>1</x:v>
      </x:c>
      <x:c r="K690" s="2" t="n">
        <x:v>1</x:v>
      </x:c>
      <x:c r="L690" s="12" t="n">
        <x:v>1051.3333</x:v>
      </x:c>
      <x:c r="M690" s="13" t="n">
        <x:v>1</x:v>
      </x:c>
      <x:c r="N690" s="13" t="n">
        <x:f>H690/G690</x:f>
        <x:v>0</x:v>
      </x:c>
      <x:c r="O690" s="13" t="n">
        <x:f>F690/E690</x:f>
        <x:v>0</x:v>
      </x:c>
      <x:c r="P690" s="2" t="str">
        <x:f>IF(AND(E690&gt;='Итоги'!$F$5,N690&lt;='Итоги'!$B$5,O690&gt;='Итоги'!$D$5),"Да","Нет")</x:f>
        <x:v>Нет</x:v>
      </x:c>
    </x:row>
    <x:row r="691" ht="60" customHeight="1">
      <x:c r="A691" s="14" t="str">
        <x:v>Товары для дома</x:v>
      </x:c>
      <x:c r="B691" s="14" t="str">
        <x:v>Аксессуары для уборки и стирки</x:v>
      </x:c>
      <x:c r="C691" s="14" t="str">
        <x:v>HoReCa</x:v>
      </x:c>
      <x:c r="D691" s="14" t="str">
        <x:v>Упаковочный материал для транспортировки</x:v>
      </x:c>
      <x:c r="E691" s="2" t="n">
        <x:v>1</x:v>
      </x:c>
      <x:c r="F691" s="2" t="n">
        <x:v>0</x:v>
      </x:c>
      <x:c r="G691" s="12" t="n">
        <x:v>48671</x:v>
      </x:c>
      <x:c r="H691" s="12" t="n">
        <x:v>0</x:v>
      </x:c>
      <x:c r="I691" s="13" t="n">
        <x:v>0</x:v>
      </x:c>
      <x:c r="J691" s="2" t="n">
        <x:v>1</x:v>
      </x:c>
      <x:c r="K691" s="2" t="n">
        <x:v>1</x:v>
      </x:c>
      <x:c r="L691" s="12" t="n">
        <x:v>1570.0323</x:v>
      </x:c>
      <x:c r="M691" s="13" t="n">
        <x:v>1</x:v>
      </x:c>
      <x:c r="N691" s="13" t="n">
        <x:f>H691/G691</x:f>
        <x:v>0</x:v>
      </x:c>
      <x:c r="O691" s="13" t="n">
        <x:f>F691/E691</x:f>
        <x:v>0</x:v>
      </x:c>
      <x:c r="P691" s="2" t="str">
        <x:f>IF(AND(E691&gt;='Итоги'!$F$5,N691&lt;='Итоги'!$B$5,O691&gt;='Итоги'!$D$5),"Да","Нет")</x:f>
        <x:v>Нет</x:v>
      </x:c>
    </x:row>
    <x:row r="692" ht="60" customHeight="1">
      <x:c r="A692" s="14" t="str">
        <x:v>Товары для дома</x:v>
      </x:c>
      <x:c r="B692" s="14" t="str">
        <x:v>Аксессуары для уборки и стирки</x:v>
      </x:c>
      <x:c r="C692" s="14" t="str">
        <x:v>Принадлежности для сушки, глажения</x:v>
      </x:c>
      <x:c r="D692" s="14" t="str">
        <x:v>Аксессуары для утюга</x:v>
      </x:c>
      <x:c r="E692" s="2" t="n">
        <x:v>1</x:v>
      </x:c>
      <x:c r="F692" s="2" t="n">
        <x:v>0</x:v>
      </x:c>
      <x:c r="G692" s="12" t="n">
        <x:v>34163.6414</x:v>
      </x:c>
      <x:c r="H692" s="12" t="n">
        <x:v>0</x:v>
      </x:c>
      <x:c r="I692" s="13" t="n">
        <x:v>0</x:v>
      </x:c>
      <x:c r="J692" s="2" t="n">
        <x:v>1</x:v>
      </x:c>
      <x:c r="K692" s="2" t="n">
        <x:v>1</x:v>
      </x:c>
      <x:c r="L692" s="12" t="n">
        <x:v>2135.2276</x:v>
      </x:c>
      <x:c r="M692" s="13" t="n">
        <x:v>1</x:v>
      </x:c>
      <x:c r="N692" s="13" t="n">
        <x:f>H692/G692</x:f>
        <x:v>0</x:v>
      </x:c>
      <x:c r="O692" s="13" t="n">
        <x:f>F692/E692</x:f>
        <x:v>0</x:v>
      </x:c>
      <x:c r="P692" s="2" t="str">
        <x:f>IF(AND(E692&gt;='Итоги'!$F$5,N692&lt;='Итоги'!$B$5,O692&gt;='Итоги'!$D$5),"Да","Нет")</x:f>
        <x:v>Нет</x:v>
      </x:c>
    </x:row>
    <x:row r="693" ht="60" customHeight="1">
      <x:c r="A693" s="14" t="str">
        <x:v>Товары для дома</x:v>
      </x:c>
      <x:c r="B693" s="14" t="str">
        <x:v>Антиквариат Хоум Декор</x:v>
      </x:c>
      <x:c r="C693" s="14" t="str">
        <x:v>Винтаж Хоум Декор</x:v>
      </x:c>
      <x:c r="D693" s="14" t="str">
        <x:v>Винтаж музыкальные инструменты</x:v>
      </x:c>
      <x:c r="E693" s="2" t="n">
        <x:v>1</x:v>
      </x:c>
      <x:c r="F693" s="2" t="n">
        <x:v>0</x:v>
      </x:c>
      <x:c r="G693" s="12" t="n">
        <x:v>38572</x:v>
      </x:c>
      <x:c r="H693" s="12" t="n">
        <x:v>0</x:v>
      </x:c>
      <x:c r="I693" s="13" t="n">
        <x:v>0</x:v>
      </x:c>
      <x:c r="J693" s="2" t="n">
        <x:v>1</x:v>
      </x:c>
      <x:c r="K693" s="2" t="n">
        <x:v>1</x:v>
      </x:c>
      <x:c r="L693" s="12" t="n">
        <x:v>12857.3333</x:v>
      </x:c>
      <x:c r="M693" s="13" t="n">
        <x:v>1</x:v>
      </x:c>
      <x:c r="N693" s="13" t="n">
        <x:f>H693/G693</x:f>
        <x:v>0</x:v>
      </x:c>
      <x:c r="O693" s="13" t="n">
        <x:f>F693/E693</x:f>
        <x:v>0</x:v>
      </x:c>
      <x:c r="P693" s="2" t="str">
        <x:f>IF(AND(E693&gt;='Итоги'!$F$5,N693&lt;='Итоги'!$B$5,O693&gt;='Итоги'!$D$5),"Да","Нет")</x:f>
        <x:v>Нет</x:v>
      </x:c>
    </x:row>
    <x:row r="694" ht="60" customHeight="1">
      <x:c r="A694" s="14" t="str">
        <x:v>Товары для дома</x:v>
      </x:c>
      <x:c r="B694" s="14" t="str">
        <x:v>Антиквариат Хоум Декор</x:v>
      </x:c>
      <x:c r="C694" s="14" t="str">
        <x:v>Коллекционирование Хоум Декор</x:v>
      </x:c>
      <x:c r="D694" s="14" t="str">
        <x:v>Панини</x:v>
      </x:c>
      <x:c r="E694" s="2" t="n">
        <x:v>1</x:v>
      </x:c>
      <x:c r="F694" s="2" t="n">
        <x:v>0</x:v>
      </x:c>
      <x:c r="G694" s="12" t="n">
        <x:v>93999.55</x:v>
      </x:c>
      <x:c r="H694" s="12" t="n">
        <x:v>0</x:v>
      </x:c>
      <x:c r="I694" s="13" t="n">
        <x:v>0</x:v>
      </x:c>
      <x:c r="J694" s="2" t="n">
        <x:v>1</x:v>
      </x:c>
      <x:c r="K694" s="2" t="n">
        <x:v>1</x:v>
      </x:c>
      <x:c r="L694" s="12" t="n">
        <x:v>1080.4546</x:v>
      </x:c>
      <x:c r="M694" s="13" t="n">
        <x:v>1</x:v>
      </x:c>
      <x:c r="N694" s="13" t="n">
        <x:f>H694/G694</x:f>
        <x:v>0</x:v>
      </x:c>
      <x:c r="O694" s="13" t="n">
        <x:f>F694/E694</x:f>
        <x:v>0</x:v>
      </x:c>
      <x:c r="P694" s="2" t="str">
        <x:f>IF(AND(E694&gt;='Итоги'!$F$5,N694&lt;='Итоги'!$B$5,O694&gt;='Итоги'!$D$5),"Да","Нет")</x:f>
        <x:v>Нет</x:v>
      </x:c>
    </x:row>
    <x:row r="695" ht="60" customHeight="1">
      <x:c r="A695" s="14" t="str">
        <x:v>Товары для дома</x:v>
      </x:c>
      <x:c r="B695" s="14" t="str">
        <x:v>Интерьер и декор</x:v>
      </x:c>
      <x:c r="C695" s="14" t="str">
        <x:v>Домашние растения</x:v>
      </x:c>
      <x:c r="D695" s="14" t="str">
        <x:v>Флорариум</x:v>
      </x:c>
      <x:c r="E695" s="2" t="n">
        <x:v>1</x:v>
      </x:c>
      <x:c r="F695" s="2" t="n">
        <x:v>0</x:v>
      </x:c>
      <x:c r="G695" s="12" t="n">
        <x:v>7211</x:v>
      </x:c>
      <x:c r="H695" s="12" t="n">
        <x:v>0</x:v>
      </x:c>
      <x:c r="I695" s="13" t="n">
        <x:v>0</x:v>
      </x:c>
      <x:c r="J695" s="2" t="n">
        <x:v>1</x:v>
      </x:c>
      <x:c r="K695" s="2" t="n">
        <x:v>1</x:v>
      </x:c>
      <x:c r="L695" s="12" t="n">
        <x:v>7211</x:v>
      </x:c>
      <x:c r="M695" s="13" t="n">
        <x:v>1</x:v>
      </x:c>
      <x:c r="N695" s="13" t="n">
        <x:f>H695/G695</x:f>
        <x:v>0</x:v>
      </x:c>
      <x:c r="O695" s="13" t="n">
        <x:f>F695/E695</x:f>
        <x:v>0</x:v>
      </x:c>
      <x:c r="P695" s="2" t="str">
        <x:f>IF(AND(E695&gt;='Итоги'!$F$5,N695&lt;='Итоги'!$B$5,O695&gt;='Итоги'!$D$5),"Да","Нет")</x:f>
        <x:v>Нет</x:v>
      </x:c>
    </x:row>
    <x:row r="696" ht="60" customHeight="1">
      <x:c r="A696" s="14" t="str">
        <x:v>Товары для дома</x:v>
      </x:c>
      <x:c r="B696" s="14" t="str">
        <x:v>Интерьер и декор</x:v>
      </x:c>
      <x:c r="C696" s="14" t="str">
        <x:v>Принадлежности для праздника</x:v>
      </x:c>
      <x:c r="D696" s="14" t="str">
        <x:v>Язычок, горн для праздника</x:v>
      </x:c>
      <x:c r="E696" s="2" t="n">
        <x:v>1</x:v>
      </x:c>
      <x:c r="F696" s="2" t="n">
        <x:v>0</x:v>
      </x:c>
      <x:c r="G696" s="12" t="n">
        <x:v>3048</x:v>
      </x:c>
      <x:c r="H696" s="12" t="n">
        <x:v>0</x:v>
      </x:c>
      <x:c r="I696" s="13" t="n">
        <x:v>0</x:v>
      </x:c>
      <x:c r="J696" s="2" t="n">
        <x:v>1</x:v>
      </x:c>
      <x:c r="K696" s="2" t="n">
        <x:v>1</x:v>
      </x:c>
      <x:c r="L696" s="12" t="n">
        <x:v>1524</x:v>
      </x:c>
      <x:c r="M696" s="13" t="n">
        <x:v>1</x:v>
      </x:c>
      <x:c r="N696" s="13" t="n">
        <x:f>H696/G696</x:f>
        <x:v>0</x:v>
      </x:c>
      <x:c r="O696" s="13" t="n">
        <x:f>F696/E696</x:f>
        <x:v>0</x:v>
      </x:c>
      <x:c r="P696" s="2" t="str">
        <x:f>IF(AND(E696&gt;='Итоги'!$F$5,N696&lt;='Итоги'!$B$5,O696&gt;='Итоги'!$D$5),"Да","Нет")</x:f>
        <x:v>Нет</x:v>
      </x:c>
    </x:row>
    <x:row r="697" ht="60" customHeight="1">
      <x:c r="A697" s="14" t="str">
        <x:v>Товары для дома</x:v>
      </x:c>
      <x:c r="B697" s="14" t="str">
        <x:v>Интерьер и декор</x:v>
      </x:c>
      <x:c r="C697" s="14" t="str">
        <x:v>Религиозные товары</x:v>
      </x:c>
      <x:c r="D697" s="14" t="str">
        <x:v>Ваза ритуальная</x:v>
      </x:c>
      <x:c r="E697" s="2" t="n">
        <x:v>1</x:v>
      </x:c>
      <x:c r="F697" s="2" t="n">
        <x:v>0</x:v>
      </x:c>
      <x:c r="G697" s="12" t="n">
        <x:v>109443</x:v>
      </x:c>
      <x:c r="H697" s="12" t="n">
        <x:v>0</x:v>
      </x:c>
      <x:c r="I697" s="13" t="n">
        <x:v>0</x:v>
      </x:c>
      <x:c r="J697" s="2" t="n">
        <x:v>1</x:v>
      </x:c>
      <x:c r="K697" s="2" t="n">
        <x:v>1</x:v>
      </x:c>
      <x:c r="L697" s="12" t="n">
        <x:v>2957.9189</x:v>
      </x:c>
      <x:c r="M697" s="13" t="n">
        <x:v>1</x:v>
      </x:c>
      <x:c r="N697" s="13" t="n">
        <x:f>H697/G697</x:f>
        <x:v>0</x:v>
      </x:c>
      <x:c r="O697" s="13" t="n">
        <x:f>F697/E697</x:f>
        <x:v>0</x:v>
      </x:c>
      <x:c r="P697" s="2" t="str">
        <x:f>IF(AND(E697&gt;='Итоги'!$F$5,N697&lt;='Итоги'!$B$5,O697&gt;='Итоги'!$D$5),"Да","Нет")</x:f>
        <x:v>Нет</x:v>
      </x:c>
    </x:row>
    <x:row r="698" ht="60" customHeight="1">
      <x:c r="A698" s="14" t="str">
        <x:v>Товары для дома</x:v>
      </x:c>
      <x:c r="B698" s="14" t="str">
        <x:v>Интерьер и декор</x:v>
      </x:c>
      <x:c r="C698" s="14" t="str">
        <x:v>Табличка, цифры на дверь, крючок</x:v>
      </x:c>
      <x:c r="D698" s="14" t="str">
        <x:v>Крепление для картин, постеров и фото</x:v>
      </x:c>
      <x:c r="E698" s="2" t="n">
        <x:v>1</x:v>
      </x:c>
      <x:c r="F698" s="2" t="n">
        <x:v>0</x:v>
      </x:c>
      <x:c r="G698" s="12" t="n">
        <x:v>507964.3872</x:v>
      </x:c>
      <x:c r="H698" s="12" t="n">
        <x:v>0</x:v>
      </x:c>
      <x:c r="I698" s="13" t="n">
        <x:v>0</x:v>
      </x:c>
      <x:c r="J698" s="2" t="n">
        <x:v>1</x:v>
      </x:c>
      <x:c r="K698" s="2" t="n">
        <x:v>1</x:v>
      </x:c>
      <x:c r="L698" s="12" t="n">
        <x:v>900.6461</x:v>
      </x:c>
      <x:c r="M698" s="13" t="n">
        <x:v>1</x:v>
      </x:c>
      <x:c r="N698" s="13" t="n">
        <x:f>H698/G698</x:f>
        <x:v>0</x:v>
      </x:c>
      <x:c r="O698" s="13" t="n">
        <x:f>F698/E698</x:f>
        <x:v>0</x:v>
      </x:c>
      <x:c r="P698" s="2" t="str">
        <x:f>IF(AND(E698&gt;='Итоги'!$F$5,N698&lt;='Итоги'!$B$5,O698&gt;='Итоги'!$D$5),"Да","Нет")</x:f>
        <x:v>Нет</x:v>
      </x:c>
    </x:row>
    <x:row r="699" ht="60" customHeight="1">
      <x:c r="A699" s="14" t="str">
        <x:v>Товары для дома</x:v>
      </x:c>
      <x:c r="B699" s="14" t="str">
        <x:v>Интерьер и декор</x:v>
      </x:c>
      <x:c r="C699" s="14" t="str">
        <x:v>Шкатулка, копилка</x:v>
      </x:c>
      <x:c r="D699" s="14" t="str">
        <x:v>Шкатулка музыкальная</x:v>
      </x:c>
      <x:c r="E699" s="2" t="n">
        <x:v>1</x:v>
      </x:c>
      <x:c r="F699" s="2" t="n">
        <x:v>0</x:v>
      </x:c>
      <x:c r="G699" s="12" t="n">
        <x:v>104628</x:v>
      </x:c>
      <x:c r="H699" s="12" t="n">
        <x:v>0</x:v>
      </x:c>
      <x:c r="I699" s="13" t="n">
        <x:v>0</x:v>
      </x:c>
      <x:c r="J699" s="2" t="n">
        <x:v>1</x:v>
      </x:c>
      <x:c r="K699" s="2" t="n">
        <x:v>1</x:v>
      </x:c>
      <x:c r="L699" s="12" t="n">
        <x:v>1395.04</x:v>
      </x:c>
      <x:c r="M699" s="13" t="n">
        <x:v>1</x:v>
      </x:c>
      <x:c r="N699" s="13" t="n">
        <x:f>H699/G699</x:f>
        <x:v>0</x:v>
      </x:c>
      <x:c r="O699" s="13" t="n">
        <x:f>F699/E699</x:f>
        <x:v>0</x:v>
      </x:c>
      <x:c r="P699" s="2" t="str">
        <x:f>IF(AND(E699&gt;='Итоги'!$F$5,N699&lt;='Итоги'!$B$5,O699&gt;='Итоги'!$D$5),"Да","Нет")</x:f>
        <x:v>Нет</x:v>
      </x:c>
    </x:row>
    <x:row r="700" ht="60" customHeight="1">
      <x:c r="A700" s="14" t="str">
        <x:v>Товары для дома</x:v>
      </x:c>
      <x:c r="B700" s="14" t="str">
        <x:v>Кухня</x:v>
      </x:c>
      <x:c r="C700" s="14" t="str">
        <x:v>Посуда для приготовления пищи</x:v>
      </x:c>
      <x:c r="D700" s="14" t="str">
        <x:v>Ручки съемные для посуды</x:v>
      </x:c>
      <x:c r="E700" s="2" t="n">
        <x:v>1</x:v>
      </x:c>
      <x:c r="F700" s="2" t="n">
        <x:v>0</x:v>
      </x:c>
      <x:c r="G700" s="12" t="n">
        <x:v>332845.03</x:v>
      </x:c>
      <x:c r="H700" s="12" t="n">
        <x:v>0</x:v>
      </x:c>
      <x:c r="I700" s="13" t="n">
        <x:v>0</x:v>
      </x:c>
      <x:c r="J700" s="2" t="n">
        <x:v>1</x:v>
      </x:c>
      <x:c r="K700" s="2" t="n">
        <x:v>1</x:v>
      </x:c>
      <x:c r="L700" s="12" t="n">
        <x:v>993.5673</x:v>
      </x:c>
      <x:c r="M700" s="13" t="n">
        <x:v>1</x:v>
      </x:c>
      <x:c r="N700" s="13" t="n">
        <x:f>H700/G700</x:f>
        <x:v>0</x:v>
      </x:c>
      <x:c r="O700" s="13" t="n">
        <x:f>F700/E700</x:f>
        <x:v>0</x:v>
      </x:c>
      <x:c r="P700" s="2" t="str">
        <x:f>IF(AND(E700&gt;='Итоги'!$F$5,N700&lt;='Итоги'!$B$5,O700&gt;='Итоги'!$D$5),"Да","Нет")</x:f>
        <x:v>Нет</x:v>
      </x:c>
    </x:row>
    <x:row r="701" ht="60" customHeight="1">
      <x:c r="A701" s="14" t="str">
        <x:v>Товары для дома</x:v>
      </x:c>
      <x:c r="B701" s="14" t="str">
        <x:v>Кухня</x:v>
      </x:c>
      <x:c r="C701" s="14" t="str">
        <x:v>Посуда для чая и кофе</x:v>
      </x:c>
      <x:c r="D701" s="14" t="str">
        <x:v>Блюдце</x:v>
      </x:c>
      <x:c r="E701" s="2" t="n">
        <x:v>1</x:v>
      </x:c>
      <x:c r="F701" s="2" t="n">
        <x:v>0</x:v>
      </x:c>
      <x:c r="G701" s="12" t="n">
        <x:v>35083.86</x:v>
      </x:c>
      <x:c r="H701" s="12" t="n">
        <x:v>0</x:v>
      </x:c>
      <x:c r="I701" s="13" t="n">
        <x:v>0</x:v>
      </x:c>
      <x:c r="J701" s="2" t="n">
        <x:v>1</x:v>
      </x:c>
      <x:c r="K701" s="2" t="n">
        <x:v>1</x:v>
      </x:c>
      <x:c r="L701" s="12" t="n">
        <x:v>2063.7565</x:v>
      </x:c>
      <x:c r="M701" s="13" t="n">
        <x:v>1</x:v>
      </x:c>
      <x:c r="N701" s="13" t="n">
        <x:f>H701/G701</x:f>
        <x:v>0</x:v>
      </x:c>
      <x:c r="O701" s="13" t="n">
        <x:f>F701/E701</x:f>
        <x:v>0</x:v>
      </x:c>
      <x:c r="P701" s="2" t="str">
        <x:f>IF(AND(E701&gt;='Итоги'!$F$5,N701&lt;='Итоги'!$B$5,O701&gt;='Итоги'!$D$5),"Да","Нет")</x:f>
        <x:v>Нет</x:v>
      </x:c>
    </x:row>
    <x:row r="702" ht="60" customHeight="1">
      <x:c r="A702" s="14" t="str">
        <x:v>Товары для дома</x:v>
      </x:c>
      <x:c r="B702" s="14" t="str">
        <x:v>Принадлежности для Нового года</x:v>
      </x:c>
      <x:c r="C702" s="14" t="str">
        <x:v>Товары для праздника новогодние</x:v>
      </x:c>
      <x:c r="D702" s="14" t="str">
        <x:v>Подарочная коробка, корзинка новогодние</x:v>
      </x:c>
      <x:c r="E702" s="2" t="n">
        <x:v>1</x:v>
      </x:c>
      <x:c r="F702" s="2" t="n">
        <x:v>0</x:v>
      </x:c>
      <x:c r="G702" s="12" t="n">
        <x:v>109068.3471</x:v>
      </x:c>
      <x:c r="H702" s="12" t="n">
        <x:v>0</x:v>
      </x:c>
      <x:c r="I702" s="13" t="n">
        <x:v>0</x:v>
      </x:c>
      <x:c r="J702" s="2" t="n">
        <x:v>1</x:v>
      </x:c>
      <x:c r="K702" s="2" t="n">
        <x:v>1</x:v>
      </x:c>
      <x:c r="L702" s="12" t="n">
        <x:v>826.2754</x:v>
      </x:c>
      <x:c r="M702" s="13" t="n">
        <x:v>1</x:v>
      </x:c>
      <x:c r="N702" s="13" t="n">
        <x:f>H702/G702</x:f>
        <x:v>0</x:v>
      </x:c>
      <x:c r="O702" s="13" t="n">
        <x:f>F702/E702</x:f>
        <x:v>0</x:v>
      </x:c>
      <x:c r="P702" s="2" t="str">
        <x:f>IF(AND(E702&gt;='Итоги'!$F$5,N702&lt;='Итоги'!$B$5,O702&gt;='Итоги'!$D$5),"Да","Нет")</x:f>
        <x:v>Нет</x:v>
      </x:c>
    </x:row>
    <x:row r="703" ht="60" customHeight="1">
      <x:c r="A703" s="14" t="str">
        <x:v>Товары для животных</x:v>
      </x:c>
      <x:c r="B703" s="14" t="str">
        <x:v>Зоокорм, витамины</x:v>
      </x:c>
      <x:c r="C703" s="14" t="str">
        <x:v>Зоокорм, витамины для мелких животных</x:v>
      </x:c>
      <x:c r="D703" s="14" t="str">
        <x:v>Лакомство для грызунов</x:v>
      </x:c>
      <x:c r="E703" s="2" t="n">
        <x:v>1</x:v>
      </x:c>
      <x:c r="F703" s="2" t="n">
        <x:v>0</x:v>
      </x:c>
      <x:c r="G703" s="12" t="n">
        <x:v>132877.09</x:v>
      </x:c>
      <x:c r="H703" s="12" t="n">
        <x:v>0</x:v>
      </x:c>
      <x:c r="I703" s="13" t="n">
        <x:v>0</x:v>
      </x:c>
      <x:c r="J703" s="2" t="n">
        <x:v>1</x:v>
      </x:c>
      <x:c r="K703" s="2" t="n">
        <x:v>1</x:v>
      </x:c>
      <x:c r="L703" s="12" t="n">
        <x:v>984.2747</x:v>
      </x:c>
      <x:c r="M703" s="13" t="n">
        <x:v>1</x:v>
      </x:c>
      <x:c r="N703" s="13" t="n">
        <x:f>H703/G703</x:f>
        <x:v>0</x:v>
      </x:c>
      <x:c r="O703" s="13" t="n">
        <x:f>F703/E703</x:f>
        <x:v>0</x:v>
      </x:c>
      <x:c r="P703" s="2" t="str">
        <x:f>IF(AND(E703&gt;='Итоги'!$F$5,N703&lt;='Итоги'!$B$5,O703&gt;='Итоги'!$D$5),"Да","Нет")</x:f>
        <x:v>Нет</x:v>
      </x:c>
    </x:row>
    <x:row r="704" ht="60" customHeight="1">
      <x:c r="A704" s="14" t="str">
        <x:v>Товары для животных</x:v>
      </x:c>
      <x:c r="B704" s="14" t="str">
        <x:v>Товары для прогулки и дрессировки животных</x:v>
      </x:c>
      <x:c r="C704" s="14" t="str">
        <x:v>Аксессуары для прогулки и дрессировки животных</x:v>
      </x:c>
      <x:c r="D704" s="14" t="str">
        <x:v>Намордник</x:v>
      </x:c>
      <x:c r="E704" s="2" t="n">
        <x:v>1</x:v>
      </x:c>
      <x:c r="F704" s="2" t="n">
        <x:v>0</x:v>
      </x:c>
      <x:c r="G704" s="12" t="n">
        <x:v>6177.2142</x:v>
      </x:c>
      <x:c r="H704" s="12" t="n">
        <x:v>0</x:v>
      </x:c>
      <x:c r="I704" s="13" t="n">
        <x:v>0</x:v>
      </x:c>
      <x:c r="J704" s="2" t="n">
        <x:v>1</x:v>
      </x:c>
      <x:c r="K704" s="2" t="n">
        <x:v>1</x:v>
      </x:c>
      <x:c r="L704" s="12" t="n">
        <x:v>3088.6071</x:v>
      </x:c>
      <x:c r="M704" s="13" t="n">
        <x:v>1</x:v>
      </x:c>
      <x:c r="N704" s="13" t="n">
        <x:f>H704/G704</x:f>
        <x:v>0</x:v>
      </x:c>
      <x:c r="O704" s="13" t="n">
        <x:f>F704/E704</x:f>
        <x:v>0</x:v>
      </x:c>
      <x:c r="P704" s="2" t="str">
        <x:f>IF(AND(E704&gt;='Итоги'!$F$5,N704&lt;='Итоги'!$B$5,O704&gt;='Итоги'!$D$5),"Да","Нет")</x:f>
        <x:v>Нет</x:v>
      </x:c>
    </x:row>
    <x:row r="705" ht="60" customHeight="1">
      <x:c r="A705" s="14" t="str">
        <x:v>Товары для животных</x:v>
      </x:c>
      <x:c r="B705" s="14" t="str">
        <x:v>Фермерское хозяйство - Корма и кормовые добавки для птицеводства и животноводства</x:v>
      </x:c>
      <x:c r="C705" s="14" t="str">
        <x:v>Кормовые комплексы и витамины для сельскохозяйственных животных и птиц</x:v>
      </x:c>
      <x:c r="D705" s="14" t="str">
        <x:v>Лизунец для сельхозживотных и птиц</x:v>
      </x:c>
      <x:c r="E705" s="2" t="n">
        <x:v>1</x:v>
      </x:c>
      <x:c r="F705" s="2" t="n">
        <x:v>0</x:v>
      </x:c>
      <x:c r="G705" s="12" t="n">
        <x:v>54948</x:v>
      </x:c>
      <x:c r="H705" s="12" t="n">
        <x:v>0</x:v>
      </x:c>
      <x:c r="I705" s="13" t="n">
        <x:v>0</x:v>
      </x:c>
      <x:c r="J705" s="2" t="n">
        <x:v>1</x:v>
      </x:c>
      <x:c r="K705" s="2" t="n">
        <x:v>1</x:v>
      </x:c>
      <x:c r="L705" s="12" t="n">
        <x:v>872.1905</x:v>
      </x:c>
      <x:c r="M705" s="13" t="n">
        <x:v>1</x:v>
      </x:c>
      <x:c r="N705" s="13" t="n">
        <x:f>H705/G705</x:f>
        <x:v>0</x:v>
      </x:c>
      <x:c r="O705" s="13" t="n">
        <x:f>F705/E705</x:f>
        <x:v>0</x:v>
      </x:c>
      <x:c r="P705" s="2" t="str">
        <x:f>IF(AND(E705&gt;='Итоги'!$F$5,N705&lt;='Итоги'!$B$5,O705&gt;='Итоги'!$D$5),"Да","Нет")</x:f>
        <x:v>Нет</x:v>
      </x:c>
    </x:row>
    <x:row r="706" ht="60" customHeight="1">
      <x:c r="A706" s="14" t="str">
        <x:v>Товары для животных</x:v>
      </x:c>
      <x:c r="B706" s="14" t="str">
        <x:v>Фермерское хозяйство - Оборудование для птицеводства и животноводства</x:v>
      </x:c>
      <x:c r="C706" s="14" t="str">
        <x:v>Доильное оборудование</x:v>
      </x:c>
      <x:c r="D706" s="14" t="str">
        <x:v>Комплектующие, запчасти для доильного аппарата</x:v>
      </x:c>
      <x:c r="E706" s="2" t="n">
        <x:v>1</x:v>
      </x:c>
      <x:c r="F706" s="2" t="n">
        <x:v>0</x:v>
      </x:c>
      <x:c r="G706" s="12" t="n">
        <x:v>84390.9951</x:v>
      </x:c>
      <x:c r="H706" s="12" t="n">
        <x:v>0</x:v>
      </x:c>
      <x:c r="I706" s="13" t="n">
        <x:v>0</x:v>
      </x:c>
      <x:c r="J706" s="2" t="n">
        <x:v>1</x:v>
      </x:c>
      <x:c r="K706" s="2" t="n">
        <x:v>1</x:v>
      </x:c>
      <x:c r="L706" s="12" t="n">
        <x:v>1259.5671</x:v>
      </x:c>
      <x:c r="M706" s="13" t="n">
        <x:v>1</x:v>
      </x:c>
      <x:c r="N706" s="13" t="n">
        <x:f>H706/G706</x:f>
        <x:v>0</x:v>
      </x:c>
      <x:c r="O706" s="13" t="n">
        <x:f>F706/E706</x:f>
        <x:v>0</x:v>
      </x:c>
      <x:c r="P706" s="2" t="str">
        <x:f>IF(AND(E706&gt;='Итоги'!$F$5,N706&lt;='Итоги'!$B$5,O706&gt;='Итоги'!$D$5),"Да","Нет")</x:f>
        <x:v>Нет</x:v>
      </x:c>
    </x:row>
    <x:row r="707" ht="60" customHeight="1">
      <x:c r="A707" s="14" t="str">
        <x:v>Товары для животных</x:v>
      </x:c>
      <x:c r="B707" s="14" t="str">
        <x:v>Фермерское хозяйство - Оборудование для птицеводства и животноводства</x:v>
      </x:c>
      <x:c r="C707" s="14" t="str">
        <x:v>Доильное оборудование</x:v>
      </x:c>
      <x:c r="D707" s="14" t="str">
        <x:v>Пульсатор для доильного аппарата</x:v>
      </x:c>
      <x:c r="E707" s="2" t="n">
        <x:v>1</x:v>
      </x:c>
      <x:c r="F707" s="2" t="n">
        <x:v>0</x:v>
      </x:c>
      <x:c r="G707" s="12" t="n">
        <x:v>175791</x:v>
      </x:c>
      <x:c r="H707" s="12" t="n">
        <x:v>0</x:v>
      </x:c>
      <x:c r="I707" s="13" t="n">
        <x:v>0</x:v>
      </x:c>
      <x:c r="J707" s="2" t="n">
        <x:v>1</x:v>
      </x:c>
      <x:c r="K707" s="2" t="n">
        <x:v>1</x:v>
      </x:c>
      <x:c r="L707" s="12" t="n">
        <x:v>1046.375</x:v>
      </x:c>
      <x:c r="M707" s="13" t="n">
        <x:v>1</x:v>
      </x:c>
      <x:c r="N707" s="13" t="n">
        <x:f>H707/G707</x:f>
        <x:v>0</x:v>
      </x:c>
      <x:c r="O707" s="13" t="n">
        <x:f>F707/E707</x:f>
        <x:v>0</x:v>
      </x:c>
      <x:c r="P707" s="2" t="str">
        <x:f>IF(AND(E707&gt;='Итоги'!$F$5,N707&lt;='Итоги'!$B$5,O707&gt;='Итоги'!$D$5),"Да","Нет")</x:f>
        <x:v>Нет</x:v>
      </x:c>
    </x:row>
    <x:row r="708" ht="60" customHeight="1">
      <x:c r="A708" s="14" t="str">
        <x:v>Товары для животных</x:v>
      </x:c>
      <x:c r="B708" s="14" t="str">
        <x:v>Фермерское хозяйство - Оборудование для птицеводства и животноводства</x:v>
      </x:c>
      <x:c r="C708" s="14" t="str">
        <x:v>Доильное оборудование</x:v>
      </x:c>
      <x:c r="D708" s="14" t="str">
        <x:v>Сосковая резина для доильного оборудования</x:v>
      </x:c>
      <x:c r="E708" s="2" t="n">
        <x:v>1</x:v>
      </x:c>
      <x:c r="F708" s="2" t="n">
        <x:v>0</x:v>
      </x:c>
      <x:c r="G708" s="12" t="n">
        <x:v>122096.8441</x:v>
      </x:c>
      <x:c r="H708" s="12" t="n">
        <x:v>0</x:v>
      </x:c>
      <x:c r="I708" s="13" t="n">
        <x:v>0</x:v>
      </x:c>
      <x:c r="J708" s="2" t="n">
        <x:v>1</x:v>
      </x:c>
      <x:c r="K708" s="2" t="n">
        <x:v>1</x:v>
      </x:c>
      <x:c r="L708" s="12" t="n">
        <x:v>2219.9426</x:v>
      </x:c>
      <x:c r="M708" s="13" t="n">
        <x:v>1</x:v>
      </x:c>
      <x:c r="N708" s="13" t="n">
        <x:f>H708/G708</x:f>
        <x:v>0</x:v>
      </x:c>
      <x:c r="O708" s="13" t="n">
        <x:f>F708/E708</x:f>
        <x:v>0</x:v>
      </x:c>
      <x:c r="P708" s="2" t="str">
        <x:f>IF(AND(E708&gt;='Итоги'!$F$5,N708&lt;='Итоги'!$B$5,O708&gt;='Итоги'!$D$5),"Да","Нет")</x:f>
        <x:v>Нет</x:v>
      </x:c>
    </x:row>
    <x:row r="709" ht="60" customHeight="1">
      <x:c r="A709" s="14" t="str">
        <x:v>Товары для животных</x:v>
      </x:c>
      <x:c r="B709" s="14" t="str">
        <x:v>Фермерское хозяйство - Оборудование для птицеводства и животноводства</x:v>
      </x:c>
      <x:c r="C709" s="14" t="str">
        <x:v>Изготовление кормов для сельскохозяйственных животных и птиц</x:v>
      </x:c>
      <x:c r="D709" s="14" t="str">
        <x:v>Запчасти для пресс-подборщика</x:v>
      </x:c>
      <x:c r="E709" s="2" t="n">
        <x:v>1</x:v>
      </x:c>
      <x:c r="F709" s="2" t="n">
        <x:v>0</x:v>
      </x:c>
      <x:c r="G709" s="12" t="n">
        <x:v>407919.35</x:v>
      </x:c>
      <x:c r="H709" s="12" t="n">
        <x:v>0</x:v>
      </x:c>
      <x:c r="I709" s="13" t="n">
        <x:v>0</x:v>
      </x:c>
      <x:c r="J709" s="2" t="n">
        <x:v>1</x:v>
      </x:c>
      <x:c r="K709" s="2" t="n">
        <x:v>1</x:v>
      </x:c>
      <x:c r="L709" s="12" t="n">
        <x:v>1307.4338</x:v>
      </x:c>
      <x:c r="M709" s="13" t="n">
        <x:v>1</x:v>
      </x:c>
      <x:c r="N709" s="13" t="n">
        <x:f>H709/G709</x:f>
        <x:v>0</x:v>
      </x:c>
      <x:c r="O709" s="13" t="n">
        <x:f>F709/E709</x:f>
        <x:v>0</x:v>
      </x:c>
      <x:c r="P709" s="2" t="str">
        <x:f>IF(AND(E709&gt;='Итоги'!$F$5,N709&lt;='Итоги'!$B$5,O709&gt;='Итоги'!$D$5),"Да","Нет")</x:f>
        <x:v>Нет</x:v>
      </x:c>
    </x:row>
    <x:row r="710" ht="60" customHeight="1">
      <x:c r="A710" s="14" t="str">
        <x:v>Товары для животных</x:v>
      </x:c>
      <x:c r="B710" s="14" t="str">
        <x:v>Фермерское хозяйство - Оборудование для птицеводства и животноводства</x:v>
      </x:c>
      <x:c r="C710" s="14" t="str">
        <x:v>Оборудование для убоя и ощипа</x:v>
      </x:c>
      <x:c r="D710" s="14" t="str">
        <x:v>Воронка для убоя</x:v>
      </x:c>
      <x:c r="E710" s="2" t="n">
        <x:v>1</x:v>
      </x:c>
      <x:c r="F710" s="2" t="n">
        <x:v>0</x:v>
      </x:c>
      <x:c r="G710" s="12" t="n">
        <x:v>104143.24</x:v>
      </x:c>
      <x:c r="H710" s="12" t="n">
        <x:v>0</x:v>
      </x:c>
      <x:c r="I710" s="13" t="n">
        <x:v>0</x:v>
      </x:c>
      <x:c r="J710" s="2" t="n">
        <x:v>1</x:v>
      </x:c>
      <x:c r="K710" s="2" t="n">
        <x:v>1</x:v>
      </x:c>
      <x:c r="L710" s="12" t="n">
        <x:v>1183.4459</x:v>
      </x:c>
      <x:c r="M710" s="13" t="n">
        <x:v>1</x:v>
      </x:c>
      <x:c r="N710" s="13" t="n">
        <x:f>H710/G710</x:f>
        <x:v>0</x:v>
      </x:c>
      <x:c r="O710" s="13" t="n">
        <x:f>F710/E710</x:f>
        <x:v>0</x:v>
      </x:c>
      <x:c r="P710" s="2" t="str">
        <x:f>IF(AND(E710&gt;='Итоги'!$F$5,N710&lt;='Итоги'!$B$5,O710&gt;='Итоги'!$D$5),"Да","Нет")</x:f>
        <x:v>Нет</x:v>
      </x:c>
    </x:row>
    <x:row r="711" ht="60" customHeight="1">
      <x:c r="A711" s="14" t="str">
        <x:v>Товары для животных</x:v>
      </x:c>
      <x:c r="B711" s="14" t="str">
        <x:v>Фермерское хозяйство - Оборудование для птицеводства и животноводства</x:v>
      </x:c>
      <x:c r="C711" s="14" t="str">
        <x:v>Оборудование для убоя и ощипа</x:v>
      </x:c>
      <x:c r="D711" s="14" t="str">
        <x:v>Инструмент для убоя</x:v>
      </x:c>
      <x:c r="E711" s="2" t="n">
        <x:v>1</x:v>
      </x:c>
      <x:c r="F711" s="2" t="n">
        <x:v>0</x:v>
      </x:c>
      <x:c r="G711" s="12" t="n">
        <x:v>85951.84</x:v>
      </x:c>
      <x:c r="H711" s="12" t="n">
        <x:v>0</x:v>
      </x:c>
      <x:c r="I711" s="13" t="n">
        <x:v>0</x:v>
      </x:c>
      <x:c r="J711" s="2" t="n">
        <x:v>1</x:v>
      </x:c>
      <x:c r="K711" s="2" t="n">
        <x:v>1</x:v>
      </x:c>
      <x:c r="L711" s="12" t="n">
        <x:v>1591.7007</x:v>
      </x:c>
      <x:c r="M711" s="13" t="n">
        <x:v>1</x:v>
      </x:c>
      <x:c r="N711" s="13" t="n">
        <x:f>H711/G711</x:f>
        <x:v>0</x:v>
      </x:c>
      <x:c r="O711" s="13" t="n">
        <x:f>F711/E711</x:f>
        <x:v>0</x:v>
      </x:c>
      <x:c r="P711" s="2" t="str">
        <x:f>IF(AND(E711&gt;='Итоги'!$F$5,N711&lt;='Итоги'!$B$5,O711&gt;='Итоги'!$D$5),"Да","Нет")</x:f>
        <x:v>Нет</x:v>
      </x:c>
    </x:row>
    <x:row r="712" ht="60" customHeight="1">
      <x:c r="A712" s="14" t="str">
        <x:v>Товары для животных</x:v>
      </x:c>
      <x:c r="B712" s="14" t="str">
        <x:v>Фермерское хозяйство - Оборудование для птицеводства и животноводства</x:v>
      </x:c>
      <x:c r="C712" s="14" t="str">
        <x:v>Оборудование для убоя и ощипа</x:v>
      </x:c>
      <x:c r="D712" s="14" t="str">
        <x:v>Котел для ошпарки</x:v>
      </x:c>
      <x:c r="E712" s="2" t="n">
        <x:v>1</x:v>
      </x:c>
      <x:c r="F712" s="2" t="n">
        <x:v>0</x:v>
      </x:c>
      <x:c r="G712" s="12" t="n">
        <x:v>4287</x:v>
      </x:c>
      <x:c r="H712" s="12" t="n">
        <x:v>0</x:v>
      </x:c>
      <x:c r="I712" s="13" t="n">
        <x:v>0</x:v>
      </x:c>
      <x:c r="J712" s="2" t="n">
        <x:v>1</x:v>
      </x:c>
      <x:c r="K712" s="2" t="n">
        <x:v>1</x:v>
      </x:c>
      <x:c r="L712" s="12" t="n">
        <x:v>4287</x:v>
      </x:c>
      <x:c r="M712" s="13" t="n">
        <x:v>1</x:v>
      </x:c>
      <x:c r="N712" s="13" t="n">
        <x:f>H712/G712</x:f>
        <x:v>0</x:v>
      </x:c>
      <x:c r="O712" s="13" t="n">
        <x:f>F712/E712</x:f>
        <x:v>0</x:v>
      </x:c>
      <x:c r="P712" s="2" t="str">
        <x:f>IF(AND(E712&gt;='Итоги'!$F$5,N712&lt;='Итоги'!$B$5,O712&gt;='Итоги'!$D$5),"Да","Нет")</x:f>
        <x:v>Нет</x:v>
      </x:c>
    </x:row>
    <x:row r="713" ht="60" customHeight="1">
      <x:c r="A713" s="14" t="str">
        <x:v>Товары для животных</x:v>
      </x:c>
      <x:c r="B713" s="14" t="str">
        <x:v>Фермерское хозяйство - Оборудование для птицеводства и животноводства</x:v>
      </x:c>
      <x:c r="C713" s="14" t="str">
        <x:v>Оборудование для хранения и переработки молока</x:v>
      </x:c>
      <x:c r="D713" s="14" t="str">
        <x:v>Комплектующие для оборудования для хранения и переработки молока</x:v>
      </x:c>
      <x:c r="E713" s="2" t="n">
        <x:v>1</x:v>
      </x:c>
      <x:c r="F713" s="2" t="n">
        <x:v>0</x:v>
      </x:c>
      <x:c r="G713" s="12" t="n">
        <x:v>5580</x:v>
      </x:c>
      <x:c r="H713" s="12" t="n">
        <x:v>0</x:v>
      </x:c>
      <x:c r="I713" s="13" t="n">
        <x:v>0</x:v>
      </x:c>
      <x:c r="J713" s="2" t="n">
        <x:v>1</x:v>
      </x:c>
      <x:c r="K713" s="2" t="n">
        <x:v>1</x:v>
      </x:c>
      <x:c r="L713" s="12" t="n">
        <x:v>5580</x:v>
      </x:c>
      <x:c r="M713" s="13" t="n">
        <x:v>1</x:v>
      </x:c>
      <x:c r="N713" s="13" t="n">
        <x:f>H713/G713</x:f>
        <x:v>0</x:v>
      </x:c>
      <x:c r="O713" s="13" t="n">
        <x:f>F713/E713</x:f>
        <x:v>0</x:v>
      </x:c>
      <x:c r="P713" s="2" t="str">
        <x:f>IF(AND(E713&gt;='Итоги'!$F$5,N713&lt;='Итоги'!$B$5,O713&gt;='Итоги'!$D$5),"Да","Нет")</x:f>
        <x:v>Нет</x:v>
      </x:c>
    </x:row>
    <x:row r="714" ht="60" customHeight="1">
      <x:c r="A714" s="14" t="str">
        <x:v>Товары для животных</x:v>
      </x:c>
      <x:c r="B714" s="14" t="str">
        <x:v>Фермерское хозяйство - Оборудование для птицеводства и животноводства</x:v>
      </x:c>
      <x:c r="C714" s="14" t="str">
        <x:v>Оборудование для хранения и переработки молока</x:v>
      </x:c>
      <x:c r="D714" s="14" t="str">
        <x:v>Маслопресс</x:v>
      </x:c>
      <x:c r="E714" s="2" t="n">
        <x:v>1</x:v>
      </x:c>
      <x:c r="F714" s="2" t="n">
        <x:v>0</x:v>
      </x:c>
      <x:c r="G714" s="12" t="n">
        <x:v>139168</x:v>
      </x:c>
      <x:c r="H714" s="12" t="n">
        <x:v>0</x:v>
      </x:c>
      <x:c r="I714" s="13" t="n">
        <x:v>0</x:v>
      </x:c>
      <x:c r="J714" s="2" t="n">
        <x:v>1</x:v>
      </x:c>
      <x:c r="K714" s="2" t="n">
        <x:v>1</x:v>
      </x:c>
      <x:c r="L714" s="12" t="n">
        <x:v>19881.1429</x:v>
      </x:c>
      <x:c r="M714" s="13" t="n">
        <x:v>1</x:v>
      </x:c>
      <x:c r="N714" s="13" t="n">
        <x:f>H714/G714</x:f>
        <x:v>0</x:v>
      </x:c>
      <x:c r="O714" s="13" t="n">
        <x:f>F714/E714</x:f>
        <x:v>0</x:v>
      </x:c>
      <x:c r="P714" s="2" t="str">
        <x:f>IF(AND(E714&gt;='Итоги'!$F$5,N714&lt;='Итоги'!$B$5,O714&gt;='Итоги'!$D$5),"Да","Нет")</x:f>
        <x:v>Нет</x:v>
      </x:c>
    </x:row>
    <x:row r="715" ht="60" customHeight="1">
      <x:c r="A715" s="14" t="str">
        <x:v>Товары для животных</x:v>
      </x:c>
      <x:c r="B715" s="14" t="str">
        <x:v>Фермерское хозяйство - Оборудование для птицеводства и животноводства</x:v>
      </x:c>
      <x:c r="C715" s="14" t="str">
        <x:v>Система кормления и поения для сельскохозяйственных животных и птиц</x:v>
      </x:c>
      <x:c r="D715" s="14" t="str">
        <x:v>Бункерная кормушка</x:v>
      </x:c>
      <x:c r="E715" s="2" t="n">
        <x:v>1</x:v>
      </x:c>
      <x:c r="F715" s="2" t="n">
        <x:v>0</x:v>
      </x:c>
      <x:c r="G715" s="12" t="n">
        <x:v>111475</x:v>
      </x:c>
      <x:c r="H715" s="12" t="n">
        <x:v>0</x:v>
      </x:c>
      <x:c r="I715" s="13" t="n">
        <x:v>0</x:v>
      </x:c>
      <x:c r="J715" s="2" t="n">
        <x:v>1</x:v>
      </x:c>
      <x:c r="K715" s="2" t="n">
        <x:v>1</x:v>
      </x:c>
      <x:c r="L715" s="12" t="n">
        <x:v>1411.0759</x:v>
      </x:c>
      <x:c r="M715" s="13" t="n">
        <x:v>1</x:v>
      </x:c>
      <x:c r="N715" s="13" t="n">
        <x:f>H715/G715</x:f>
        <x:v>0</x:v>
      </x:c>
      <x:c r="O715" s="13" t="n">
        <x:f>F715/E715</x:f>
        <x:v>0</x:v>
      </x:c>
      <x:c r="P715" s="2" t="str">
        <x:f>IF(AND(E715&gt;='Итоги'!$F$5,N715&lt;='Итоги'!$B$5,O715&gt;='Итоги'!$D$5),"Да","Нет")</x:f>
        <x:v>Нет</x:v>
      </x:c>
    </x:row>
    <x:row r="716" ht="60" customHeight="1">
      <x:c r="A716" s="14" t="str">
        <x:v>Товары для животных</x:v>
      </x:c>
      <x:c r="B716" s="14" t="str">
        <x:v>Фермерское хозяйство - Оборудование для птицеводства и животноводства</x:v>
      </x:c>
      <x:c r="C716" s="14" t="str">
        <x:v>Система кормления и поения для сельскохозяйственных животных и птиц</x:v>
      </x:c>
      <x:c r="D716" s="14" t="str">
        <x:v>Вакуумная поилка</x:v>
      </x:c>
      <x:c r="E716" s="2" t="n">
        <x:v>1</x:v>
      </x:c>
      <x:c r="F716" s="2" t="n">
        <x:v>0</x:v>
      </x:c>
      <x:c r="G716" s="12" t="n">
        <x:v>10678</x:v>
      </x:c>
      <x:c r="H716" s="12" t="n">
        <x:v>0</x:v>
      </x:c>
      <x:c r="I716" s="13" t="n">
        <x:v>0</x:v>
      </x:c>
      <x:c r="J716" s="2" t="n">
        <x:v>1</x:v>
      </x:c>
      <x:c r="K716" s="2" t="n">
        <x:v>1</x:v>
      </x:c>
      <x:c r="L716" s="12" t="n">
        <x:v>1186.4444</x:v>
      </x:c>
      <x:c r="M716" s="13" t="n">
        <x:v>1</x:v>
      </x:c>
      <x:c r="N716" s="13" t="n">
        <x:f>H716/G716</x:f>
        <x:v>0</x:v>
      </x:c>
      <x:c r="O716" s="13" t="n">
        <x:f>F716/E716</x:f>
        <x:v>0</x:v>
      </x:c>
      <x:c r="P716" s="2" t="str">
        <x:f>IF(AND(E716&gt;='Итоги'!$F$5,N716&lt;='Итоги'!$B$5,O716&gt;='Итоги'!$D$5),"Да","Нет")</x:f>
        <x:v>Нет</x:v>
      </x:c>
    </x:row>
    <x:row r="717" ht="60" customHeight="1">
      <x:c r="A717" s="14" t="str">
        <x:v>Товары для животных</x:v>
      </x:c>
      <x:c r="B717" s="14" t="str">
        <x:v>Фермерское хозяйство - Содержание, уход птицы и сельскохозяйственных животных</x:v>
      </x:c>
      <x:c r="C717" s="14" t="str">
        <x:v>Ветеринарные изделия для сельскохозяйственных животных и птиц</x:v>
      </x:c>
      <x:c r="D717" s="14" t="str">
        <x:v>Ветеринарный инструмент для сельхозживотных и птиц</x:v>
      </x:c>
      <x:c r="E717" s="2" t="n">
        <x:v>1</x:v>
      </x:c>
      <x:c r="F717" s="2" t="n">
        <x:v>0</x:v>
      </x:c>
      <x:c r="G717" s="12" t="n">
        <x:v>47575</x:v>
      </x:c>
      <x:c r="H717" s="12" t="n">
        <x:v>0</x:v>
      </x:c>
      <x:c r="I717" s="13" t="n">
        <x:v>0</x:v>
      </x:c>
      <x:c r="J717" s="2" t="n">
        <x:v>1</x:v>
      </x:c>
      <x:c r="K717" s="2" t="n">
        <x:v>1</x:v>
      </x:c>
      <x:c r="L717" s="12" t="n">
        <x:v>15858.3333</x:v>
      </x:c>
      <x:c r="M717" s="13" t="n">
        <x:v>1</x:v>
      </x:c>
      <x:c r="N717" s="13" t="n">
        <x:f>H717/G717</x:f>
        <x:v>0</x:v>
      </x:c>
      <x:c r="O717" s="13" t="n">
        <x:f>F717/E717</x:f>
        <x:v>0</x:v>
      </x:c>
      <x:c r="P717" s="2" t="str">
        <x:f>IF(AND(E717&gt;='Итоги'!$F$5,N717&lt;='Итоги'!$B$5,O717&gt;='Итоги'!$D$5),"Да","Нет")</x:f>
        <x:v>Нет</x:v>
      </x:c>
    </x:row>
    <x:row r="718" ht="60" customHeight="1">
      <x:c r="A718" s="14" t="str">
        <x:v>Товары для животных</x:v>
      </x:c>
      <x:c r="B718" s="14" t="str">
        <x:v>Фермерское хозяйство - Содержание, уход птицы и сельскохозяйственных животных</x:v>
      </x:c>
      <x:c r="C718" s="14" t="str">
        <x:v>Гигиена сельскохозяйственных животных</x:v>
      </x:c>
      <x:c r="D718" s="14" t="str">
        <x:v>Гигиенические средства для сельскохозяйственных животных</x:v>
      </x:c>
      <x:c r="E718" s="2" t="n">
        <x:v>1</x:v>
      </x:c>
      <x:c r="F718" s="2" t="n">
        <x:v>0</x:v>
      </x:c>
      <x:c r="G718" s="12" t="n">
        <x:v>107403.9986</x:v>
      </x:c>
      <x:c r="H718" s="12" t="n">
        <x:v>0</x:v>
      </x:c>
      <x:c r="I718" s="13" t="n">
        <x:v>0</x:v>
      </x:c>
      <x:c r="J718" s="2" t="n">
        <x:v>1</x:v>
      </x:c>
      <x:c r="K718" s="2" t="n">
        <x:v>1</x:v>
      </x:c>
      <x:c r="L718" s="12" t="n">
        <x:v>1063.4059</x:v>
      </x:c>
      <x:c r="M718" s="13" t="n">
        <x:v>1</x:v>
      </x:c>
      <x:c r="N718" s="13" t="n">
        <x:f>H718/G718</x:f>
        <x:v>0</x:v>
      </x:c>
      <x:c r="O718" s="13" t="n">
        <x:f>F718/E718</x:f>
        <x:v>0</x:v>
      </x:c>
      <x:c r="P718" s="2" t="str">
        <x:f>IF(AND(E718&gt;='Итоги'!$F$5,N718&lt;='Итоги'!$B$5,O718&gt;='Итоги'!$D$5),"Да","Нет")</x:f>
        <x:v>Нет</x:v>
      </x:c>
    </x:row>
    <x:row r="719" ht="60" customHeight="1">
      <x:c r="A719" s="14" t="str">
        <x:v>Товары для животных</x:v>
      </x:c>
      <x:c r="B719" s="14" t="str">
        <x:v>Фермерское хозяйство - Содержание, уход птицы и сельскохозяйственных животных</x:v>
      </x:c>
      <x:c r="C719" s="14" t="str">
        <x:v>Клетки и комплектующие для сельскохозяйственных животных и птиц</x:v>
      </x:c>
      <x:c r="D719" s="14" t="str">
        <x:v>Клетка для кур и цыплят</x:v>
      </x:c>
      <x:c r="E719" s="2" t="n">
        <x:v>1</x:v>
      </x:c>
      <x:c r="F719" s="2" t="n">
        <x:v>0</x:v>
      </x:c>
      <x:c r="G719" s="12" t="n">
        <x:v>176883</x:v>
      </x:c>
      <x:c r="H719" s="12" t="n">
        <x:v>0</x:v>
      </x:c>
      <x:c r="I719" s="13" t="n">
        <x:v>0</x:v>
      </x:c>
      <x:c r="J719" s="2" t="n">
        <x:v>1</x:v>
      </x:c>
      <x:c r="K719" s="2" t="n">
        <x:v>1</x:v>
      </x:c>
      <x:c r="L719" s="12" t="n">
        <x:v>9309.6316</x:v>
      </x:c>
      <x:c r="M719" s="13" t="n">
        <x:v>1</x:v>
      </x:c>
      <x:c r="N719" s="13" t="n">
        <x:f>H719/G719</x:f>
        <x:v>0</x:v>
      </x:c>
      <x:c r="O719" s="13" t="n">
        <x:f>F719/E719</x:f>
        <x:v>0</x:v>
      </x:c>
      <x:c r="P719" s="2" t="str">
        <x:f>IF(AND(E719&gt;='Итоги'!$F$5,N719&lt;='Итоги'!$B$5,O719&gt;='Итоги'!$D$5),"Да","Нет")</x:f>
        <x:v>Нет</x:v>
      </x:c>
    </x:row>
    <x:row r="720" ht="60" customHeight="1">
      <x:c r="A720" s="14" t="str">
        <x:v>Товары для животных</x:v>
      </x:c>
      <x:c r="B720" s="14" t="str">
        <x:v>Фермерское хозяйство - Содержание, уход птицы и сельскохозяйственных животных</x:v>
      </x:c>
      <x:c r="C720" s="14" t="str">
        <x:v>Моющие средства для фермерского оборудования и помещений</x:v>
      </x:c>
      <x:c r="D720" s="14" t="str">
        <x:v>Средство для дезинфекции животноводческих помещений</x:v>
      </x:c>
      <x:c r="E720" s="2" t="n">
        <x:v>1</x:v>
      </x:c>
      <x:c r="F720" s="2" t="n">
        <x:v>0</x:v>
      </x:c>
      <x:c r="G720" s="12" t="n">
        <x:v>89940</x:v>
      </x:c>
      <x:c r="H720" s="12" t="n">
        <x:v>0</x:v>
      </x:c>
      <x:c r="I720" s="13" t="n">
        <x:v>0</x:v>
      </x:c>
      <x:c r="J720" s="2" t="n">
        <x:v>1</x:v>
      </x:c>
      <x:c r="K720" s="2" t="n">
        <x:v>1</x:v>
      </x:c>
      <x:c r="L720" s="12" t="n">
        <x:v>1577.8947</x:v>
      </x:c>
      <x:c r="M720" s="13" t="n">
        <x:v>1</x:v>
      </x:c>
      <x:c r="N720" s="13" t="n">
        <x:f>H720/G720</x:f>
        <x:v>0</x:v>
      </x:c>
      <x:c r="O720" s="13" t="n">
        <x:f>F720/E720</x:f>
        <x:v>0</x:v>
      </x:c>
      <x:c r="P720" s="2" t="str">
        <x:f>IF(AND(E720&gt;='Итоги'!$F$5,N720&lt;='Итоги'!$B$5,O720&gt;='Итоги'!$D$5),"Да","Нет")</x:f>
        <x:v>Нет</x:v>
      </x:c>
    </x:row>
    <x:row r="721" ht="60" customHeight="1">
      <x:c r="A721" s="14" t="str">
        <x:v>Товары для животных</x:v>
      </x:c>
      <x:c r="B721" s="14" t="str">
        <x:v>Фермерское хозяйство - Товары для пчеловодства</x:v>
      </x:c>
      <x:c r="C721" s="14" t="str">
        <x:v>Изготовление меда</x:v>
      </x:c>
      <x:c r="D721" s="14" t="str">
        <x:v>Измерительный прибор для меда</x:v>
      </x:c>
      <x:c r="E721" s="2" t="n">
        <x:v>1</x:v>
      </x:c>
      <x:c r="F721" s="2" t="n">
        <x:v>0</x:v>
      </x:c>
      <x:c r="G721" s="12" t="n">
        <x:v>60006.4338</x:v>
      </x:c>
      <x:c r="H721" s="12" t="n">
        <x:v>0</x:v>
      </x:c>
      <x:c r="I721" s="13" t="n">
        <x:v>0</x:v>
      </x:c>
      <x:c r="J721" s="2" t="n">
        <x:v>1</x:v>
      </x:c>
      <x:c r="K721" s="2" t="n">
        <x:v>1</x:v>
      </x:c>
      <x:c r="L721" s="12" t="n">
        <x:v>1111.2303</x:v>
      </x:c>
      <x:c r="M721" s="13" t="n">
        <x:v>1</x:v>
      </x:c>
      <x:c r="N721" s="13" t="n">
        <x:f>H721/G721</x:f>
        <x:v>0</x:v>
      </x:c>
      <x:c r="O721" s="13" t="n">
        <x:f>F721/E721</x:f>
        <x:v>0</x:v>
      </x:c>
      <x:c r="P721" s="2" t="str">
        <x:f>IF(AND(E721&gt;='Итоги'!$F$5,N721&lt;='Итоги'!$B$5,O721&gt;='Итоги'!$D$5),"Да","Нет")</x:f>
        <x:v>Нет</x:v>
      </x:c>
    </x:row>
    <x:row r="722" ht="60" customHeight="1">
      <x:c r="A722" s="14" t="str">
        <x:v>Товары для животных</x:v>
      </x:c>
      <x:c r="B722" s="14" t="str">
        <x:v>Фермерское хозяйство - Товары для пчеловодства</x:v>
      </x:c>
      <x:c r="C722" s="14" t="str">
        <x:v>Изготовление меда</x:v>
      </x:c>
      <x:c r="D722" s="14" t="str">
        <x:v>Одежда для работы с медом</x:v>
      </x:c>
      <x:c r="E722" s="2" t="n">
        <x:v>1</x:v>
      </x:c>
      <x:c r="F722" s="2" t="n">
        <x:v>0</x:v>
      </x:c>
      <x:c r="G722" s="12" t="n">
        <x:v>7601</x:v>
      </x:c>
      <x:c r="H722" s="12" t="n">
        <x:v>0</x:v>
      </x:c>
      <x:c r="I722" s="13" t="n">
        <x:v>0</x:v>
      </x:c>
      <x:c r="J722" s="2" t="n">
        <x:v>1</x:v>
      </x:c>
      <x:c r="K722" s="2" t="n">
        <x:v>1</x:v>
      </x:c>
      <x:c r="L722" s="12" t="n">
        <x:v>3800.5</x:v>
      </x:c>
      <x:c r="M722" s="13" t="n">
        <x:v>1</x:v>
      </x:c>
      <x:c r="N722" s="13" t="n">
        <x:f>H722/G722</x:f>
        <x:v>0</x:v>
      </x:c>
      <x:c r="O722" s="13" t="n">
        <x:f>F722/E722</x:f>
        <x:v>0</x:v>
      </x:c>
      <x:c r="P722" s="2" t="str">
        <x:f>IF(AND(E722&gt;='Итоги'!$F$5,N722&lt;='Итоги'!$B$5,O722&gt;='Итоги'!$D$5),"Да","Нет")</x:f>
        <x:v>Нет</x:v>
      </x:c>
    </x:row>
    <x:row r="723" ht="60" customHeight="1">
      <x:c r="A723" s="14" t="str">
        <x:v>Товары для животных</x:v>
      </x:c>
      <x:c r="B723" s="14" t="str">
        <x:v>Фермерское хозяйство - Товары для пчеловодства</x:v>
      </x:c>
      <x:c r="C723" s="14" t="str">
        <x:v>Ручной инвентарь пчеловода</x:v>
      </x:c>
      <x:c r="D723" s="14" t="str">
        <x:v>Дымарь, окуриватель</x:v>
      </x:c>
      <x:c r="E723" s="2" t="n">
        <x:v>1</x:v>
      </x:c>
      <x:c r="F723" s="2" t="n">
        <x:v>0</x:v>
      </x:c>
      <x:c r="G723" s="12" t="n">
        <x:v>87945.2931</x:v>
      </x:c>
      <x:c r="H723" s="12" t="n">
        <x:v>0</x:v>
      </x:c>
      <x:c r="I723" s="13" t="n">
        <x:v>0</x:v>
      </x:c>
      <x:c r="J723" s="2" t="n">
        <x:v>1</x:v>
      </x:c>
      <x:c r="K723" s="2" t="n">
        <x:v>1</x:v>
      </x:c>
      <x:c r="L723" s="12" t="n">
        <x:v>988.1494</x:v>
      </x:c>
      <x:c r="M723" s="13" t="n">
        <x:v>1</x:v>
      </x:c>
      <x:c r="N723" s="13" t="n">
        <x:f>H723/G723</x:f>
        <x:v>0</x:v>
      </x:c>
      <x:c r="O723" s="13" t="n">
        <x:f>F723/E723</x:f>
        <x:v>0</x:v>
      </x:c>
      <x:c r="P723" s="2" t="str">
        <x:f>IF(AND(E723&gt;='Итоги'!$F$5,N723&lt;='Итоги'!$B$5,O723&gt;='Итоги'!$D$5),"Да","Нет")</x:f>
        <x:v>Нет</x:v>
      </x:c>
    </x:row>
    <x:row r="724" ht="60" customHeight="1">
      <x:c r="A724" s="14" t="str">
        <x:v>Товары для животных</x:v>
      </x:c>
      <x:c r="B724" s="14" t="str">
        <x:v>Фермерское хозяйство - Товары для пчеловодства</x:v>
      </x:c>
      <x:c r="C724" s="14" t="str">
        <x:v>Ручной инвентарь пчеловода</x:v>
      </x:c>
      <x:c r="D724" s="14" t="str">
        <x:v>Нож-стамеска пасечный</x:v>
      </x:c>
      <x:c r="E724" s="2" t="n">
        <x:v>1</x:v>
      </x:c>
      <x:c r="F724" s="2" t="n">
        <x:v>0</x:v>
      </x:c>
      <x:c r="G724" s="12" t="n">
        <x:v>54410</x:v>
      </x:c>
      <x:c r="H724" s="12" t="n">
        <x:v>0</x:v>
      </x:c>
      <x:c r="I724" s="13" t="n">
        <x:v>0</x:v>
      </x:c>
      <x:c r="J724" s="2" t="n">
        <x:v>1</x:v>
      </x:c>
      <x:c r="K724" s="2" t="n">
        <x:v>1</x:v>
      </x:c>
      <x:c r="L724" s="12" t="n">
        <x:v>1327.0732</x:v>
      </x:c>
      <x:c r="M724" s="13" t="n">
        <x:v>1</x:v>
      </x:c>
      <x:c r="N724" s="13" t="n">
        <x:f>H724/G724</x:f>
        <x:v>0</x:v>
      </x:c>
      <x:c r="O724" s="13" t="n">
        <x:f>F724/E724</x:f>
        <x:v>0</x:v>
      </x:c>
      <x:c r="P724" s="2" t="str">
        <x:f>IF(AND(E724&gt;='Итоги'!$F$5,N724&lt;='Итоги'!$B$5,O724&gt;='Итоги'!$D$5),"Да","Нет")</x:f>
        <x:v>Нет</x:v>
      </x:c>
    </x:row>
    <x:row r="725" ht="60" customHeight="1">
      <x:c r="A725" s="14" t="str">
        <x:v>Товары для красоты и здоровья</x:v>
      </x:c>
      <x:c r="B725" s="14" t="str">
        <x:v>Косметика для ухода за волосами</x:v>
      </x:c>
      <x:c r="C725" s="14" t="str">
        <x:v>Окрашивание волос для женщин</x:v>
      </x:c>
      <x:c r="D725" s="14" t="str">
        <x:v>Химическая завивка</x:v>
      </x:c>
      <x:c r="E725" s="2" t="n">
        <x:v>1</x:v>
      </x:c>
      <x:c r="F725" s="2" t="n">
        <x:v>0</x:v>
      </x:c>
      <x:c r="G725" s="12" t="n">
        <x:v>11087</x:v>
      </x:c>
      <x:c r="H725" s="12" t="n">
        <x:v>0</x:v>
      </x:c>
      <x:c r="I725" s="13" t="n">
        <x:v>0</x:v>
      </x:c>
      <x:c r="J725" s="2" t="n">
        <x:v>1</x:v>
      </x:c>
      <x:c r="K725" s="2" t="n">
        <x:v>1</x:v>
      </x:c>
      <x:c r="L725" s="12" t="n">
        <x:v>1847.8333</x:v>
      </x:c>
      <x:c r="M725" s="13" t="n">
        <x:v>1</x:v>
      </x:c>
      <x:c r="N725" s="13" t="n">
        <x:f>H725/G725</x:f>
        <x:v>0</x:v>
      </x:c>
      <x:c r="O725" s="13" t="n">
        <x:f>F725/E725</x:f>
        <x:v>0</x:v>
      </x:c>
      <x:c r="P725" s="2" t="str">
        <x:f>IF(AND(E725&gt;='Итоги'!$F$5,N725&lt;='Итоги'!$B$5,O725&gt;='Итоги'!$D$5),"Да","Нет")</x:f>
        <x:v>Нет</x:v>
      </x:c>
    </x:row>
    <x:row r="726" ht="60" customHeight="1">
      <x:c r="A726" s="14" t="str">
        <x:v>Товары для красоты и здоровья</x:v>
      </x:c>
      <x:c r="B726" s="14" t="str">
        <x:v>Косметика для ухода за волосами</x:v>
      </x:c>
      <x:c r="C726" s="14" t="str">
        <x:v>Уход за волосами для мужчин</x:v>
      </x:c>
      <x:c r="D726" s="14" t="str">
        <x:v>Масло для волос мужское</x:v>
      </x:c>
      <x:c r="E726" s="2" t="n">
        <x:v>1</x:v>
      </x:c>
      <x:c r="F726" s="2" t="n">
        <x:v>0</x:v>
      </x:c>
      <x:c r="G726" s="12" t="n">
        <x:v>113215.3879</x:v>
      </x:c>
      <x:c r="H726" s="12" t="n">
        <x:v>0</x:v>
      </x:c>
      <x:c r="I726" s="13" t="n">
        <x:v>0</x:v>
      </x:c>
      <x:c r="J726" s="2" t="n">
        <x:v>1</x:v>
      </x:c>
      <x:c r="K726" s="2" t="n">
        <x:v>1</x:v>
      </x:c>
      <x:c r="L726" s="12" t="n">
        <x:v>905.7231</x:v>
      </x:c>
      <x:c r="M726" s="13" t="n">
        <x:v>1</x:v>
      </x:c>
      <x:c r="N726" s="13" t="n">
        <x:f>H726/G726</x:f>
        <x:v>0</x:v>
      </x:c>
      <x:c r="O726" s="13" t="n">
        <x:f>F726/E726</x:f>
        <x:v>0</x:v>
      </x:c>
      <x:c r="P726" s="2" t="str">
        <x:f>IF(AND(E726&gt;='Итоги'!$F$5,N726&lt;='Итоги'!$B$5,O726&gt;='Итоги'!$D$5),"Да","Нет")</x:f>
        <x:v>Нет</x:v>
      </x:c>
    </x:row>
    <x:row r="727" ht="60" customHeight="1">
      <x:c r="A727" s="14" t="str">
        <x:v>Товары для красоты и здоровья</x:v>
      </x:c>
      <x:c r="B727" s="14" t="str">
        <x:v>Косметика для ухода за кожей</x:v>
      </x:c>
      <x:c r="C727" s="14" t="str">
        <x:v>Ноги</x:v>
      </x:c>
      <x:c r="D727" s="14" t="str">
        <x:v>Средство для ножных ванночек</x:v>
      </x:c>
      <x:c r="E727" s="2" t="n">
        <x:v>1</x:v>
      </x:c>
      <x:c r="F727" s="2" t="n">
        <x:v>0</x:v>
      </x:c>
      <x:c r="G727" s="12" t="n">
        <x:v>134706.6</x:v>
      </x:c>
      <x:c r="H727" s="12" t="n">
        <x:v>0</x:v>
      </x:c>
      <x:c r="I727" s="13" t="n">
        <x:v>0</x:v>
      </x:c>
      <x:c r="J727" s="2" t="n">
        <x:v>1</x:v>
      </x:c>
      <x:c r="K727" s="2" t="n">
        <x:v>1</x:v>
      </x:c>
      <x:c r="L727" s="12" t="n">
        <x:v>880.4353</x:v>
      </x:c>
      <x:c r="M727" s="13" t="n">
        <x:v>1</x:v>
      </x:c>
      <x:c r="N727" s="13" t="n">
        <x:f>H727/G727</x:f>
        <x:v>0</x:v>
      </x:c>
      <x:c r="O727" s="13" t="n">
        <x:f>F727/E727</x:f>
        <x:v>0</x:v>
      </x:c>
      <x:c r="P727" s="2" t="str">
        <x:f>IF(AND(E727&gt;='Итоги'!$F$5,N727&lt;='Итоги'!$B$5,O727&gt;='Итоги'!$D$5),"Да","Нет")</x:f>
        <x:v>Нет</x:v>
      </x:c>
    </x:row>
    <x:row r="728" ht="60" customHeight="1">
      <x:c r="A728" s="14" t="str">
        <x:v>Товары для красоты и здоровья</x:v>
      </x:c>
      <x:c r="B728" s="14" t="str">
        <x:v>Косметическая техника</x:v>
      </x:c>
      <x:c r="C728" s="14" t="str">
        <x:v>Оборудование для салона красоты</x:v>
      </x:c>
      <x:c r="D728" s="14" t="str">
        <x:v>Оснащение студий загара</x:v>
      </x:c>
      <x:c r="E728" s="2" t="n">
        <x:v>1</x:v>
      </x:c>
      <x:c r="F728" s="2" t="n">
        <x:v>0</x:v>
      </x:c>
      <x:c r="G728" s="12" t="n">
        <x:v>126141</x:v>
      </x:c>
      <x:c r="H728" s="12" t="n">
        <x:v>0</x:v>
      </x:c>
      <x:c r="I728" s="13" t="n">
        <x:v>0</x:v>
      </x:c>
      <x:c r="J728" s="2" t="n">
        <x:v>1</x:v>
      </x:c>
      <x:c r="K728" s="2" t="n">
        <x:v>1</x:v>
      </x:c>
      <x:c r="L728" s="12" t="n">
        <x:v>25228.2</x:v>
      </x:c>
      <x:c r="M728" s="13" t="n">
        <x:v>1</x:v>
      </x:c>
      <x:c r="N728" s="13" t="n">
        <x:f>H728/G728</x:f>
        <x:v>0</x:v>
      </x:c>
      <x:c r="O728" s="13" t="n">
        <x:f>F728/E728</x:f>
        <x:v>0</x:v>
      </x:c>
      <x:c r="P728" s="2" t="str">
        <x:f>IF(AND(E728&gt;='Итоги'!$F$5,N728&lt;='Итоги'!$B$5,O728&gt;='Итоги'!$D$5),"Да","Нет")</x:f>
        <x:v>Нет</x:v>
      </x:c>
    </x:row>
    <x:row r="729" ht="60" customHeight="1">
      <x:c r="A729" s="14" t="str">
        <x:v>Товары для красоты и здоровья</x:v>
      </x:c>
      <x:c r="B729" s="14" t="str">
        <x:v>Косметические аксессуары</x:v>
      </x:c>
      <x:c r="C729" s="14" t="str">
        <x:v>Аксессуары для волос</x:v>
      </x:c>
      <x:c r="D729" s="14" t="str">
        <x:v>Волосы для наращивания</x:v>
      </x:c>
      <x:c r="E729" s="2" t="n">
        <x:v>1</x:v>
      </x:c>
      <x:c r="F729" s="2" t="n">
        <x:v>0</x:v>
      </x:c>
      <x:c r="G729" s="12" t="n">
        <x:v>3143</x:v>
      </x:c>
      <x:c r="H729" s="12" t="n">
        <x:v>0</x:v>
      </x:c>
      <x:c r="I729" s="13" t="n">
        <x:v>0</x:v>
      </x:c>
      <x:c r="J729" s="2" t="n">
        <x:v>1</x:v>
      </x:c>
      <x:c r="K729" s="2" t="n">
        <x:v>1</x:v>
      </x:c>
      <x:c r="L729" s="12" t="n">
        <x:v>1571.5</x:v>
      </x:c>
      <x:c r="M729" s="13" t="n">
        <x:v>1</x:v>
      </x:c>
      <x:c r="N729" s="13" t="n">
        <x:f>H729/G729</x:f>
        <x:v>0</x:v>
      </x:c>
      <x:c r="O729" s="13" t="n">
        <x:f>F729/E729</x:f>
        <x:v>0</x:v>
      </x:c>
      <x:c r="P729" s="2" t="str">
        <x:f>IF(AND(E729&gt;='Итоги'!$F$5,N729&lt;='Итоги'!$B$5,O729&gt;='Итоги'!$D$5),"Да","Нет")</x:f>
        <x:v>Нет</x:v>
      </x:c>
    </x:row>
    <x:row r="730" ht="60" customHeight="1">
      <x:c r="A730" s="14" t="str">
        <x:v>Товары для красоты и здоровья</x:v>
      </x:c>
      <x:c r="B730" s="14" t="str">
        <x:v>Косметические аксессуары</x:v>
      </x:c>
      <x:c r="C730" s="14" t="str">
        <x:v>Аксессуары для макияжа</x:v>
      </x:c>
      <x:c r="D730" s="14" t="str">
        <x:v>Пинцет, щипцы для ресниц, бровей</x:v>
      </x:c>
      <x:c r="E730" s="2" t="n">
        <x:v>1</x:v>
      </x:c>
      <x:c r="F730" s="2" t="n">
        <x:v>0</x:v>
      </x:c>
      <x:c r="G730" s="12" t="n">
        <x:v>105711</x:v>
      </x:c>
      <x:c r="H730" s="12" t="n">
        <x:v>0</x:v>
      </x:c>
      <x:c r="I730" s="13" t="n">
        <x:v>0</x:v>
      </x:c>
      <x:c r="J730" s="2" t="n">
        <x:v>1</x:v>
      </x:c>
      <x:c r="K730" s="2" t="n">
        <x:v>1</x:v>
      </x:c>
      <x:c r="L730" s="12" t="n">
        <x:v>2578.3171</x:v>
      </x:c>
      <x:c r="M730" s="13" t="n">
        <x:v>1</x:v>
      </x:c>
      <x:c r="N730" s="13" t="n">
        <x:f>H730/G730</x:f>
        <x:v>0</x:v>
      </x:c>
      <x:c r="O730" s="13" t="n">
        <x:f>F730/E730</x:f>
        <x:v>0</x:v>
      </x:c>
      <x:c r="P730" s="2" t="str">
        <x:f>IF(AND(E730&gt;='Итоги'!$F$5,N730&lt;='Итоги'!$B$5,O730&gt;='Итоги'!$D$5),"Да","Нет")</x:f>
        <x:v>Нет</x:v>
      </x:c>
    </x:row>
    <x:row r="731" ht="60" customHeight="1">
      <x:c r="A731" s="14" t="str">
        <x:v>Товары для красоты и здоровья</x:v>
      </x:c>
      <x:c r="B731" s="14" t="str">
        <x:v>Косметические аксессуары</x:v>
      </x:c>
      <x:c r="C731" s="14" t="str">
        <x:v>Аксессуары для макияжа</x:v>
      </x:c>
      <x:c r="D731" s="14" t="str">
        <x:v>Сумка косметолога/визажиста</x:v>
      </x:c>
      <x:c r="E731" s="2" t="n">
        <x:v>1</x:v>
      </x:c>
      <x:c r="F731" s="2" t="n">
        <x:v>0</x:v>
      </x:c>
      <x:c r="G731" s="12" t="n">
        <x:v>19657</x:v>
      </x:c>
      <x:c r="H731" s="12" t="n">
        <x:v>0</x:v>
      </x:c>
      <x:c r="I731" s="13" t="n">
        <x:v>0</x:v>
      </x:c>
      <x:c r="J731" s="2" t="n">
        <x:v>1</x:v>
      </x:c>
      <x:c r="K731" s="2" t="n">
        <x:v>1</x:v>
      </x:c>
      <x:c r="L731" s="12" t="n">
        <x:v>4914.25</x:v>
      </x:c>
      <x:c r="M731" s="13" t="n">
        <x:v>1</x:v>
      </x:c>
      <x:c r="N731" s="13" t="n">
        <x:f>H731/G731</x:f>
        <x:v>0</x:v>
      </x:c>
      <x:c r="O731" s="13" t="n">
        <x:f>F731/E731</x:f>
        <x:v>0</x:v>
      </x:c>
      <x:c r="P731" s="2" t="str">
        <x:f>IF(AND(E731&gt;='Итоги'!$F$5,N731&lt;='Итоги'!$B$5,O731&gt;='Итоги'!$D$5),"Да","Нет")</x:f>
        <x:v>Нет</x:v>
      </x:c>
    </x:row>
    <x:row r="732" ht="60" customHeight="1">
      <x:c r="A732" s="14" t="str">
        <x:v>Товары для красоты и здоровья</x:v>
      </x:c>
      <x:c r="B732" s="14" t="str">
        <x:v>Косметические аксессуары</x:v>
      </x:c>
      <x:c r="C732" s="14" t="str">
        <x:v>Парикмахерские принадлежности</x:v>
      </x:c>
      <x:c r="D732" s="14" t="str">
        <x:v>Мерные емкости, распылители парикмахерские</x:v>
      </x:c>
      <x:c r="E732" s="2" t="n">
        <x:v>1</x:v>
      </x:c>
      <x:c r="F732" s="2" t="n">
        <x:v>0</x:v>
      </x:c>
      <x:c r="G732" s="12" t="n">
        <x:v>32855</x:v>
      </x:c>
      <x:c r="H732" s="12" t="n">
        <x:v>0</x:v>
      </x:c>
      <x:c r="I732" s="13" t="n">
        <x:v>0</x:v>
      </x:c>
      <x:c r="J732" s="2" t="n">
        <x:v>1</x:v>
      </x:c>
      <x:c r="K732" s="2" t="n">
        <x:v>1</x:v>
      </x:c>
      <x:c r="L732" s="12" t="n">
        <x:v>2986.8182</x:v>
      </x:c>
      <x:c r="M732" s="13" t="n">
        <x:v>1</x:v>
      </x:c>
      <x:c r="N732" s="13" t="n">
        <x:f>H732/G732</x:f>
        <x:v>0</x:v>
      </x:c>
      <x:c r="O732" s="13" t="n">
        <x:f>F732/E732</x:f>
        <x:v>0</x:v>
      </x:c>
      <x:c r="P732" s="2" t="str">
        <x:f>IF(AND(E732&gt;='Итоги'!$F$5,N732&lt;='Итоги'!$B$5,O732&gt;='Итоги'!$D$5),"Да","Нет")</x:f>
        <x:v>Нет</x:v>
      </x:c>
    </x:row>
    <x:row r="733" ht="60" customHeight="1">
      <x:c r="A733" s="14" t="str">
        <x:v>Товары для красоты и здоровья</x:v>
      </x:c>
      <x:c r="B733" s="14" t="str">
        <x:v>Косметические средства для детей и беременных</x:v>
      </x:c>
      <x:c r="C733" s="14" t="str">
        <x:v>Детская гигиена Health&amp;Beauty</x:v>
      </x:c>
      <x:c r="D733" s="14" t="str">
        <x:v>Гель для душа детский</x:v>
      </x:c>
      <x:c r="E733" s="2" t="n">
        <x:v>1</x:v>
      </x:c>
      <x:c r="F733" s="2" t="n">
        <x:v>0</x:v>
      </x:c>
      <x:c r="G733" s="12" t="n">
        <x:v>345503.7</x:v>
      </x:c>
      <x:c r="H733" s="12" t="n">
        <x:v>0</x:v>
      </x:c>
      <x:c r="I733" s="13" t="n">
        <x:v>0</x:v>
      </x:c>
      <x:c r="J733" s="2" t="n">
        <x:v>1</x:v>
      </x:c>
      <x:c r="K733" s="2" t="n">
        <x:v>1</x:v>
      </x:c>
      <x:c r="L733" s="12" t="n">
        <x:v>771.2136</x:v>
      </x:c>
      <x:c r="M733" s="13" t="n">
        <x:v>1</x:v>
      </x:c>
      <x:c r="N733" s="13" t="n">
        <x:f>H733/G733</x:f>
        <x:v>0</x:v>
      </x:c>
      <x:c r="O733" s="13" t="n">
        <x:f>F733/E733</x:f>
        <x:v>0</x:v>
      </x:c>
      <x:c r="P733" s="2" t="str">
        <x:f>IF(AND(E733&gt;='Итоги'!$F$5,N733&lt;='Итоги'!$B$5,O733&gt;='Итоги'!$D$5),"Да","Нет")</x:f>
        <x:v>Нет</x:v>
      </x:c>
    </x:row>
    <x:row r="734" ht="60" customHeight="1">
      <x:c r="A734" s="14" t="str">
        <x:v>Товары для красоты и здоровья</x:v>
      </x:c>
      <x:c r="B734" s="14" t="str">
        <x:v>Косметические средства для детей и беременных</x:v>
      </x:c>
      <x:c r="C734" s="14" t="str">
        <x:v>Косметические средства для беременных и кормящих</x:v>
      </x:c>
      <x:c r="D734" s="14" t="str">
        <x:v>Средство для ухода за грудью до и после родов</x:v>
      </x:c>
      <x:c r="E734" s="2" t="n">
        <x:v>1</x:v>
      </x:c>
      <x:c r="F734" s="2" t="n">
        <x:v>0</x:v>
      </x:c>
      <x:c r="G734" s="12" t="n">
        <x:v>218669.1247</x:v>
      </x:c>
      <x:c r="H734" s="12" t="n">
        <x:v>0</x:v>
      </x:c>
      <x:c r="I734" s="13" t="n">
        <x:v>0</x:v>
      </x:c>
      <x:c r="J734" s="2" t="n">
        <x:v>1</x:v>
      </x:c>
      <x:c r="K734" s="2" t="n">
        <x:v>1</x:v>
      </x:c>
      <x:c r="L734" s="12" t="n">
        <x:v>1087.9061</x:v>
      </x:c>
      <x:c r="M734" s="13" t="n">
        <x:v>1</x:v>
      </x:c>
      <x:c r="N734" s="13" t="n">
        <x:f>H734/G734</x:f>
        <x:v>0</x:v>
      </x:c>
      <x:c r="O734" s="13" t="n">
        <x:f>F734/E734</x:f>
        <x:v>0</x:v>
      </x:c>
      <x:c r="P734" s="2" t="str">
        <x:f>IF(AND(E734&gt;='Итоги'!$F$5,N734&lt;='Итоги'!$B$5,O734&gt;='Итоги'!$D$5),"Да","Нет")</x:f>
        <x:v>Нет</x:v>
      </x:c>
    </x:row>
    <x:row r="735" ht="60" customHeight="1">
      <x:c r="A735" s="14" t="str">
        <x:v>Товары для красоты и здоровья</x:v>
      </x:c>
      <x:c r="B735" s="14" t="str">
        <x:v>Уход и гигиена</x:v>
      </x:c>
      <x:c r="C735" s="14" t="str">
        <x:v>Гигиена тела</x:v>
      </x:c>
      <x:c r="D735" s="14" t="str">
        <x:v>Тальк косметический</x:v>
      </x:c>
      <x:c r="E735" s="2" t="n">
        <x:v>1</x:v>
      </x:c>
      <x:c r="F735" s="2" t="n">
        <x:v>0</x:v>
      </x:c>
      <x:c r="G735" s="12" t="n">
        <x:v>74725.0677</x:v>
      </x:c>
      <x:c r="H735" s="12" t="n">
        <x:v>0</x:v>
      </x:c>
      <x:c r="I735" s="13" t="n">
        <x:v>0</x:v>
      </x:c>
      <x:c r="J735" s="2" t="n">
        <x:v>1</x:v>
      </x:c>
      <x:c r="K735" s="2" t="n">
        <x:v>1</x:v>
      </x:c>
      <x:c r="L735" s="12" t="n">
        <x:v>786.5797</x:v>
      </x:c>
      <x:c r="M735" s="13" t="n">
        <x:v>1</x:v>
      </x:c>
      <x:c r="N735" s="13" t="n">
        <x:f>H735/G735</x:f>
        <x:v>0</x:v>
      </x:c>
      <x:c r="O735" s="13" t="n">
        <x:f>F735/E735</x:f>
        <x:v>0</x:v>
      </x:c>
      <x:c r="P735" s="2" t="str">
        <x:f>IF(AND(E735&gt;='Итоги'!$F$5,N735&lt;='Итоги'!$B$5,O735&gt;='Итоги'!$D$5),"Да","Нет")</x:f>
        <x:v>Нет</x:v>
      </x:c>
    </x:row>
    <x:row r="736" ht="60" customHeight="1">
      <x:c r="A736" s="14" t="str">
        <x:v>Хобби и творчество</x:v>
      </x:c>
      <x:c r="B736" s="14" t="str">
        <x:v>Взрослое творчество и хобби</x:v>
      </x:c>
      <x:c r="C736" s="14" t="str">
        <x:v>Вышивание</x:v>
      </x:c>
      <x:c r="D736" s="14" t="str">
        <x:v>Канва</x:v>
      </x:c>
      <x:c r="E736" s="2" t="n">
        <x:v>1</x:v>
      </x:c>
      <x:c r="F736" s="2" t="n">
        <x:v>0</x:v>
      </x:c>
      <x:c r="G736" s="12" t="n">
        <x:v>4122</x:v>
      </x:c>
      <x:c r="H736" s="12" t="n">
        <x:v>0</x:v>
      </x:c>
      <x:c r="I736" s="13" t="n">
        <x:v>0</x:v>
      </x:c>
      <x:c r="J736" s="2" t="n">
        <x:v>1</x:v>
      </x:c>
      <x:c r="K736" s="2" t="n">
        <x:v>1</x:v>
      </x:c>
      <x:c r="L736" s="12" t="n">
        <x:v>1030.5</x:v>
      </x:c>
      <x:c r="M736" s="13" t="n">
        <x:v>1</x:v>
      </x:c>
      <x:c r="N736" s="13" t="n">
        <x:f>H736/G736</x:f>
        <x:v>0</x:v>
      </x:c>
      <x:c r="O736" s="13" t="n">
        <x:f>F736/E736</x:f>
        <x:v>0</x:v>
      </x:c>
      <x:c r="P736" s="2" t="str">
        <x:f>IF(AND(E736&gt;='Итоги'!$F$5,N736&lt;='Итоги'!$B$5,O736&gt;='Итоги'!$D$5),"Да","Нет")</x:f>
        <x:v>Нет</x:v>
      </x:c>
    </x:row>
    <x:row r="737" ht="60" customHeight="1">
      <x:c r="A737" s="14" t="str">
        <x:v>Хобби и творчество</x:v>
      </x:c>
      <x:c r="B737" s="14" t="str">
        <x:v>Взрослое творчество и хобби</x:v>
      </x:c>
      <x:c r="C737" s="14" t="str">
        <x:v>Живопись и аэрография</x:v>
      </x:c>
      <x:c r="D737" s="14" t="str">
        <x:v>Запасные части для аэрографа</x:v>
      </x:c>
      <x:c r="E737" s="2" t="n">
        <x:v>1</x:v>
      </x:c>
      <x:c r="F737" s="2" t="n">
        <x:v>0</x:v>
      </x:c>
      <x:c r="G737" s="12" t="n">
        <x:v>4104</x:v>
      </x:c>
      <x:c r="H737" s="12" t="n">
        <x:v>0</x:v>
      </x:c>
      <x:c r="I737" s="13" t="n">
        <x:v>0</x:v>
      </x:c>
      <x:c r="J737" s="2" t="n">
        <x:v>1</x:v>
      </x:c>
      <x:c r="K737" s="2" t="n">
        <x:v>1</x:v>
      </x:c>
      <x:c r="L737" s="12" t="n">
        <x:v>2052</x:v>
      </x:c>
      <x:c r="M737" s="13" t="n">
        <x:v>1</x:v>
      </x:c>
      <x:c r="N737" s="13" t="n">
        <x:f>H737/G737</x:f>
        <x:v>0</x:v>
      </x:c>
      <x:c r="O737" s="13" t="n">
        <x:f>F737/E737</x:f>
        <x:v>0</x:v>
      </x:c>
      <x:c r="P737" s="2" t="str">
        <x:f>IF(AND(E737&gt;='Итоги'!$F$5,N737&lt;='Итоги'!$B$5,O737&gt;='Итоги'!$D$5),"Да","Нет")</x:f>
        <x:v>Нет</x:v>
      </x:c>
    </x:row>
    <x:row r="738" ht="60" customHeight="1">
      <x:c r="A738" s="14" t="str">
        <x:v>Хобби и творчество</x:v>
      </x:c>
      <x:c r="B738" s="14" t="str">
        <x:v>Взрослое творчество и хобби</x:v>
      </x:c>
      <x:c r="C738" s="14" t="str">
        <x:v>Клей для рукоделия и творчества</x:v>
      </x:c>
      <x:c r="D738" s="14" t="str">
        <x:v>Клей для творчества</x:v>
      </x:c>
      <x:c r="E738" s="2" t="n">
        <x:v>1</x:v>
      </x:c>
      <x:c r="F738" s="2" t="n">
        <x:v>0</x:v>
      </x:c>
      <x:c r="G738" s="12" t="n">
        <x:v>121979.9267</x:v>
      </x:c>
      <x:c r="H738" s="12" t="n">
        <x:v>0</x:v>
      </x:c>
      <x:c r="I738" s="13" t="n">
        <x:v>0</x:v>
      </x:c>
      <x:c r="J738" s="2" t="n">
        <x:v>1</x:v>
      </x:c>
      <x:c r="K738" s="2" t="n">
        <x:v>1</x:v>
      </x:c>
      <x:c r="L738" s="12" t="n">
        <x:v>1008.0986</x:v>
      </x:c>
      <x:c r="M738" s="13" t="n">
        <x:v>1</x:v>
      </x:c>
      <x:c r="N738" s="13" t="n">
        <x:f>H738/G738</x:f>
        <x:v>0</x:v>
      </x:c>
      <x:c r="O738" s="13" t="n">
        <x:f>F738/E738</x:f>
        <x:v>0</x:v>
      </x:c>
      <x:c r="P738" s="2" t="str">
        <x:f>IF(AND(E738&gt;='Итоги'!$F$5,N738&lt;='Итоги'!$B$5,O738&gt;='Итоги'!$D$5),"Да","Нет")</x:f>
        <x:v>Нет</x:v>
      </x:c>
    </x:row>
    <x:row r="739" ht="60" customHeight="1">
      <x:c r="A739" s="14" t="str">
        <x:v>Хобби и творчество</x:v>
      </x:c>
      <x:c r="B739" s="14" t="str">
        <x:v>Взрослое творчество и хобби</x:v>
      </x:c>
      <x:c r="C739" s="14" t="str">
        <x:v>Расходные материалы для творчества, хобби</x:v>
      </x:c>
      <x:c r="D739" s="14" t="str">
        <x:v>Материалы для сублимации</x:v>
      </x:c>
      <x:c r="E739" s="2" t="n">
        <x:v>1</x:v>
      </x:c>
      <x:c r="F739" s="2" t="n">
        <x:v>0</x:v>
      </x:c>
      <x:c r="G739" s="12" t="n">
        <x:v>43447</x:v>
      </x:c>
      <x:c r="H739" s="12" t="n">
        <x:v>0</x:v>
      </x:c>
      <x:c r="I739" s="13" t="n">
        <x:v>0</x:v>
      </x:c>
      <x:c r="J739" s="2" t="n">
        <x:v>1</x:v>
      </x:c>
      <x:c r="K739" s="2" t="n">
        <x:v>1</x:v>
      </x:c>
      <x:c r="L739" s="12" t="n">
        <x:v>1086.175</x:v>
      </x:c>
      <x:c r="M739" s="13" t="n">
        <x:v>1</x:v>
      </x:c>
      <x:c r="N739" s="13" t="n">
        <x:f>H739/G739</x:f>
        <x:v>0</x:v>
      </x:c>
      <x:c r="O739" s="13" t="n">
        <x:f>F739/E739</x:f>
        <x:v>0</x:v>
      </x:c>
      <x:c r="P739" s="2" t="str">
        <x:f>IF(AND(E739&gt;='Итоги'!$F$5,N739&lt;='Итоги'!$B$5,O739&gt;='Итоги'!$D$5),"Да","Нет")</x:f>
        <x:v>Нет</x:v>
      </x:c>
    </x:row>
    <x:row r="740" ht="60" customHeight="1">
      <x:c r="A740" s="14" t="str">
        <x:v>Хобби и творчество</x:v>
      </x:c>
      <x:c r="B740" s="14" t="str">
        <x:v>Взрослое творчество и хобби</x:v>
      </x:c>
      <x:c r="C740" s="14" t="str">
        <x:v>Реставрация</x:v>
      </x:c>
      <x:c r="D740" s="14" t="str">
        <x:v>Набор для реставрации</x:v>
      </x:c>
      <x:c r="E740" s="2" t="n">
        <x:v>1</x:v>
      </x:c>
      <x:c r="F740" s="2" t="n">
        <x:v>0</x:v>
      </x:c>
      <x:c r="G740" s="12" t="n">
        <x:v>115210.1522</x:v>
      </x:c>
      <x:c r="H740" s="12" t="n">
        <x:v>0</x:v>
      </x:c>
      <x:c r="I740" s="13" t="n">
        <x:v>0</x:v>
      </x:c>
      <x:c r="J740" s="2" t="n">
        <x:v>1</x:v>
      </x:c>
      <x:c r="K740" s="2" t="n">
        <x:v>1</x:v>
      </x:c>
      <x:c r="L740" s="12" t="n">
        <x:v>6400.564</x:v>
      </x:c>
      <x:c r="M740" s="13" t="n">
        <x:v>1</x:v>
      </x:c>
      <x:c r="N740" s="13" t="n">
        <x:f>H740/G740</x:f>
        <x:v>0</x:v>
      </x:c>
      <x:c r="O740" s="13" t="n">
        <x:f>F740/E740</x:f>
        <x:v>0</x:v>
      </x:c>
      <x:c r="P740" s="2" t="str">
        <x:f>IF(AND(E740&gt;='Итоги'!$F$5,N740&lt;='Итоги'!$B$5,O740&gt;='Итоги'!$D$5),"Да","Нет")</x:f>
        <x:v>Нет</x:v>
      </x:c>
    </x:row>
    <x:row r="741" ht="60" customHeight="1">
      <x:c r="A741" s="14" t="str">
        <x:v>Хобби и творчество</x:v>
      </x:c>
      <x:c r="B741" s="14" t="str">
        <x:v>Взрослое творчество и хобби</x:v>
      </x:c>
      <x:c r="C741" s="14" t="str">
        <x:v>Флористика</x:v>
      </x:c>
      <x:c r="D741" s="14" t="str">
        <x:v>Материал для флористики</x:v>
      </x:c>
      <x:c r="E741" s="2" t="n">
        <x:v>1</x:v>
      </x:c>
      <x:c r="F741" s="2" t="n">
        <x:v>0</x:v>
      </x:c>
      <x:c r="G741" s="12" t="n">
        <x:v>9665</x:v>
      </x:c>
      <x:c r="H741" s="12" t="n">
        <x:v>0</x:v>
      </x:c>
      <x:c r="I741" s="13" t="n">
        <x:v>0</x:v>
      </x:c>
      <x:c r="J741" s="2" t="n">
        <x:v>1</x:v>
      </x:c>
      <x:c r="K741" s="2" t="n">
        <x:v>1</x:v>
      </x:c>
      <x:c r="L741" s="12" t="n">
        <x:v>1933</x:v>
      </x:c>
      <x:c r="M741" s="13" t="n">
        <x:v>1</x:v>
      </x:c>
      <x:c r="N741" s="13" t="n">
        <x:f>H741/G741</x:f>
        <x:v>0</x:v>
      </x:c>
      <x:c r="O741" s="13" t="n">
        <x:f>F741/E741</x:f>
        <x:v>0</x:v>
      </x:c>
      <x:c r="P741" s="2" t="str">
        <x:f>IF(AND(E741&gt;='Итоги'!$F$5,N741&lt;='Итоги'!$B$5,O741&gt;='Итоги'!$D$5),"Да","Нет")</x:f>
        <x:v>Нет</x:v>
      </x:c>
    </x:row>
    <x:row r="742" ht="60" customHeight="1">
      <x:c r="A742" s="14" t="str">
        <x:v>Хобби и творчество</x:v>
      </x:c>
      <x:c r="B742" s="14" t="str">
        <x:v>Взрослое творчество и хобби</x:v>
      </x:c>
      <x:c r="C742" s="14" t="str">
        <x:v>Флористика</x:v>
      </x:c>
      <x:c r="D742" s="14" t="str">
        <x:v>Набор для создания флорариума</x:v>
      </x:c>
      <x:c r="E742" s="2" t="n">
        <x:v>1</x:v>
      </x:c>
      <x:c r="F742" s="2" t="n">
        <x:v>0</x:v>
      </x:c>
      <x:c r="G742" s="12" t="n">
        <x:v>121693.6186</x:v>
      </x:c>
      <x:c r="H742" s="12" t="n">
        <x:v>0</x:v>
      </x:c>
      <x:c r="I742" s="13" t="n">
        <x:v>0</x:v>
      </x:c>
      <x:c r="J742" s="2" t="n">
        <x:v>1</x:v>
      </x:c>
      <x:c r="K742" s="2" t="n">
        <x:v>1</x:v>
      </x:c>
      <x:c r="L742" s="12" t="n">
        <x:v>1521.1702</x:v>
      </x:c>
      <x:c r="M742" s="13" t="n">
        <x:v>1</x:v>
      </x:c>
      <x:c r="N742" s="13" t="n">
        <x:f>H742/G742</x:f>
        <x:v>0</x:v>
      </x:c>
      <x:c r="O742" s="13" t="n">
        <x:f>F742/E742</x:f>
        <x:v>0</x:v>
      </x:c>
      <x:c r="P742" s="2" t="str">
        <x:f>IF(AND(E742&gt;='Итоги'!$F$5,N742&lt;='Итоги'!$B$5,O742&gt;='Итоги'!$D$5),"Да","Нет")</x:f>
        <x:v>Нет</x:v>
      </x:c>
    </x:row>
    <x:row r="743" ht="60" customHeight="1">
      <x:c r="A743" s="14" t="str">
        <x:v>Хобби и творчество</x:v>
      </x:c>
      <x:c r="B743" s="14" t="str">
        <x:v>Взрослое творчество и хобби</x:v>
      </x:c>
      <x:c r="C743" s="14" t="str">
        <x:v>Шитье</x:v>
      </x:c>
      <x:c r="D743" s="14" t="str">
        <x:v>Нитки</x:v>
      </x:c>
      <x:c r="E743" s="2" t="n">
        <x:v>1</x:v>
      </x:c>
      <x:c r="F743" s="2" t="n">
        <x:v>0</x:v>
      </x:c>
      <x:c r="G743" s="12" t="n">
        <x:v>69733.8722</x:v>
      </x:c>
      <x:c r="H743" s="12" t="n">
        <x:v>0</x:v>
      </x:c>
      <x:c r="I743" s="13" t="n">
        <x:v>0</x:v>
      </x:c>
      <x:c r="J743" s="2" t="n">
        <x:v>1</x:v>
      </x:c>
      <x:c r="K743" s="2" t="n">
        <x:v>1</x:v>
      </x:c>
      <x:c r="L743" s="12" t="n">
        <x:v>4101.9925</x:v>
      </x:c>
      <x:c r="M743" s="13" t="n">
        <x:v>1</x:v>
      </x:c>
      <x:c r="N743" s="13" t="n">
        <x:f>H743/G743</x:f>
        <x:v>0</x:v>
      </x:c>
      <x:c r="O743" s="13" t="n">
        <x:f>F743/E743</x:f>
        <x:v>0</x:v>
      </x:c>
      <x:c r="P743" s="2" t="str">
        <x:f>IF(AND(E743&gt;='Итоги'!$F$5,N743&lt;='Итоги'!$B$5,O743&gt;='Итоги'!$D$5),"Да","Нет")</x:f>
        <x:v>Нет</x:v>
      </x:c>
    </x:row>
    <x:row r="744" ht="60" customHeight="1">
      <x:c r="A744" s="14" t="str">
        <x:v>Хобби и творчество</x:v>
      </x:c>
      <x:c r="B744" s="14" t="str">
        <x:v>Детское творчество и хобби</x:v>
      </x:c>
      <x:c r="C744" s="14" t="str">
        <x:v>Моделирование</x:v>
      </x:c>
      <x:c r="D744" s="14" t="str">
        <x:v>Клей для сборной модели</x:v>
      </x:c>
      <x:c r="E744" s="2" t="n">
        <x:v>1</x:v>
      </x:c>
      <x:c r="F744" s="2" t="n">
        <x:v>0</x:v>
      </x:c>
      <x:c r="G744" s="12" t="n">
        <x:v>90184.2473</x:v>
      </x:c>
      <x:c r="H744" s="12" t="n">
        <x:v>0</x:v>
      </x:c>
      <x:c r="I744" s="13" t="n">
        <x:v>0</x:v>
      </x:c>
      <x:c r="J744" s="2" t="n">
        <x:v>1</x:v>
      </x:c>
      <x:c r="K744" s="2" t="n">
        <x:v>1</x:v>
      </x:c>
      <x:c r="L744" s="12" t="n">
        <x:v>949.3079</x:v>
      </x:c>
      <x:c r="M744" s="13" t="n">
        <x:v>1</x:v>
      </x:c>
      <x:c r="N744" s="13" t="n">
        <x:f>H744/G744</x:f>
        <x:v>0</x:v>
      </x:c>
      <x:c r="O744" s="13" t="n">
        <x:f>F744/E744</x:f>
        <x:v>0</x:v>
      </x:c>
      <x:c r="P744" s="2" t="str">
        <x:f>IF(AND(E744&gt;='Итоги'!$F$5,N744&lt;='Итоги'!$B$5,O744&gt;='Итоги'!$D$5),"Да","Нет")</x:f>
        <x:v>Нет</x:v>
      </x:c>
    </x:row>
    <x:row r="745" ht="60" customHeight="1">
      <x:c r="A745" s="14" t="str">
        <x:v>Хобби и творчество</x:v>
      </x:c>
      <x:c r="B745" s="14" t="str">
        <x:v>Детское творчество и хобби</x:v>
      </x:c>
      <x:c r="C745" s="14" t="str">
        <x:v>Настольные и обучающие игры</x:v>
      </x:c>
      <x:c r="D745" s="14" t="str">
        <x:v>Лото русское, бинго</x:v>
      </x:c>
      <x:c r="E745" s="2" t="n">
        <x:v>1</x:v>
      </x:c>
      <x:c r="F745" s="2" t="n">
        <x:v>0</x:v>
      </x:c>
      <x:c r="G745" s="12" t="n">
        <x:v>90175.2039</x:v>
      </x:c>
      <x:c r="H745" s="12" t="n">
        <x:v>0</x:v>
      </x:c>
      <x:c r="I745" s="13" t="n">
        <x:v>0</x:v>
      </x:c>
      <x:c r="J745" s="2" t="n">
        <x:v>1</x:v>
      </x:c>
      <x:c r="K745" s="2" t="n">
        <x:v>1</x:v>
      </x:c>
      <x:c r="L745" s="12" t="n">
        <x:v>704.4938</x:v>
      </x:c>
      <x:c r="M745" s="13" t="n">
        <x:v>1</x:v>
      </x:c>
      <x:c r="N745" s="13" t="n">
        <x:f>H745/G745</x:f>
        <x:v>0</x:v>
      </x:c>
      <x:c r="O745" s="13" t="n">
        <x:f>F745/E745</x:f>
        <x:v>0</x:v>
      </x:c>
      <x:c r="P745" s="2" t="str">
        <x:f>IF(AND(E745&gt;='Итоги'!$F$5,N745&lt;='Итоги'!$B$5,O745&gt;='Итоги'!$D$5),"Да","Нет")</x:f>
        <x:v>Нет</x:v>
      </x:c>
    </x:row>
    <x:row r="746" ht="60" customHeight="1">
      <x:c r="A746" s="14" t="str">
        <x:v>Хобби и творчество</x:v>
      </x:c>
      <x:c r="B746" s="14" t="str">
        <x:v>Детское творчество и хобби</x:v>
      </x:c>
      <x:c r="C746" s="14" t="str">
        <x:v>Настольные и обучающие игры</x:v>
      </x:c>
      <x:c r="D746" s="14" t="str">
        <x:v>Пазл вкладыш для малышей</x:v>
      </x:c>
      <x:c r="E746" s="2" t="n">
        <x:v>1</x:v>
      </x:c>
      <x:c r="F746" s="2" t="n">
        <x:v>0</x:v>
      </x:c>
      <x:c r="G746" s="12" t="n">
        <x:v>96042.0424</x:v>
      </x:c>
      <x:c r="H746" s="12" t="n">
        <x:v>0</x:v>
      </x:c>
      <x:c r="I746" s="13" t="n">
        <x:v>0</x:v>
      </x:c>
      <x:c r="J746" s="2" t="n">
        <x:v>1</x:v>
      </x:c>
      <x:c r="K746" s="2" t="n">
        <x:v>1</x:v>
      </x:c>
      <x:c r="L746" s="12" t="n">
        <x:v>950.9113</x:v>
      </x:c>
      <x:c r="M746" s="13" t="n">
        <x:v>1</x:v>
      </x:c>
      <x:c r="N746" s="13" t="n">
        <x:f>H746/G746</x:f>
        <x:v>0</x:v>
      </x:c>
      <x:c r="O746" s="13" t="n">
        <x:f>F746/E746</x:f>
        <x:v>0</x:v>
      </x:c>
      <x:c r="P746" s="2" t="str">
        <x:f>IF(AND(E746&gt;='Итоги'!$F$5,N746&lt;='Итоги'!$B$5,O746&gt;='Итоги'!$D$5),"Да","Нет")</x:f>
        <x:v>Нет</x:v>
      </x:c>
    </x:row>
    <x:row r="747" ht="60" customHeight="1">
      <x:c r="A747" s="14" t="str">
        <x:v>Хобби и творчество</x:v>
      </x:c>
      <x:c r="B747" s="14" t="str">
        <x:v>Детское творчество и хобби</x:v>
      </x:c>
      <x:c r="C747" s="14" t="str">
        <x:v>Рисование для детей</x:v>
      </x:c>
      <x:c r="D747" s="14" t="str">
        <x:v>Грунт художественный</x:v>
      </x:c>
      <x:c r="E747" s="2" t="n">
        <x:v>1</x:v>
      </x:c>
      <x:c r="F747" s="2" t="n">
        <x:v>0</x:v>
      </x:c>
      <x:c r="G747" s="12" t="n">
        <x:v>36309</x:v>
      </x:c>
      <x:c r="H747" s="12" t="n">
        <x:v>0</x:v>
      </x:c>
      <x:c r="I747" s="13" t="n">
        <x:v>0</x:v>
      </x:c>
      <x:c r="J747" s="2" t="n">
        <x:v>1</x:v>
      </x:c>
      <x:c r="K747" s="2" t="n">
        <x:v>1</x:v>
      </x:c>
      <x:c r="L747" s="12" t="n">
        <x:v>1008.5833</x:v>
      </x:c>
      <x:c r="M747" s="13" t="n">
        <x:v>1</x:v>
      </x:c>
      <x:c r="N747" s="13" t="n">
        <x:f>H747/G747</x:f>
        <x:v>0</x:v>
      </x:c>
      <x:c r="O747" s="13" t="n">
        <x:f>F747/E747</x:f>
        <x:v>0</x:v>
      </x:c>
      <x:c r="P747" s="2" t="str">
        <x:f>IF(AND(E747&gt;='Итоги'!$F$5,N747&lt;='Итоги'!$B$5,O747&gt;='Итоги'!$D$5),"Да","Нет")</x:f>
        <x:v>Нет</x:v>
      </x:c>
    </x:row>
    <x:row r="748" ht="60" customHeight="1">
      <x:c r="A748" s="14" t="str">
        <x:v>Хобби и творчество</x:v>
      </x:c>
      <x:c r="B748" s="14" t="str">
        <x:v>Детское творчество и хобби</x:v>
      </x:c>
      <x:c r="C748" s="14" t="str">
        <x:v>Рисование для детей</x:v>
      </x:c>
      <x:c r="D748" s="14" t="str">
        <x:v>Краска для ткани</x:v>
      </x:c>
      <x:c r="E748" s="2" t="n">
        <x:v>1</x:v>
      </x:c>
      <x:c r="F748" s="2" t="n">
        <x:v>0</x:v>
      </x:c>
      <x:c r="G748" s="12" t="n">
        <x:v>48073.2995</x:v>
      </x:c>
      <x:c r="H748" s="12" t="n">
        <x:v>0</x:v>
      </x:c>
      <x:c r="I748" s="13" t="n">
        <x:v>0</x:v>
      </x:c>
      <x:c r="J748" s="2" t="n">
        <x:v>1</x:v>
      </x:c>
      <x:c r="K748" s="2" t="n">
        <x:v>1</x:v>
      </x:c>
      <x:c r="L748" s="12" t="n">
        <x:v>1172.5195</x:v>
      </x:c>
      <x:c r="M748" s="13" t="n">
        <x:v>1</x:v>
      </x:c>
      <x:c r="N748" s="13" t="n">
        <x:f>H748/G748</x:f>
        <x:v>0</x:v>
      </x:c>
      <x:c r="O748" s="13" t="n">
        <x:f>F748/E748</x:f>
        <x:v>0</x:v>
      </x:c>
      <x:c r="P748" s="2" t="str">
        <x:f>IF(AND(E748&gt;='Итоги'!$F$5,N748&lt;='Итоги'!$B$5,O748&gt;='Итоги'!$D$5),"Да","Нет")</x:f>
        <x:v>Нет</x:v>
      </x:c>
    </x:row>
    <x:row r="749" ht="60" customHeight="1">
      <x:c r="A749" s="14" t="str">
        <x:v>Хобби и творчество</x:v>
      </x:c>
      <x:c r="B749" s="14" t="str">
        <x:v>Детское творчество и хобби</x:v>
      </x:c>
      <x:c r="C749" s="14" t="str">
        <x:v>Рисование для детей</x:v>
      </x:c>
      <x:c r="D749" s="14" t="str">
        <x:v>Краска люминесцентная</x:v>
      </x:c>
      <x:c r="E749" s="2" t="n">
        <x:v>1</x:v>
      </x:c>
      <x:c r="F749" s="2" t="n">
        <x:v>0</x:v>
      </x:c>
      <x:c r="G749" s="12" t="n">
        <x:v>81562.5313</x:v>
      </x:c>
      <x:c r="H749" s="12" t="n">
        <x:v>0</x:v>
      </x:c>
      <x:c r="I749" s="13" t="n">
        <x:v>0</x:v>
      </x:c>
      <x:c r="J749" s="2" t="n">
        <x:v>1</x:v>
      </x:c>
      <x:c r="K749" s="2" t="n">
        <x:v>1</x:v>
      </x:c>
      <x:c r="L749" s="12" t="n">
        <x:v>982.6811</x:v>
      </x:c>
      <x:c r="M749" s="13" t="n">
        <x:v>1</x:v>
      </x:c>
      <x:c r="N749" s="13" t="n">
        <x:f>H749/G749</x:f>
        <x:v>0</x:v>
      </x:c>
      <x:c r="O749" s="13" t="n">
        <x:f>F749/E749</x:f>
        <x:v>0</x:v>
      </x:c>
      <x:c r="P749" s="2" t="str">
        <x:f>IF(AND(E749&gt;='Итоги'!$F$5,N749&lt;='Итоги'!$B$5,O749&gt;='Итоги'!$D$5),"Да","Нет")</x:f>
        <x:v>Нет</x:v>
      </x:c>
    </x:row>
    <x:row r="750" ht="60" customHeight="1">
      <x:c r="A750" s="14" t="str">
        <x:v>Хобби и творчество</x:v>
      </x:c>
      <x:c r="B750" s="14" t="str">
        <x:v>Детское творчество и хобби</x:v>
      </x:c>
      <x:c r="C750" s="14" t="str">
        <x:v>Рисование для детей</x:v>
      </x:c>
      <x:c r="D750" s="14" t="str">
        <x:v>Набор акварельных карандашей</x:v>
      </x:c>
      <x:c r="E750" s="2" t="n">
        <x:v>1</x:v>
      </x:c>
      <x:c r="F750" s="2" t="n">
        <x:v>0</x:v>
      </x:c>
      <x:c r="G750" s="12" t="n">
        <x:v>29035.9979</x:v>
      </x:c>
      <x:c r="H750" s="12" t="n">
        <x:v>0</x:v>
      </x:c>
      <x:c r="I750" s="13" t="n">
        <x:v>0</x:v>
      </x:c>
      <x:c r="J750" s="2" t="n">
        <x:v>1</x:v>
      </x:c>
      <x:c r="K750" s="2" t="n">
        <x:v>1</x:v>
      </x:c>
      <x:c r="L750" s="12" t="n">
        <x:v>14517.999</x:v>
      </x:c>
      <x:c r="M750" s="13" t="n">
        <x:v>1</x:v>
      </x:c>
      <x:c r="N750" s="13" t="n">
        <x:f>H750/G750</x:f>
        <x:v>0</x:v>
      </x:c>
      <x:c r="O750" s="13" t="n">
        <x:f>F750/E750</x:f>
        <x:v>0</x:v>
      </x:c>
      <x:c r="P750" s="2" t="str">
        <x:f>IF(AND(E750&gt;='Итоги'!$F$5,N750&lt;='Итоги'!$B$5,O750&gt;='Итоги'!$D$5),"Да","Нет")</x:f>
        <x:v>Нет</x:v>
      </x:c>
    </x:row>
    <x:row r="751" ht="60" customHeight="1">
      <x:c r="A751" s="14" t="str">
        <x:v>Хобби и творчество</x:v>
      </x:c>
      <x:c r="B751" s="14" t="str">
        <x:v>Детское творчество и хобби</x:v>
      </x:c>
      <x:c r="C751" s="14" t="str">
        <x:v>Рисование для детей</x:v>
      </x:c>
      <x:c r="D751" s="14" t="str">
        <x:v>Скетчбук</x:v>
      </x:c>
      <x:c r="E751" s="2" t="n">
        <x:v>1</x:v>
      </x:c>
      <x:c r="F751" s="2" t="n">
        <x:v>0</x:v>
      </x:c>
      <x:c r="G751" s="12" t="n">
        <x:v>85935.69</x:v>
      </x:c>
      <x:c r="H751" s="12" t="n">
        <x:v>0</x:v>
      </x:c>
      <x:c r="I751" s="13" t="n">
        <x:v>0</x:v>
      </x:c>
      <x:c r="J751" s="2" t="n">
        <x:v>1</x:v>
      </x:c>
      <x:c r="K751" s="2" t="n">
        <x:v>1</x:v>
      </x:c>
      <x:c r="L751" s="12" t="n">
        <x:v>1161.2931</x:v>
      </x:c>
      <x:c r="M751" s="13" t="n">
        <x:v>1</x:v>
      </x:c>
      <x:c r="N751" s="13" t="n">
        <x:f>H751/G751</x:f>
        <x:v>0</x:v>
      </x:c>
      <x:c r="O751" s="13" t="n">
        <x:f>F751/E751</x:f>
        <x:v>0</x:v>
      </x:c>
      <x:c r="P751" s="2" t="str">
        <x:f>IF(AND(E751&gt;='Итоги'!$F$5,N751&lt;='Итоги'!$B$5,O751&gt;='Итоги'!$D$5),"Да","Нет")</x:f>
        <x:v>Нет</x:v>
      </x:c>
    </x:row>
    <x:row r="752" ht="60" customHeight="1">
      <x:c r="A752" s="14" t="str">
        <x:v>Хобби и творчество</x:v>
      </x:c>
      <x:c r="B752" s="14" t="str">
        <x:v>Детское творчество и хобби</x:v>
      </x:c>
      <x:c r="C752" s="14" t="str">
        <x:v>Рукоделие для детей</x:v>
      </x:c>
      <x:c r="D752" s="14" t="str">
        <x:v>Набор для создания поделок</x:v>
      </x:c>
      <x:c r="E752" s="2" t="n">
        <x:v>1</x:v>
      </x:c>
      <x:c r="F752" s="2" t="n">
        <x:v>0</x:v>
      </x:c>
      <x:c r="G752" s="12" t="n">
        <x:v>81384.72</x:v>
      </x:c>
      <x:c r="H752" s="12" t="n">
        <x:v>0</x:v>
      </x:c>
      <x:c r="I752" s="13" t="n">
        <x:v>0</x:v>
      </x:c>
      <x:c r="J752" s="2" t="n">
        <x:v>1</x:v>
      </x:c>
      <x:c r="K752" s="2" t="n">
        <x:v>1</x:v>
      </x:c>
      <x:c r="L752" s="12" t="n">
        <x:v>10173.09</x:v>
      </x:c>
      <x:c r="M752" s="13" t="n">
        <x:v>1</x:v>
      </x:c>
      <x:c r="N752" s="13" t="n">
        <x:f>H752/G752</x:f>
        <x:v>0</x:v>
      </x:c>
      <x:c r="O752" s="13" t="n">
        <x:f>F752/E752</x:f>
        <x:v>0</x:v>
      </x:c>
      <x:c r="P752" s="2" t="str">
        <x:f>IF(AND(E752&gt;='Итоги'!$F$5,N752&lt;='Итоги'!$B$5,O752&gt;='Итоги'!$D$5),"Да","Нет")</x:f>
        <x:v>Нет</x:v>
      </x:c>
    </x:row>
    <x:row r="753" ht="60" customHeight="1">
      <x:c r="A753" s="14" t="str">
        <x:v>Хобби и творчество</x:v>
      </x:c>
      <x:c r="B753" s="14" t="str">
        <x:v>Детское творчество и хобби</x:v>
      </x:c>
      <x:c r="C753" s="14" t="str">
        <x:v>Рукоделие для детей</x:v>
      </x:c>
      <x:c r="D753" s="14" t="str">
        <x:v>Набор цветного картона детский</x:v>
      </x:c>
      <x:c r="E753" s="2" t="n">
        <x:v>1</x:v>
      </x:c>
      <x:c r="F753" s="2" t="n">
        <x:v>0</x:v>
      </x:c>
      <x:c r="G753" s="12" t="n">
        <x:v>87104.9618</x:v>
      </x:c>
      <x:c r="H753" s="12" t="n">
        <x:v>0</x:v>
      </x:c>
      <x:c r="I753" s="13" t="n">
        <x:v>0</x:v>
      </x:c>
      <x:c r="J753" s="2" t="n">
        <x:v>1</x:v>
      </x:c>
      <x:c r="K753" s="2" t="n">
        <x:v>1</x:v>
      </x:c>
      <x:c r="L753" s="12" t="n">
        <x:v>1062.2556</x:v>
      </x:c>
      <x:c r="M753" s="13" t="n">
        <x:v>1</x:v>
      </x:c>
      <x:c r="N753" s="13" t="n">
        <x:f>H753/G753</x:f>
        <x:v>0</x:v>
      </x:c>
      <x:c r="O753" s="13" t="n">
        <x:f>F753/E753</x:f>
        <x:v>0</x:v>
      </x:c>
      <x:c r="P753" s="2" t="str">
        <x:f>IF(AND(E753&gt;='Итоги'!$F$5,N753&lt;='Итоги'!$B$5,O753&gt;='Итоги'!$D$5),"Да","Нет")</x:f>
        <x:v>Нет</x:v>
      </x:c>
    </x:row>
    <x:row r="754" ht="60" customHeight="1">
      <x:c r="A754" s="14" t="str">
        <x:v>Хобби и творчество</x:v>
      </x:c>
      <x:c r="B754" s="14" t="str">
        <x:v>Детское творчество и хобби</x:v>
      </x:c>
      <x:c r="C754" s="14" t="str">
        <x:v>Рукоделие для детей</x:v>
      </x:c>
      <x:c r="D754" s="14" t="str">
        <x:v>Наборы для стринг-арта</x:v>
      </x:c>
      <x:c r="E754" s="2" t="n">
        <x:v>1</x:v>
      </x:c>
      <x:c r="F754" s="2" t="n">
        <x:v>0</x:v>
      </x:c>
      <x:c r="G754" s="12" t="n">
        <x:v>107067.79</x:v>
      </x:c>
      <x:c r="H754" s="12" t="n">
        <x:v>0</x:v>
      </x:c>
      <x:c r="I754" s="13" t="n">
        <x:v>0</x:v>
      </x:c>
      <x:c r="J754" s="2" t="n">
        <x:v>1</x:v>
      </x:c>
      <x:c r="K754" s="2" t="n">
        <x:v>1</x:v>
      </x:c>
      <x:c r="L754" s="12" t="n">
        <x:v>3149.0526</x:v>
      </x:c>
      <x:c r="M754" s="13" t="n">
        <x:v>1</x:v>
      </x:c>
      <x:c r="N754" s="13" t="n">
        <x:f>H754/G754</x:f>
        <x:v>0</x:v>
      </x:c>
      <x:c r="O754" s="13" t="n">
        <x:f>F754/E754</x:f>
        <x:v>0</x:v>
      </x:c>
      <x:c r="P754" s="2" t="str">
        <x:f>IF(AND(E754&gt;='Итоги'!$F$5,N754&lt;='Итоги'!$B$5,O754&gt;='Итоги'!$D$5),"Да","Нет")</x:f>
        <x:v>Нет</x:v>
      </x:c>
    </x:row>
    <x:row r="755" ht="60" customHeight="1">
      <x:c r="A755" s="14" t="str">
        <x:v>Школьные принадлежности и канцелярия</x:v>
      </x:c>
      <x:c r="B755" s="14" t="str">
        <x:v>Товары для школы, канцелярия, оборудование</x:v>
      </x:c>
      <x:c r="C755" s="14" t="str">
        <x:v>Бумага офисная и бумажная продукция</x:v>
      </x:c>
      <x:c r="D755" s="14" t="str">
        <x:v>Коробка для почтовых отправлений</x:v>
      </x:c>
      <x:c r="E755" s="2" t="n">
        <x:v>1</x:v>
      </x:c>
      <x:c r="F755" s="2" t="n">
        <x:v>0</x:v>
      </x:c>
      <x:c r="G755" s="12" t="n">
        <x:v>87712</x:v>
      </x:c>
      <x:c r="H755" s="12" t="n">
        <x:v>0</x:v>
      </x:c>
      <x:c r="I755" s="13" t="n">
        <x:v>0</x:v>
      </x:c>
      <x:c r="J755" s="2" t="n">
        <x:v>1</x:v>
      </x:c>
      <x:c r="K755" s="2" t="n">
        <x:v>1</x:v>
      </x:c>
      <x:c r="L755" s="12" t="n">
        <x:v>1309.1343</x:v>
      </x:c>
      <x:c r="M755" s="13" t="n">
        <x:v>1</x:v>
      </x:c>
      <x:c r="N755" s="13" t="n">
        <x:f>H755/G755</x:f>
        <x:v>0</x:v>
      </x:c>
      <x:c r="O755" s="13" t="n">
        <x:f>F755/E755</x:f>
        <x:v>0</x:v>
      </x:c>
      <x:c r="P755" s="2" t="str">
        <x:f>IF(AND(E755&gt;='Итоги'!$F$5,N755&lt;='Итоги'!$B$5,O755&gt;='Итоги'!$D$5),"Да","Нет")</x:f>
        <x:v>Нет</x:v>
      </x:c>
    </x:row>
    <x:row r="756" ht="60" customHeight="1">
      <x:c r="A756" s="14" t="str">
        <x:v>Школьные принадлежности и канцелярия</x:v>
      </x:c>
      <x:c r="B756" s="14" t="str">
        <x:v>Товары для школы, канцелярия, оборудование</x:v>
      </x:c>
      <x:c r="C756" s="14" t="str">
        <x:v>Бумага офисная и бумажная продукция</x:v>
      </x:c>
      <x:c r="D756" s="14" t="str">
        <x:v>Пленка самоклеящаяся канцелярская</x:v>
      </x:c>
      <x:c r="E756" s="2" t="n">
        <x:v>1</x:v>
      </x:c>
      <x:c r="F756" s="2" t="n">
        <x:v>0</x:v>
      </x:c>
      <x:c r="G756" s="12" t="n">
        <x:v>128390.5823</x:v>
      </x:c>
      <x:c r="H756" s="12" t="n">
        <x:v>0</x:v>
      </x:c>
      <x:c r="I756" s="13" t="n">
        <x:v>0</x:v>
      </x:c>
      <x:c r="J756" s="2" t="n">
        <x:v>1</x:v>
      </x:c>
      <x:c r="K756" s="2" t="n">
        <x:v>1</x:v>
      </x:c>
      <x:c r="L756" s="12" t="n">
        <x:v>980.0808</x:v>
      </x:c>
      <x:c r="M756" s="13" t="n">
        <x:v>1</x:v>
      </x:c>
      <x:c r="N756" s="13" t="n">
        <x:f>H756/G756</x:f>
        <x:v>0</x:v>
      </x:c>
      <x:c r="O756" s="13" t="n">
        <x:f>F756/E756</x:f>
        <x:v>0</x:v>
      </x:c>
      <x:c r="P756" s="2" t="str">
        <x:f>IF(AND(E756&gt;='Итоги'!$F$5,N756&lt;='Итоги'!$B$5,O756&gt;='Итоги'!$D$5),"Да","Нет")</x:f>
        <x:v>Нет</x:v>
      </x:c>
    </x:row>
    <x:row r="757" ht="60" customHeight="1">
      <x:c r="A757" s="14" t="str">
        <x:v>Школьные принадлежности и канцелярия</x:v>
      </x:c>
      <x:c r="B757" s="14" t="str">
        <x:v>Товары для школы, канцелярия, оборудование</x:v>
      </x:c>
      <x:c r="C757" s="14" t="str">
        <x:v>Оборудование для магазина</x:v>
      </x:c>
      <x:c r="D757" s="14" t="str">
        <x:v>Торговая палатка, шатер</x:v>
      </x:c>
      <x:c r="E757" s="2" t="n">
        <x:v>1</x:v>
      </x:c>
      <x:c r="F757" s="2" t="n">
        <x:v>0</x:v>
      </x:c>
      <x:c r="G757" s="12" t="n">
        <x:v>139613</x:v>
      </x:c>
      <x:c r="H757" s="12" t="n">
        <x:v>0</x:v>
      </x:c>
      <x:c r="I757" s="13" t="n">
        <x:v>0</x:v>
      </x:c>
      <x:c r="J757" s="2" t="n">
        <x:v>1</x:v>
      </x:c>
      <x:c r="K757" s="2" t="n">
        <x:v>1</x:v>
      </x:c>
      <x:c r="L757" s="12" t="n">
        <x:v>10739.4615</x:v>
      </x:c>
      <x:c r="M757" s="13" t="n">
        <x:v>1</x:v>
      </x:c>
      <x:c r="N757" s="13" t="n">
        <x:f>H757/G757</x:f>
        <x:v>0</x:v>
      </x:c>
      <x:c r="O757" s="13" t="n">
        <x:f>F757/E757</x:f>
        <x:v>0</x:v>
      </x:c>
      <x:c r="P757" s="2" t="str">
        <x:f>IF(AND(E757&gt;='Итоги'!$F$5,N757&lt;='Итоги'!$B$5,O757&gt;='Итоги'!$D$5),"Да","Нет")</x:f>
        <x:v>Нет</x:v>
      </x:c>
    </x:row>
    <x:row r="758" ht="60" customHeight="1">
      <x:c r="A758" s="14" t="str">
        <x:v>Школьные принадлежности и канцелярия</x:v>
      </x:c>
      <x:c r="B758" s="14" t="str">
        <x:v>Товары для школы, канцелярия, оборудование</x:v>
      </x:c>
      <x:c r="C758" s="14" t="str">
        <x:v>Офисные принадлежности</x:v>
      </x:c>
      <x:c r="D758" s="14" t="str">
        <x:v>Обложка для брошюрования</x:v>
      </x:c>
      <x:c r="E758" s="2" t="n">
        <x:v>1</x:v>
      </x:c>
      <x:c r="F758" s="2" t="n">
        <x:v>0</x:v>
      </x:c>
      <x:c r="G758" s="12" t="n">
        <x:v>99864.05</x:v>
      </x:c>
      <x:c r="H758" s="12" t="n">
        <x:v>0</x:v>
      </x:c>
      <x:c r="I758" s="13" t="n">
        <x:v>0</x:v>
      </x:c>
      <x:c r="J758" s="2" t="n">
        <x:v>1</x:v>
      </x:c>
      <x:c r="K758" s="2" t="n">
        <x:v>1</x:v>
      </x:c>
      <x:c r="L758" s="12" t="n">
        <x:v>1248.3006</x:v>
      </x:c>
      <x:c r="M758" s="13" t="n">
        <x:v>1</x:v>
      </x:c>
      <x:c r="N758" s="13" t="n">
        <x:f>H758/G758</x:f>
        <x:v>0</x:v>
      </x:c>
      <x:c r="O758" s="13" t="n">
        <x:f>F758/E758</x:f>
        <x:v>0</x:v>
      </x:c>
      <x:c r="P758" s="2" t="str">
        <x:f>IF(AND(E758&gt;='Итоги'!$F$5,N758&lt;='Итоги'!$B$5,O758&gt;='Итоги'!$D$5),"Да","Нет")</x:f>
        <x:v>Нет</x:v>
      </x:c>
    </x:row>
    <x:row r="759" ht="60" customHeight="1">
      <x:c r="A759" s="14" t="str">
        <x:v>Школьные принадлежности и канцелярия</x:v>
      </x:c>
      <x:c r="B759" s="14" t="str">
        <x:v>Товары для школы, канцелярия, оборудование</x:v>
      </x:c>
      <x:c r="C759" s="14" t="str">
        <x:v>Офисные принадлежности</x:v>
      </x:c>
      <x:c r="D759" s="14" t="str">
        <x:v>Подставка, держатель настольные</x:v>
      </x:c>
      <x:c r="E759" s="2" t="n">
        <x:v>1</x:v>
      </x:c>
      <x:c r="F759" s="2" t="n">
        <x:v>0</x:v>
      </x:c>
      <x:c r="G759" s="12" t="n">
        <x:v>95560.3868</x:v>
      </x:c>
      <x:c r="H759" s="12" t="n">
        <x:v>0</x:v>
      </x:c>
      <x:c r="I759" s="13" t="n">
        <x:v>0</x:v>
      </x:c>
      <x:c r="J759" s="2" t="n">
        <x:v>1</x:v>
      </x:c>
      <x:c r="K759" s="2" t="n">
        <x:v>1</x:v>
      </x:c>
      <x:c r="L759" s="12" t="n">
        <x:v>975.106</x:v>
      </x:c>
      <x:c r="M759" s="13" t="n">
        <x:v>1</x:v>
      </x:c>
      <x:c r="N759" s="13" t="n">
        <x:f>H759/G759</x:f>
        <x:v>0</x:v>
      </x:c>
      <x:c r="O759" s="13" t="n">
        <x:f>F759/E759</x:f>
        <x:v>0</x:v>
      </x:c>
      <x:c r="P759" s="2" t="str">
        <x:f>IF(AND(E759&gt;='Итоги'!$F$5,N759&lt;='Итоги'!$B$5,O759&gt;='Итоги'!$D$5),"Да","Нет")</x:f>
        <x:v>Нет</x:v>
      </x:c>
    </x:row>
    <x:row r="760" ht="60" customHeight="1">
      <x:c r="A760" s="14" t="str">
        <x:v>Школьные принадлежности и канцелярия</x:v>
      </x:c>
      <x:c r="B760" s="14" t="str">
        <x:v>Товары для школы, канцелярия, оборудование</x:v>
      </x:c>
      <x:c r="C760" s="14" t="str">
        <x:v>Офисные принадлежности</x:v>
      </x:c>
      <x:c r="D760" s="14" t="str">
        <x:v>Шкафчик-ключница офисный</x:v>
      </x:c>
      <x:c r="E760" s="2" t="n">
        <x:v>1</x:v>
      </x:c>
      <x:c r="F760" s="2" t="n">
        <x:v>0</x:v>
      </x:c>
      <x:c r="G760" s="12" t="n">
        <x:v>90026</x:v>
      </x:c>
      <x:c r="H760" s="12" t="n">
        <x:v>0</x:v>
      </x:c>
      <x:c r="I760" s="13" t="n">
        <x:v>0</x:v>
      </x:c>
      <x:c r="J760" s="2" t="n">
        <x:v>1</x:v>
      </x:c>
      <x:c r="K760" s="2" t="n">
        <x:v>1</x:v>
      </x:c>
      <x:c r="L760" s="12" t="n">
        <x:v>1406.6563</x:v>
      </x:c>
      <x:c r="M760" s="13" t="n">
        <x:v>1</x:v>
      </x:c>
      <x:c r="N760" s="13" t="n">
        <x:f>H760/G760</x:f>
        <x:v>0</x:v>
      </x:c>
      <x:c r="O760" s="13" t="n">
        <x:f>F760/E760</x:f>
        <x:v>0</x:v>
      </x:c>
      <x:c r="P760" s="2" t="str">
        <x:f>IF(AND(E760&gt;='Итоги'!$F$5,N760&lt;='Итоги'!$B$5,O760&gt;='Итоги'!$D$5),"Да","Нет")</x:f>
        <x:v>Нет</x:v>
      </x:c>
    </x:row>
    <x:row r="761" ht="60" customHeight="1">
      <x:c r="A761" s="14" t="str">
        <x:v>Школьные принадлежности и канцелярия</x:v>
      </x:c>
      <x:c r="B761" s="14" t="str">
        <x:v>Товары для школы, канцелярия, оборудование</x:v>
      </x:c>
      <x:c r="C761" s="14" t="str">
        <x:v>Папка</x:v>
      </x:c>
      <x:c r="D761" s="14" t="str">
        <x:v>Короб архивный</x:v>
      </x:c>
      <x:c r="E761" s="2" t="n">
        <x:v>1</x:v>
      </x:c>
      <x:c r="F761" s="2" t="n">
        <x:v>0</x:v>
      </x:c>
      <x:c r="G761" s="12" t="n">
        <x:v>82982</x:v>
      </x:c>
      <x:c r="H761" s="12" t="n">
        <x:v>0</x:v>
      </x:c>
      <x:c r="I761" s="13" t="n">
        <x:v>0</x:v>
      </x:c>
      <x:c r="J761" s="2" t="n">
        <x:v>1</x:v>
      </x:c>
      <x:c r="K761" s="2" t="n">
        <x:v>1</x:v>
      </x:c>
      <x:c r="L761" s="12" t="n">
        <x:v>1257.303</x:v>
      </x:c>
      <x:c r="M761" s="13" t="n">
        <x:v>1</x:v>
      </x:c>
      <x:c r="N761" s="13" t="n">
        <x:f>H761/G761</x:f>
        <x:v>0</x:v>
      </x:c>
      <x:c r="O761" s="13" t="n">
        <x:f>F761/E761</x:f>
        <x:v>0</x:v>
      </x:c>
      <x:c r="P761" s="2" t="str">
        <x:f>IF(AND(E761&gt;='Итоги'!$F$5,N761&lt;='Итоги'!$B$5,O761&gt;='Итоги'!$D$5),"Да","Нет")</x:f>
        <x:v>Нет</x:v>
      </x:c>
    </x:row>
    <x:row r="762" ht="60" customHeight="1">
      <x:c r="A762" s="14" t="str">
        <x:v>Школьные принадлежности и канцелярия</x:v>
      </x:c>
      <x:c r="B762" s="14" t="str">
        <x:v>Товары для школы, канцелярия, оборудование</x:v>
      </x:c>
      <x:c r="C762" s="14" t="str">
        <x:v>Папка</x:v>
      </x:c>
      <x:c r="D762" s="14" t="str">
        <x:v>Портфель для документов из кожи</x:v>
      </x:c>
      <x:c r="E762" s="2" t="n">
        <x:v>1</x:v>
      </x:c>
      <x:c r="F762" s="2" t="n">
        <x:v>0</x:v>
      </x:c>
      <x:c r="G762" s="12" t="n">
        <x:v>2962</x:v>
      </x:c>
      <x:c r="H762" s="12" t="n">
        <x:v>0</x:v>
      </x:c>
      <x:c r="I762" s="13" t="n">
        <x:v>0</x:v>
      </x:c>
      <x:c r="J762" s="2" t="n">
        <x:v>1</x:v>
      </x:c>
      <x:c r="K762" s="2" t="n">
        <x:v>1</x:v>
      </x:c>
      <x:c r="L762" s="12" t="n">
        <x:v>2962</x:v>
      </x:c>
      <x:c r="M762" s="13" t="n">
        <x:v>1</x:v>
      </x:c>
      <x:c r="N762" s="13" t="n">
        <x:f>H762/G762</x:f>
        <x:v>0</x:v>
      </x:c>
      <x:c r="O762" s="13" t="n">
        <x:f>F762/E762</x:f>
        <x:v>0</x:v>
      </x:c>
      <x:c r="P762" s="2" t="str">
        <x:f>IF(AND(E762&gt;='Итоги'!$F$5,N762&lt;='Итоги'!$B$5,O762&gt;='Итоги'!$D$5),"Да","Нет")</x:f>
        <x:v>Нет</x:v>
      </x:c>
    </x:row>
    <x:row r="763" ht="60" customHeight="1">
      <x:c r="A763" s="14" t="str">
        <x:v>Школьные принадлежности и канцелярия</x:v>
      </x:c>
      <x:c r="B763" s="14" t="str">
        <x:v>Товары для школы, канцелярия, оборудование</x:v>
      </x:c>
      <x:c r="C763" s="14" t="str">
        <x:v>Печати и штампы</x:v>
      </x:c>
      <x:c r="D763" s="14" t="str">
        <x:v>Автоматический штамп</x:v>
      </x:c>
      <x:c r="E763" s="2" t="n">
        <x:v>1</x:v>
      </x:c>
      <x:c r="F763" s="2" t="n">
        <x:v>0</x:v>
      </x:c>
      <x:c r="G763" s="12" t="n">
        <x:v>102905.4504</x:v>
      </x:c>
      <x:c r="H763" s="12" t="n">
        <x:v>0</x:v>
      </x:c>
      <x:c r="I763" s="13" t="n">
        <x:v>0</x:v>
      </x:c>
      <x:c r="J763" s="2" t="n">
        <x:v>1</x:v>
      </x:c>
      <x:c r="K763" s="2" t="n">
        <x:v>1</x:v>
      </x:c>
      <x:c r="L763" s="12" t="n">
        <x:v>1390.6142</x:v>
      </x:c>
      <x:c r="M763" s="13" t="n">
        <x:v>1</x:v>
      </x:c>
      <x:c r="N763" s="13" t="n">
        <x:f>H763/G763</x:f>
        <x:v>0</x:v>
      </x:c>
      <x:c r="O763" s="13" t="n">
        <x:f>F763/E763</x:f>
        <x:v>0</x:v>
      </x:c>
      <x:c r="P763" s="2" t="str">
        <x:f>IF(AND(E763&gt;='Итоги'!$F$5,N763&lt;='Итоги'!$B$5,O763&gt;='Итоги'!$D$5),"Да","Нет")</x:f>
        <x:v>Нет</x:v>
      </x:c>
    </x:row>
    <x:row r="764" ht="60" customHeight="1">
      <x:c r="A764" s="14" t="str">
        <x:v>Школьные принадлежности и канцелярия</x:v>
      </x:c>
      <x:c r="B764" s="14" t="str">
        <x:v>Товары для школы, канцелярия, оборудование</x:v>
      </x:c>
      <x:c r="C764" s="14" t="str">
        <x:v>Письменные принадлежности</x:v>
      </x:c>
      <x:c r="D764" s="14" t="str">
        <x:v>Карандаш механический</x:v>
      </x:c>
      <x:c r="E764" s="2" t="n">
        <x:v>1</x:v>
      </x:c>
      <x:c r="F764" s="2" t="n">
        <x:v>0</x:v>
      </x:c>
      <x:c r="G764" s="12" t="n">
        <x:v>3273.5774</x:v>
      </x:c>
      <x:c r="H764" s="12" t="n">
        <x:v>0</x:v>
      </x:c>
      <x:c r="I764" s="13" t="n">
        <x:v>0</x:v>
      </x:c>
      <x:c r="J764" s="2" t="n">
        <x:v>1</x:v>
      </x:c>
      <x:c r="K764" s="2" t="n">
        <x:v>1</x:v>
      </x:c>
      <x:c r="L764" s="12" t="n">
        <x:v>1636.7887</x:v>
      </x:c>
      <x:c r="M764" s="13" t="n">
        <x:v>1</x:v>
      </x:c>
      <x:c r="N764" s="13" t="n">
        <x:f>H764/G764</x:f>
        <x:v>0</x:v>
      </x:c>
      <x:c r="O764" s="13" t="n">
        <x:f>F764/E764</x:f>
        <x:v>0</x:v>
      </x:c>
      <x:c r="P764" s="2" t="str">
        <x:f>IF(AND(E764&gt;='Итоги'!$F$5,N764&lt;='Итоги'!$B$5,O764&gt;='Итоги'!$D$5),"Да","Нет")</x:f>
        <x:v>Нет</x:v>
      </x:c>
    </x:row>
    <x:row r="765" ht="60" customHeight="1">
      <x:c r="A765" s="14" t="str">
        <x:v>Школьные принадлежности и канцелярия</x:v>
      </x:c>
      <x:c r="B765" s="14" t="str">
        <x:v>Товары для школы, канцелярия, оборудование</x:v>
      </x:c>
      <x:c r="C765" s="14" t="str">
        <x:v>Письменные принадлежности</x:v>
      </x:c>
      <x:c r="D765" s="14" t="str">
        <x:v>Ручка роллер</x:v>
      </x:c>
      <x:c r="E765" s="2" t="n">
        <x:v>1</x:v>
      </x:c>
      <x:c r="F765" s="2" t="n">
        <x:v>0</x:v>
      </x:c>
      <x:c r="G765" s="12" t="n">
        <x:v>7882</x:v>
      </x:c>
      <x:c r="H765" s="12" t="n">
        <x:v>0</x:v>
      </x:c>
      <x:c r="I765" s="13" t="n">
        <x:v>0</x:v>
      </x:c>
      <x:c r="J765" s="2" t="n">
        <x:v>1</x:v>
      </x:c>
      <x:c r="K765" s="2" t="n">
        <x:v>1</x:v>
      </x:c>
      <x:c r="L765" s="12" t="n">
        <x:v>1126</x:v>
      </x:c>
      <x:c r="M765" s="13" t="n">
        <x:v>1</x:v>
      </x:c>
      <x:c r="N765" s="13" t="n">
        <x:f>H765/G765</x:f>
        <x:v>0</x:v>
      </x:c>
      <x:c r="O765" s="13" t="n">
        <x:f>F765/E765</x:f>
        <x:v>0</x:v>
      </x:c>
      <x:c r="P765" s="2" t="str">
        <x:f>IF(AND(E765&gt;='Итоги'!$F$5,N765&lt;='Итоги'!$B$5,O765&gt;='Итоги'!$D$5),"Да","Нет")</x:f>
        <x:v>Нет</x:v>
      </x:c>
    </x:row>
    <x:row r="766" ht="60" customHeight="1">
      <x:c r="A766" s="14" t="str">
        <x:v>Школьные принадлежности и канцелярия</x:v>
      </x:c>
      <x:c r="B766" s="14" t="str">
        <x:v>Товары для школы, канцелярия, оборудование</x:v>
      </x:c>
      <x:c r="C766" s="14" t="str">
        <x:v>Письменные принадлежности</x:v>
      </x:c>
      <x:c r="D766" s="14" t="str">
        <x:v>Ручка-линер</x:v>
      </x:c>
      <x:c r="E766" s="2" t="n">
        <x:v>1</x:v>
      </x:c>
      <x:c r="F766" s="2" t="n">
        <x:v>0</x:v>
      </x:c>
      <x:c r="G766" s="12" t="n">
        <x:v>130509.7395</x:v>
      </x:c>
      <x:c r="H766" s="12" t="n">
        <x:v>0</x:v>
      </x:c>
      <x:c r="I766" s="13" t="n">
        <x:v>0</x:v>
      </x:c>
      <x:c r="J766" s="2" t="n">
        <x:v>1</x:v>
      </x:c>
      <x:c r="K766" s="2" t="n">
        <x:v>1</x:v>
      </x:c>
      <x:c r="L766" s="12" t="n">
        <x:v>1500.1119</x:v>
      </x:c>
      <x:c r="M766" s="13" t="n">
        <x:v>1</x:v>
      </x:c>
      <x:c r="N766" s="13" t="n">
        <x:f>H766/G766</x:f>
        <x:v>0</x:v>
      </x:c>
      <x:c r="O766" s="13" t="n">
        <x:f>F766/E766</x:f>
        <x:v>0</x:v>
      </x:c>
      <x:c r="P766" s="2" t="str">
        <x:f>IF(AND(E766&gt;='Итоги'!$F$5,N766&lt;='Итоги'!$B$5,O766&gt;='Итоги'!$D$5),"Да","Нет")</x:f>
        <x:v>Нет</x:v>
      </x:c>
    </x:row>
    <x:row r="767" ht="60" customHeight="1">
      <x:c r="A767" s="14" t="str">
        <x:v>Школьные принадлежности и канцелярия</x:v>
      </x:c>
      <x:c r="B767" s="14" t="str">
        <x:v>Товары для школы, канцелярия, оборудование</x:v>
      </x:c>
      <x:c r="C767" s="14" t="str">
        <x:v>Тетрадь</x:v>
      </x:c>
      <x:c r="D767" s="14" t="str">
        <x:v>Тетрадь А4</x:v>
      </x:c>
      <x:c r="E767" s="2" t="n">
        <x:v>1</x:v>
      </x:c>
      <x:c r="F767" s="2" t="n">
        <x:v>0</x:v>
      </x:c>
      <x:c r="G767" s="12" t="n">
        <x:v>126681.6971</x:v>
      </x:c>
      <x:c r="H767" s="12" t="n">
        <x:v>0</x:v>
      </x:c>
      <x:c r="I767" s="13" t="n">
        <x:v>0</x:v>
      </x:c>
      <x:c r="J767" s="2" t="n">
        <x:v>1</x:v>
      </x:c>
      <x:c r="K767" s="2" t="n">
        <x:v>1</x:v>
      </x:c>
      <x:c r="L767" s="12" t="n">
        <x:v>812.0622</x:v>
      </x:c>
      <x:c r="M767" s="13" t="n">
        <x:v>1</x:v>
      </x:c>
      <x:c r="N767" s="13" t="n">
        <x:f>H767/G767</x:f>
        <x:v>0</x:v>
      </x:c>
      <x:c r="O767" s="13" t="n">
        <x:f>F767/E767</x:f>
        <x:v>0</x:v>
      </x:c>
      <x:c r="P767" s="2" t="str">
        <x:f>IF(AND(E767&gt;='Итоги'!$F$5,N767&lt;='Итоги'!$B$5,O767&gt;='Итоги'!$D$5),"Да","Нет")</x:f>
        <x:v>Нет</x:v>
      </x:c>
    </x:row>
    <x:row r="768" ht="60" customHeight="1">
      <x:c r="A768" s="14" t="str">
        <x:v>Школьные принадлежности и канцелярия</x:v>
      </x:c>
      <x:c r="B768" s="14" t="str">
        <x:v>Товары для школы, канцелярия, оборудование</x:v>
      </x:c>
      <x:c r="C768" s="14" t="str">
        <x:v>Чертежные принадлежности</x:v>
      </x:c>
      <x:c r="D768" s="14" t="str">
        <x:v>Альбом, бумага, папка для черчения</x:v>
      </x:c>
      <x:c r="E768" s="2" t="n">
        <x:v>1</x:v>
      </x:c>
      <x:c r="F768" s="2" t="n">
        <x:v>0</x:v>
      </x:c>
      <x:c r="G768" s="12" t="n">
        <x:v>3879</x:v>
      </x:c>
      <x:c r="H768" s="12" t="n">
        <x:v>0</x:v>
      </x:c>
      <x:c r="I768" s="13" t="n">
        <x:v>0</x:v>
      </x:c>
      <x:c r="J768" s="2" t="n">
        <x:v>1</x:v>
      </x:c>
      <x:c r="K768" s="2" t="n">
        <x:v>1</x:v>
      </x:c>
      <x:c r="L768" s="12" t="n">
        <x:v>1293</x:v>
      </x:c>
      <x:c r="M768" s="13" t="n">
        <x:v>1</x:v>
      </x:c>
      <x:c r="N768" s="13" t="n">
        <x:f>H768/G768</x:f>
        <x:v>0</x:v>
      </x:c>
      <x:c r="O768" s="13" t="n">
        <x:f>F768/E768</x:f>
        <x:v>0</x:v>
      </x:c>
      <x:c r="P768" s="2" t="str">
        <x:f>IF(AND(E768&gt;='Итоги'!$F$5,N768&lt;='Итоги'!$B$5,O768&gt;='Итоги'!$D$5),"Да","Нет")</x:f>
        <x:v>Нет</x:v>
      </x:c>
    </x:row>
    <x:row r="769" ht="60" customHeight="1">
      <x:c r="A769" s="14" t="str">
        <x:v>Одежда</x:v>
      </x:c>
      <x:c r="B769" s="14" t="str">
        <x:v>Верхняя одежда</x:v>
      </x:c>
      <x:c r="C769" s="14" t="str">
        <x:v>Спортивная верхняя одежда мужская</x:v>
      </x:c>
      <x:c r="D769" s="14" t="str">
        <x:v>Спортивный пуховик мужской</x:v>
      </x:c>
      <x:c r="E769" s="2" t="n">
        <x:v>57</x:v>
      </x:c>
      <x:c r="F769" s="2" t="n">
        <x:v>0</x:v>
      </x:c>
      <x:c r="G769" s="12" t="n">
        <x:v>4621291.5244</x:v>
      </x:c>
      <x:c r="H769" s="12" t="n">
        <x:v>43.4055</x:v>
      </x:c>
      <x:c r="I769" s="13" t="n">
        <x:v>0.000008771929824561403</x:v>
      </x:c>
      <x:c r="J769" s="2" t="n">
        <x:v>56</x:v>
      </x:c>
      <x:c r="K769" s="2" t="n">
        <x:v>2</x:v>
      </x:c>
      <x:c r="L769" s="12" t="n">
        <x:v>10415.9792</x:v>
      </x:c>
      <x:c r="M769" s="13" t="n">
        <x:v>0.7966991359364675</x:v>
      </x:c>
      <x:c r="N769" s="13" t="n">
        <x:f>H769/G769</x:f>
        <x:v>0.000009392504188671694</x:v>
      </x:c>
      <x:c r="O769" s="13" t="n">
        <x:f>F769/E769</x:f>
        <x:v>0</x:v>
      </x:c>
      <x:c r="P769" s="2" t="str">
        <x:f>IF(AND(E769&gt;='Итоги'!$F$5,N769&lt;='Итоги'!$B$5,O769&gt;='Итоги'!$D$5),"Да","Нет")</x:f>
        <x:v>Нет</x:v>
      </x:c>
    </x:row>
    <x:row r="770" ht="60" customHeight="1">
      <x:c r="A770" s="14" t="str">
        <x:v>Спорт и отдых</x:v>
      </x:c>
      <x:c r="B770" s="14" t="str">
        <x:v>Активный отдых</x:v>
      </x:c>
      <x:c r="C770" s="14" t="str">
        <x:v>Бассейны</x:v>
      </x:c>
      <x:c r="D770" s="14" t="str">
        <x:v>Комплектующие для бассейна</x:v>
      </x:c>
      <x:c r="E770" s="2" t="n">
        <x:v>4</x:v>
      </x:c>
      <x:c r="F770" s="2" t="n">
        <x:v>0</x:v>
      </x:c>
      <x:c r="G770" s="12" t="n">
        <x:v>195035.1988</x:v>
      </x:c>
      <x:c r="H770" s="12" t="n">
        <x:v>7.63411588</x:v>
      </x:c>
      <x:c r="I770" s="13" t="n">
        <x:v>0.000025</x:v>
      </x:c>
      <x:c r="J770" s="2" t="n">
        <x:v>3</x:v>
      </x:c>
      <x:c r="K770" s="2" t="n">
        <x:v>2</x:v>
      </x:c>
      <x:c r="L770" s="12" t="n">
        <x:v>6625.6984</x:v>
      </x:c>
      <x:c r="M770" s="13" t="n">
        <x:v>0.9027147913979514</x:v>
      </x:c>
      <x:c r="N770" s="13" t="n">
        <x:f>H770/G770</x:f>
        <x:v>0.000039142246768638156</x:v>
      </x:c>
      <x:c r="O770" s="13" t="n">
        <x:f>F770/E770</x:f>
        <x:v>0</x:v>
      </x:c>
      <x:c r="P770" s="2" t="str">
        <x:f>IF(AND(E770&gt;='Итоги'!$F$5,N770&lt;='Итоги'!$B$5,O770&gt;='Итоги'!$D$5),"Да","Нет")</x:f>
        <x:v>Нет</x:v>
      </x:c>
    </x:row>
    <x:row r="771" ht="60" customHeight="1">
      <x:c r="A771" s="14" t="str">
        <x:v>Ноутбуки и компьютеры</x:v>
      </x:c>
      <x:c r="B771" s="14" t="str">
        <x:v>Компьютерные комплектующие Lap&amp;Comp</x:v>
      </x:c>
      <x:c r="C771" s="14" t="str">
        <x:v>Компьютерные комплектующие Lap&amp;Comp</x:v>
      </x:c>
      <x:c r="D771" s="14" t="str">
        <x:v>SSD диск Samsung</x:v>
      </x:c>
      <x:c r="E771" s="2" t="n">
        <x:v>11</x:v>
      </x:c>
      <x:c r="F771" s="2" t="n">
        <x:v>0</x:v>
      </x:c>
      <x:c r="G771" s="12" t="n">
        <x:v>1838939.2987</x:v>
      </x:c>
      <x:c r="H771" s="12" t="n">
        <x:v>134.82559999999998</x:v>
      </x:c>
      <x:c r="I771" s="13" t="n">
        <x:v>0.0009454545454545</x:v>
      </x:c>
      <x:c r="J771" s="2" t="n">
        <x:v>10</x:v>
      </x:c>
      <x:c r="K771" s="2" t="n">
        <x:v>3</x:v>
      </x:c>
      <x:c r="L771" s="12" t="n">
        <x:v>9549.8889</x:v>
      </x:c>
      <x:c r="M771" s="13" t="n">
        <x:v>0.8202577973978451</x:v>
      </x:c>
      <x:c r="N771" s="13" t="n">
        <x:f>H771/G771</x:f>
        <x:v>0.00007331704754763365</x:v>
      </x:c>
      <x:c r="O771" s="13" t="n">
        <x:f>F771/E771</x:f>
        <x:v>0</x:v>
      </x:c>
      <x:c r="P771" s="2" t="str">
        <x:f>IF(AND(E771&gt;='Итоги'!$F$5,N771&lt;='Итоги'!$B$5,O771&gt;='Итоги'!$D$5),"Да","Нет")</x:f>
        <x:v>Нет</x:v>
      </x:c>
    </x:row>
    <x:row r="772" ht="60" customHeight="1">
      <x:c r="A772" s="14" t="str">
        <x:v>Одежда</x:v>
      </x:c>
      <x:c r="B772" s="14" t="str">
        <x:v>Верхняя одежда</x:v>
      </x:c>
      <x:c r="C772" s="14" t="str">
        <x:v>Спортивная верхняя одежда мужская</x:v>
      </x:c>
      <x:c r="D772" s="14" t="str">
        <x:v>Спортивная парка мужская</x:v>
      </x:c>
      <x:c r="E772" s="2" t="n">
        <x:v>18</x:v>
      </x:c>
      <x:c r="F772" s="2" t="n">
        <x:v>0</x:v>
      </x:c>
      <x:c r="G772" s="12" t="n">
        <x:v>2173560.64</x:v>
      </x:c>
      <x:c r="H772" s="12" t="n">
        <x:v>173.670525</x:v>
      </x:c>
      <x:c r="I772" s="13" t="n">
        <x:v>0.00155</x:v>
      </x:c>
      <x:c r="J772" s="2" t="n">
        <x:v>17</x:v>
      </x:c>
      <x:c r="K772" s="2" t="n">
        <x:v>3</x:v>
      </x:c>
      <x:c r="L772" s="12" t="n">
        <x:v>20266.89285</x:v>
      </x:c>
      <x:c r="M772" s="13" t="n">
        <x:v>0.989683402621792</x:v>
      </x:c>
      <x:c r="N772" s="13" t="n">
        <x:f>H772/G772</x:f>
        <x:v>0.00007990139396340926</x:v>
      </x:c>
      <x:c r="O772" s="13" t="n">
        <x:f>F772/E772</x:f>
        <x:v>0</x:v>
      </x:c>
      <x:c r="P772" s="2" t="str">
        <x:f>IF(AND(E772&gt;='Итоги'!$F$5,N772&lt;='Итоги'!$B$5,O772&gt;='Итоги'!$D$5),"Да","Нет")</x:f>
        <x:v>Нет</x:v>
      </x:c>
    </x:row>
    <x:row r="773" ht="60" customHeight="1">
      <x:c r="A773" s="14" t="str">
        <x:v>Аптека</x:v>
      </x:c>
      <x:c r="B773" s="14" t="str">
        <x:v>Спортивное питание</x:v>
      </x:c>
      <x:c r="C773" s="14" t="str">
        <x:v>Протеины (высокобелковые смеси)</x:v>
      </x:c>
      <x:c r="D773" s="14" t="str">
        <x:v>Яичный протеин</x:v>
      </x:c>
      <x:c r="E773" s="2" t="n">
        <x:v>4</x:v>
      </x:c>
      <x:c r="F773" s="2" t="n">
        <x:v>0</x:v>
      </x:c>
      <x:c r="G773" s="12" t="n">
        <x:v>1519392.4124</x:v>
      </x:c>
      <x:c r="H773" s="12" t="n">
        <x:v>145.74380330999998</x:v>
      </x:c>
      <x:c r="I773" s="13" t="n">
        <x:v>0.000075</x:v>
      </x:c>
      <x:c r="J773" s="2" t="n">
        <x:v>3</x:v>
      </x:c>
      <x:c r="K773" s="2" t="n">
        <x:v>3</x:v>
      </x:c>
      <x:c r="L773" s="12" t="n">
        <x:v>1752.091</x:v>
      </x:c>
      <x:c r="M773" s="13" t="n">
        <x:v>0.5531044698140549</x:v>
      </x:c>
      <x:c r="N773" s="13" t="n">
        <x:f>H773/G773</x:f>
        <x:v>0.00009592242406935951</x:v>
      </x:c>
      <x:c r="O773" s="13" t="n">
        <x:f>F773/E773</x:f>
        <x:v>0</x:v>
      </x:c>
      <x:c r="P773" s="2" t="str">
        <x:f>IF(AND(E773&gt;='Итоги'!$F$5,N773&lt;='Итоги'!$B$5,O773&gt;='Итоги'!$D$5),"Да","Нет")</x:f>
        <x:v>Нет</x:v>
      </x:c>
    </x:row>
    <x:row r="774" ht="60" customHeight="1">
      <x:c r="A774" s="14" t="str">
        <x:v>Товары для животных</x:v>
      </x:c>
      <x:c r="B774" s="14" t="str">
        <x:v>Гигиена и уход животных</x:v>
      </x:c>
      <x:c r="C774" s="14" t="str">
        <x:v>Уход за животными</x:v>
      </x:c>
      <x:c r="D774" s="14" t="str">
        <x:v>Стартовый набор для домашнего животного</x:v>
      </x:c>
      <x:c r="E774" s="2" t="n">
        <x:v>6</x:v>
      </x:c>
      <x:c r="F774" s="2" t="n">
        <x:v>0</x:v>
      </x:c>
      <x:c r="G774" s="12" t="n">
        <x:v>1404220.3067</x:v>
      </x:c>
      <x:c r="H774" s="12" t="n">
        <x:v>171.17768881</x:v>
      </x:c>
      <x:c r="I774" s="13" t="n">
        <x:v>0.00008333333333333333</x:v>
      </x:c>
      <x:c r="J774" s="2" t="n">
        <x:v>4</x:v>
      </x:c>
      <x:c r="K774" s="2" t="n">
        <x:v>1</x:v>
      </x:c>
      <x:c r="L774" s="12" t="n">
        <x:v>1257.46025</x:v>
      </x:c>
      <x:c r="M774" s="13" t="n">
        <x:v>1</x:v>
      </x:c>
      <x:c r="N774" s="13" t="n">
        <x:f>H774/G774</x:f>
        <x:v>0.00012190230264671047</x:v>
      </x:c>
      <x:c r="O774" s="13" t="n">
        <x:f>F774/E774</x:f>
        <x:v>0</x:v>
      </x:c>
      <x:c r="P774" s="2" t="str">
        <x:f>IF(AND(E774&gt;='Итоги'!$F$5,N774&lt;='Итоги'!$B$5,O774&gt;='Итоги'!$D$5),"Да","Нет")</x:f>
        <x:v>Нет</x:v>
      </x:c>
    </x:row>
    <x:row r="775" ht="60" customHeight="1">
      <x:c r="A775" s="14" t="str">
        <x:v>Аптека</x:v>
      </x:c>
      <x:c r="B775" s="14" t="str">
        <x:v>Витамины и БАДы</x:v>
      </x:c>
      <x:c r="C775" s="14" t="str">
        <x:v>Эндокринология</x:v>
      </x:c>
      <x:c r="D775" s="14" t="str">
        <x:v>БАД для диабета</x:v>
      </x:c>
      <x:c r="E775" s="2" t="n">
        <x:v>2</x:v>
      </x:c>
      <x:c r="F775" s="2" t="n">
        <x:v>0</x:v>
      </x:c>
      <x:c r="G775" s="12" t="n">
        <x:v>354520.9965</x:v>
      </x:c>
      <x:c r="H775" s="12" t="n">
        <x:v>46.66798586</x:v>
      </x:c>
      <x:c r="I775" s="13" t="n">
        <x:v>0.0001</x:v>
      </x:c>
      <x:c r="J775" s="2" t="n">
        <x:v>1</x:v>
      </x:c>
      <x:c r="K775" s="2" t="n">
        <x:v>2</x:v>
      </x:c>
      <x:c r="L775" s="12" t="n">
        <x:v>1847.24625</x:v>
      </x:c>
      <x:c r="M775" s="13" t="n">
        <x:v>0.6581836664221381</x:v>
      </x:c>
      <x:c r="N775" s="13" t="n">
        <x:f>H775/G775</x:f>
        <x:v>0.00013163673328442762</x:v>
      </x:c>
      <x:c r="O775" s="13" t="n">
        <x:f>F775/E775</x:f>
        <x:v>0</x:v>
      </x:c>
      <x:c r="P775" s="2" t="str">
        <x:f>IF(AND(E775&gt;='Итоги'!$F$5,N775&lt;='Итоги'!$B$5,O775&gt;='Итоги'!$D$5),"Да","Нет")</x:f>
        <x:v>Нет</x:v>
      </x:c>
    </x:row>
    <x:row r="776" ht="60" customHeight="1">
      <x:c r="A776" s="14" t="str">
        <x:v>Спорт и отдых</x:v>
      </x:c>
      <x:c r="B776" s="14" t="str">
        <x:v>Водные виды спорта</x:v>
      </x:c>
      <x:c r="C776" s="14" t="str">
        <x:v>Плавание</x:v>
      </x:c>
      <x:c r="D776" s="14" t="str">
        <x:v>Гидрокостюм для плавания</x:v>
      </x:c>
      <x:c r="E776" s="2" t="n">
        <x:v>6</x:v>
      </x:c>
      <x:c r="F776" s="2" t="n">
        <x:v>0</x:v>
      </x:c>
      <x:c r="G776" s="12" t="n">
        <x:v>200181</x:v>
      </x:c>
      <x:c r="H776" s="12" t="n">
        <x:v>30.888</x:v>
      </x:c>
      <x:c r="I776" s="13" t="n">
        <x:v>0.0003666666666666</x:v>
      </x:c>
      <x:c r="J776" s="2" t="n">
        <x:v>5</x:v>
      </x:c>
      <x:c r="K776" s="2" t="n">
        <x:v>2</x:v>
      </x:c>
      <x:c r="L776" s="12" t="n">
        <x:v>6802.0641</x:v>
      </x:c>
      <x:c r="M776" s="13" t="n">
        <x:v>0.9298634735564314</x:v>
      </x:c>
      <x:c r="N776" s="13" t="n">
        <x:f>H776/G776</x:f>
        <x:v>0.00015430035817585086</x:v>
      </x:c>
      <x:c r="O776" s="13" t="n">
        <x:f>F776/E776</x:f>
        <x:v>0</x:v>
      </x:c>
      <x:c r="P776" s="2" t="str">
        <x:f>IF(AND(E776&gt;='Итоги'!$F$5,N776&lt;='Итоги'!$B$5,O776&gt;='Итоги'!$D$5),"Да","Нет")</x:f>
        <x:v>Нет</x:v>
      </x:c>
    </x:row>
    <x:row r="777" ht="60" customHeight="1">
      <x:c r="A777" s="14" t="str">
        <x:v>Автотовары</x:v>
      </x:c>
      <x:c r="B777" s="14" t="str">
        <x:v>Авто и мото запчасти</x:v>
      </x:c>
      <x:c r="C777" s="14" t="str">
        <x:v>Система питания автомобиля</x:v>
      </x:c>
      <x:c r="D777" s="14" t="str">
        <x:v>Карбюратор автомобильный</x:v>
      </x:c>
      <x:c r="E777" s="2" t="n">
        <x:v>6</x:v>
      </x:c>
      <x:c r="F777" s="2" t="n">
        <x:v>0</x:v>
      </x:c>
      <x:c r="G777" s="12" t="n">
        <x:v>645902.4569999999</x:v>
      </x:c>
      <x:c r="H777" s="12" t="n">
        <x:v>110.5368</x:v>
      </x:c>
      <x:c r="I777" s="13" t="n">
        <x:v>0.0013166666666666</x:v>
      </x:c>
      <x:c r="J777" s="2" t="n">
        <x:v>5</x:v>
      </x:c>
      <x:c r="K777" s="2" t="n">
        <x:v>3</x:v>
      </x:c>
      <x:c r="L777" s="12" t="n">
        <x:v>6832.294449999999</x:v>
      </x:c>
      <x:c r="M777" s="13" t="n">
        <x:v>0.6010652848468727</x:v>
      </x:c>
      <x:c r="N777" s="13" t="n">
        <x:f>H777/G777</x:f>
        <x:v>0.00017113543817963835</x:v>
      </x:c>
      <x:c r="O777" s="13" t="n">
        <x:f>F777/E777</x:f>
        <x:v>0</x:v>
      </x:c>
      <x:c r="P777" s="2" t="str">
        <x:f>IF(AND(E777&gt;='Итоги'!$F$5,N777&lt;='Итоги'!$B$5,O777&gt;='Итоги'!$D$5),"Да","Нет")</x:f>
        <x:v>Нет</x:v>
      </x:c>
    </x:row>
    <x:row r="778" ht="60" customHeight="1">
      <x:c r="A778" s="14" t="str">
        <x:v>Спорт и отдых</x:v>
      </x:c>
      <x:c r="B778" s="14" t="str">
        <x:v>Товары для рыбалки</x:v>
      </x:c>
      <x:c r="C778" s="14" t="str">
        <x:v>Одежда для рыбалки</x:v>
      </x:c>
      <x:c r="D778" s="14" t="str">
        <x:v>Футболка, джерси, лонгслив для рыбалки</x:v>
      </x:c>
      <x:c r="E778" s="2" t="n">
        <x:v>11</x:v>
      </x:c>
      <x:c r="F778" s="2" t="n">
        <x:v>0</x:v>
      </x:c>
      <x:c r="G778" s="12" t="n">
        <x:v>156455.234</x:v>
      </x:c>
      <x:c r="H778" s="12" t="n">
        <x:v>30.73258916</x:v>
      </x:c>
      <x:c r="I778" s="13" t="n">
        <x:v>0.0003090909090909</x:v>
      </x:c>
      <x:c r="J778" s="2" t="n">
        <x:v>9</x:v>
      </x:c>
      <x:c r="K778" s="2" t="n">
        <x:v>2</x:v>
      </x:c>
      <x:c r="L778" s="12" t="n">
        <x:v>2413</x:v>
      </x:c>
      <x:c r="M778" s="13" t="n">
        <x:v>0.5009062490041081</x:v>
      </x:c>
      <x:c r="N778" s="13" t="n">
        <x:f>H778/G778</x:f>
        <x:v>0.00019643055955545724</x:v>
      </x:c>
      <x:c r="O778" s="13" t="n">
        <x:f>F778/E778</x:f>
        <x:v>0</x:v>
      </x:c>
      <x:c r="P778" s="2" t="str">
        <x:f>IF(AND(E778&gt;='Итоги'!$F$5,N778&lt;='Итоги'!$B$5,O778&gt;='Итоги'!$D$5),"Да","Нет")</x:f>
        <x:v>Нет</x:v>
      </x:c>
    </x:row>
    <x:row r="779" ht="60" customHeight="1">
      <x:c r="A779" s="14" t="str">
        <x:v>Мелкая бытовая техника</x:v>
      </x:c>
      <x:c r="B779" s="14" t="str">
        <x:v>Мелкая бытовая техника SDA</x:v>
      </x:c>
      <x:c r="C779" s="14" t="str">
        <x:v>Электронные товары для красоты и здоровья SDA</x:v>
      </x:c>
      <x:c r="D779" s="14" t="str">
        <x:v>Стайлер, щипцы для волос Dyson</x:v>
      </x:c>
      <x:c r="E779" s="2" t="n">
        <x:v>6</x:v>
      </x:c>
      <x:c r="F779" s="2" t="n">
        <x:v>0</x:v>
      </x:c>
      <x:c r="G779" s="12" t="n">
        <x:v>1898629</x:v>
      </x:c>
      <x:c r="H779" s="12" t="n">
        <x:v>432.0972</x:v>
      </x:c>
      <x:c r="I779" s="13" t="n">
        <x:v>0.00015</x:v>
      </x:c>
      <x:c r="J779" s="2" t="n">
        <x:v>5</x:v>
      </x:c>
      <x:c r="K779" s="2" t="n">
        <x:v>3</x:v>
      </x:c>
      <x:c r="L779" s="12" t="n">
        <x:v>51348.6111</x:v>
      </x:c>
      <x:c r="M779" s="13" t="n">
        <x:v>0.6827531866415187</x:v>
      </x:c>
      <x:c r="N779" s="13" t="n">
        <x:f>H779/G779</x:f>
        <x:v>0.0002275837986252185</x:v>
      </x:c>
      <x:c r="O779" s="13" t="n">
        <x:f>F779/E779</x:f>
        <x:v>0</x:v>
      </x:c>
      <x:c r="P779" s="2" t="str">
        <x:f>IF(AND(E779&gt;='Итоги'!$F$5,N779&lt;='Итоги'!$B$5,O779&gt;='Итоги'!$D$5),"Да","Нет")</x:f>
        <x:v>Нет</x:v>
      </x:c>
    </x:row>
    <x:row r="780" ht="60" customHeight="1">
      <x:c r="A780" s="14" t="str">
        <x:v>Автотовары</x:v>
      </x:c>
      <x:c r="B780" s="14" t="str">
        <x:v>Авто и мото запчасти</x:v>
      </x:c>
      <x:c r="C780" s="14" t="str">
        <x:v>Запчасти для прицепа</x:v>
      </x:c>
      <x:c r="D780" s="14" t="str">
        <x:v>Запчасти для легкового, грузового прицепа</x:v>
      </x:c>
      <x:c r="E780" s="2" t="n">
        <x:v>2</x:v>
      </x:c>
      <x:c r="F780" s="2" t="n">
        <x:v>0</x:v>
      </x:c>
      <x:c r="G780" s="12" t="n">
        <x:v>487548.5044</x:v>
      </x:c>
      <x:c r="H780" s="12" t="n">
        <x:v>132.97795308</x:v>
      </x:c>
      <x:c r="I780" s="13" t="n">
        <x:v>0.00035</x:v>
      </x:c>
      <x:c r="J780" s="2" t="n">
        <x:v>1</x:v>
      </x:c>
      <x:c r="K780" s="2" t="n">
        <x:v>2</x:v>
      </x:c>
      <x:c r="L780" s="12" t="n">
        <x:v>3168.5607</x:v>
      </x:c>
      <x:c r="M780" s="13" t="n">
        <x:v>0.6103597843382084</x:v>
      </x:c>
      <x:c r="N780" s="13" t="n">
        <x:f>H780/G780</x:f>
        <x:v>0.00027274815096325417</x:v>
      </x:c>
      <x:c r="O780" s="13" t="n">
        <x:f>F780/E780</x:f>
        <x:v>0</x:v>
      </x:c>
      <x:c r="P780" s="2" t="str">
        <x:f>IF(AND(E780&gt;='Итоги'!$F$5,N780&lt;='Итоги'!$B$5,O780&gt;='Итоги'!$D$5),"Да","Нет")</x:f>
        <x:v>Нет</x:v>
      </x:c>
    </x:row>
    <x:row r="781" ht="60" customHeight="1">
      <x:c r="A781" s="14" t="str">
        <x:v>Обувь</x:v>
      </x:c>
      <x:c r="B781" s="14" t="str">
        <x:v>Обувь женская</x:v>
      </x:c>
      <x:c r="C781" s="14" t="str">
        <x:v>Обувь женская зимняя</x:v>
      </x:c>
      <x:c r="D781" s="14" t="str">
        <x:v>Женские Ботинки зимние</x:v>
      </x:c>
      <x:c r="E781" s="2" t="n">
        <x:v>126</x:v>
      </x:c>
      <x:c r="F781" s="2" t="n">
        <x:v>0</x:v>
      </x:c>
      <x:c r="G781" s="12" t="n">
        <x:v>5478676.8407</x:v>
      </x:c>
      <x:c r="H781" s="12" t="n">
        <x:v>1686.15237506</x:v>
      </x:c>
      <x:c r="I781" s="13" t="n">
        <x:v>0.0009507936507936</x:v>
      </x:c>
      <x:c r="J781" s="2" t="n">
        <x:v>116</x:v>
      </x:c>
      <x:c r="K781" s="2" t="n">
        <x:v>20</x:v>
      </x:c>
      <x:c r="L781" s="12" t="n">
        <x:v>4083.875</x:v>
      </x:c>
      <x:c r="M781" s="13" t="n">
        <x:v>0.8323206959068197</x:v>
      </x:c>
      <x:c r="N781" s="13" t="n">
        <x:f>H781/G781</x:f>
        <x:v>0.0003077663501767269</x:v>
      </x:c>
      <x:c r="O781" s="13" t="n">
        <x:f>F781/E781</x:f>
        <x:v>0</x:v>
      </x:c>
      <x:c r="P781" s="2" t="str">
        <x:f>IF(AND(E781&gt;='Итоги'!$F$5,N781&lt;='Итоги'!$B$5,O781&gt;='Итоги'!$D$5),"Да","Нет")</x:f>
        <x:v>Нет</x:v>
      </x:c>
    </x:row>
    <x:row r="782" ht="60" customHeight="1">
      <x:c r="A782" s="14" t="str">
        <x:v>Школьные принадлежности и канцелярия</x:v>
      </x:c>
      <x:c r="B782" s="14" t="str">
        <x:v>Товары для школы, канцелярия, оборудование</x:v>
      </x:c>
      <x:c r="C782" s="14" t="str">
        <x:v>Демонстрационное оборудование и аксессуары</x:v>
      </x:c>
      <x:c r="D782" s="14" t="str">
        <x:v>Демонстрационная система</x:v>
      </x:c>
      <x:c r="E782" s="2" t="n">
        <x:v>4</x:v>
      </x:c>
      <x:c r="F782" s="2" t="n">
        <x:v>0</x:v>
      </x:c>
      <x:c r="G782" s="12" t="n">
        <x:v>266423.048</x:v>
      </x:c>
      <x:c r="H782" s="12" t="n">
        <x:v>84.72779999999999</x:v>
      </x:c>
      <x:c r="I782" s="13" t="n">
        <x:v>0.00015</x:v>
      </x:c>
      <x:c r="J782" s="2" t="n">
        <x:v>3</x:v>
      </x:c>
      <x:c r="K782" s="2" t="n">
        <x:v>2</x:v>
      </x:c>
      <x:c r="L782" s="12" t="n">
        <x:v>2898.20975</x:v>
      </x:c>
      <x:c r="M782" s="13" t="n">
        <x:v>0.8980343472386068</x:v>
      </x:c>
      <x:c r="N782" s="13" t="n">
        <x:f>H782/G782</x:f>
        <x:v>0.0003180197833334599</x:v>
      </x:c>
      <x:c r="O782" s="13" t="n">
        <x:f>F782/E782</x:f>
        <x:v>0</x:v>
      </x:c>
      <x:c r="P782" s="2" t="str">
        <x:f>IF(AND(E782&gt;='Итоги'!$F$5,N782&lt;='Итоги'!$B$5,O782&gt;='Итоги'!$D$5),"Да","Нет")</x:f>
        <x:v>Нет</x:v>
      </x:c>
    </x:row>
    <x:row r="783" ht="60" customHeight="1">
      <x:c r="A783" s="14" t="str">
        <x:v>Товары для дома</x:v>
      </x:c>
      <x:c r="B783" s="14" t="str">
        <x:v>Антиквариат Хоум Декор</x:v>
      </x:c>
      <x:c r="C783" s="14" t="str">
        <x:v>Коллекционирование Хоум Декор</x:v>
      </x:c>
      <x:c r="D783" s="14" t="str">
        <x:v>Альбом для монет</x:v>
      </x:c>
      <x:c r="E783" s="2" t="n">
        <x:v>2</x:v>
      </x:c>
      <x:c r="F783" s="2" t="n">
        <x:v>0</x:v>
      </x:c>
      <x:c r="G783" s="12" t="n">
        <x:v>131425.6498</x:v>
      </x:c>
      <x:c r="H783" s="12" t="n">
        <x:v>42.845000000000006</x:v>
      </x:c>
      <x:c r="I783" s="13" t="n">
        <x:v>0.00205</x:v>
      </x:c>
      <x:c r="J783" s="2" t="n">
        <x:v>1</x:v>
      </x:c>
      <x:c r="K783" s="2" t="n">
        <x:v>1</x:v>
      </x:c>
      <x:c r="L783" s="12" t="n">
        <x:v>1827.69675</x:v>
      </x:c>
      <x:c r="M783" s="13" t="n">
        <x:v>1</x:v>
      </x:c>
      <x:c r="N783" s="13" t="n">
        <x:f>H783/G783</x:f>
        <x:v>0.00032600181216680584</x:v>
      </x:c>
      <x:c r="O783" s="13" t="n">
        <x:f>F783/E783</x:f>
        <x:v>0</x:v>
      </x:c>
      <x:c r="P783" s="2" t="str">
        <x:f>IF(AND(E783&gt;='Итоги'!$F$5,N783&lt;='Итоги'!$B$5,O783&gt;='Итоги'!$D$5),"Да","Нет")</x:f>
        <x:v>Нет</x:v>
      </x:c>
    </x:row>
    <x:row r="784" ht="60" customHeight="1">
      <x:c r="A784" s="14" t="str">
        <x:v>Обувь</x:v>
      </x:c>
      <x:c r="B784" s="14" t="str">
        <x:v>Обувь мужская</x:v>
      </x:c>
      <x:c r="C784" s="14" t="str">
        <x:v>Обувь мужская ортопедическая</x:v>
      </x:c>
      <x:c r="D784" s="14" t="str">
        <x:v>Мужская Ортопедическая обувь</x:v>
      </x:c>
      <x:c r="E784" s="2" t="n">
        <x:v>33</x:v>
      </x:c>
      <x:c r="F784" s="2" t="n">
        <x:v>0</x:v>
      </x:c>
      <x:c r="G784" s="12" t="n">
        <x:v>2442539.7954</x:v>
      </x:c>
      <x:c r="H784" s="12" t="n">
        <x:v>927.052797</x:v>
      </x:c>
      <x:c r="I784" s="13" t="n">
        <x:v>0.0011242424242424</x:v>
      </x:c>
      <x:c r="J784" s="2" t="n">
        <x:v>31</x:v>
      </x:c>
      <x:c r="K784" s="2" t="n">
        <x:v>3</x:v>
      </x:c>
      <x:c r="L784" s="12" t="n">
        <x:v>4115.7692</x:v>
      </x:c>
      <x:c r="M784" s="13" t="n">
        <x:v>0.862173572879344</x:v>
      </x:c>
      <x:c r="N784" s="13" t="n">
        <x:f>H784/G784</x:f>
        <x:v>0.0003795446030176889</x:v>
      </x:c>
      <x:c r="O784" s="13" t="n">
        <x:f>F784/E784</x:f>
        <x:v>0</x:v>
      </x:c>
      <x:c r="P784" s="2" t="str">
        <x:f>IF(AND(E784&gt;='Итоги'!$F$5,N784&lt;='Итоги'!$B$5,O784&gt;='Итоги'!$D$5),"Да","Нет")</x:f>
        <x:v>Нет</x:v>
      </x:c>
    </x:row>
    <x:row r="785" ht="60" customHeight="1">
      <x:c r="A785" s="14" t="str">
        <x:v>Товары для дома</x:v>
      </x:c>
      <x:c r="B785" s="14" t="str">
        <x:v>Кухня</x:v>
      </x:c>
      <x:c r="C785" s="14" t="str">
        <x:v>Нож, ножницы кухонные</x:v>
      </x:c>
      <x:c r="D785" s="14" t="str">
        <x:v>Нож консервный, открывалка</x:v>
      </x:c>
      <x:c r="E785" s="2" t="n">
        <x:v>2</x:v>
      </x:c>
      <x:c r="F785" s="2" t="n">
        <x:v>0</x:v>
      </x:c>
      <x:c r="G785" s="12" t="n">
        <x:v>195785.04</x:v>
      </x:c>
      <x:c r="H785" s="12" t="n">
        <x:v>77</x:v>
      </x:c>
      <x:c r="I785" s="13" t="n">
        <x:v>0.0002</x:v>
      </x:c>
      <x:c r="J785" s="2" t="n">
        <x:v>1</x:v>
      </x:c>
      <x:c r="K785" s="2" t="n">
        <x:v>1</x:v>
      </x:c>
      <x:c r="L785" s="12" t="n">
        <x:v>4140.2255</x:v>
      </x:c>
      <x:c r="M785" s="13" t="n">
        <x:v>1</x:v>
      </x:c>
      <x:c r="N785" s="13" t="n">
        <x:f>H785/G785</x:f>
        <x:v>0.00039328847597344517</x:v>
      </x:c>
      <x:c r="O785" s="13" t="n">
        <x:f>F785/E785</x:f>
        <x:v>0</x:v>
      </x:c>
      <x:c r="P785" s="2" t="str">
        <x:f>IF(AND(E785&gt;='Итоги'!$F$5,N785&lt;='Итоги'!$B$5,O785&gt;='Итоги'!$D$5),"Да","Нет")</x:f>
        <x:v>Нет</x:v>
      </x:c>
    </x:row>
    <x:row r="786" ht="60" customHeight="1">
      <x:c r="A786" s="14" t="str">
        <x:v>Спорт и отдых</x:v>
      </x:c>
      <x:c r="B786" s="14" t="str">
        <x:v>Единоборства</x:v>
      </x:c>
      <x:c r="C786" s="14" t="str">
        <x:v>Смешанные единоборства</x:v>
      </x:c>
      <x:c r="D786" s="14" t="str">
        <x:v>Перчатки для смешанных единоборств</x:v>
      </x:c>
      <x:c r="E786" s="2" t="n">
        <x:v>1</x:v>
      </x:c>
      <x:c r="F786" s="2" t="n">
        <x:v>0</x:v>
      </x:c>
      <x:c r="G786" s="12" t="n">
        <x:v>109749.3408</x:v>
      </x:c>
      <x:c r="H786" s="12" t="n">
        <x:v>43.89973632</x:v>
      </x:c>
      <x:c r="I786" s="13" t="n">
        <x:v>0.0004</x:v>
      </x:c>
      <x:c r="J786" s="2" t="n">
        <x:v>0</x:v>
      </x:c>
      <x:c r="K786" s="2" t="n">
        <x:v>1</x:v>
      </x:c>
      <x:c r="L786" s="12" t="n">
        <x:v>1567.8477</x:v>
      </x:c>
      <x:c r="M786" s="13" t="n">
        <x:v>1</x:v>
      </x:c>
      <x:c r="N786" s="13" t="n">
        <x:f>H786/G786</x:f>
        <x:v>0.0004</x:v>
      </x:c>
      <x:c r="O786" s="13" t="n">
        <x:f>F786/E786</x:f>
        <x:v>0</x:v>
      </x:c>
      <x:c r="P786" s="2" t="str">
        <x:f>IF(AND(E786&gt;='Итоги'!$F$5,N786&lt;='Итоги'!$B$5,O786&gt;='Итоги'!$D$5),"Да","Нет")</x:f>
        <x:v>Нет</x:v>
      </x:c>
    </x:row>
    <x:row r="787" ht="60" customHeight="1">
      <x:c r="A787" s="14" t="str">
        <x:v>Товары для животных</x:v>
      </x:c>
      <x:c r="B787" s="14" t="str">
        <x:v>Фермерское хозяйство - Оборудование для птицеводства и животноводства</x:v>
      </x:c>
      <x:c r="C787" s="14" t="str">
        <x:v>Изготовление кормов для сельскохозяйственных животных и птиц</x:v>
      </x:c>
      <x:c r="D787" s="14" t="str">
        <x:v>Оборудование для анализа качества готового корма</x:v>
      </x:c>
      <x:c r="E787" s="2" t="n">
        <x:v>2</x:v>
      </x:c>
      <x:c r="F787" s="2" t="n">
        <x:v>0</x:v>
      </x:c>
      <x:c r="G787" s="12" t="n">
        <x:v>522316</x:v>
      </x:c>
      <x:c r="H787" s="12" t="n">
        <x:v>240.4332</x:v>
      </x:c>
      <x:c r="I787" s="13" t="n">
        <x:v>0.0007</x:v>
      </x:c>
      <x:c r="J787" s="2" t="n">
        <x:v>1</x:v>
      </x:c>
      <x:c r="K787" s="2" t="n">
        <x:v>1</x:v>
      </x:c>
      <x:c r="L787" s="12" t="n">
        <x:v>37378.5838</x:v>
      </x:c>
      <x:c r="M787" s="13" t="n">
        <x:v>1</x:v>
      </x:c>
      <x:c r="N787" s="13" t="n">
        <x:f>H787/G787</x:f>
        <x:v>0.00046032133804057315</x:v>
      </x:c>
      <x:c r="O787" s="13" t="n">
        <x:f>F787/E787</x:f>
        <x:v>0</x:v>
      </x:c>
      <x:c r="P787" s="2" t="str">
        <x:f>IF(AND(E787&gt;='Итоги'!$F$5,N787&lt;='Итоги'!$B$5,O787&gt;='Итоги'!$D$5),"Да","Нет")</x:f>
        <x:v>Нет</x:v>
      </x:c>
    </x:row>
    <x:row r="788" ht="60" customHeight="1">
      <x:c r="A788" s="14" t="str">
        <x:v>Товары для красоты и здоровья</x:v>
      </x:c>
      <x:c r="B788" s="14" t="str">
        <x:v>Косметическая техника</x:v>
      </x:c>
      <x:c r="C788" s="14" t="str">
        <x:v>Оборудование для салона красоты</x:v>
      </x:c>
      <x:c r="D788" s="14" t="str">
        <x:v>Кресло косметологическое</x:v>
      </x:c>
      <x:c r="E788" s="2" t="n">
        <x:v>5</x:v>
      </x:c>
      <x:c r="F788" s="2" t="n">
        <x:v>0</x:v>
      </x:c>
      <x:c r="G788" s="12" t="n">
        <x:v>1139065.709</x:v>
      </x:c>
      <x:c r="H788" s="12" t="n">
        <x:v>529.2940828999999</x:v>
      </x:c>
      <x:c r="I788" s="13" t="n">
        <x:v>0.00058</x:v>
      </x:c>
      <x:c r="J788" s="2" t="n">
        <x:v>4</x:v>
      </x:c>
      <x:c r="K788" s="2" t="n">
        <x:v>2</x:v>
      </x:c>
      <x:c r="L788" s="12" t="n">
        <x:v>10736.1883</x:v>
      </x:c>
      <x:c r="M788" s="13" t="n">
        <x:v>0.5557092141380582</x:v>
      </x:c>
      <x:c r="N788" s="13" t="n">
        <x:f>H788/G788</x:f>
        <x:v>0.0004646738802844603</x:v>
      </x:c>
      <x:c r="O788" s="13" t="n">
        <x:f>F788/E788</x:f>
        <x:v>0</x:v>
      </x:c>
      <x:c r="P788" s="2" t="str">
        <x:f>IF(AND(E788&gt;='Итоги'!$F$5,N788&lt;='Итоги'!$B$5,O788&gt;='Итоги'!$D$5),"Да","Нет")</x:f>
        <x:v>Нет</x:v>
      </x:c>
    </x:row>
    <x:row r="789" ht="60" customHeight="1">
      <x:c r="A789" s="14" t="str">
        <x:v>Товары для детей и спорта</x:v>
      </x:c>
      <x:c r="B789" s="14" t="str">
        <x:v>КГТ и аксессуары для детей</x:v>
      </x:c>
      <x:c r="C789" s="14" t="str">
        <x:v>Детская мебель и аксессуары в дом</x:v>
      </x:c>
      <x:c r="D789" s="14" t="str">
        <x:v>Мягкая мебель для детей до 3 лет</x:v>
      </x:c>
      <x:c r="E789" s="2" t="n">
        <x:v>2</x:v>
      </x:c>
      <x:c r="F789" s="2" t="n">
        <x:v>0</x:v>
      </x:c>
      <x:c r="G789" s="12" t="n">
        <x:v>23204</x:v>
      </x:c>
      <x:c r="H789" s="12" t="n">
        <x:v>10.8936</x:v>
      </x:c>
      <x:c r="I789" s="13" t="n">
        <x:v>0.0004</x:v>
      </x:c>
      <x:c r="J789" s="2" t="n">
        <x:v>1</x:v>
      </x:c>
      <x:c r="K789" s="2" t="n">
        <x:v>2</x:v>
      </x:c>
      <x:c r="L789" s="12" t="n">
        <x:v>4098.875</x:v>
      </x:c>
      <x:c r="M789" s="13" t="n">
        <x:v>0.5868384761248061</x:v>
      </x:c>
      <x:c r="N789" s="13" t="n">
        <x:f>H789/G789</x:f>
        <x:v>0.00046947078089984483</x:v>
      </x:c>
      <x:c r="O789" s="13" t="n">
        <x:f>F789/E789</x:f>
        <x:v>0</x:v>
      </x:c>
      <x:c r="P789" s="2" t="str">
        <x:f>IF(AND(E789&gt;='Итоги'!$F$5,N789&lt;='Итоги'!$B$5,O789&gt;='Итоги'!$D$5),"Да","Нет")</x:f>
        <x:v>Нет</x:v>
      </x:c>
    </x:row>
    <x:row r="790" ht="60" customHeight="1">
      <x:c r="A790" s="14" t="str">
        <x:v>Детское питание</x:v>
      </x:c>
      <x:c r="B790" s="14" t="str">
        <x:v>Детское питание</x:v>
      </x:c>
      <x:c r="C790" s="14" t="str">
        <x:v>Детская бакалея</x:v>
      </x:c>
      <x:c r="D790" s="14" t="str">
        <x:v>Пюре для детей до 3 лет</x:v>
      </x:c>
      <x:c r="E790" s="2" t="n">
        <x:v>14</x:v>
      </x:c>
      <x:c r="F790" s="2" t="n">
        <x:v>0</x:v>
      </x:c>
      <x:c r="G790" s="12" t="n">
        <x:v>3054039.9001</x:v>
      </x:c>
      <x:c r="H790" s="12" t="n">
        <x:v>1435.06932795</x:v>
      </x:c>
      <x:c r="I790" s="13" t="n">
        <x:v>0.0003214285714285</x:v>
      </x:c>
      <x:c r="J790" s="2" t="n">
        <x:v>13</x:v>
      </x:c>
      <x:c r="K790" s="2" t="n">
        <x:v>3</x:v>
      </x:c>
      <x:c r="L790" s="12" t="n">
        <x:v>1060.27635</x:v>
      </x:c>
      <x:c r="M790" s="13" t="n">
        <x:v>0.9327435405826644</x:v>
      </x:c>
      <x:c r="N790" s="13" t="n">
        <x:f>H790/G790</x:f>
        <x:v>0.0004698921346453301</x:v>
      </x:c>
      <x:c r="O790" s="13" t="n">
        <x:f>F790/E790</x:f>
        <x:v>0</x:v>
      </x:c>
      <x:c r="P790" s="2" t="str">
        <x:f>IF(AND(E790&gt;='Итоги'!$F$5,N790&lt;='Итоги'!$B$5,O790&gt;='Итоги'!$D$5),"Да","Нет")</x:f>
        <x:v>Нет</x:v>
      </x:c>
    </x:row>
    <x:row r="791" ht="60" customHeight="1">
      <x:c r="A791" s="14" t="str">
        <x:v>Строительство и ремонт (DIY)</x:v>
      </x:c>
      <x:c r="B791" s="14" t="str">
        <x:v>Промышленно-строительное оборудование</x:v>
      </x:c>
      <x:c r="C791" s="14" t="str">
        <x:v>Газоснабжение</x:v>
      </x:c>
      <x:c r="D791" s="14" t="str">
        <x:v>Газорегуляторная аппаратура</x:v>
      </x:c>
      <x:c r="E791" s="2" t="n">
        <x:v>2</x:v>
      </x:c>
      <x:c r="F791" s="2" t="n">
        <x:v>0</x:v>
      </x:c>
      <x:c r="G791" s="12" t="n">
        <x:v>211227.3514</x:v>
      </x:c>
      <x:c r="H791" s="12" t="n">
        <x:v>103.96962168</x:v>
      </x:c>
      <x:c r="I791" s="13" t="n">
        <x:v>0.0006</x:v>
      </x:c>
      <x:c r="J791" s="2" t="n">
        <x:v>1</x:v>
      </x:c>
      <x:c r="K791" s="2" t="n">
        <x:v>2</x:v>
      </x:c>
      <x:c r="L791" s="12" t="n">
        <x:v>7191.9817</x:v>
      </x:c>
      <x:c r="M791" s="13" t="n">
        <x:v>0.5898194489219922</x:v>
      </x:c>
      <x:c r="N791" s="13" t="n">
        <x:f>H791/G791</x:f>
        <x:v>0.0004922166612936094</x:v>
      </x:c>
      <x:c r="O791" s="13" t="n">
        <x:f>F791/E791</x:f>
        <x:v>0</x:v>
      </x:c>
      <x:c r="P791" s="2" t="str">
        <x:f>IF(AND(E791&gt;='Итоги'!$F$5,N791&lt;='Итоги'!$B$5,O791&gt;='Итоги'!$D$5),"Да","Нет")</x:f>
        <x:v>Нет</x:v>
      </x:c>
    </x:row>
    <x:row r="792" ht="60" customHeight="1">
      <x:c r="A792" s="14" t="str">
        <x:v>Бытовая химия и гигиена рта</x:v>
      </x:c>
      <x:c r="B792" s="14" t="str">
        <x:v>Бытовая химия</x:v>
      </x:c>
      <x:c r="C792" s="14" t="str">
        <x:v>Товары для защиты от насекомых и грызунов</x:v>
      </x:c>
      <x:c r="D792" s="14" t="str">
        <x:v>Оборудование для дезинсекции от насекомых квартиры, дома</x:v>
      </x:c>
      <x:c r="E792" s="2" t="n">
        <x:v>2</x:v>
      </x:c>
      <x:c r="F792" s="2" t="n">
        <x:v>0</x:v>
      </x:c>
      <x:c r="G792" s="12" t="n">
        <x:v>970339.15</x:v>
      </x:c>
      <x:c r="H792" s="12" t="n">
        <x:v>494.656086</x:v>
      </x:c>
      <x:c r="I792" s="13" t="n">
        <x:v>0.001</x:v>
      </x:c>
      <x:c r="J792" s="2" t="n">
        <x:v>0</x:v>
      </x:c>
      <x:c r="K792" s="2" t="n">
        <x:v>1</x:v>
      </x:c>
      <x:c r="L792" s="12" t="n">
        <x:v>8138.21585</x:v>
      </x:c>
      <x:c r="M792" s="13" t="n">
        <x:v>1</x:v>
      </x:c>
      <x:c r="N792" s="13" t="n">
        <x:f>H792/G792</x:f>
        <x:v>0.0005097764900035209</x:v>
      </x:c>
      <x:c r="O792" s="13" t="n">
        <x:f>F792/E792</x:f>
        <x:v>0</x:v>
      </x:c>
      <x:c r="P792" s="2" t="str">
        <x:f>IF(AND(E792&gt;='Итоги'!$F$5,N792&lt;='Итоги'!$B$5,O792&gt;='Итоги'!$D$5),"Да","Нет")</x:f>
        <x:v>Нет</x:v>
      </x:c>
    </x:row>
    <x:row r="793" ht="60" customHeight="1">
      <x:c r="A793" s="14" t="str">
        <x:v>Строительство и ремонт (DIY)</x:v>
      </x:c>
      <x:c r="B793" s="14" t="str">
        <x:v>Инструменты</x:v>
      </x:c>
      <x:c r="C793" s="14" t="str">
        <x:v>Измерительный инструмент</x:v>
      </x:c>
      <x:c r="D793" s="14" t="str">
        <x:v>Геодезическое оборудование</x:v>
      </x:c>
      <x:c r="E793" s="2" t="n">
        <x:v>2</x:v>
      </x:c>
      <x:c r="F793" s="2" t="n">
        <x:v>0</x:v>
      </x:c>
      <x:c r="G793" s="12" t="n">
        <x:v>816448.75</x:v>
      </x:c>
      <x:c r="H793" s="12" t="n">
        <x:v>416.808</x:v>
      </x:c>
      <x:c r="I793" s="13" t="n">
        <x:v>0.0021</x:v>
      </x:c>
      <x:c r="J793" s="2" t="n">
        <x:v>1</x:v>
      </x:c>
      <x:c r="K793" s="2" t="n">
        <x:v>2</x:v>
      </x:c>
      <x:c r="L793" s="12" t="n">
        <x:v>6984.0246</x:v>
      </x:c>
      <x:c r="M793" s="13" t="n">
        <x:v>0.878449198434072</x:v>
      </x:c>
      <x:c r="N793" s="13" t="n">
        <x:f>H793/G793</x:f>
        <x:v>0.0005105133665768978</x:v>
      </x:c>
      <x:c r="O793" s="13" t="n">
        <x:f>F793/E793</x:f>
        <x:v>0</x:v>
      </x:c>
      <x:c r="P793" s="2" t="str">
        <x:f>IF(AND(E793&gt;='Итоги'!$F$5,N793&lt;='Итоги'!$B$5,O793&gt;='Итоги'!$D$5),"Да","Нет")</x:f>
        <x:v>Нет</x:v>
      </x:c>
    </x:row>
    <x:row r="794" ht="60" customHeight="1">
      <x:c r="A794" s="14" t="str">
        <x:v>Одежда</x:v>
      </x:c>
      <x:c r="B794" s="14" t="str">
        <x:v>Основная одежда мужская</x:v>
      </x:c>
      <x:c r="C794" s="14" t="str">
        <x:v>Основная одежда мужская верха</x:v>
      </x:c>
      <x:c r="D794" s="14" t="str">
        <x:v>Майка мужская</x:v>
      </x:c>
      <x:c r="E794" s="2" t="n">
        <x:v>5</x:v>
      </x:c>
      <x:c r="F794" s="2" t="n">
        <x:v>0</x:v>
      </x:c>
      <x:c r="G794" s="12" t="n">
        <x:v>72184.65090000001</x:v>
      </x:c>
      <x:c r="H794" s="12" t="n">
        <x:v>37.13800971</x:v>
      </x:c>
      <x:c r="I794" s="13" t="n">
        <x:v>0.00038</x:v>
      </x:c>
      <x:c r="J794" s="2" t="n">
        <x:v>4</x:v>
      </x:c>
      <x:c r="K794" s="2" t="n">
        <x:v>3</x:v>
      </x:c>
      <x:c r="L794" s="12" t="n">
        <x:v>1299.6667</x:v>
      </x:c>
      <x:c r="M794" s="13" t="n">
        <x:v>0.439100689756193</x:v>
      </x:c>
      <x:c r="N794" s="13" t="n">
        <x:f>H794/G794</x:f>
        <x:v>0.0005144862411463155</x:v>
      </x:c>
      <x:c r="O794" s="13" t="n">
        <x:f>F794/E794</x:f>
        <x:v>0</x:v>
      </x:c>
      <x:c r="P794" s="2" t="str">
        <x:f>IF(AND(E794&gt;='Итоги'!$F$5,N794&lt;='Итоги'!$B$5,O794&gt;='Итоги'!$D$5),"Да","Нет")</x:f>
        <x:v>Нет</x:v>
      </x:c>
    </x:row>
    <x:row r="795" ht="60" customHeight="1">
      <x:c r="A795" s="14" t="str">
        <x:v>Школьные принадлежности и канцелярия</x:v>
      </x:c>
      <x:c r="B795" s="14" t="str">
        <x:v>Товары для школы, канцелярия, оборудование</x:v>
      </x:c>
      <x:c r="C795" s="14" t="str">
        <x:v>Офисные принадлежности</x:v>
      </x:c>
      <x:c r="D795" s="14" t="str">
        <x:v>Резинки для банкнот</x:v>
      </x:c>
      <x:c r="E795" s="2" t="n">
        <x:v>2</x:v>
      </x:c>
      <x:c r="F795" s="2" t="n">
        <x:v>0</x:v>
      </x:c>
      <x:c r="G795" s="12" t="n">
        <x:v>220989</x:v>
      </x:c>
      <x:c r="H795" s="12" t="n">
        <x:v>113.906</x:v>
      </x:c>
      <x:c r="I795" s="13" t="n">
        <x:v>0.0005</x:v>
      </x:c>
      <x:c r="J795" s="2" t="n">
        <x:v>1</x:v>
      </x:c>
      <x:c r="K795" s="2" t="n">
        <x:v>1</x:v>
      </x:c>
      <x:c r="L795" s="12" t="n">
        <x:v>4804.1087</x:v>
      </x:c>
      <x:c r="M795" s="13" t="n">
        <x:v>1</x:v>
      </x:c>
      <x:c r="N795" s="13" t="n">
        <x:f>H795/G795</x:f>
        <x:v>0.0005154374199620795</x:v>
      </x:c>
      <x:c r="O795" s="13" t="n">
        <x:f>F795/E795</x:f>
        <x:v>0</x:v>
      </x:c>
      <x:c r="P795" s="2" t="str">
        <x:f>IF(AND(E795&gt;='Итоги'!$F$5,N795&lt;='Итоги'!$B$5,O795&gt;='Итоги'!$D$5),"Да","Нет")</x:f>
        <x:v>Нет</x:v>
      </x:c>
    </x:row>
    <x:row r="796" ht="60" customHeight="1">
      <x:c r="A796" s="14" t="str">
        <x:v>Аптека</x:v>
      </x:c>
      <x:c r="B796" s="14" t="str">
        <x:v>Медицинская техника</x:v>
      </x:c>
      <x:c r="C796" s="14" t="str">
        <x:v>Медицинская техника</x:v>
      </x:c>
      <x:c r="D796" s="14" t="str">
        <x:v>Аппарат для дезинфекции рук и воздуха</x:v>
      </x:c>
      <x:c r="E796" s="2" t="n">
        <x:v>2</x:v>
      </x:c>
      <x:c r="F796" s="2" t="n">
        <x:v>0</x:v>
      </x:c>
      <x:c r="G796" s="12" t="n">
        <x:v>381894.72</x:v>
      </x:c>
      <x:c r="H796" s="12" t="n">
        <x:v>212.343776</x:v>
      </x:c>
      <x:c r="I796" s="13" t="n">
        <x:v>0.0004</x:v>
      </x:c>
      <x:c r="J796" s="2" t="n">
        <x:v>1</x:v>
      </x:c>
      <x:c r="K796" s="2" t="n">
        <x:v>2</x:v>
      </x:c>
      <x:c r="L796" s="12" t="n">
        <x:v>13100.6201</x:v>
      </x:c>
      <x:c r="M796" s="13" t="n">
        <x:v>0.695033751710419</x:v>
      </x:c>
      <x:c r="N796" s="13" t="n">
        <x:f>H796/G796</x:f>
        <x:v>0.0005560270013683352</x:v>
      </x:c>
      <x:c r="O796" s="13" t="n">
        <x:f>F796/E796</x:f>
        <x:v>0</x:v>
      </x:c>
      <x:c r="P796" s="2" t="str">
        <x:f>IF(AND(E796&gt;='Итоги'!$F$5,N796&lt;='Итоги'!$B$5,O796&gt;='Итоги'!$D$5),"Да","Нет")</x:f>
        <x:v>Нет</x:v>
      </x:c>
    </x:row>
    <x:row r="797" ht="60" customHeight="1">
      <x:c r="A797" s="14" t="str">
        <x:v>Аксессуары для электроники</x:v>
      </x:c>
      <x:c r="B797" s="14" t="str">
        <x:v>Бытовая техника Access</x:v>
      </x:c>
      <x:c r="C797" s="14" t="str">
        <x:v>Запчасти для бытовой техники Access</x:v>
      </x:c>
      <x:c r="D797" s="14" t="str">
        <x:v>Запчасти для микроволновой печи/СВЧ</x:v>
      </x:c>
      <x:c r="E797" s="2" t="n">
        <x:v>6</x:v>
      </x:c>
      <x:c r="F797" s="2" t="n">
        <x:v>0</x:v>
      </x:c>
      <x:c r="G797" s="12" t="n">
        <x:v>929868.2405</x:v>
      </x:c>
      <x:c r="H797" s="12" t="n">
        <x:v>522.95861217</x:v>
      </x:c>
      <x:c r="I797" s="13" t="n">
        <x:v>0.0007166666666666</x:v>
      </x:c>
      <x:c r="J797" s="2" t="n">
        <x:v>5</x:v>
      </x:c>
      <x:c r="K797" s="2" t="n">
        <x:v>5</x:v>
      </x:c>
      <x:c r="L797" s="12" t="n">
        <x:v>1584.3001</x:v>
      </x:c>
      <x:c r="M797" s="13" t="n">
        <x:v>0.5546672509458613</x:v>
      </x:c>
      <x:c r="N797" s="13" t="n">
        <x:f>H797/G797</x:f>
        <x:v>0.0005624007675418612</x:v>
      </x:c>
      <x:c r="O797" s="13" t="n">
        <x:f>F797/E797</x:f>
        <x:v>0</x:v>
      </x:c>
      <x:c r="P797" s="2" t="str">
        <x:f>IF(AND(E797&gt;='Итоги'!$F$5,N797&lt;='Итоги'!$B$5,O797&gt;='Итоги'!$D$5),"Да","Нет")</x:f>
        <x:v>Нет</x:v>
      </x:c>
    </x:row>
    <x:row r="798" ht="60" customHeight="1">
      <x:c r="A798" s="14" t="str">
        <x:v>Напитки</x:v>
      </x:c>
      <x:c r="B798" s="14" t="str">
        <x:v>Напитки горячие</x:v>
      </x:c>
      <x:c r="C798" s="14" t="str">
        <x:v>Какао, горячий шоколад</x:v>
      </x:c>
      <x:c r="D798" s="14" t="str">
        <x:v>Какао капсульный</x:v>
      </x:c>
      <x:c r="E798" s="2" t="n">
        <x:v>2</x:v>
      </x:c>
      <x:c r="F798" s="2" t="n">
        <x:v>0</x:v>
      </x:c>
      <x:c r="G798" s="12" t="n">
        <x:v>567891.6906999999</x:v>
      </x:c>
      <x:c r="H798" s="12" t="n">
        <x:v>325.9896907</x:v>
      </x:c>
      <x:c r="I798" s="13" t="n">
        <x:v>0.0005</x:v>
      </x:c>
      <x:c r="J798" s="2" t="n">
        <x:v>1</x:v>
      </x:c>
      <x:c r="K798" s="2" t="n">
        <x:v>2</x:v>
      </x:c>
      <x:c r="L798" s="12" t="n">
        <x:v>2180.52045</x:v>
      </x:c>
      <x:c r="M798" s="13" t="n">
        <x:v>0.5740349718767245</x:v>
      </x:c>
      <x:c r="N798" s="13" t="n">
        <x:f>H798/G798</x:f>
        <x:v>0.0005740349718767245</x:v>
      </x:c>
      <x:c r="O798" s="13" t="n">
        <x:f>F798/E798</x:f>
        <x:v>0</x:v>
      </x:c>
      <x:c r="P798" s="2" t="str">
        <x:f>IF(AND(E798&gt;='Итоги'!$F$5,N798&lt;='Итоги'!$B$5,O798&gt;='Итоги'!$D$5),"Да","Нет")</x:f>
        <x:v>Нет</x:v>
      </x:c>
    </x:row>
    <x:row r="799" ht="60" customHeight="1">
      <x:c r="A799" s="14" t="str">
        <x:v>Спорт и отдых</x:v>
      </x:c>
      <x:c r="B799" s="14" t="str">
        <x:v>Водные виды спорта</x:v>
      </x:c>
      <x:c r="C799" s="14" t="str">
        <x:v>Дайвинг</x:v>
      </x:c>
      <x:c r="D799" s="14" t="str">
        <x:v>Ласты для дайвинга</x:v>
      </x:c>
      <x:c r="E799" s="2" t="n">
        <x:v>13</x:v>
      </x:c>
      <x:c r="F799" s="2" t="n">
        <x:v>0</x:v>
      </x:c>
      <x:c r="G799" s="12" t="n">
        <x:v>752813.368</x:v>
      </x:c>
      <x:c r="H799" s="12" t="n">
        <x:v>436.6713</x:v>
      </x:c>
      <x:c r="I799" s="13" t="n">
        <x:v>0.0018</x:v>
      </x:c>
      <x:c r="J799" s="2" t="n">
        <x:v>11</x:v>
      </x:c>
      <x:c r="K799" s="2" t="n">
        <x:v>4</x:v>
      </x:c>
      <x:c r="L799" s="12" t="n">
        <x:v>2184.1351</x:v>
      </x:c>
      <x:c r="M799" s="13" t="n">
        <x:v>0.4774652460741105</x:v>
      </x:c>
      <x:c r="N799" s="13" t="n">
        <x:f>H799/G799</x:f>
        <x:v>0.0005800525316920249</x:v>
      </x:c>
      <x:c r="O799" s="13" t="n">
        <x:f>F799/E799</x:f>
        <x:v>0</x:v>
      </x:c>
      <x:c r="P799" s="2" t="str">
        <x:f>IF(AND(E799&gt;='Итоги'!$F$5,N799&lt;='Итоги'!$B$5,O799&gt;='Итоги'!$D$5),"Да","Нет")</x:f>
        <x:v>Нет</x:v>
      </x:c>
    </x:row>
    <x:row r="800" ht="60" customHeight="1">
      <x:c r="A800" s="14" t="str">
        <x:v>Напитки</x:v>
      </x:c>
      <x:c r="B800" s="14" t="str">
        <x:v>Напитки горячие</x:v>
      </x:c>
      <x:c r="C800" s="14" t="str">
        <x:v>Кофе</x:v>
      </x:c>
      <x:c r="D800" s="14" t="str">
        <x:v>Кофе в чалдах</x:v>
      </x:c>
      <x:c r="E800" s="2" t="n">
        <x:v>5</x:v>
      </x:c>
      <x:c r="F800" s="2" t="n">
        <x:v>0</x:v>
      </x:c>
      <x:c r="G800" s="12" t="n">
        <x:v>579276.9244</x:v>
      </x:c>
      <x:c r="H800" s="12" t="n">
        <x:v>344.218</x:v>
      </x:c>
      <x:c r="I800" s="13" t="n">
        <x:v>0.0007</x:v>
      </x:c>
      <x:c r="J800" s="2" t="n">
        <x:v>4</x:v>
      </x:c>
      <x:c r="K800" s="2" t="n">
        <x:v>1</x:v>
      </x:c>
      <x:c r="L800" s="12" t="n">
        <x:v>1287.5811</x:v>
      </x:c>
      <x:c r="M800" s="13" t="n">
        <x:v>1</x:v>
      </x:c>
      <x:c r="N800" s="13" t="n">
        <x:f>H800/G800</x:f>
        <x:v>0.0005942201139058526</x:v>
      </x:c>
      <x:c r="O800" s="13" t="n">
        <x:f>F800/E800</x:f>
        <x:v>0</x:v>
      </x:c>
      <x:c r="P800" s="2" t="str">
        <x:f>IF(AND(E800&gt;='Итоги'!$F$5,N800&lt;='Итоги'!$B$5,O800&gt;='Итоги'!$D$5),"Да","Нет")</x:f>
        <x:v>Нет</x:v>
      </x:c>
    </x:row>
    <x:row r="801" ht="60" customHeight="1">
      <x:c r="A801" s="14" t="str">
        <x:v>Товары для дома</x:v>
      </x:c>
      <x:c r="B801" s="14" t="str">
        <x:v>Принадлежности для Нового года</x:v>
      </x:c>
      <x:c r="C801" s="14" t="str">
        <x:v>Товары для праздника новогодние</x:v>
      </x:c>
      <x:c r="D801" s="14" t="str">
        <x:v>Колпак, грим, маска новогодние</x:v>
      </x:c>
      <x:c r="E801" s="2" t="n">
        <x:v>1</x:v>
      </x:c>
      <x:c r="F801" s="2" t="n">
        <x:v>0</x:v>
      </x:c>
      <x:c r="G801" s="12" t="n">
        <x:v>81214</x:v>
      </x:c>
      <x:c r="H801" s="12" t="n">
        <x:v>48.72839999999999</x:v>
      </x:c>
      <x:c r="I801" s="13" t="n">
        <x:v>0.0006</x:v>
      </x:c>
      <x:c r="J801" s="2" t="n">
        <x:v>0</x:v>
      </x:c>
      <x:c r="K801" s="2" t="n">
        <x:v>1</x:v>
      </x:c>
      <x:c r="L801" s="12" t="n">
        <x:v>1592.4314</x:v>
      </x:c>
      <x:c r="M801" s="13" t="n">
        <x:v>1</x:v>
      </x:c>
      <x:c r="N801" s="13" t="n">
        <x:f>H801/G801</x:f>
        <x:v>0.0006</x:v>
      </x:c>
      <x:c r="O801" s="13" t="n">
        <x:f>F801/E801</x:f>
        <x:v>0</x:v>
      </x:c>
      <x:c r="P801" s="2" t="str">
        <x:f>IF(AND(E801&gt;='Итоги'!$F$5,N801&lt;='Итоги'!$B$5,O801&gt;='Итоги'!$D$5),"Да","Нет")</x:f>
        <x:v>Нет</x:v>
      </x:c>
    </x:row>
    <x:row r="802" ht="60" customHeight="1">
      <x:c r="A802" s="14" t="str">
        <x:v>Товары для дома</x:v>
      </x:c>
      <x:c r="B802" s="14" t="str">
        <x:v>Кухня</x:v>
      </x:c>
      <x:c r="C802" s="14" t="str">
        <x:v>Питьевое стекло, аксессуар для бара, сосуд для жидкости</x:v>
      </x:c>
      <x:c r="D802" s="14" t="str">
        <x:v>Домашний аппарат для приготовления алкоголя и комплектующие</x:v>
      </x:c>
      <x:c r="E802" s="2" t="n">
        <x:v>4</x:v>
      </x:c>
      <x:c r="F802" s="2" t="n">
        <x:v>0</x:v>
      </x:c>
      <x:c r="G802" s="12" t="n">
        <x:v>1000658.41</x:v>
      </x:c>
      <x:c r="H802" s="12" t="n">
        <x:v>624.9214999999999</x:v>
      </x:c>
      <x:c r="I802" s="13" t="n">
        <x:v>0.001225</x:v>
      </x:c>
      <x:c r="J802" s="2" t="n">
        <x:v>3</x:v>
      </x:c>
      <x:c r="K802" s="2" t="n">
        <x:v>2</x:v>
      </x:c>
      <x:c r="L802" s="12" t="n">
        <x:v>36381.84285</x:v>
      </x:c>
      <x:c r="M802" s="13" t="n">
        <x:v>0.8725489150688295</x:v>
      </x:c>
      <x:c r="N802" s="13" t="n">
        <x:f>H802/G802</x:f>
        <x:v>0.0006245103161627352</x:v>
      </x:c>
      <x:c r="O802" s="13" t="n">
        <x:f>F802/E802</x:f>
        <x:v>0</x:v>
      </x:c>
      <x:c r="P802" s="2" t="str">
        <x:f>IF(AND(E802&gt;='Итоги'!$F$5,N802&lt;='Итоги'!$B$5,O802&gt;='Итоги'!$D$5),"Да","Нет")</x:f>
        <x:v>Нет</x:v>
      </x:c>
    </x:row>
    <x:row r="803" ht="60" customHeight="1">
      <x:c r="A803" s="14" t="str">
        <x:v>Одежда</x:v>
      </x:c>
      <x:c r="B803" s="14" t="str">
        <x:v>Верхняя одежда</x:v>
      </x:c>
      <x:c r="C803" s="14" t="str">
        <x:v>Верхняя одежда женская</x:v>
      </x:c>
      <x:c r="D803" s="14" t="str">
        <x:v>Шуба женская из натурального меха</x:v>
      </x:c>
      <x:c r="E803" s="2" t="n">
        <x:v>18</x:v>
      </x:c>
      <x:c r="F803" s="2" t="n">
        <x:v>0</x:v>
      </x:c>
      <x:c r="G803" s="12" t="n">
        <x:v>549770</x:v>
      </x:c>
      <x:c r="H803" s="12" t="n">
        <x:v>356.8312</x:v>
      </x:c>
      <x:c r="I803" s="13" t="n">
        <x:v>0.0011611111111111</x:v>
      </x:c>
      <x:c r="J803" s="2" t="n">
        <x:v>15</x:v>
      </x:c>
      <x:c r="K803" s="2" t="n">
        <x:v>8</x:v>
      </x:c>
      <x:c r="L803" s="12" t="n">
        <x:v>16281.25</x:v>
      </x:c>
      <x:c r="M803" s="13" t="n">
        <x:v>0.2713862160539862</x:v>
      </x:c>
      <x:c r="N803" s="13" t="n">
        <x:f>H803/G803</x:f>
        <x:v>0.000649055423176965</x:v>
      </x:c>
      <x:c r="O803" s="13" t="n">
        <x:f>F803/E803</x:f>
        <x:v>0</x:v>
      </x:c>
      <x:c r="P803" s="2" t="str">
        <x:f>IF(AND(E803&gt;='Итоги'!$F$5,N803&lt;='Итоги'!$B$5,O803&gt;='Итоги'!$D$5),"Да","Нет")</x:f>
        <x:v>Нет</x:v>
      </x:c>
    </x:row>
    <x:row r="804" ht="60" customHeight="1">
      <x:c r="A804" s="14" t="str">
        <x:v>Детская одежда</x:v>
      </x:c>
      <x:c r="B804" s="14" t="str">
        <x:v>Детская обувь</x:v>
      </x:c>
      <x:c r="C804" s="14" t="str">
        <x:v>Обувь для мальчика</x:v>
      </x:c>
      <x:c r="D804" s="14" t="str">
        <x:v>Шлепанцы, сланцы для мальчика</x:v>
      </x:c>
      <x:c r="E804" s="2" t="n">
        <x:v>8</x:v>
      </x:c>
      <x:c r="F804" s="2" t="n">
        <x:v>0</x:v>
      </x:c>
      <x:c r="G804" s="12" t="n">
        <x:v>278658.07</x:v>
      </x:c>
      <x:c r="H804" s="12" t="n">
        <x:v>203.21240000000003</x:v>
      </x:c>
      <x:c r="I804" s="13" t="n">
        <x:v>0.0005125</x:v>
      </x:c>
      <x:c r="J804" s="2" t="n">
        <x:v>7</x:v>
      </x:c>
      <x:c r="K804" s="2" t="n">
        <x:v>2</x:v>
      </x:c>
      <x:c r="L804" s="12" t="n">
        <x:v>1123.42705</x:v>
      </x:c>
      <x:c r="M804" s="13" t="n">
        <x:v>0.5981841114452562</x:v>
      </x:c>
      <x:c r="N804" s="13" t="n">
        <x:f>H804/G804</x:f>
        <x:v>0.0007292535974285619</x:v>
      </x:c>
      <x:c r="O804" s="13" t="n">
        <x:f>F804/E804</x:f>
        <x:v>0</x:v>
      </x:c>
      <x:c r="P804" s="2" t="str">
        <x:f>IF(AND(E804&gt;='Итоги'!$F$5,N804&lt;='Итоги'!$B$5,O804&gt;='Итоги'!$D$5),"Да","Нет")</x:f>
        <x:v>Нет</x:v>
      </x:c>
    </x:row>
    <x:row r="805" ht="60" customHeight="1">
      <x:c r="A805" s="14" t="str">
        <x:v>Одежда</x:v>
      </x:c>
      <x:c r="B805" s="14" t="str">
        <x:v>Основная одежда мужская</x:v>
      </x:c>
      <x:c r="C805" s="14" t="str">
        <x:v>Основная одежда мужская верха</x:v>
      </x:c>
      <x:c r="D805" s="14" t="str">
        <x:v>Жакет мужской</x:v>
      </x:c>
      <x:c r="E805" s="2" t="n">
        <x:v>16</x:v>
      </x:c>
      <x:c r="F805" s="2" t="n">
        <x:v>0</x:v>
      </x:c>
      <x:c r="G805" s="12" t="n">
        <x:v>1087977.86</x:v>
      </x:c>
      <x:c r="H805" s="12" t="n">
        <x:v>835.752675</x:v>
      </x:c>
      <x:c r="I805" s="13" t="n">
        <x:v>0.00429375</x:v>
      </x:c>
      <x:c r="J805" s="2" t="n">
        <x:v>15</x:v>
      </x:c>
      <x:c r="K805" s="2" t="n">
        <x:v>3</x:v>
      </x:c>
      <x:c r="L805" s="12" t="n">
        <x:v>3744.96875</x:v>
      </x:c>
      <x:c r="M805" s="13" t="n">
        <x:v>0.8477437858891725</x:v>
      </x:c>
      <x:c r="N805" s="13" t="n">
        <x:f>H805/G805</x:f>
        <x:v>0.0007681706638772961</x:v>
      </x:c>
      <x:c r="O805" s="13" t="n">
        <x:f>F805/E805</x:f>
        <x:v>0</x:v>
      </x:c>
      <x:c r="P805" s="2" t="str">
        <x:f>IF(AND(E805&gt;='Итоги'!$F$5,N805&lt;='Итоги'!$B$5,O805&gt;='Итоги'!$D$5),"Да","Нет")</x:f>
        <x:v>Нет</x:v>
      </x:c>
    </x:row>
    <x:row r="806" ht="60" customHeight="1">
      <x:c r="A806" s="14" t="str">
        <x:v>Обувь</x:v>
      </x:c>
      <x:c r="B806" s="14" t="str">
        <x:v>Обувь женская</x:v>
      </x:c>
      <x:c r="C806" s="14" t="str">
        <x:v>Обувь женская демисезон</x:v>
      </x:c>
      <x:c r="D806" s="14" t="str">
        <x:v>Женские Полусапоги демисезонные</x:v>
      </x:c>
      <x:c r="E806" s="2" t="n">
        <x:v>21</x:v>
      </x:c>
      <x:c r="F806" s="2" t="n">
        <x:v>0</x:v>
      </x:c>
      <x:c r="G806" s="12" t="n">
        <x:v>1541648.5654</x:v>
      </x:c>
      <x:c r="H806" s="12" t="n">
        <x:v>1192.965075</x:v>
      </x:c>
      <x:c r="I806" s="13" t="n">
        <x:v>0.0030428571428571</x:v>
      </x:c>
      <x:c r="J806" s="2" t="n">
        <x:v>20</x:v>
      </x:c>
      <x:c r="K806" s="2" t="n">
        <x:v>4</x:v>
      </x:c>
      <x:c r="L806" s="12" t="n">
        <x:v>1209.9283</x:v>
      </x:c>
      <x:c r="M806" s="13" t="n">
        <x:v>0.7983822273273073</x:v>
      </x:c>
      <x:c r="N806" s="13" t="n">
        <x:f>H806/G806</x:f>
        <x:v>0.0007738242695347823</x:v>
      </x:c>
      <x:c r="O806" s="13" t="n">
        <x:f>F806/E806</x:f>
        <x:v>0</x:v>
      </x:c>
      <x:c r="P806" s="2" t="str">
        <x:f>IF(AND(E806&gt;='Итоги'!$F$5,N806&lt;='Итоги'!$B$5,O806&gt;='Итоги'!$D$5),"Да","Нет")</x:f>
        <x:v>Нет</x:v>
      </x:c>
    </x:row>
    <x:row r="807" ht="60" customHeight="1">
      <x:c r="A807" s="14" t="str">
        <x:v>Детская одежда</x:v>
      </x:c>
      <x:c r="B807" s="14" t="str">
        <x:v>Детская одежда</x:v>
      </x:c>
      <x:c r="C807" s="14" t="str">
        <x:v>Верхняя одежда для девочки</x:v>
      </x:c>
      <x:c r="D807" s="14" t="str">
        <x:v>Куртка зимняя для девочки</x:v>
      </x:c>
      <x:c r="E807" s="2" t="n">
        <x:v>38</x:v>
      </x:c>
      <x:c r="F807" s="2" t="n">
        <x:v>0</x:v>
      </x:c>
      <x:c r="G807" s="12" t="n">
        <x:v>1212363.908</x:v>
      </x:c>
      <x:c r="H807" s="12" t="n">
        <x:v>985.8292</x:v>
      </x:c>
      <x:c r="I807" s="13" t="n">
        <x:v>0.0006921052631578</x:v>
      </x:c>
      <x:c r="J807" s="2" t="n">
        <x:v>37</x:v>
      </x:c>
      <x:c r="K807" s="2" t="n">
        <x:v>6</x:v>
      </x:c>
      <x:c r="L807" s="12" t="n">
        <x:v>2257.59875</x:v>
      </x:c>
      <x:c r="M807" s="13" t="n">
        <x:v>0.5973526457866147</x:v>
      </x:c>
      <x:c r="N807" s="13" t="n">
        <x:f>H807/G807</x:f>
        <x:v>0.0008131462785182153</x:v>
      </x:c>
      <x:c r="O807" s="13" t="n">
        <x:f>F807/E807</x:f>
        <x:v>0</x:v>
      </x:c>
      <x:c r="P807" s="2" t="str">
        <x:f>IF(AND(E807&gt;='Итоги'!$F$5,N807&lt;='Итоги'!$B$5,O807&gt;='Итоги'!$D$5),"Да","Нет")</x:f>
        <x:v>Нет</x:v>
      </x:c>
    </x:row>
    <x:row r="808" ht="60" customHeight="1">
      <x:c r="A808" s="14" t="str">
        <x:v>Одежда</x:v>
      </x:c>
      <x:c r="B808" s="14" t="str">
        <x:v>Верхняя одежда</x:v>
      </x:c>
      <x:c r="C808" s="14" t="str">
        <x:v>Верхняя одежда женская</x:v>
      </x:c>
      <x:c r="D808" s="14" t="str">
        <x:v>Парка женская</x:v>
      </x:c>
      <x:c r="E808" s="2" t="n">
        <x:v>22</x:v>
      </x:c>
      <x:c r="F808" s="2" t="n">
        <x:v>0</x:v>
      </x:c>
      <x:c r="G808" s="12" t="n">
        <x:v>580060.94</x:v>
      </x:c>
      <x:c r="H808" s="12" t="n">
        <x:v>472.065</x:v>
      </x:c>
      <x:c r="I808" s="13" t="n">
        <x:v>0.0012545454545454</x:v>
      </x:c>
      <x:c r="J808" s="2" t="n">
        <x:v>19</x:v>
      </x:c>
      <x:c r="K808" s="2" t="n">
        <x:v>13</x:v>
      </x:c>
      <x:c r="L808" s="12" t="n">
        <x:v>10075.75</x:v>
      </x:c>
      <x:c r="M808" s="13" t="n">
        <x:v>0.3182903161864338</x:v>
      </x:c>
      <x:c r="N808" s="13" t="n">
        <x:f>H808/G808</x:f>
        <x:v>0.0008138196652234506</x:v>
      </x:c>
      <x:c r="O808" s="13" t="n">
        <x:f>F808/E808</x:f>
        <x:v>0</x:v>
      </x:c>
      <x:c r="P808" s="2" t="str">
        <x:f>IF(AND(E808&gt;='Итоги'!$F$5,N808&lt;='Итоги'!$B$5,O808&gt;='Итоги'!$D$5),"Да","Нет")</x:f>
        <x:v>Нет</x:v>
      </x:c>
    </x:row>
    <x:row r="809" ht="60" customHeight="1">
      <x:c r="A809" s="14" t="str">
        <x:v>Обувь</x:v>
      </x:c>
      <x:c r="B809" s="14" t="str">
        <x:v>Обувь женская</x:v>
      </x:c>
      <x:c r="C809" s="14" t="str">
        <x:v>Обувь женская зимняя</x:v>
      </x:c>
      <x:c r="D809" s="14" t="str">
        <x:v>Женские Полусапоги зимние</x:v>
      </x:c>
      <x:c r="E809" s="2" t="n">
        <x:v>22</x:v>
      </x:c>
      <x:c r="F809" s="2" t="n">
        <x:v>0</x:v>
      </x:c>
      <x:c r="G809" s="12" t="n">
        <x:v>714828.2117</x:v>
      </x:c>
      <x:c r="H809" s="12" t="n">
        <x:v>584.222714</x:v>
      </x:c>
      <x:c r="I809" s="13" t="n">
        <x:v>0.000640909090909</x:v>
      </x:c>
      <x:c r="J809" s="2" t="n">
        <x:v>18</x:v>
      </x:c>
      <x:c r="K809" s="2" t="n">
        <x:v>5</x:v>
      </x:c>
      <x:c r="L809" s="12" t="n">
        <x:v>3836.3086</x:v>
      </x:c>
      <x:c r="M809" s="13" t="n">
        <x:v>0.9283041027744036</x:v>
      </x:c>
      <x:c r="N809" s="13" t="n">
        <x:f>H809/G809</x:f>
        <x:v>0.0008172910699909356</x:v>
      </x:c>
      <x:c r="O809" s="13" t="n">
        <x:f>F809/E809</x:f>
        <x:v>0</x:v>
      </x:c>
      <x:c r="P809" s="2" t="str">
        <x:f>IF(AND(E809&gt;='Итоги'!$F$5,N809&lt;='Итоги'!$B$5,O809&gt;='Итоги'!$D$5),"Да","Нет")</x:f>
        <x:v>Нет</x:v>
      </x:c>
    </x:row>
    <x:row r="810" ht="60" customHeight="1">
      <x:c r="A810" s="14" t="str">
        <x:v>Обувь</x:v>
      </x:c>
      <x:c r="B810" s="14" t="str">
        <x:v>Обувь женская</x:v>
      </x:c>
      <x:c r="C810" s="14" t="str">
        <x:v>Обувь женская повседневная</x:v>
      </x:c>
      <x:c r="D810" s="14" t="str">
        <x:v>Женские Казаки</x:v>
      </x:c>
      <x:c r="E810" s="2" t="n">
        <x:v>10</x:v>
      </x:c>
      <x:c r="F810" s="2" t="n">
        <x:v>0</x:v>
      </x:c>
      <x:c r="G810" s="12" t="n">
        <x:v>471555.18</x:v>
      </x:c>
      <x:c r="H810" s="12" t="n">
        <x:v>399.032836</x:v>
      </x:c>
      <x:c r="I810" s="13" t="n">
        <x:v>0.00048</x:v>
      </x:c>
      <x:c r="J810" s="2" t="n">
        <x:v>8</x:v>
      </x:c>
      <x:c r="K810" s="2" t="n">
        <x:v>5</x:v>
      </x:c>
      <x:c r="L810" s="12" t="n">
        <x:v>7003.61125</x:v>
      </x:c>
      <x:c r="M810" s="13" t="n">
        <x:v>0.4159402935622507</x:v>
      </x:c>
      <x:c r="N810" s="13" t="n">
        <x:f>H810/G810</x:f>
        <x:v>0.0008462060283167709</x:v>
      </x:c>
      <x:c r="O810" s="13" t="n">
        <x:f>F810/E810</x:f>
        <x:v>0</x:v>
      </x:c>
      <x:c r="P810" s="2" t="str">
        <x:f>IF(AND(E810&gt;='Итоги'!$F$5,N810&lt;='Итоги'!$B$5,O810&gt;='Итоги'!$D$5),"Да","Нет")</x:f>
        <x:v>Нет</x:v>
      </x:c>
    </x:row>
    <x:row r="811" ht="60" customHeight="1">
      <x:c r="A811" s="14" t="str">
        <x:v>Хобби и творчество</x:v>
      </x:c>
      <x:c r="B811" s="14" t="str">
        <x:v>Взрослое творчество и хобби</x:v>
      </x:c>
      <x:c r="C811" s="14" t="str">
        <x:v>Создание игрушек, украшений, косметики, кухонных аксессуаров</x:v>
      </x:c>
      <x:c r="D811" s="14" t="str">
        <x:v>Воск для творчества</x:v>
      </x:c>
      <x:c r="E811" s="2" t="n">
        <x:v>4</x:v>
      </x:c>
      <x:c r="F811" s="2" t="n">
        <x:v>0</x:v>
      </x:c>
      <x:c r="G811" s="12" t="n">
        <x:v>404133.4317</x:v>
      </x:c>
      <x:c r="H811" s="12" t="n">
        <x:v>348.41290231</x:v>
      </x:c>
      <x:c r="I811" s="13" t="n">
        <x:v>0.0007999999999999</x:v>
      </x:c>
      <x:c r="J811" s="2" t="n">
        <x:v>2</x:v>
      </x:c>
      <x:c r="K811" s="2" t="n">
        <x:v>4</x:v>
      </x:c>
      <x:c r="L811" s="12" t="n">
        <x:v>2048.29185</x:v>
      </x:c>
      <x:c r="M811" s="13" t="n">
        <x:v>0.2724843194406774</x:v>
      </x:c>
      <x:c r="N811" s="13" t="n">
        <x:f>H811/G811</x:f>
        <x:v>0.0008621234349367983</x:v>
      </x:c>
      <x:c r="O811" s="13" t="n">
        <x:f>F811/E811</x:f>
        <x:v>0</x:v>
      </x:c>
      <x:c r="P811" s="2" t="str">
        <x:f>IF(AND(E811&gt;='Итоги'!$F$5,N811&lt;='Итоги'!$B$5,O811&gt;='Итоги'!$D$5),"Да","Нет")</x:f>
        <x:v>Нет</x:v>
      </x:c>
    </x:row>
    <x:row r="812" ht="60" customHeight="1">
      <x:c r="A812" s="14" t="str">
        <x:v>Детская одежда</x:v>
      </x:c>
      <x:c r="B812" s="14" t="str">
        <x:v>Детская одежда</x:v>
      </x:c>
      <x:c r="C812" s="14" t="str">
        <x:v>Верхняя одежда для мальчика</x:v>
      </x:c>
      <x:c r="D812" s="14" t="str">
        <x:v>Куртка зимняя для мальчика</x:v>
      </x:c>
      <x:c r="E812" s="2" t="n">
        <x:v>37</x:v>
      </x:c>
      <x:c r="F812" s="2" t="n">
        <x:v>0</x:v>
      </x:c>
      <x:c r="G812" s="12" t="n">
        <x:v>1286734.712</x:v>
      </x:c>
      <x:c r="H812" s="12" t="n">
        <x:v>1155.886125</x:v>
      </x:c>
      <x:c r="I812" s="13" t="n">
        <x:v>0.0012081081081081</x:v>
      </x:c>
      <x:c r="J812" s="2" t="n">
        <x:v>36</x:v>
      </x:c>
      <x:c r="K812" s="2" t="n">
        <x:v>8</x:v>
      </x:c>
      <x:c r="L812" s="12" t="n">
        <x:v>3250</x:v>
      </x:c>
      <x:c r="M812" s="13" t="n">
        <x:v>0.6043719296196308</x:v>
      </x:c>
      <x:c r="N812" s="13" t="n">
        <x:f>H812/G812</x:f>
        <x:v>0.0008983095848897872</x:v>
      </x:c>
      <x:c r="O812" s="13" t="n">
        <x:f>F812/E812</x:f>
        <x:v>0</x:v>
      </x:c>
      <x:c r="P812" s="2" t="str">
        <x:f>IF(AND(E812&gt;='Итоги'!$F$5,N812&lt;='Итоги'!$B$5,O812&gt;='Итоги'!$D$5),"Да","Нет")</x:f>
        <x:v>Нет</x:v>
      </x:c>
    </x:row>
    <x:row r="813" ht="60" customHeight="1">
      <x:c r="A813" s="14" t="str">
        <x:v>Детская одежда</x:v>
      </x:c>
      <x:c r="B813" s="14" t="str">
        <x:v>Детская одежда</x:v>
      </x:c>
      <x:c r="C813" s="14" t="str">
        <x:v>Верхняя одежда для девочки</x:v>
      </x:c>
      <x:c r="D813" s="14" t="str">
        <x:v>Куртка демисезонная для девочки</x:v>
      </x:c>
      <x:c r="E813" s="2" t="n">
        <x:v>61</x:v>
      </x:c>
      <x:c r="F813" s="2" t="n">
        <x:v>0</x:v>
      </x:c>
      <x:c r="G813" s="12" t="n">
        <x:v>2472611.6138</x:v>
      </x:c>
      <x:c r="H813" s="12" t="n">
        <x:v>2230.799538</x:v>
      </x:c>
      <x:c r="I813" s="13" t="n">
        <x:v>0.0010459016393442</x:v>
      </x:c>
      <x:c r="J813" s="2" t="n">
        <x:v>60</x:v>
      </x:c>
      <x:c r="K813" s="2" t="n">
        <x:v>7</x:v>
      </x:c>
      <x:c r="L813" s="12" t="n">
        <x:v>1436.0717</x:v>
      </x:c>
      <x:c r="M813" s="13" t="n">
        <x:v>0.8430124820923868</x:v>
      </x:c>
      <x:c r="N813" s="13" t="n">
        <x:f>H813/G813</x:f>
        <x:v>0.0009022037773945525</x:v>
      </x:c>
      <x:c r="O813" s="13" t="n">
        <x:f>F813/E813</x:f>
        <x:v>0</x:v>
      </x:c>
      <x:c r="P813" s="2" t="str">
        <x:f>IF(AND(E813&gt;='Итоги'!$F$5,N813&lt;='Итоги'!$B$5,O813&gt;='Итоги'!$D$5),"Да","Нет")</x:f>
        <x:v>Нет</x:v>
      </x:c>
    </x:row>
    <x:row r="814" ht="60" customHeight="1">
      <x:c r="A814" s="14" t="str">
        <x:v>Аптека</x:v>
      </x:c>
      <x:c r="B814" s="14" t="str">
        <x:v>Электронные сигареты, парители, кальяны</x:v>
      </x:c>
      <x:c r="C814" s="14" t="str">
        <x:v>Аксессуары для кальяна</x:v>
      </x:c>
      <x:c r="D814" s="14" t="str">
        <x:v>Розжиг для кальяна</x:v>
      </x:c>
      <x:c r="E814" s="2" t="n">
        <x:v>2</x:v>
      </x:c>
      <x:c r="F814" s="2" t="n">
        <x:v>0</x:v>
      </x:c>
      <x:c r="G814" s="12" t="n">
        <x:v>499119.0722</x:v>
      </x:c>
      <x:c r="H814" s="12" t="n">
        <x:v>458.98558896</x:v>
      </x:c>
      <x:c r="I814" s="13" t="n">
        <x:v>0.0024</x:v>
      </x:c>
      <x:c r="J814" s="2" t="n">
        <x:v>1</x:v>
      </x:c>
      <x:c r="K814" s="2" t="n">
        <x:v>2</x:v>
      </x:c>
      <x:c r="L814" s="12" t="n">
        <x:v>879.5508500000001</x:v>
      </x:c>
      <x:c r="M814" s="13" t="n">
        <x:v>0.8084184656007621</x:v>
      </x:c>
      <x:c r="N814" s="13" t="n">
        <x:f>H814/G814</x:f>
        <x:v>0.0009195913651163419</x:v>
      </x:c>
      <x:c r="O814" s="13" t="n">
        <x:f>F814/E814</x:f>
        <x:v>0</x:v>
      </x:c>
      <x:c r="P814" s="2" t="str">
        <x:f>IF(AND(E814&gt;='Итоги'!$F$5,N814&lt;='Итоги'!$B$5,O814&gt;='Итоги'!$D$5),"Да","Нет")</x:f>
        <x:v>Нет</x:v>
      </x:c>
    </x:row>
    <x:row r="815" ht="60" customHeight="1">
      <x:c r="A815" s="14" t="str">
        <x:v>Строительство и ремонт (DIY)</x:v>
      </x:c>
      <x:c r="B815" s="14" t="str">
        <x:v>Сад и огород</x:v>
      </x:c>
      <x:c r="C815" s="14" t="str">
        <x:v>Садовый инструмент</x:v>
      </x:c>
      <x:c r="D815" s="14" t="str">
        <x:v>Плодосборник</x:v>
      </x:c>
      <x:c r="E815" s="2" t="n">
        <x:v>6</x:v>
      </x:c>
      <x:c r="F815" s="2" t="n">
        <x:v>0</x:v>
      </x:c>
      <x:c r="G815" s="12" t="n">
        <x:v>961815.7826</x:v>
      </x:c>
      <x:c r="H815" s="12" t="n">
        <x:v>955.49478592</x:v>
      </x:c>
      <x:c r="I815" s="13" t="n">
        <x:v>0.0019666666666666</x:v>
      </x:c>
      <x:c r="J815" s="2" t="n">
        <x:v>5</x:v>
      </x:c>
      <x:c r="K815" s="2" t="n">
        <x:v>5</x:v>
      </x:c>
      <x:c r="L815" s="12" t="n">
        <x:v>1478.93855</x:v>
      </x:c>
      <x:c r="M815" s="13" t="n">
        <x:v>0.5928422160620095</x:v>
      </x:c>
      <x:c r="N815" s="13" t="n">
        <x:f>H815/G815</x:f>
        <x:v>0.0009934280588919917</x:v>
      </x:c>
      <x:c r="O815" s="13" t="n">
        <x:f>F815/E815</x:f>
        <x:v>0</x:v>
      </x:c>
      <x:c r="P815" s="2" t="str">
        <x:f>IF(AND(E815&gt;='Итоги'!$F$5,N815&lt;='Итоги'!$B$5,O815&gt;='Итоги'!$D$5),"Да","Нет")</x:f>
        <x:v>Нет</x:v>
      </x:c>
    </x:row>
    <x:row r="816" ht="60" customHeight="1">
      <x:c r="A816" s="14" t="str">
        <x:v>Хобби и творчество</x:v>
      </x:c>
      <x:c r="B816" s="14" t="str">
        <x:v>Взрослое творчество и хобби</x:v>
      </x:c>
      <x:c r="C816" s="14" t="str">
        <x:v>Шитье</x:v>
      </x:c>
      <x:c r="D816" s="14" t="str">
        <x:v>Нож раскройный</x:v>
      </x:c>
      <x:c r="E816" s="2" t="n">
        <x:v>1</x:v>
      </x:c>
      <x:c r="F816" s="2" t="n">
        <x:v>0</x:v>
      </x:c>
      <x:c r="G816" s="12" t="n">
        <x:v>84629</x:v>
      </x:c>
      <x:c r="H816" s="12" t="n">
        <x:v>84.629</x:v>
      </x:c>
      <x:c r="I816" s="13" t="n">
        <x:v>0.001</x:v>
      </x:c>
      <x:c r="J816" s="2" t="n">
        <x:v>0</x:v>
      </x:c>
      <x:c r="K816" s="2" t="n">
        <x:v>1</x:v>
      </x:c>
      <x:c r="L816" s="12" t="n">
        <x:v>14104.8333</x:v>
      </x:c>
      <x:c r="M816" s="13" t="n">
        <x:v>1</x:v>
      </x:c>
      <x:c r="N816" s="13" t="n">
        <x:f>H816/G816</x:f>
        <x:v>0.001</x:v>
      </x:c>
      <x:c r="O816" s="13" t="n">
        <x:f>F816/E816</x:f>
        <x:v>0</x:v>
      </x:c>
      <x:c r="P816" s="2" t="str">
        <x:f>IF(AND(E816&gt;='Итоги'!$F$5,N816&lt;='Итоги'!$B$5,O816&gt;='Итоги'!$D$5),"Да","Нет")</x:f>
        <x:v>Нет</x:v>
      </x:c>
    </x:row>
    <x:row r="817" ht="60" customHeight="1">
      <x:c r="A817" s="14" t="str">
        <x:v>Детская одежда</x:v>
      </x:c>
      <x:c r="B817" s="14" t="str">
        <x:v>Детская одежда</x:v>
      </x:c>
      <x:c r="C817" s="14" t="str">
        <x:v>Верхняя одежда для девочки</x:v>
      </x:c>
      <x:c r="D817" s="14" t="str">
        <x:v>Куртка удлиненная демисезонная для девочки</x:v>
      </x:c>
      <x:c r="E817" s="2" t="n">
        <x:v>61</x:v>
      </x:c>
      <x:c r="F817" s="2" t="n">
        <x:v>0</x:v>
      </x:c>
      <x:c r="G817" s="12" t="n">
        <x:v>2937380.9589</x:v>
      </x:c>
      <x:c r="H817" s="12" t="n">
        <x:v>3130.35515</x:v>
      </x:c>
      <x:c r="I817" s="13" t="n">
        <x:v>0.0021704918032786</x:v>
      </x:c>
      <x:c r="J817" s="2" t="n">
        <x:v>59</x:v>
      </x:c>
      <x:c r="K817" s="2" t="n">
        <x:v>11</x:v>
      </x:c>
      <x:c r="L817" s="12" t="n">
        <x:v>2902</x:v>
      </x:c>
      <x:c r="M817" s="13" t="n">
        <x:v>0.4300641429135806</x:v>
      </x:c>
      <x:c r="N817" s="13" t="n">
        <x:f>H817/G817</x:f>
        <x:v>0.0010656960039573027</x:v>
      </x:c>
      <x:c r="O817" s="13" t="n">
        <x:f>F817/E817</x:f>
        <x:v>0</x:v>
      </x:c>
      <x:c r="P817" s="2" t="str">
        <x:f>IF(AND(E817&gt;='Итоги'!$F$5,N817&lt;='Итоги'!$B$5,O817&gt;='Итоги'!$D$5),"Да","Нет")</x:f>
        <x:v>Нет</x:v>
      </x:c>
    </x:row>
    <x:row r="818" ht="60" customHeight="1">
      <x:c r="A818" s="14" t="str">
        <x:v>Обувь</x:v>
      </x:c>
      <x:c r="B818" s="14" t="str">
        <x:v>Обувь женская</x:v>
      </x:c>
      <x:c r="C818" s="14" t="str">
        <x:v>Обувь женская ортопедическая</x:v>
      </x:c>
      <x:c r="D818" s="14" t="str">
        <x:v>Женская Ортопедическая обувь</x:v>
      </x:c>
      <x:c r="E818" s="2" t="n">
        <x:v>116</x:v>
      </x:c>
      <x:c r="F818" s="2" t="n">
        <x:v>0</x:v>
      </x:c>
      <x:c r="G818" s="12" t="n">
        <x:v>6096669.0811</x:v>
      </x:c>
      <x:c r="H818" s="12" t="n">
        <x:v>6575.7136674</x:v>
      </x:c>
      <x:c r="I818" s="13" t="n">
        <x:v>0.0022474137931034</x:v>
      </x:c>
      <x:c r="J818" s="2" t="n">
        <x:v>104</x:v>
      </x:c>
      <x:c r="K818" s="2" t="n">
        <x:v>4</x:v>
      </x:c>
      <x:c r="L818" s="12" t="n">
        <x:v>3665.233</x:v>
      </x:c>
      <x:c r="M818" s="13" t="n">
        <x:v>0.9375918387994004</x:v>
      </x:c>
      <x:c r="N818" s="13" t="n">
        <x:f>H818/G818</x:f>
        <x:v>0.0010785748053449488</x:v>
      </x:c>
      <x:c r="O818" s="13" t="n">
        <x:f>F818/E818</x:f>
        <x:v>0</x:v>
      </x:c>
      <x:c r="P818" s="2" t="str">
        <x:f>IF(AND(E818&gt;='Итоги'!$F$5,N818&lt;='Итоги'!$B$5,O818&gt;='Итоги'!$D$5),"Да","Нет")</x:f>
        <x:v>Нет</x:v>
      </x:c>
    </x:row>
    <x:row r="819" ht="60" customHeight="1">
      <x:c r="A819" s="14" t="str">
        <x:v>Спорт и отдых</x:v>
      </x:c>
      <x:c r="B819" s="14" t="str">
        <x:v>Всесезонные виды спорта</x:v>
      </x:c>
      <x:c r="C819" s="14" t="str">
        <x:v>Теннис</x:v>
      </x:c>
      <x:c r="D819" s="14" t="str">
        <x:v>Мяч для тенниса</x:v>
      </x:c>
      <x:c r="E819" s="2" t="n">
        <x:v>6</x:v>
      </x:c>
      <x:c r="F819" s="2" t="n">
        <x:v>0</x:v>
      </x:c>
      <x:c r="G819" s="12" t="n">
        <x:v>787965.9993</x:v>
      </x:c>
      <x:c r="H819" s="12" t="n">
        <x:v>856.7160899999999</x:v>
      </x:c>
      <x:c r="I819" s="13" t="n">
        <x:v>0.0007166666666666</x:v>
      </x:c>
      <x:c r="J819" s="2" t="n">
        <x:v>5</x:v>
      </x:c>
      <x:c r="K819" s="2" t="n">
        <x:v>4</x:v>
      </x:c>
      <x:c r="L819" s="12" t="n">
        <x:v>1049.89635</x:v>
      </x:c>
      <x:c r="M819" s="13" t="n">
        <x:v>0.2872408202905564</x:v>
      </x:c>
      <x:c r="N819" s="13" t="n">
        <x:f>H819/G819</x:f>
        <x:v>0.0010872500726694743</x:v>
      </x:c>
      <x:c r="O819" s="13" t="n">
        <x:f>F819/E819</x:f>
        <x:v>0</x:v>
      </x:c>
      <x:c r="P819" s="2" t="str">
        <x:f>IF(AND(E819&gt;='Итоги'!$F$5,N819&lt;='Итоги'!$B$5,O819&gt;='Итоги'!$D$5),"Да","Нет")</x:f>
        <x:v>Нет</x:v>
      </x:c>
    </x:row>
    <x:row r="820" ht="60" customHeight="1">
      <x:c r="A820" s="14" t="str">
        <x:v>Бакалея и кондитерские изделия</x:v>
      </x:c>
      <x:c r="B820" s="14" t="str">
        <x:v>Бакалея</x:v>
      </x:c>
      <x:c r="C820" s="14" t="str">
        <x:v>Масла, соусы, уксус</x:v>
      </x:c>
      <x:c r="D820" s="14" t="str">
        <x:v>Заправка</x:v>
      </x:c>
      <x:c r="E820" s="2" t="n">
        <x:v>1</x:v>
      </x:c>
      <x:c r="F820" s="2" t="n">
        <x:v>0</x:v>
      </x:c>
      <x:c r="G820" s="12" t="n">
        <x:v>104656.1669</x:v>
      </x:c>
      <x:c r="H820" s="12" t="n">
        <x:v>115.12178359</x:v>
      </x:c>
      <x:c r="I820" s="13" t="n">
        <x:v>0.0011</x:v>
      </x:c>
      <x:c r="J820" s="2" t="n">
        <x:v>0</x:v>
      </x:c>
      <x:c r="K820" s="2" t="n">
        <x:v>1</x:v>
      </x:c>
      <x:c r="L820" s="12" t="n">
        <x:v>1377.0548</x:v>
      </x:c>
      <x:c r="M820" s="13" t="n">
        <x:v>1</x:v>
      </x:c>
      <x:c r="N820" s="13" t="n">
        <x:f>H820/G820</x:f>
        <x:v>0.0011</x:v>
      </x:c>
      <x:c r="O820" s="13" t="n">
        <x:f>F820/E820</x:f>
        <x:v>0</x:v>
      </x:c>
      <x:c r="P820" s="2" t="str">
        <x:f>IF(AND(E820&gt;='Итоги'!$F$5,N820&lt;='Итоги'!$B$5,O820&gt;='Итоги'!$D$5),"Да","Нет")</x:f>
        <x:v>Нет</x:v>
      </x:c>
    </x:row>
    <x:row r="821" ht="60" customHeight="1">
      <x:c r="A821" s="14" t="str">
        <x:v>Одежда</x:v>
      </x:c>
      <x:c r="B821" s="14" t="str">
        <x:v>Спецодежда и одежда для мероприятий</x:v>
      </x:c>
      <x:c r="C821" s="14" t="str">
        <x:v>Спецодежда мужская</x:v>
      </x:c>
      <x:c r="D821" s="14" t="str">
        <x:v>Брюки для повара мужские</x:v>
      </x:c>
      <x:c r="E821" s="2" t="n">
        <x:v>1</x:v>
      </x:c>
      <x:c r="F821" s="2" t="n">
        <x:v>0</x:v>
      </x:c>
      <x:c r="G821" s="12" t="n">
        <x:v>48944</x:v>
      </x:c>
      <x:c r="H821" s="12" t="n">
        <x:v>53.8384</x:v>
      </x:c>
      <x:c r="I821" s="13" t="n">
        <x:v>0.0011</x:v>
      </x:c>
      <x:c r="J821" s="2" t="n">
        <x:v>0</x:v>
      </x:c>
      <x:c r="K821" s="2" t="n">
        <x:v>1</x:v>
      </x:c>
      <x:c r="L821" s="12" t="n">
        <x:v>941.2308</x:v>
      </x:c>
      <x:c r="M821" s="13" t="n">
        <x:v>1</x:v>
      </x:c>
      <x:c r="N821" s="13" t="n">
        <x:f>H821/G821</x:f>
        <x:v>0.0011</x:v>
      </x:c>
      <x:c r="O821" s="13" t="n">
        <x:f>F821/E821</x:f>
        <x:v>0</x:v>
      </x:c>
      <x:c r="P821" s="2" t="str">
        <x:f>IF(AND(E821&gt;='Итоги'!$F$5,N821&lt;='Итоги'!$B$5,O821&gt;='Итоги'!$D$5),"Да","Нет")</x:f>
        <x:v>Нет</x:v>
      </x:c>
    </x:row>
    <x:row r="822" ht="60" customHeight="1">
      <x:c r="A822" s="14" t="str">
        <x:v>Хобби и творчество</x:v>
      </x:c>
      <x:c r="B822" s="14" t="str">
        <x:v>Детское творчество и хобби</x:v>
      </x:c>
      <x:c r="C822" s="14" t="str">
        <x:v>Настольные и обучающие игры</x:v>
      </x:c>
      <x:c r="D822" s="14" t="str">
        <x:v>Домино, МаДжонг</x:v>
      </x:c>
      <x:c r="E822" s="2" t="n">
        <x:v>1</x:v>
      </x:c>
      <x:c r="F822" s="2" t="n">
        <x:v>0</x:v>
      </x:c>
      <x:c r="G822" s="12" t="n">
        <x:v>114276.84</x:v>
      </x:c>
      <x:c r="H822" s="12" t="n">
        <x:v>125.704524</x:v>
      </x:c>
      <x:c r="I822" s="13" t="n">
        <x:v>0.0011</x:v>
      </x:c>
      <x:c r="J822" s="2" t="n">
        <x:v>0</x:v>
      </x:c>
      <x:c r="K822" s="2" t="n">
        <x:v>1</x:v>
      </x:c>
      <x:c r="L822" s="12" t="n">
        <x:v>804.7665</x:v>
      </x:c>
      <x:c r="M822" s="13" t="n">
        <x:v>1</x:v>
      </x:c>
      <x:c r="N822" s="13" t="n">
        <x:f>H822/G822</x:f>
        <x:v>0.0011</x:v>
      </x:c>
      <x:c r="O822" s="13" t="n">
        <x:f>F822/E822</x:f>
        <x:v>0</x:v>
      </x:c>
      <x:c r="P822" s="2" t="str">
        <x:f>IF(AND(E822&gt;='Итоги'!$F$5,N822&lt;='Итоги'!$B$5,O822&gt;='Итоги'!$D$5),"Да","Нет")</x:f>
        <x:v>Нет</x:v>
      </x:c>
    </x:row>
    <x:row r="823" ht="60" customHeight="1">
      <x:c r="A823" s="14" t="str">
        <x:v>Бакалея и кондитерские изделия</x:v>
      </x:c>
      <x:c r="B823" s="14" t="str">
        <x:v>Бакалея</x:v>
      </x:c>
      <x:c r="C823" s="14" t="str">
        <x:v>Приправы, специи, травы</x:v>
      </x:c>
      <x:c r="D823" s="14" t="str">
        <x:v>Сода пищевая</x:v>
      </x:c>
      <x:c r="E823" s="2" t="n">
        <x:v>2</x:v>
      </x:c>
      <x:c r="F823" s="2" t="n">
        <x:v>0</x:v>
      </x:c>
      <x:c r="G823" s="12" t="n">
        <x:v>142638.4581</x:v>
      </x:c>
      <x:c r="H823" s="12" t="n">
        <x:v>157.91679553</x:v>
      </x:c>
      <x:c r="I823" s="13" t="n">
        <x:v>0.00065</x:v>
      </x:c>
      <x:c r="J823" s="2" t="n">
        <x:v>1</x:v>
      </x:c>
      <x:c r="K823" s="2" t="n">
        <x:v>2</x:v>
      </x:c>
      <x:c r="L823" s="12" t="n">
        <x:v>1178.76285</x:v>
      </x:c>
      <x:c r="M823" s="13" t="n">
        <x:v>0.8516248683425722</x:v>
      </x:c>
      <x:c r="N823" s="13" t="n">
        <x:f>H823/G823</x:f>
        <x:v>0.001107112328845344</x:v>
      </x:c>
      <x:c r="O823" s="13" t="n">
        <x:f>F823/E823</x:f>
        <x:v>0</x:v>
      </x:c>
      <x:c r="P823" s="2" t="str">
        <x:f>IF(AND(E823&gt;='Итоги'!$F$5,N823&lt;='Итоги'!$B$5,O823&gt;='Итоги'!$D$5),"Да","Нет")</x:f>
        <x:v>Нет</x:v>
      </x:c>
    </x:row>
    <x:row r="824" ht="60" customHeight="1">
      <x:c r="A824" s="14" t="str">
        <x:v>Бакалея и кондитерские изделия</x:v>
      </x:c>
      <x:c r="B824" s="14" t="str">
        <x:v>Бакалея</x:v>
      </x:c>
      <x:c r="C824" s="14" t="str">
        <x:v>Снэки, чипсы, готовые завтраки</x:v>
      </x:c>
      <x:c r="D824" s="14" t="str">
        <x:v>Попкорн</x:v>
      </x:c>
      <x:c r="E824" s="2" t="n">
        <x:v>2</x:v>
      </x:c>
      <x:c r="F824" s="2" t="n">
        <x:v>0</x:v>
      </x:c>
      <x:c r="G824" s="12" t="n">
        <x:v>139083</x:v>
      </x:c>
      <x:c r="H824" s="12" t="n">
        <x:v>157.17000000000002</x:v>
      </x:c>
      <x:c r="I824" s="13" t="n">
        <x:v>0.001</x:v>
      </x:c>
      <x:c r="J824" s="2" t="n">
        <x:v>1</x:v>
      </x:c>
      <x:c r="K824" s="2" t="n">
        <x:v>2</x:v>
      </x:c>
      <x:c r="L824" s="12" t="n">
        <x:v>4703.66665</x:v>
      </x:c>
      <x:c r="M824" s="13" t="n">
        <x:v>0.5650223247988612</x:v>
      </x:c>
      <x:c r="N824" s="13" t="n">
        <x:f>H824/G824</x:f>
        <x:v>0.0011300446495977224</x:v>
      </x:c>
      <x:c r="O824" s="13" t="n">
        <x:f>F824/E824</x:f>
        <x:v>0</x:v>
      </x:c>
      <x:c r="P824" s="2" t="str">
        <x:f>IF(AND(E824&gt;='Итоги'!$F$5,N824&lt;='Итоги'!$B$5,O824&gt;='Итоги'!$D$5),"Да","Нет")</x:f>
        <x:v>Нет</x:v>
      </x:c>
    </x:row>
    <x:row r="825" ht="60" customHeight="1">
      <x:c r="A825" s="14" t="str">
        <x:v>Крупная бытовая техника</x:v>
      </x:c>
      <x:c r="B825" s="14" t="str">
        <x:v>Оборудование для предприятий общественного питания MDA</x:v>
      </x:c>
      <x:c r="C825" s="14" t="str">
        <x:v>Оборудование для бара MDA</x:v>
      </x:c>
      <x:c r="D825" s="14" t="str">
        <x:v>Барное оборудование для розлива напитков</x:v>
      </x:c>
      <x:c r="E825" s="2" t="n">
        <x:v>6</x:v>
      </x:c>
      <x:c r="F825" s="2" t="n">
        <x:v>0</x:v>
      </x:c>
      <x:c r="G825" s="12" t="n">
        <x:v>848299</x:v>
      </x:c>
      <x:c r="H825" s="12" t="n">
        <x:v>980.2056</x:v>
      </x:c>
      <x:c r="I825" s="13" t="n">
        <x:v>0.0011</x:v>
      </x:c>
      <x:c r="J825" s="2" t="n">
        <x:v>4</x:v>
      </x:c>
      <x:c r="K825" s="2" t="n">
        <x:v>5</x:v>
      </x:c>
      <x:c r="L825" s="12" t="n">
        <x:v>16872.88235</x:v>
      </x:c>
      <x:c r="M825" s="13" t="n">
        <x:v>0.5801963694404921</x:v>
      </x:c>
      <x:c r="N825" s="13" t="n">
        <x:f>H825/G825</x:f>
        <x:v>0.001155495409047989</x:v>
      </x:c>
      <x:c r="O825" s="13" t="n">
        <x:f>F825/E825</x:f>
        <x:v>0</x:v>
      </x:c>
      <x:c r="P825" s="2" t="str">
        <x:f>IF(AND(E825&gt;='Итоги'!$F$5,N825&lt;='Итоги'!$B$5,O825&gt;='Итоги'!$D$5),"Да","Нет")</x:f>
        <x:v>Нет</x:v>
      </x:c>
    </x:row>
    <x:row r="826" ht="60" customHeight="1">
      <x:c r="A826" s="14" t="str">
        <x:v>Детская одежда</x:v>
      </x:c>
      <x:c r="B826" s="14" t="str">
        <x:v>Одежда для новорожденных</x:v>
      </x:c>
      <x:c r="C826" s="14" t="str">
        <x:v>Пляжная одежда для новорожденных</x:v>
      </x:c>
      <x:c r="D826" s="14" t="str">
        <x:v>Купальник для новорожденных</x:v>
      </x:c>
      <x:c r="E826" s="2" t="n">
        <x:v>3</x:v>
      </x:c>
      <x:c r="F826" s="2" t="n">
        <x:v>0</x:v>
      </x:c>
      <x:c r="G826" s="12" t="n">
        <x:v>12884</x:v>
      </x:c>
      <x:c r="H826" s="12" t="n">
        <x:v>15.3995</x:v>
      </x:c>
      <x:c r="I826" s="13" t="n">
        <x:v>0.0011666666666666</x:v>
      </x:c>
      <x:c r="J826" s="2" t="n">
        <x:v>1</x:v>
      </x:c>
      <x:c r="K826" s="2" t="n">
        <x:v>2</x:v>
      </x:c>
      <x:c r="L826" s="12" t="n">
        <x:v>2700.5</x:v>
      </x:c>
      <x:c r="M826" s="13" t="n">
        <x:v>0.7024216081962124</x:v>
      </x:c>
      <x:c r="N826" s="13" t="n">
        <x:f>H826/G826</x:f>
        <x:v>0.0011952421608196213</x:v>
      </x:c>
      <x:c r="O826" s="13" t="n">
        <x:f>F826/E826</x:f>
        <x:v>0</x:v>
      </x:c>
      <x:c r="P826" s="2" t="str">
        <x:f>IF(AND(E826&gt;='Итоги'!$F$5,N826&lt;='Итоги'!$B$5,O826&gt;='Итоги'!$D$5),"Да","Нет")</x:f>
        <x:v>Нет</x:v>
      </x:c>
    </x:row>
    <x:row r="827" ht="60" customHeight="1">
      <x:c r="A827" s="14" t="str">
        <x:v>Одежда</x:v>
      </x:c>
      <x:c r="B827" s="14" t="str">
        <x:v>Основная одежда мужская</x:v>
      </x:c>
      <x:c r="C827" s="14" t="str">
        <x:v>Основная одежда мужская верха</x:v>
      </x:c>
      <x:c r="D827" s="14" t="str">
        <x:v>Блейзер мужской</x:v>
      </x:c>
      <x:c r="E827" s="2" t="n">
        <x:v>15</x:v>
      </x:c>
      <x:c r="F827" s="2" t="n">
        <x:v>0</x:v>
      </x:c>
      <x:c r="G827" s="12" t="n">
        <x:v>812412.22</x:v>
      </x:c>
      <x:c r="H827" s="12" t="n">
        <x:v>999.78395</x:v>
      </x:c>
      <x:c r="I827" s="13" t="n">
        <x:v>0.0018733333333333</x:v>
      </x:c>
      <x:c r="J827" s="2" t="n">
        <x:v>14</x:v>
      </x:c>
      <x:c r="K827" s="2" t="n">
        <x:v>4</x:v>
      </x:c>
      <x:c r="L827" s="12" t="n">
        <x:v>3229.25</x:v>
      </x:c>
      <x:c r="M827" s="13" t="n">
        <x:v>0.6254708477920236</x:v>
      </x:c>
      <x:c r="N827" s="13" t="n">
        <x:f>H827/G827</x:f>
        <x:v>0.0012306362772337423</x:v>
      </x:c>
      <x:c r="O827" s="13" t="n">
        <x:f>F827/E827</x:f>
        <x:v>0</x:v>
      </x:c>
      <x:c r="P827" s="2" t="str">
        <x:f>IF(AND(E827&gt;='Итоги'!$F$5,N827&lt;='Итоги'!$B$5,O827&gt;='Итоги'!$D$5),"Да","Нет")</x:f>
        <x:v>Нет</x:v>
      </x:c>
    </x:row>
    <x:row r="828" ht="60" customHeight="1">
      <x:c r="A828" s="14" t="str">
        <x:v>Детская одежда</x:v>
      </x:c>
      <x:c r="B828" s="14" t="str">
        <x:v>Детская обувь</x:v>
      </x:c>
      <x:c r="C828" s="14" t="str">
        <x:v>Обувь для девочки</x:v>
      </x:c>
      <x:c r="D828" s="14" t="str">
        <x:v>Сабо для девочки</x:v>
      </x:c>
      <x:c r="E828" s="2" t="n">
        <x:v>152</x:v>
      </x:c>
      <x:c r="F828" s="2" t="n">
        <x:v>0</x:v>
      </x:c>
      <x:c r="G828" s="12" t="n">
        <x:v>9558595.0269</x:v>
      </x:c>
      <x:c r="H828" s="12" t="n">
        <x:v>12011.123349</x:v>
      </x:c>
      <x:c r="I828" s="13" t="n">
        <x:v>0.0030065789473684</x:v>
      </x:c>
      <x:c r="J828" s="2" t="n">
        <x:v>142</x:v>
      </x:c>
      <x:c r="K828" s="2" t="n">
        <x:v>14</x:v>
      </x:c>
      <x:c r="L828" s="12" t="n">
        <x:v>2105.66665</x:v>
      </x:c>
      <x:c r="M828" s="13" t="n">
        <x:v>0.6645778914289029</x:v>
      </x:c>
      <x:c r="N828" s="13" t="n">
        <x:f>H828/G828</x:f>
        <x:v>0.001256578327170263</x:v>
      </x:c>
      <x:c r="O828" s="13" t="n">
        <x:f>F828/E828</x:f>
        <x:v>0</x:v>
      </x:c>
      <x:c r="P828" s="2" t="str">
        <x:f>IF(AND(E828&gt;='Итоги'!$F$5,N828&lt;='Итоги'!$B$5,O828&gt;='Итоги'!$D$5),"Да","Нет")</x:f>
        <x:v>Нет</x:v>
      </x:c>
    </x:row>
    <x:row r="829" ht="60" customHeight="1">
      <x:c r="A829" s="14" t="str">
        <x:v>Автотовары</x:v>
      </x:c>
      <x:c r="B829" s="14" t="str">
        <x:v>Шины и диски</x:v>
      </x:c>
      <x:c r="C829" s="14" t="str">
        <x:v>Диски авто мото</x:v>
      </x:c>
      <x:c r="D829" s="14" t="str">
        <x:v>Диски автомобильные</x:v>
      </x:c>
      <x:c r="E829" s="2" t="n">
        <x:v>31</x:v>
      </x:c>
      <x:c r="F829" s="2" t="n">
        <x:v>0</x:v>
      </x:c>
      <x:c r="G829" s="12" t="n">
        <x:v>5439935.6029</x:v>
      </x:c>
      <x:c r="H829" s="12" t="n">
        <x:v>6866.540599999999</x:v>
      </x:c>
      <x:c r="I829" s="13" t="n">
        <x:v>0.0025935483870967</x:v>
      </x:c>
      <x:c r="J829" s="2" t="n">
        <x:v>28</x:v>
      </x:c>
      <x:c r="K829" s="2" t="n">
        <x:v>5</x:v>
      </x:c>
      <x:c r="L829" s="12" t="n">
        <x:v>10059.8056</x:v>
      </x:c>
      <x:c r="M829" s="13" t="n">
        <x:v>0.4877551531649584</x:v>
      </x:c>
      <x:c r="N829" s="13" t="n">
        <x:f>H829/G829</x:f>
        <x:v>0.0012622466700413666</x:v>
      </x:c>
      <x:c r="O829" s="13" t="n">
        <x:f>F829/E829</x:f>
        <x:v>0</x:v>
      </x:c>
      <x:c r="P829" s="2" t="str">
        <x:f>IF(AND(E829&gt;='Итоги'!$F$5,N829&lt;='Итоги'!$B$5,O829&gt;='Итоги'!$D$5),"Да","Нет")</x:f>
        <x:v>Нет</x:v>
      </x:c>
    </x:row>
    <x:row r="830" ht="60" customHeight="1">
      <x:c r="A830" s="14" t="str">
        <x:v>Детская одежда</x:v>
      </x:c>
      <x:c r="B830" s="14" t="str">
        <x:v>Детская одежда</x:v>
      </x:c>
      <x:c r="C830" s="14" t="str">
        <x:v>Верхняя одежда для девочки</x:v>
      </x:c>
      <x:c r="D830" s="14" t="str">
        <x:v>Куртка кожаная для девочки</x:v>
      </x:c>
      <x:c r="E830" s="2" t="n">
        <x:v>5</x:v>
      </x:c>
      <x:c r="F830" s="2" t="n">
        <x:v>0</x:v>
      </x:c>
      <x:c r="G830" s="12" t="n">
        <x:v>578116.8192</x:v>
      </x:c>
      <x:c r="H830" s="12" t="n">
        <x:v>752.8203880000001</x:v>
      </x:c>
      <x:c r="I830" s="13" t="n">
        <x:v>0.00316</x:v>
      </x:c>
      <x:c r="J830" s="2" t="n">
        <x:v>4</x:v>
      </x:c>
      <x:c r="K830" s="2" t="n">
        <x:v>1</x:v>
      </x:c>
      <x:c r="L830" s="12" t="n">
        <x:v>1278.7332</x:v>
      </x:c>
      <x:c r="M830" s="13" t="n">
        <x:v>1</x:v>
      </x:c>
      <x:c r="N830" s="13" t="n">
        <x:f>H830/G830</x:f>
        <x:v>0.0013021942330647903</x:v>
      </x:c>
      <x:c r="O830" s="13" t="n">
        <x:f>F830/E830</x:f>
        <x:v>0</x:v>
      </x:c>
      <x:c r="P830" s="2" t="str">
        <x:f>IF(AND(E830&gt;='Итоги'!$F$5,N830&lt;='Итоги'!$B$5,O830&gt;='Итоги'!$D$5),"Да","Нет")</x:f>
        <x:v>Нет</x:v>
      </x:c>
    </x:row>
    <x:row r="831" ht="60" customHeight="1">
      <x:c r="A831" s="14" t="str">
        <x:v>Строительство и ремонт (DIY)</x:v>
      </x:c>
      <x:c r="B831" s="14" t="str">
        <x:v>Инструменты</x:v>
      </x:c>
      <x:c r="C831" s="14" t="str">
        <x:v>Инструмент ручной для строительства, ремонта</x:v>
      </x:c>
      <x:c r="D831" s="14" t="str">
        <x:v>Инструмент для кровельных и жестяных работ</x:v>
      </x:c>
      <x:c r="E831" s="2" t="n">
        <x:v>4</x:v>
      </x:c>
      <x:c r="F831" s="2" t="n">
        <x:v>0</x:v>
      </x:c>
      <x:c r="G831" s="12" t="n">
        <x:v>1867900.0163</x:v>
      </x:c>
      <x:c r="H831" s="12" t="n">
        <x:v>2447.809684620001</x:v>
      </x:c>
      <x:c r="I831" s="13" t="n">
        <x:v>0.00645</x:v>
      </x:c>
      <x:c r="J831" s="2" t="n">
        <x:v>2</x:v>
      </x:c>
      <x:c r="K831" s="2" t="n">
        <x:v>3</x:v>
      </x:c>
      <x:c r="L831" s="12" t="n">
        <x:v>5810.9457</x:v>
      </x:c>
      <x:c r="M831" s="13" t="n">
        <x:v>0.8982719994957794</x:v>
      </x:c>
      <x:c r="N831" s="13" t="n">
        <x:f>H831/G831</x:f>
        <x:v>0.001310460765169169</x:v>
      </x:c>
      <x:c r="O831" s="13" t="n">
        <x:f>F831/E831</x:f>
        <x:v>0</x:v>
      </x:c>
      <x:c r="P831" s="2" t="str">
        <x:f>IF(AND(E831&gt;='Итоги'!$F$5,N831&lt;='Итоги'!$B$5,O831&gt;='Итоги'!$D$5),"Да","Нет")</x:f>
        <x:v>Нет</x:v>
      </x:c>
    </x:row>
    <x:row r="832" ht="60" customHeight="1">
      <x:c r="A832" s="14" t="str">
        <x:v>Товары для детей и спорта</x:v>
      </x:c>
      <x:c r="B832" s="14" t="str">
        <x:v>Спорт детский</x:v>
      </x:c>
      <x:c r="C832" s="14" t="str">
        <x:v>Детский транспорт и аксессуары</x:v>
      </x:c>
      <x:c r="D832" s="14" t="str">
        <x:v>Электромотоцикл, электроквадроцикл</x:v>
      </x:c>
      <x:c r="E832" s="2" t="n">
        <x:v>5</x:v>
      </x:c>
      <x:c r="F832" s="2" t="n">
        <x:v>0</x:v>
      </x:c>
      <x:c r="G832" s="12" t="n">
        <x:v>311815</x:v>
      </x:c>
      <x:c r="H832" s="12" t="n">
        <x:v>420.7086</x:v>
      </x:c>
      <x:c r="I832" s="13" t="n">
        <x:v>0.00684</x:v>
      </x:c>
      <x:c r="J832" s="2" t="n">
        <x:v>3</x:v>
      </x:c>
      <x:c r="K832" s="2" t="n">
        <x:v>2</x:v>
      </x:c>
      <x:c r="L832" s="12" t="n">
        <x:v>17716.75</x:v>
      </x:c>
      <x:c r="M832" s="13" t="n">
        <x:v>0.9204239693407952</x:v>
      </x:c>
      <x:c r="N832" s="13" t="n">
        <x:f>H832/G832</x:f>
        <x:v>0.0013492250212465725</x:v>
      </x:c>
      <x:c r="O832" s="13" t="n">
        <x:f>F832/E832</x:f>
        <x:v>0</x:v>
      </x:c>
      <x:c r="P832" s="2" t="str">
        <x:f>IF(AND(E832&gt;='Итоги'!$F$5,N832&lt;='Итоги'!$B$5,O832&gt;='Итоги'!$D$5),"Да","Нет")</x:f>
        <x:v>Нет</x:v>
      </x:c>
    </x:row>
    <x:row r="833" ht="60" customHeight="1">
      <x:c r="A833" s="14" t="str">
        <x:v>Спорт и отдых</x:v>
      </x:c>
      <x:c r="B833" s="14" t="str">
        <x:v>Всесезонные виды спорта</x:v>
      </x:c>
      <x:c r="C833" s="14" t="str">
        <x:v>Конный спорт</x:v>
      </x:c>
      <x:c r="D833" s="14" t="str">
        <x:v>Хоббихорсинг</x:v>
      </x:c>
      <x:c r="E833" s="2" t="n">
        <x:v>3</x:v>
      </x:c>
      <x:c r="F833" s="2" t="n">
        <x:v>0</x:v>
      </x:c>
      <x:c r="G833" s="12" t="n">
        <x:v>367707.5353</x:v>
      </x:c>
      <x:c r="H833" s="12" t="n">
        <x:v>523.0409</x:v>
      </x:c>
      <x:c r="I833" s="13" t="n">
        <x:v>0.0019666666666666</x:v>
      </x:c>
      <x:c r="J833" s="2" t="n">
        <x:v>2</x:v>
      </x:c>
      <x:c r="K833" s="2" t="n">
        <x:v>1</x:v>
      </x:c>
      <x:c r="L833" s="12" t="n">
        <x:v>4808.2205</x:v>
      </x:c>
      <x:c r="M833" s="13" t="n">
        <x:v>1</x:v>
      </x:c>
      <x:c r="N833" s="13" t="n">
        <x:f>H833/G833</x:f>
        <x:v>0.0014224372627372698</x:v>
      </x:c>
      <x:c r="O833" s="13" t="n">
        <x:f>F833/E833</x:f>
        <x:v>0</x:v>
      </x:c>
      <x:c r="P833" s="2" t="str">
        <x:f>IF(AND(E833&gt;='Итоги'!$F$5,N833&lt;='Итоги'!$B$5,O833&gt;='Итоги'!$D$5),"Да","Нет")</x:f>
        <x:v>Нет</x:v>
      </x:c>
    </x:row>
    <x:row r="834" ht="60" customHeight="1">
      <x:c r="A834" s="14" t="str">
        <x:v>Детская одежда</x:v>
      </x:c>
      <x:c r="B834" s="14" t="str">
        <x:v>Детская обувь</x:v>
      </x:c>
      <x:c r="C834" s="14" t="str">
        <x:v>Обувь для мальчика</x:v>
      </x:c>
      <x:c r="D834" s="14" t="str">
        <x:v>Кроссовки роликовые для мальчика</x:v>
      </x:c>
      <x:c r="E834" s="2" t="n">
        <x:v>3</x:v>
      </x:c>
      <x:c r="F834" s="2" t="n">
        <x:v>0</x:v>
      </x:c>
      <x:c r="G834" s="12" t="n">
        <x:v>123700.7986</x:v>
      </x:c>
      <x:c r="H834" s="12" t="n">
        <x:v>180.54352208</x:v>
      </x:c>
      <x:c r="I834" s="13" t="n">
        <x:v>0.0026333333333333</x:v>
      </x:c>
      <x:c r="J834" s="2" t="n">
        <x:v>1</x:v>
      </x:c>
      <x:c r="K834" s="2" t="n">
        <x:v>2</x:v>
      </x:c>
      <x:c r="L834" s="12" t="n">
        <x:v>3184.2778</x:v>
      </x:c>
      <x:c r="M834" s="13" t="n">
        <x:v>0.6690488738687901</x:v>
      </x:c>
      <x:c r="N834" s="13" t="n">
        <x:f>H834/G834</x:f>
        <x:v>0.0014595178375833057</x:v>
      </x:c>
      <x:c r="O834" s="13" t="n">
        <x:f>F834/E834</x:f>
        <x:v>0</x:v>
      </x:c>
      <x:c r="P834" s="2" t="str">
        <x:f>IF(AND(E834&gt;='Итоги'!$F$5,N834&lt;='Итоги'!$B$5,O834&gt;='Итоги'!$D$5),"Да","Нет")</x:f>
        <x:v>Нет</x:v>
      </x:c>
    </x:row>
    <x:row r="835" ht="60" customHeight="1">
      <x:c r="A835" s="14" t="str">
        <x:v>Книги</x:v>
      </x:c>
      <x:c r="B835" s="14" t="str">
        <x:v>Печатные книги: Учебная литература</x:v>
      </x:c>
      <x:c r="C835" s="14" t="str">
        <x:v>Печатная книга: Пособие для вузов, ссузов</x:v>
      </x:c>
      <x:c r="D835" s="14" t="str">
        <x:v>Печатная книга: Пособие для вузов, ссузов, аспирантуры</x:v>
      </x:c>
      <x:c r="E835" s="2" t="n">
        <x:v>4</x:v>
      </x:c>
      <x:c r="F835" s="2" t="n">
        <x:v>0</x:v>
      </x:c>
      <x:c r="G835" s="12" t="n">
        <x:v>248094.0095</x:v>
      </x:c>
      <x:c r="H835" s="12" t="n">
        <x:v>374.89442144</x:v>
      </x:c>
      <x:c r="I835" s="13" t="n">
        <x:v>0.0012</x:v>
      </x:c>
      <x:c r="J835" s="2" t="n">
        <x:v>1</x:v>
      </x:c>
      <x:c r="K835" s="2" t="n">
        <x:v>2</x:v>
      </x:c>
      <x:c r="L835" s="12" t="n">
        <x:v>2638.1314</x:v>
      </x:c>
      <x:c r="M835" s="13" t="n">
        <x:v>0.7000750306306771</x:v>
      </x:c>
      <x:c r="N835" s="13" t="n">
        <x:f>H835/G835</x:f>
        <x:v>0.001511098241330168</x:v>
      </x:c>
      <x:c r="O835" s="13" t="n">
        <x:f>F835/E835</x:f>
        <x:v>0</x:v>
      </x:c>
      <x:c r="P835" s="2" t="str">
        <x:f>IF(AND(E835&gt;='Итоги'!$F$5,N835&lt;='Итоги'!$B$5,O835&gt;='Итоги'!$D$5),"Да","Нет")</x:f>
        <x:v>Нет</x:v>
      </x:c>
    </x:row>
    <x:row r="836" ht="60" customHeight="1">
      <x:c r="A836" s="14" t="str">
        <x:v>Спорт и отдых</x:v>
      </x:c>
      <x:c r="B836" s="14" t="str">
        <x:v>Товары для рыбалки</x:v>
      </x:c>
      <x:c r="C836" s="14" t="str">
        <x:v>Одежда для рыбалки</x:v>
      </x:c>
      <x:c r="D836" s="14" t="str">
        <x:v>Вейдерсы</x:v>
      </x:c>
      <x:c r="E836" s="2" t="n">
        <x:v>18</x:v>
      </x:c>
      <x:c r="F836" s="2" t="n">
        <x:v>0</x:v>
      </x:c>
      <x:c r="G836" s="12" t="n">
        <x:v>2667975.406</x:v>
      </x:c>
      <x:c r="H836" s="12" t="n">
        <x:v>4040.5674</x:v>
      </x:c>
      <x:c r="I836" s="13" t="n">
        <x:v>0.0018999999999999</x:v>
      </x:c>
      <x:c r="J836" s="2" t="n">
        <x:v>16</x:v>
      </x:c>
      <x:c r="K836" s="2" t="n">
        <x:v>4</x:v>
      </x:c>
      <x:c r="L836" s="12" t="n">
        <x:v>5384.95455</x:v>
      </x:c>
      <x:c r="M836" s="13" t="n">
        <x:v>0.8601309529087916</x:v>
      </x:c>
      <x:c r="N836" s="13" t="n">
        <x:f>H836/G836</x:f>
        <x:v>0.0015144695078197433</x:v>
      </x:c>
      <x:c r="O836" s="13" t="n">
        <x:f>F836/E836</x:f>
        <x:v>0</x:v>
      </x:c>
      <x:c r="P836" s="2" t="str">
        <x:f>IF(AND(E836&gt;='Итоги'!$F$5,N836&lt;='Итоги'!$B$5,O836&gt;='Итоги'!$D$5),"Да","Нет")</x:f>
        <x:v>Нет</x:v>
      </x:c>
    </x:row>
    <x:row r="837" ht="60" customHeight="1">
      <x:c r="A837" s="14" t="str">
        <x:v>Книги</x:v>
      </x:c>
      <x:c r="B837" s="14" t="str">
        <x:v>Печатные книги: Манга</x:v>
      </x:c>
      <x:c r="C837" s="14" t="str">
        <x:v>Печатные книги: Манга</x:v>
      </x:c>
      <x:c r="D837" s="14" t="str">
        <x:v>Печатная книга: Манга, манхва, маньхуа</x:v>
      </x:c>
      <x:c r="E837" s="2" t="n">
        <x:v>1</x:v>
      </x:c>
      <x:c r="F837" s="2" t="n">
        <x:v>0</x:v>
      </x:c>
      <x:c r="G837" s="12" t="n">
        <x:v>92811.8964</x:v>
      </x:c>
      <x:c r="H837" s="12" t="n">
        <x:v>148.49903424</x:v>
      </x:c>
      <x:c r="I837" s="13" t="n">
        <x:v>0.0016</x:v>
      </x:c>
      <x:c r="J837" s="2" t="n">
        <x:v>0</x:v>
      </x:c>
      <x:c r="K837" s="2" t="n">
        <x:v>1</x:v>
      </x:c>
      <x:c r="L837" s="12" t="n">
        <x:v>807.06</x:v>
      </x:c>
      <x:c r="M837" s="13" t="n">
        <x:v>1</x:v>
      </x:c>
      <x:c r="N837" s="13" t="n">
        <x:f>H837/G837</x:f>
        <x:v>0.0015999999999999999</x:v>
      </x:c>
      <x:c r="O837" s="13" t="n">
        <x:f>F837/E837</x:f>
        <x:v>0</x:v>
      </x:c>
      <x:c r="P837" s="2" t="str">
        <x:f>IF(AND(E837&gt;='Итоги'!$F$5,N837&lt;='Итоги'!$B$5,O837&gt;='Итоги'!$D$5),"Да","Нет")</x:f>
        <x:v>Нет</x:v>
      </x:c>
    </x:row>
    <x:row r="838" ht="60" customHeight="1">
      <x:c r="A838" s="14" t="str">
        <x:v>Бытовая химия и гигиена рта</x:v>
      </x:c>
      <x:c r="B838" s="14" t="str">
        <x:v>Гигиена рта</x:v>
      </x:c>
      <x:c r="C838" s="14" t="str">
        <x:v>Гигиена рта</x:v>
      </x:c>
      <x:c r="D838" s="14" t="str">
        <x:v>Зубная нить</x:v>
      </x:c>
      <x:c r="E838" s="2" t="n">
        <x:v>3</x:v>
      </x:c>
      <x:c r="F838" s="2" t="n">
        <x:v>0</x:v>
      </x:c>
      <x:c r="G838" s="12" t="n">
        <x:v>378772</x:v>
      </x:c>
      <x:c r="H838" s="12" t="n">
        <x:v>615.8988</x:v>
      </x:c>
      <x:c r="I838" s="13" t="n">
        <x:v>0.0618</x:v>
      </x:c>
      <x:c r="J838" s="2" t="n">
        <x:v>2</x:v>
      </x:c>
      <x:c r="K838" s="2" t="n">
        <x:v>2</x:v>
      </x:c>
      <x:c r="L838" s="12" t="n">
        <x:v>1061.7763</x:v>
      </x:c>
      <x:c r="M838" s="13" t="n">
        <x:v>0.9912295523428342</x:v>
      </x:c>
      <x:c r="N838" s="13" t="n">
        <x:f>H838/G838</x:f>
        <x:v>0.0016260409956385374</x:v>
      </x:c>
      <x:c r="O838" s="13" t="n">
        <x:f>F838/E838</x:f>
        <x:v>0</x:v>
      </x:c>
      <x:c r="P838" s="2" t="str">
        <x:f>IF(AND(E838&gt;='Итоги'!$F$5,N838&lt;='Итоги'!$B$5,O838&gt;='Итоги'!$D$5),"Да","Нет")</x:f>
        <x:v>Нет</x:v>
      </x:c>
    </x:row>
    <x:row r="839" ht="60" customHeight="1">
      <x:c r="A839" s="14" t="str">
        <x:v>Товары для дома</x:v>
      </x:c>
      <x:c r="B839" s="14" t="str">
        <x:v>Интерьер и декор</x:v>
      </x:c>
      <x:c r="C839" s="14" t="str">
        <x:v>Принадлежности для праздника</x:v>
      </x:c>
      <x:c r="D839" s="14" t="str">
        <x:v>Жидкость для пенных вечеринок</x:v>
      </x:c>
      <x:c r="E839" s="2" t="n">
        <x:v>1</x:v>
      </x:c>
      <x:c r="F839" s="2" t="n">
        <x:v>0</x:v>
      </x:c>
      <x:c r="G839" s="12" t="n">
        <x:v>480411.62</x:v>
      </x:c>
      <x:c r="H839" s="12" t="n">
        <x:v>816.699754</x:v>
      </x:c>
      <x:c r="I839" s="13" t="n">
        <x:v>0.0017</x:v>
      </x:c>
      <x:c r="J839" s="2" t="n">
        <x:v>0</x:v>
      </x:c>
      <x:c r="K839" s="2" t="n">
        <x:v>1</x:v>
      </x:c>
      <x:c r="L839" s="12" t="n">
        <x:v>1042.1076</x:v>
      </x:c>
      <x:c r="M839" s="13" t="n">
        <x:v>1</x:v>
      </x:c>
      <x:c r="N839" s="13" t="n">
        <x:f>H839/G839</x:f>
        <x:v>0.0017</x:v>
      </x:c>
      <x:c r="O839" s="13" t="n">
        <x:f>F839/E839</x:f>
        <x:v>0</x:v>
      </x:c>
      <x:c r="P839" s="2" t="str">
        <x:f>IF(AND(E839&gt;='Итоги'!$F$5,N839&lt;='Итоги'!$B$5,O839&gt;='Итоги'!$D$5),"Да","Нет")</x:f>
        <x:v>Нет</x:v>
      </x:c>
    </x:row>
    <x:row r="840" ht="60" customHeight="1">
      <x:c r="A840" s="14" t="str">
        <x:v>Автотовары</x:v>
      </x:c>
      <x:c r="B840" s="14" t="str">
        <x:v>Универсальные авто и мото аксессуары</x:v>
      </x:c>
      <x:c r="C840" s="14" t="str">
        <x:v>Аксессуар для салона авто</x:v>
      </x:c>
      <x:c r="D840" s="14" t="str">
        <x:v>Наклейка, табличка, шильдик для авто</x:v>
      </x:c>
      <x:c r="E840" s="2" t="n">
        <x:v>3</x:v>
      </x:c>
      <x:c r="F840" s="2" t="n">
        <x:v>0</x:v>
      </x:c>
      <x:c r="G840" s="12" t="n">
        <x:v>163128</x:v>
      </x:c>
      <x:c r="H840" s="12" t="n">
        <x:v>282.051</x:v>
      </x:c>
      <x:c r="I840" s="13" t="n">
        <x:v>0.0123333333333333</x:v>
      </x:c>
      <x:c r="J840" s="2" t="n">
        <x:v>2</x:v>
      </x:c>
      <x:c r="K840" s="2" t="n">
        <x:v>3</x:v>
      </x:c>
      <x:c r="L840" s="12" t="n">
        <x:v>1270.5</x:v>
      </x:c>
      <x:c r="M840" s="13" t="n">
        <x:v>0.6791476631847384</x:v>
      </x:c>
      <x:c r="N840" s="13" t="n">
        <x:f>H840/G840</x:f>
        <x:v>0.0017290164778578784</x:v>
      </x:c>
      <x:c r="O840" s="13" t="n">
        <x:f>F840/E840</x:f>
        <x:v>0</x:v>
      </x:c>
      <x:c r="P840" s="2" t="str">
        <x:f>IF(AND(E840&gt;='Итоги'!$F$5,N840&lt;='Итоги'!$B$5,O840&gt;='Итоги'!$D$5),"Да","Нет")</x:f>
        <x:v>Нет</x:v>
      </x:c>
    </x:row>
    <x:row r="841" ht="60" customHeight="1">
      <x:c r="A841" s="14" t="str">
        <x:v>Аптека</x:v>
      </x:c>
      <x:c r="B841" s="14" t="str">
        <x:v>Товары для взрослых</x:v>
      </x:c>
      <x:c r="C841" s="14" t="str">
        <x:v>Интимная косметика</x:v>
      </x:c>
      <x:c r="D841" s="14" t="str">
        <x:v>БАД 18+</x:v>
      </x:c>
      <x:c r="E841" s="2" t="n">
        <x:v>1</x:v>
      </x:c>
      <x:c r="F841" s="2" t="n">
        <x:v>0</x:v>
      </x:c>
      <x:c r="G841" s="12" t="n">
        <x:v>229262.79</x:v>
      </x:c>
      <x:c r="H841" s="12" t="n">
        <x:v>412.673022</x:v>
      </x:c>
      <x:c r="I841" s="13" t="n">
        <x:v>0.0018</x:v>
      </x:c>
      <x:c r="J841" s="2" t="n">
        <x:v>0</x:v>
      </x:c>
      <x:c r="K841" s="2" t="n">
        <x:v>1</x:v>
      </x:c>
      <x:c r="L841" s="12" t="n">
        <x:v>1819.546</x:v>
      </x:c>
      <x:c r="M841" s="13" t="n">
        <x:v>1</x:v>
      </x:c>
      <x:c r="N841" s="13" t="n">
        <x:f>H841/G841</x:f>
        <x:v>0.0018</x:v>
      </x:c>
      <x:c r="O841" s="13" t="n">
        <x:f>F841/E841</x:f>
        <x:v>0</x:v>
      </x:c>
      <x:c r="P841" s="2" t="str">
        <x:f>IF(AND(E841&gt;='Итоги'!$F$5,N841&lt;='Итоги'!$B$5,O841&gt;='Итоги'!$D$5),"Да","Нет")</x:f>
        <x:v>Нет</x:v>
      </x:c>
    </x:row>
    <x:row r="842" ht="60" customHeight="1">
      <x:c r="A842" s="14" t="str">
        <x:v>Ноутбуки и компьютеры</x:v>
      </x:c>
      <x:c r="B842" s="14" t="str">
        <x:v>Компьютерная офисная техника Lap&amp;Comp</x:v>
      </x:c>
      <x:c r="C842" s="14" t="str">
        <x:v>Компьютерная офисная техника Lap&amp;Comp</x:v>
      </x:c>
      <x:c r="D842" s="14" t="str">
        <x:v>Сканер</x:v>
      </x:c>
      <x:c r="E842" s="2" t="n">
        <x:v>15</x:v>
      </x:c>
      <x:c r="F842" s="2" t="n">
        <x:v>0</x:v>
      </x:c>
      <x:c r="G842" s="12" t="n">
        <x:v>3579442.3784</x:v>
      </x:c>
      <x:c r="H842" s="12" t="n">
        <x:v>6655.8349893</x:v>
      </x:c>
      <x:c r="I842" s="13" t="n">
        <x:v>0.0013533333333333</x:v>
      </x:c>
      <x:c r="J842" s="2" t="n">
        <x:v>13</x:v>
      </x:c>
      <x:c r="K842" s="2" t="n">
        <x:v>9</x:v>
      </x:c>
      <x:c r="L842" s="12" t="n">
        <x:v>10916</x:v>
      </x:c>
      <x:c r="M842" s="13" t="n">
        <x:v>0.5371830125281952</x:v>
      </x:c>
      <x:c r="N842" s="13" t="n">
        <x:f>H842/G842</x:f>
        <x:v>0.001859461414846169</x:v>
      </x:c>
      <x:c r="O842" s="13" t="n">
        <x:f>F842/E842</x:f>
        <x:v>0</x:v>
      </x:c>
      <x:c r="P842" s="2" t="str">
        <x:f>IF(AND(E842&gt;='Итоги'!$F$5,N842&lt;='Итоги'!$B$5,O842&gt;='Итоги'!$D$5),"Да","Нет")</x:f>
        <x:v>Нет</x:v>
      </x:c>
    </x:row>
    <x:row r="843" ht="60" customHeight="1">
      <x:c r="A843" s="14" t="str">
        <x:v>Детская одежда</x:v>
      </x:c>
      <x:c r="B843" s="14" t="str">
        <x:v>Детская одежда</x:v>
      </x:c>
      <x:c r="C843" s="14" t="str">
        <x:v>Верхняя одежда для девочки</x:v>
      </x:c>
      <x:c r="D843" s="14" t="str">
        <x:v>Бомбер для девочки</x:v>
      </x:c>
      <x:c r="E843" s="2" t="n">
        <x:v>22</x:v>
      </x:c>
      <x:c r="F843" s="2" t="n">
        <x:v>0</x:v>
      </x:c>
      <x:c r="G843" s="12" t="n">
        <x:v>1528018.7617</x:v>
      </x:c>
      <x:c r="H843" s="12" t="n">
        <x:v>2890.093296</x:v>
      </x:c>
      <x:c r="I843" s="13" t="n">
        <x:v>0.023590909090909</x:v>
      </x:c>
      <x:c r="J843" s="2" t="n">
        <x:v>19</x:v>
      </x:c>
      <x:c r="K843" s="2" t="n">
        <x:v>4</x:v>
      </x:c>
      <x:c r="L843" s="12" t="n">
        <x:v>1103.8097</x:v>
      </x:c>
      <x:c r="M843" s="13" t="n">
        <x:v>0.809096808421734</x:v>
      </x:c>
      <x:c r="N843" s="13" t="n">
        <x:f>H843/G843</x:f>
        <x:v>0.0018913990904042446</x:v>
      </x:c>
      <x:c r="O843" s="13" t="n">
        <x:f>F843/E843</x:f>
        <x:v>0</x:v>
      </x:c>
      <x:c r="P843" s="2" t="str">
        <x:f>IF(AND(E843&gt;='Итоги'!$F$5,N843&lt;='Итоги'!$B$5,O843&gt;='Итоги'!$D$5),"Да","Нет")</x:f>
        <x:v>Нет</x:v>
      </x:c>
    </x:row>
    <x:row r="844" ht="60" customHeight="1">
      <x:c r="A844" s="14" t="str">
        <x:v>Спорт и отдых</x:v>
      </x:c>
      <x:c r="B844" s="14" t="str">
        <x:v>Товары для охоты</x:v>
      </x:c>
      <x:c r="C844" s="14" t="str">
        <x:v>Аксессуары для охотничьего оружия</x:v>
      </x:c>
      <x:c r="D844" s="14" t="str">
        <x:v>Приклад</x:v>
      </x:c>
      <x:c r="E844" s="2" t="n">
        <x:v>8</x:v>
      </x:c>
      <x:c r="F844" s="2" t="n">
        <x:v>0</x:v>
      </x:c>
      <x:c r="G844" s="12" t="n">
        <x:v>1466949</x:v>
      </x:c>
      <x:c r="H844" s="12" t="n">
        <x:v>2797.3545</x:v>
      </x:c>
      <x:c r="I844" s="13" t="n">
        <x:v>0.0013375</x:v>
      </x:c>
      <x:c r="J844" s="2" t="n">
        <x:v>7</x:v>
      </x:c>
      <x:c r="K844" s="2" t="n">
        <x:v>4</x:v>
      </x:c>
      <x:c r="L844" s="12" t="n">
        <x:v>10557.80095</x:v>
      </x:c>
      <x:c r="M844" s="13" t="n">
        <x:v>0.5313940702778351</x:v>
      </x:c>
      <x:c r="N844" s="13" t="n">
        <x:f>H844/G844</x:f>
        <x:v>0.0019069200769760912</x:v>
      </x:c>
      <x:c r="O844" s="13" t="n">
        <x:f>F844/E844</x:f>
        <x:v>0</x:v>
      </x:c>
      <x:c r="P844" s="2" t="str">
        <x:f>IF(AND(E844&gt;='Итоги'!$F$5,N844&lt;='Итоги'!$B$5,O844&gt;='Итоги'!$D$5),"Да","Нет")</x:f>
        <x:v>Нет</x:v>
      </x:c>
    </x:row>
    <x:row r="845" ht="60" customHeight="1">
      <x:c r="A845" s="14" t="str">
        <x:v>Аксессуары</x:v>
      </x:c>
      <x:c r="B845" s="14" t="str">
        <x:v>Ювелирные изделия</x:v>
      </x:c>
      <x:c r="C845" s="14" t="str">
        <x:v>Ювелирные часы</x:v>
      </x:c>
      <x:c r="D845" s="14" t="str">
        <x:v>Серебро часы</x:v>
      </x:c>
      <x:c r="E845" s="2" t="n">
        <x:v>22</x:v>
      </x:c>
      <x:c r="F845" s="2" t="n">
        <x:v>0</x:v>
      </x:c>
      <x:c r="G845" s="12" t="n">
        <x:v>2639587.3</x:v>
      </x:c>
      <x:c r="H845" s="12" t="n">
        <x:v>5068.0786</x:v>
      </x:c>
      <x:c r="I845" s="13" t="n">
        <x:v>0.0018227272727272</x:v>
      </x:c>
      <x:c r="J845" s="2" t="n">
        <x:v>21</x:v>
      </x:c>
      <x:c r="K845" s="2" t="n">
        <x:v>1</x:v>
      </x:c>
      <x:c r="L845" s="12" t="n">
        <x:v>13179.053199999998</x:v>
      </x:c>
      <x:c r="M845" s="13" t="n">
        <x:v>1</x:v>
      </x:c>
      <x:c r="N845" s="13" t="n">
        <x:f>H845/G845</x:f>
        <x:v>0.001920026892082713</x:v>
      </x:c>
      <x:c r="O845" s="13" t="n">
        <x:f>F845/E845</x:f>
        <x:v>0</x:v>
      </x:c>
      <x:c r="P845" s="2" t="str">
        <x:f>IF(AND(E845&gt;='Итоги'!$F$5,N845&lt;='Итоги'!$B$5,O845&gt;='Итоги'!$D$5),"Да","Нет")</x:f>
        <x:v>Нет</x:v>
      </x:c>
    </x:row>
    <x:row r="846" ht="60" customHeight="1">
      <x:c r="A846" s="14" t="str">
        <x:v>Книги</x:v>
      </x:c>
      <x:c r="B846" s="14" t="str">
        <x:v>Печатные книги: Литература на иностранном языке</x:v>
      </x:c>
      <x:c r="C846" s="14" t="str">
        <x:v>Книги на английском языке</x:v>
      </x:c>
      <x:c r="D846" s="14" t="str">
        <x:v>Печатная книга: Книга для чтения на английском языке</x:v>
      </x:c>
      <x:c r="E846" s="2" t="n">
        <x:v>14</x:v>
      </x:c>
      <x:c r="F846" s="2" t="n">
        <x:v>0</x:v>
      </x:c>
      <x:c r="G846" s="12" t="n">
        <x:v>458775.5155</x:v>
      </x:c>
      <x:c r="H846" s="12" t="n">
        <x:v>880.998416</x:v>
      </x:c>
      <x:c r="I846" s="13" t="n">
        <x:v>0.0010357142857142</x:v>
      </x:c>
      <x:c r="J846" s="2" t="n">
        <x:v>11</x:v>
      </x:c>
      <x:c r="K846" s="2" t="n">
        <x:v>2</x:v>
      </x:c>
      <x:c r="L846" s="12" t="n">
        <x:v>2332.60945</x:v>
      </x:c>
      <x:c r="M846" s="13" t="n">
        <x:v>0.6715830402679805</x:v>
      </x:c>
      <x:c r="N846" s="13" t="n">
        <x:f>H846/G846</x:f>
        <x:v>0.001920325706658162</x:v>
      </x:c>
      <x:c r="O846" s="13" t="n">
        <x:f>F846/E846</x:f>
        <x:v>0</x:v>
      </x:c>
      <x:c r="P846" s="2" t="str">
        <x:f>IF(AND(E846&gt;='Итоги'!$F$5,N846&lt;='Итоги'!$B$5,O846&gt;='Итоги'!$D$5),"Да","Нет")</x:f>
        <x:v>Нет</x:v>
      </x:c>
    </x:row>
    <x:row r="847" ht="60" customHeight="1">
      <x:c r="A847" s="14" t="str">
        <x:v>Детская одежда</x:v>
      </x:c>
      <x:c r="B847" s="14" t="str">
        <x:v>Детская обувь</x:v>
      </x:c>
      <x:c r="C847" s="14" t="str">
        <x:v>Обувь для мальчика</x:v>
      </x:c>
      <x:c r="D847" s="14" t="str">
        <x:v>Полуботинки для мальчика</x:v>
      </x:c>
      <x:c r="E847" s="2" t="n">
        <x:v>51</x:v>
      </x:c>
      <x:c r="F847" s="2" t="n">
        <x:v>0</x:v>
      </x:c>
      <x:c r="G847" s="12" t="n">
        <x:v>2469254.6683</x:v>
      </x:c>
      <x:c r="H847" s="12" t="n">
        <x:v>4785.04360003</x:v>
      </x:c>
      <x:c r="I847" s="13" t="n">
        <x:v>0.0097490196078431</x:v>
      </x:c>
      <x:c r="J847" s="2" t="n">
        <x:v>42</x:v>
      </x:c>
      <x:c r="K847" s="2" t="n">
        <x:v>5</x:v>
      </x:c>
      <x:c r="L847" s="12" t="n">
        <x:v>2691</x:v>
      </x:c>
      <x:c r="M847" s="13" t="n">
        <x:v>0.9429430703083386</x:v>
      </x:c>
      <x:c r="N847" s="13" t="n">
        <x:f>H847/G847</x:f>
        <x:v>0.0019378493686616552</x:v>
      </x:c>
      <x:c r="O847" s="13" t="n">
        <x:f>F847/E847</x:f>
        <x:v>0</x:v>
      </x:c>
      <x:c r="P847" s="2" t="str">
        <x:f>IF(AND(E847&gt;='Итоги'!$F$5,N847&lt;='Итоги'!$B$5,O847&gt;='Итоги'!$D$5),"Да","Нет")</x:f>
        <x:v>Нет</x:v>
      </x:c>
    </x:row>
    <x:row r="848" ht="60" customHeight="1">
      <x:c r="A848" s="14" t="str">
        <x:v>Бытовая химия и гигиена рта</x:v>
      </x:c>
      <x:c r="B848" s="14" t="str">
        <x:v>Бытовая химия</x:v>
      </x:c>
      <x:c r="C848" s="14" t="str">
        <x:v>Чистящее и моющее средство</x:v>
      </x:c>
      <x:c r="D848" s="14" t="str">
        <x:v>Салфетки влажные бытовые</x:v>
      </x:c>
      <x:c r="E848" s="2" t="n">
        <x:v>4</x:v>
      </x:c>
      <x:c r="F848" s="2" t="n">
        <x:v>0</x:v>
      </x:c>
      <x:c r="G848" s="12" t="n">
        <x:v>805244.6448</x:v>
      </x:c>
      <x:c r="H848" s="12" t="n">
        <x:v>1589.3706092799998</x:v>
      </x:c>
      <x:c r="I848" s="13" t="n">
        <x:v>0.001975</x:v>
      </x:c>
      <x:c r="J848" s="2" t="n">
        <x:v>2</x:v>
      </x:c>
      <x:c r="K848" s="2" t="n">
        <x:v>3</x:v>
      </x:c>
      <x:c r="L848" s="12" t="n">
        <x:v>1197.80945</x:v>
      </x:c>
      <x:c r="M848" s="13" t="n">
        <x:v>0.8105308728406461</x:v>
      </x:c>
      <x:c r="N848" s="13" t="n">
        <x:f>H848/G848</x:f>
        <x:v>0.0019737735848895394</x:v>
      </x:c>
      <x:c r="O848" s="13" t="n">
        <x:f>F848/E848</x:f>
        <x:v>0</x:v>
      </x:c>
      <x:c r="P848" s="2" t="str">
        <x:f>IF(AND(E848&gt;='Итоги'!$F$5,N848&lt;='Итоги'!$B$5,O848&gt;='Итоги'!$D$5),"Да","Нет")</x:f>
        <x:v>Нет</x:v>
      </x:c>
    </x:row>
    <x:row r="849" ht="60" customHeight="1">
      <x:c r="A849" s="14" t="str">
        <x:v>Строительство и ремонт (DIY)</x:v>
      </x:c>
      <x:c r="B849" s="14" t="str">
        <x:v>Сад и огород</x:v>
      </x:c>
      <x:c r="C849" s="14" t="str">
        <x:v>Биотуалет и аксессуар</x:v>
      </x:c>
      <x:c r="D849" s="14" t="str">
        <x:v>Комплектующие для биотуалета, септика</x:v>
      </x:c>
      <x:c r="E849" s="2" t="n">
        <x:v>6</x:v>
      </x:c>
      <x:c r="F849" s="2" t="n">
        <x:v>0</x:v>
      </x:c>
      <x:c r="G849" s="12" t="n">
        <x:v>1129020.61</x:v>
      </x:c>
      <x:c r="H849" s="12" t="n">
        <x:v>2246.6238</x:v>
      </x:c>
      <x:c r="I849" s="13" t="n">
        <x:v>0.0016833333333333</x:v>
      </x:c>
      <x:c r="J849" s="2" t="n">
        <x:v>5</x:v>
      </x:c>
      <x:c r="K849" s="2" t="n">
        <x:v>3</x:v>
      </x:c>
      <x:c r="L849" s="12" t="n">
        <x:v>2934.2732</x:v>
      </x:c>
      <x:c r="M849" s="13" t="n">
        <x:v>0.579436720823015</x:v>
      </x:c>
      <x:c r="N849" s="13" t="n">
        <x:f>H849/G849</x:f>
        <x:v>0.001989887323668963</x:v>
      </x:c>
      <x:c r="O849" s="13" t="n">
        <x:f>F849/E849</x:f>
        <x:v>0</x:v>
      </x:c>
      <x:c r="P849" s="2" t="str">
        <x:f>IF(AND(E849&gt;='Итоги'!$F$5,N849&lt;='Итоги'!$B$5,O849&gt;='Итоги'!$D$5),"Да","Нет")</x:f>
        <x:v>Нет</x:v>
      </x:c>
    </x:row>
    <x:row r="850" ht="60" customHeight="1">
      <x:c r="A850" s="14" t="str">
        <x:v>Спорт и отдых</x:v>
      </x:c>
      <x:c r="B850" s="14" t="str">
        <x:v>Товары для охоты</x:v>
      </x:c>
      <x:c r="C850" s="14" t="str">
        <x:v>Средства связи для охоты, рыбалки</x:v>
      </x:c>
      <x:c r="D850" s="14" t="str">
        <x:v>Аксессуары для рации, радиостанции</x:v>
      </x:c>
      <x:c r="E850" s="2" t="n">
        <x:v>4</x:v>
      </x:c>
      <x:c r="F850" s="2" t="n">
        <x:v>0</x:v>
      </x:c>
      <x:c r="G850" s="12" t="n">
        <x:v>616102.6801</x:v>
      </x:c>
      <x:c r="H850" s="12" t="n">
        <x:v>1268.512131</x:v>
      </x:c>
      <x:c r="I850" s="13" t="n">
        <x:v>0.001925</x:v>
      </x:c>
      <x:c r="J850" s="2" t="n">
        <x:v>2</x:v>
      </x:c>
      <x:c r="K850" s="2" t="n">
        <x:v>3</x:v>
      </x:c>
      <x:c r="L850" s="12" t="n">
        <x:v>1868.7252</x:v>
      </x:c>
      <x:c r="M850" s="13" t="n">
        <x:v>0.5375066538360932</x:v>
      </x:c>
      <x:c r="N850" s="13" t="n">
        <x:f>H850/G850</x:f>
        <x:v>0.0020589297400785645</x:v>
      </x:c>
      <x:c r="O850" s="13" t="n">
        <x:f>F850/E850</x:f>
        <x:v>0</x:v>
      </x:c>
      <x:c r="P850" s="2" t="str">
        <x:f>IF(AND(E850&gt;='Итоги'!$F$5,N850&lt;='Итоги'!$B$5,O850&gt;='Итоги'!$D$5),"Да","Нет")</x:f>
        <x:v>Нет</x:v>
      </x:c>
    </x:row>
    <x:row r="851" ht="60" customHeight="1">
      <x:c r="A851" s="14" t="str">
        <x:v>Напитки</x:v>
      </x:c>
      <x:c r="B851" s="14" t="str">
        <x:v>Напитки горячие</x:v>
      </x:c>
      <x:c r="C851" s="14" t="str">
        <x:v>Чай</x:v>
      </x:c>
      <x:c r="D851" s="14" t="str">
        <x:v>Чайный гриб</x:v>
      </x:c>
      <x:c r="E851" s="2" t="n">
        <x:v>1</x:v>
      </x:c>
      <x:c r="F851" s="2" t="n">
        <x:v>0</x:v>
      </x:c>
      <x:c r="G851" s="12" t="n">
        <x:v>12979.34</x:v>
      </x:c>
      <x:c r="H851" s="12" t="n">
        <x:v>27.256614</x:v>
      </x:c>
      <x:c r="I851" s="13" t="n">
        <x:v>0.0021</x:v>
      </x:c>
      <x:c r="J851" s="2" t="n">
        <x:v>0</x:v>
      </x:c>
      <x:c r="K851" s="2" t="n">
        <x:v>1</x:v>
      </x:c>
      <x:c r="L851" s="12" t="n">
        <x:v>865.2893</x:v>
      </x:c>
      <x:c r="M851" s="13" t="n">
        <x:v>1</x:v>
      </x:c>
      <x:c r="N851" s="13" t="n">
        <x:f>H851/G851</x:f>
        <x:v>0.0021</x:v>
      </x:c>
      <x:c r="O851" s="13" t="n">
        <x:f>F851/E851</x:f>
        <x:v>0</x:v>
      </x:c>
      <x:c r="P851" s="2" t="str">
        <x:f>IF(AND(E851&gt;='Итоги'!$F$5,N851&lt;='Итоги'!$B$5,O851&gt;='Итоги'!$D$5),"Да","Нет")</x:f>
        <x:v>Нет</x:v>
      </x:c>
    </x:row>
    <x:row r="852" ht="60" customHeight="1">
      <x:c r="A852" s="14" t="str">
        <x:v>Напитки</x:v>
      </x:c>
      <x:c r="B852" s="14" t="str">
        <x:v>Напитки холодные</x:v>
      </x:c>
      <x:c r="C852" s="14" t="str">
        <x:v>Кисель, компот, сок</x:v>
      </x:c>
      <x:c r="D852" s="14" t="str">
        <x:v>Напиток сокосодержащий</x:v>
      </x:c>
      <x:c r="E852" s="2" t="n">
        <x:v>13</x:v>
      </x:c>
      <x:c r="F852" s="2" t="n">
        <x:v>0</x:v>
      </x:c>
      <x:c r="G852" s="12" t="n">
        <x:v>1967654.2772</x:v>
      </x:c>
      <x:c r="H852" s="12" t="n">
        <x:v>4134.98471573</x:v>
      </x:c>
      <x:c r="I852" s="13" t="n">
        <x:v>0.0031076923076923</x:v>
      </x:c>
      <x:c r="J852" s="2" t="n">
        <x:v>11</x:v>
      </x:c>
      <x:c r="K852" s="2" t="n">
        <x:v>7</x:v>
      </x:c>
      <x:c r="L852" s="12" t="n">
        <x:v>1502.5935</x:v>
      </x:c>
      <x:c r="M852" s="13" t="n">
        <x:v>0.5992722058256912</x:v>
      </x:c>
      <x:c r="N852" s="13" t="n">
        <x:f>H852/G852</x:f>
        <x:v>0.0021014792911761625</x:v>
      </x:c>
      <x:c r="O852" s="13" t="n">
        <x:f>F852/E852</x:f>
        <x:v>0</x:v>
      </x:c>
      <x:c r="P852" s="2" t="str">
        <x:f>IF(AND(E852&gt;='Итоги'!$F$5,N852&lt;='Итоги'!$B$5,O852&gt;='Итоги'!$D$5),"Да","Нет")</x:f>
        <x:v>Нет</x:v>
      </x:c>
    </x:row>
    <x:row r="853" ht="60" customHeight="1">
      <x:c r="A853" s="14" t="str">
        <x:v>Ноутбуки и компьютеры</x:v>
      </x:c>
      <x:c r="B853" s="14" t="str">
        <x:v>Компьютерная периферия Lap&amp;Comp</x:v>
      </x:c>
      <x:c r="C853" s="14" t="str">
        <x:v>Компьютерный манипулятор Lap&amp;Comp</x:v>
      </x:c>
      <x:c r="D853" s="14" t="str">
        <x:v>Конференц связь, call центр</x:v>
      </x:c>
      <x:c r="E853" s="2" t="n">
        <x:v>3</x:v>
      </x:c>
      <x:c r="F853" s="2" t="n">
        <x:v>0</x:v>
      </x:c>
      <x:c r="G853" s="12" t="n">
        <x:v>661578</x:v>
      </x:c>
      <x:c r="H853" s="12" t="n">
        <x:v>1454.8916</x:v>
      </x:c>
      <x:c r="I853" s="13" t="n">
        <x:v>0.0028333333333333</x:v>
      </x:c>
      <x:c r="J853" s="2" t="n">
        <x:v>0</x:v>
      </x:c>
      <x:c r="K853" s="2" t="n">
        <x:v>3</x:v>
      </x:c>
      <x:c r="L853" s="12" t="n">
        <x:v>14062</x:v>
      </x:c>
      <x:c r="M853" s="13" t="n">
        <x:v>0.5434854242432487</x:v>
      </x:c>
      <x:c r="N853" s="13" t="n">
        <x:f>H853/G853</x:f>
        <x:v>0.002199123308211579</x:v>
      </x:c>
      <x:c r="O853" s="13" t="n">
        <x:f>F853/E853</x:f>
        <x:v>0</x:v>
      </x:c>
      <x:c r="P853" s="2" t="str">
        <x:f>IF(AND(E853&gt;='Итоги'!$F$5,N853&lt;='Итоги'!$B$5,O853&gt;='Итоги'!$D$5),"Да","Нет")</x:f>
        <x:v>Нет</x:v>
      </x:c>
    </x:row>
    <x:row r="854" ht="60" customHeight="1">
      <x:c r="A854" s="14" t="str">
        <x:v>Детская одежда</x:v>
      </x:c>
      <x:c r="B854" s="14" t="str">
        <x:v>Детская одежда</x:v>
      </x:c>
      <x:c r="C854" s="14" t="str">
        <x:v>Верхняя одежда для девочки</x:v>
      </x:c>
      <x:c r="D854" s="14" t="str">
        <x:v>Ветровка спортивная для девочки</x:v>
      </x:c>
      <x:c r="E854" s="2" t="n">
        <x:v>1</x:v>
      </x:c>
      <x:c r="F854" s="2" t="n">
        <x:v>0</x:v>
      </x:c>
      <x:c r="G854" s="12" t="n">
        <x:v>8308.69</x:v>
      </x:c>
      <x:c r="H854" s="12" t="n">
        <x:v>18.279118000000004</x:v>
      </x:c>
      <x:c r="I854" s="13" t="n">
        <x:v>0.0022</x:v>
      </x:c>
      <x:c r="J854" s="2" t="n">
        <x:v>0</x:v>
      </x:c>
      <x:c r="K854" s="2" t="n">
        <x:v>1</x:v>
      </x:c>
      <x:c r="L854" s="12" t="n">
        <x:v>1661.738</x:v>
      </x:c>
      <x:c r="M854" s="13" t="n">
        <x:v>1</x:v>
      </x:c>
      <x:c r="N854" s="13" t="n">
        <x:f>H854/G854</x:f>
        <x:v>0.0022</x:v>
      </x:c>
      <x:c r="O854" s="13" t="n">
        <x:f>F854/E854</x:f>
        <x:v>0</x:v>
      </x:c>
      <x:c r="P854" s="2" t="str">
        <x:f>IF(AND(E854&gt;='Итоги'!$F$5,N854&lt;='Итоги'!$B$5,O854&gt;='Итоги'!$D$5),"Да","Нет")</x:f>
        <x:v>Нет</x:v>
      </x:c>
    </x:row>
    <x:row r="855" ht="60" customHeight="1">
      <x:c r="A855" s="14" t="str">
        <x:v>Крупная бытовая техника</x:v>
      </x:c>
      <x:c r="B855" s="14" t="str">
        <x:v>MDA Встраиваемая техника</x:v>
      </x:c>
      <x:c r="C855" s="14" t="str">
        <x:v>MDA Встраиваемый духовой шкаф</x:v>
      </x:c>
      <x:c r="D855" s="14" t="str">
        <x:v>Встраиваемый духовой шкаф газовый</x:v>
      </x:c>
      <x:c r="E855" s="2" t="n">
        <x:v>13</x:v>
      </x:c>
      <x:c r="F855" s="2" t="n">
        <x:v>0</x:v>
      </x:c>
      <x:c r="G855" s="12" t="n">
        <x:v>2751676.9375</x:v>
      </x:c>
      <x:c r="H855" s="12" t="n">
        <x:v>6121.8411</x:v>
      </x:c>
      <x:c r="I855" s="13" t="n">
        <x:v>0.0031692307692307</x:v>
      </x:c>
      <x:c r="J855" s="2" t="n">
        <x:v>10</x:v>
      </x:c>
      <x:c r="K855" s="2" t="n">
        <x:v>4</x:v>
      </x:c>
      <x:c r="L855" s="12" t="n">
        <x:v>21312</x:v>
      </x:c>
      <x:c r="M855" s="13" t="n">
        <x:v>0.5123642898577007</x:v>
      </x:c>
      <x:c r="N855" s="13" t="n">
        <x:f>H855/G855</x:f>
        <x:v>0.002224767383325863</x:v>
      </x:c>
      <x:c r="O855" s="13" t="n">
        <x:f>F855/E855</x:f>
        <x:v>0</x:v>
      </x:c>
      <x:c r="P855" s="2" t="str">
        <x:f>IF(AND(E855&gt;='Итоги'!$F$5,N855&lt;='Итоги'!$B$5,O855&gt;='Итоги'!$D$5),"Да","Нет")</x:f>
        <x:v>Нет</x:v>
      </x:c>
    </x:row>
    <x:row r="856" ht="60" customHeight="1">
      <x:c r="A856" s="14" t="str">
        <x:v>Мебель</x:v>
      </x:c>
      <x:c r="B856" s="14" t="str">
        <x:v>Мебель для сна</x:v>
      </x:c>
      <x:c r="C856" s="14" t="str">
        <x:v>Кровать</x:v>
      </x:c>
      <x:c r="D856" s="14" t="str">
        <x:v>Аксессуары для кроватей</x:v>
      </x:c>
      <x:c r="E856" s="2" t="n">
        <x:v>1</x:v>
      </x:c>
      <x:c r="F856" s="2" t="n">
        <x:v>0</x:v>
      </x:c>
      <x:c r="G856" s="12" t="n">
        <x:v>196910</x:v>
      </x:c>
      <x:c r="H856" s="12" t="n">
        <x:v>452.893</x:v>
      </x:c>
      <x:c r="I856" s="13" t="n">
        <x:v>0.0023</x:v>
      </x:c>
      <x:c r="J856" s="2" t="n">
        <x:v>0</x:v>
      </x:c>
      <x:c r="K856" s="2" t="n">
        <x:v>1</x:v>
      </x:c>
      <x:c r="L856" s="12" t="n">
        <x:v>5626</x:v>
      </x:c>
      <x:c r="M856" s="13" t="n">
        <x:v>1</x:v>
      </x:c>
      <x:c r="N856" s="13" t="n">
        <x:f>H856/G856</x:f>
        <x:v>0.0023</x:v>
      </x:c>
      <x:c r="O856" s="13" t="n">
        <x:f>F856/E856</x:f>
        <x:v>0</x:v>
      </x:c>
      <x:c r="P856" s="2" t="str">
        <x:f>IF(AND(E856&gt;='Итоги'!$F$5,N856&lt;='Итоги'!$B$5,O856&gt;='Итоги'!$D$5),"Да","Нет")</x:f>
        <x:v>Нет</x:v>
      </x:c>
    </x:row>
    <x:row r="857" ht="60" customHeight="1">
      <x:c r="A857" s="14" t="str">
        <x:v>Спорт и отдых</x:v>
      </x:c>
      <x:c r="B857" s="14" t="str">
        <x:v>Единоборства</x:v>
      </x:c>
      <x:c r="C857" s="14" t="str">
        <x:v>Смешанные единоборства</x:v>
      </x:c>
      <x:c r="D857" s="14" t="str">
        <x:v>Оружие для единоборств</x:v>
      </x:c>
      <x:c r="E857" s="2" t="n">
        <x:v>1</x:v>
      </x:c>
      <x:c r="F857" s="2" t="n">
        <x:v>0</x:v>
      </x:c>
      <x:c r="G857" s="12" t="n">
        <x:v>56427</x:v>
      </x:c>
      <x:c r="H857" s="12" t="n">
        <x:v>129.7821</x:v>
      </x:c>
      <x:c r="I857" s="13" t="n">
        <x:v>0.0023</x:v>
      </x:c>
      <x:c r="J857" s="2" t="n">
        <x:v>0</x:v>
      </x:c>
      <x:c r="K857" s="2" t="n">
        <x:v>1</x:v>
      </x:c>
      <x:c r="L857" s="12" t="n">
        <x:v>2969.8421</x:v>
      </x:c>
      <x:c r="M857" s="13" t="n">
        <x:v>1</x:v>
      </x:c>
      <x:c r="N857" s="13" t="n">
        <x:f>H857/G857</x:f>
        <x:v>0.0023000000000000004</x:v>
      </x:c>
      <x:c r="O857" s="13" t="n">
        <x:f>F857/E857</x:f>
        <x:v>0</x:v>
      </x:c>
      <x:c r="P857" s="2" t="str">
        <x:f>IF(AND(E857&gt;='Итоги'!$F$5,N857&lt;='Итоги'!$B$5,O857&gt;='Итоги'!$D$5),"Да","Нет")</x:f>
        <x:v>Нет</x:v>
      </x:c>
    </x:row>
    <x:row r="858" ht="60" customHeight="1">
      <x:c r="A858" s="14" t="str">
        <x:v>Спорт и отдых</x:v>
      </x:c>
      <x:c r="B858" s="14" t="str">
        <x:v>Товары для рыбалки</x:v>
      </x:c>
      <x:c r="C858" s="14" t="str">
        <x:v>Зимняя рыбалка</x:v>
      </x:c>
      <x:c r="D858" s="14" t="str">
        <x:v>Аксессуар для рыболовного ледобура</x:v>
      </x:c>
      <x:c r="E858" s="2" t="n">
        <x:v>3</x:v>
      </x:c>
      <x:c r="F858" s="2" t="n">
        <x:v>0</x:v>
      </x:c>
      <x:c r="G858" s="12" t="n">
        <x:v>528581.4232</x:v>
      </x:c>
      <x:c r="H858" s="12" t="n">
        <x:v>1231.24008248</x:v>
      </x:c>
      <x:c r="I858" s="13" t="n">
        <x:v>0.0046333333333333</x:v>
      </x:c>
      <x:c r="J858" s="2" t="n">
        <x:v>2</x:v>
      </x:c>
      <x:c r="K858" s="2" t="n">
        <x:v>2</x:v>
      </x:c>
      <x:c r="L858" s="12" t="n">
        <x:v>2577.7468</x:v>
      </x:c>
      <x:c r="M858" s="13" t="n">
        <x:v>0.8324223680360321</x:v>
      </x:c>
      <x:c r="N858" s="13" t="n">
        <x:f>H858/G858</x:f>
        <x:v>0.0023293290842991547</x:v>
      </x:c>
      <x:c r="O858" s="13" t="n">
        <x:f>F858/E858</x:f>
        <x:v>0</x:v>
      </x:c>
      <x:c r="P858" s="2" t="str">
        <x:f>IF(AND(E858&gt;='Итоги'!$F$5,N858&lt;='Итоги'!$B$5,O858&gt;='Итоги'!$D$5),"Да","Нет")</x:f>
        <x:v>Нет</x:v>
      </x:c>
    </x:row>
    <x:row r="859" ht="60" customHeight="1">
      <x:c r="A859" s="14" t="str">
        <x:v>Одежда</x:v>
      </x:c>
      <x:c r="B859" s="14" t="str">
        <x:v>Основная одежда женская</x:v>
      </x:c>
      <x:c r="C859" s="14" t="str">
        <x:v>Головные уборы, перчатки, шарфы женские</x:v>
      </x:c>
      <x:c r="D859" s="14" t="str">
        <x:v>Женская шапка кожаная</x:v>
      </x:c>
      <x:c r="E859" s="2" t="n">
        <x:v>1</x:v>
      </x:c>
      <x:c r="F859" s="2" t="n">
        <x:v>0</x:v>
      </x:c>
      <x:c r="G859" s="12" t="n">
        <x:v>95004.25</x:v>
      </x:c>
      <x:c r="H859" s="12" t="n">
        <x:v>228.0102</x:v>
      </x:c>
      <x:c r="I859" s="13" t="n">
        <x:v>0.0024</x:v>
      </x:c>
      <x:c r="J859" s="2" t="n">
        <x:v>0</x:v>
      </x:c>
      <x:c r="K859" s="2" t="n">
        <x:v>1</x:v>
      </x:c>
      <x:c r="L859" s="12" t="n">
        <x:v>6786.0179</x:v>
      </x:c>
      <x:c r="M859" s="13" t="n">
        <x:v>1</x:v>
      </x:c>
      <x:c r="N859" s="13" t="n">
        <x:f>H859/G859</x:f>
        <x:v>0.0024</x:v>
      </x:c>
      <x:c r="O859" s="13" t="n">
        <x:f>F859/E859</x:f>
        <x:v>0</x:v>
      </x:c>
      <x:c r="P859" s="2" t="str">
        <x:f>IF(AND(E859&gt;='Итоги'!$F$5,N859&lt;='Итоги'!$B$5,O859&gt;='Итоги'!$D$5),"Да","Нет")</x:f>
        <x:v>Нет</x:v>
      </x:c>
    </x:row>
    <x:row r="860" ht="60" customHeight="1">
      <x:c r="A860" s="14" t="str">
        <x:v>Аудио и видеотехника</x:v>
      </x:c>
      <x:c r="B860" s="14" t="str">
        <x:v>Система безопасности TV&amp;Audio</x:v>
      </x:c>
      <x:c r="C860" s="14" t="str">
        <x:v>Умный дом TV&amp;Audio</x:v>
      </x:c>
      <x:c r="D860" s="14" t="str">
        <x:v>Электронный ключ, карта доступа (квартира, дом, офис)</x:v>
      </x:c>
      <x:c r="E860" s="2" t="n">
        <x:v>4</x:v>
      </x:c>
      <x:c r="F860" s="2" t="n">
        <x:v>0</x:v>
      </x:c>
      <x:c r="G860" s="12" t="n">
        <x:v>607705</x:v>
      </x:c>
      <x:c r="H860" s="12" t="n">
        <x:v>1477.4572</x:v>
      </x:c>
      <x:c r="I860" s="13" t="n">
        <x:v>0.001675</x:v>
      </x:c>
      <x:c r="J860" s="2" t="n">
        <x:v>3</x:v>
      </x:c>
      <x:c r="K860" s="2" t="n">
        <x:v>3</x:v>
      </x:c>
      <x:c r="L860" s="12" t="n">
        <x:v>2025.06495</x:v>
      </x:c>
      <x:c r="M860" s="13" t="n">
        <x:v>0.4942973975859998</x:v>
      </x:c>
      <x:c r="N860" s="13" t="n">
        <x:f>H860/G860</x:f>
        <x:v>0.0024312079051513483</x:v>
      </x:c>
      <x:c r="O860" s="13" t="n">
        <x:f>F860/E860</x:f>
        <x:v>0</x:v>
      </x:c>
      <x:c r="P860" s="2" t="str">
        <x:f>IF(AND(E860&gt;='Итоги'!$F$5,N860&lt;='Итоги'!$B$5,O860&gt;='Итоги'!$D$5),"Да","Нет")</x:f>
        <x:v>Нет</x:v>
      </x:c>
    </x:row>
    <x:row r="861" ht="60" customHeight="1">
      <x:c r="A861" s="14" t="str">
        <x:v>Спорт и отдых</x:v>
      </x:c>
      <x:c r="B861" s="14" t="str">
        <x:v>Туризм</x:v>
      </x:c>
      <x:c r="C861" s="14" t="str">
        <x:v>Снаряжение для альпинизма и скалолазания</x:v>
      </x:c>
      <x:c r="D861" s="14" t="str">
        <x:v>Зажимы, блок-ролики для альпинизма</x:v>
      </x:c>
      <x:c r="E861" s="2" t="n">
        <x:v>4</x:v>
      </x:c>
      <x:c r="F861" s="2" t="n">
        <x:v>0</x:v>
      </x:c>
      <x:c r="G861" s="12" t="n">
        <x:v>238835.06</x:v>
      </x:c>
      <x:c r="H861" s="12" t="n">
        <x:v>609.9734</x:v>
      </x:c>
      <x:c r="I861" s="13" t="n">
        <x:v>0.00365</x:v>
      </x:c>
      <x:c r="J861" s="2" t="n">
        <x:v>3</x:v>
      </x:c>
      <x:c r="K861" s="2" t="n">
        <x:v>3</x:v>
      </x:c>
      <x:c r="L861" s="12" t="n">
        <x:v>2370.20575</x:v>
      </x:c>
      <x:c r="M861" s="13" t="n">
        <x:v>0.4783217338358949</x:v>
      </x:c>
      <x:c r="N861" s="13" t="n">
        <x:f>H861/G861</x:f>
        <x:v>0.002553952505967926</x:v>
      </x:c>
      <x:c r="O861" s="13" t="n">
        <x:f>F861/E861</x:f>
        <x:v>0</x:v>
      </x:c>
      <x:c r="P861" s="2" t="str">
        <x:f>IF(AND(E861&gt;='Итоги'!$F$5,N861&lt;='Итоги'!$B$5,O861&gt;='Итоги'!$D$5),"Да","Нет")</x:f>
        <x:v>Нет</x:v>
      </x:c>
    </x:row>
    <x:row r="862" ht="60" customHeight="1">
      <x:c r="A862" s="14" t="str">
        <x:v>Аксессуары для электроники</x:v>
      </x:c>
      <x:c r="B862" s="14" t="str">
        <x:v>Аксессуары для мобильных устройств Access</x:v>
      </x:c>
      <x:c r="C862" s="14" t="str">
        <x:v>Наушники и аксессуары для наушников Access</x:v>
      </x:c>
      <x:c r="D862" s="14" t="str">
        <x:v>Наушники проводные Sony</x:v>
      </x:c>
      <x:c r="E862" s="2" t="n">
        <x:v>6</x:v>
      </x:c>
      <x:c r="F862" s="2" t="n">
        <x:v>0</x:v>
      </x:c>
      <x:c r="G862" s="12" t="n">
        <x:v>611484.4746000001</x:v>
      </x:c>
      <x:c r="H862" s="12" t="n">
        <x:v>1578.829248</x:v>
      </x:c>
      <x:c r="I862" s="13" t="n">
        <x:v>0.0023833333333333</x:v>
      </x:c>
      <x:c r="J862" s="2" t="n">
        <x:v>3</x:v>
      </x:c>
      <x:c r="K862" s="2" t="n">
        <x:v>2</x:v>
      </x:c>
      <x:c r="L862" s="12" t="n">
        <x:v>2141.1399</x:v>
      </x:c>
      <x:c r="M862" s="13" t="n">
        <x:v>0.9921780931508868</x:v>
      </x:c>
      <x:c r="N862" s="13" t="n">
        <x:f>H862/G862</x:f>
        <x:v>0.002581961298416913</x:v>
      </x:c>
      <x:c r="O862" s="13" t="n">
        <x:f>F862/E862</x:f>
        <x:v>0</x:v>
      </x:c>
      <x:c r="P862" s="2" t="str">
        <x:f>IF(AND(E862&gt;='Итоги'!$F$5,N862&lt;='Итоги'!$B$5,O862&gt;='Итоги'!$D$5),"Да","Нет")</x:f>
        <x:v>Нет</x:v>
      </x:c>
    </x:row>
    <x:row r="863" ht="60" customHeight="1">
      <x:c r="A863" s="14" t="str">
        <x:v>Хобби и творчество</x:v>
      </x:c>
      <x:c r="B863" s="14" t="str">
        <x:v>Детское творчество и хобби</x:v>
      </x:c>
      <x:c r="C863" s="14" t="str">
        <x:v>Лепка для детей</x:v>
      </x:c>
      <x:c r="D863" s="14" t="str">
        <x:v>Лепка из глины для детей</x:v>
      </x:c>
      <x:c r="E863" s="2" t="n">
        <x:v>9</x:v>
      </x:c>
      <x:c r="F863" s="2" t="n">
        <x:v>0</x:v>
      </x:c>
      <x:c r="G863" s="12" t="n">
        <x:v>484710.9542</x:v>
      </x:c>
      <x:c r="H863" s="12" t="n">
        <x:v>1252.8098</x:v>
      </x:c>
      <x:c r="I863" s="13" t="n">
        <x:v>0.0013444444444444</x:v>
      </x:c>
      <x:c r="J863" s="2" t="n">
        <x:v>8</x:v>
      </x:c>
      <x:c r="K863" s="2" t="n">
        <x:v>4</x:v>
      </x:c>
      <x:c r="L863" s="12" t="n">
        <x:v>1845.825</x:v>
      </x:c>
      <x:c r="M863" s="13" t="n">
        <x:v>0.3917013893638139</x:v>
      </x:c>
      <x:c r="N863" s="13" t="n">
        <x:f>H863/G863</x:f>
        <x:v>0.002584653367423319</x:v>
      </x:c>
      <x:c r="O863" s="13" t="n">
        <x:f>F863/E863</x:f>
        <x:v>0</x:v>
      </x:c>
      <x:c r="P863" s="2" t="str">
        <x:f>IF(AND(E863&gt;='Итоги'!$F$5,N863&lt;='Итоги'!$B$5,O863&gt;='Итоги'!$D$5),"Да","Нет")</x:f>
        <x:v>Нет</x:v>
      </x:c>
    </x:row>
    <x:row r="864" ht="60" customHeight="1">
      <x:c r="A864" s="14" t="str">
        <x:v>Автотовары</x:v>
      </x:c>
      <x:c r="B864" s="14" t="str">
        <x:v>Авто и мото запчасти</x:v>
      </x:c>
      <x:c r="C864" s="14" t="str">
        <x:v>Кузовные детали</x:v>
      </x:c>
      <x:c r="D864" s="14" t="str">
        <x:v>Органы управления авто</x:v>
      </x:c>
      <x:c r="E864" s="2" t="n">
        <x:v>5</x:v>
      </x:c>
      <x:c r="F864" s="2" t="n">
        <x:v>0</x:v>
      </x:c>
      <x:c r="G864" s="12" t="n">
        <x:v>569628.8247</x:v>
      </x:c>
      <x:c r="H864" s="12" t="n">
        <x:v>1534.4105000000002</x:v>
      </x:c>
      <x:c r="I864" s="13" t="n">
        <x:v>0.0343</x:v>
      </x:c>
      <x:c r="J864" s="2" t="n">
        <x:v>4</x:v>
      </x:c>
      <x:c r="K864" s="2" t="n">
        <x:v>4</x:v>
      </x:c>
      <x:c r="L864" s="12" t="n">
        <x:v>1522.5727</x:v>
      </x:c>
      <x:c r="M864" s="13" t="n">
        <x:v>0.4946699455534066</x:v>
      </x:c>
      <x:c r="N864" s="13" t="n">
        <x:f>H864/G864</x:f>
        <x:v>0.002693702343465696</x:v>
      </x:c>
      <x:c r="O864" s="13" t="n">
        <x:f>F864/E864</x:f>
        <x:v>0</x:v>
      </x:c>
      <x:c r="P864" s="2" t="str">
        <x:f>IF(AND(E864&gt;='Итоги'!$F$5,N864&lt;='Итоги'!$B$5,O864&gt;='Итоги'!$D$5),"Да","Нет")</x:f>
        <x:v>Нет</x:v>
      </x:c>
    </x:row>
    <x:row r="865" ht="60" customHeight="1">
      <x:c r="A865" s="14" t="str">
        <x:v>Товары для животных</x:v>
      </x:c>
      <x:c r="B865" s="14" t="str">
        <x:v>Фермерское хозяйство - Оборудование для птицеводства и животноводства</x:v>
      </x:c>
      <x:c r="C865" s="14" t="str">
        <x:v>Доильное оборудование</x:v>
      </x:c>
      <x:c r="D865" s="14" t="str">
        <x:v>Доильный аппарат</x:v>
      </x:c>
      <x:c r="E865" s="2" t="n">
        <x:v>2</x:v>
      </x:c>
      <x:c r="F865" s="2" t="n">
        <x:v>0</x:v>
      </x:c>
      <x:c r="G865" s="12" t="n">
        <x:v>212160.4321</x:v>
      </x:c>
      <x:c r="H865" s="12" t="n">
        <x:v>572.3142963</x:v>
      </x:c>
      <x:c r="I865" s="13" t="n">
        <x:v>0.0015</x:v>
      </x:c>
      <x:c r="J865" s="2" t="n">
        <x:v>1</x:v>
      </x:c>
      <x:c r="K865" s="2" t="n">
        <x:v>2</x:v>
      </x:c>
      <x:c r="L865" s="12" t="n">
        <x:v>5428.0626</x:v>
      </x:c>
      <x:c r="M865" s="13" t="n">
        <x:v>0.8991847830045968</x:v>
      </x:c>
      <x:c r="N865" s="13" t="n">
        <x:f>H865/G865</x:f>
        <x:v>0.0026975543490137905</x:v>
      </x:c>
      <x:c r="O865" s="13" t="n">
        <x:f>F865/E865</x:f>
        <x:v>0</x:v>
      </x:c>
      <x:c r="P865" s="2" t="str">
        <x:f>IF(AND(E865&gt;='Итоги'!$F$5,N865&lt;='Итоги'!$B$5,O865&gt;='Итоги'!$D$5),"Да","Нет")</x:f>
        <x:v>Нет</x:v>
      </x:c>
    </x:row>
    <x:row r="866" ht="60" customHeight="1">
      <x:c r="A866" s="14" t="str">
        <x:v>Аксессуары</x:v>
      </x:c>
      <x:c r="B866" s="14" t="str">
        <x:v>Ювелирные изделия</x:v>
      </x:c>
      <x:c r="C866" s="14" t="str">
        <x:v>Серьги ювелирные</x:v>
      </x:c>
      <x:c r="D866" s="14" t="str">
        <x:v>Золото моносерьга (серьга одиночная)</x:v>
      </x:c>
      <x:c r="E866" s="2" t="n">
        <x:v>7</x:v>
      </x:c>
      <x:c r="F866" s="2" t="n">
        <x:v>0</x:v>
      </x:c>
      <x:c r="G866" s="12" t="n">
        <x:v>830102.42</x:v>
      </x:c>
      <x:c r="H866" s="12" t="n">
        <x:v>2247.1152</x:v>
      </x:c>
      <x:c r="I866" s="13" t="n">
        <x:v>0.0181714285714285</x:v>
      </x:c>
      <x:c r="J866" s="2" t="n">
        <x:v>6</x:v>
      </x:c>
      <x:c r="K866" s="2" t="n">
        <x:v>2</x:v>
      </x:c>
      <x:c r="L866" s="12" t="n">
        <x:v>8521.9243</x:v>
      </x:c>
      <x:c r="M866" s="13" t="n">
        <x:v>0.978718288762488</x:v>
      </x:c>
      <x:c r="N866" s="13" t="n">
        <x:f>H866/G866</x:f>
        <x:v>0.0027070336694115407</x:v>
      </x:c>
      <x:c r="O866" s="13" t="n">
        <x:f>F866/E866</x:f>
        <x:v>0</x:v>
      </x:c>
      <x:c r="P866" s="2" t="str">
        <x:f>IF(AND(E866&gt;='Итоги'!$F$5,N866&lt;='Итоги'!$B$5,O866&gt;='Итоги'!$D$5),"Да","Нет")</x:f>
        <x:v>Нет</x:v>
      </x:c>
    </x:row>
    <x:row r="867" ht="60" customHeight="1">
      <x:c r="A867" s="14" t="str">
        <x:v>Хобби и творчество</x:v>
      </x:c>
      <x:c r="B867" s="14" t="str">
        <x:v>Взрослое творчество и хобби</x:v>
      </x:c>
      <x:c r="C867" s="14" t="str">
        <x:v>Декупаж</x:v>
      </x:c>
      <x:c r="D867" s="14" t="str">
        <x:v>Материалы для декупажа</x:v>
      </x:c>
      <x:c r="E867" s="2" t="n">
        <x:v>2</x:v>
      </x:c>
      <x:c r="F867" s="2" t="n">
        <x:v>0</x:v>
      </x:c>
      <x:c r="G867" s="12" t="n">
        <x:v>150199.1844</x:v>
      </x:c>
      <x:c r="H867" s="12" t="n">
        <x:v>412.31639724</x:v>
      </x:c>
      <x:c r="I867" s="13" t="n">
        <x:v>0.00165</x:v>
      </x:c>
      <x:c r="J867" s="2" t="n">
        <x:v>1</x:v>
      </x:c>
      <x:c r="K867" s="2" t="n">
        <x:v>1</x:v>
      </x:c>
      <x:c r="L867" s="12" t="n">
        <x:v>1601.09965</x:v>
      </x:c>
      <x:c r="M867" s="13" t="n">
        <x:v>1</x:v>
      </x:c>
      <x:c r="N867" s="13" t="n">
        <x:f>H867/G867</x:f>
        <x:v>0.0027451307334795355</x:v>
      </x:c>
      <x:c r="O867" s="13" t="n">
        <x:f>F867/E867</x:f>
        <x:v>0</x:v>
      </x:c>
      <x:c r="P867" s="2" t="str">
        <x:f>IF(AND(E867&gt;='Итоги'!$F$5,N867&lt;='Итоги'!$B$5,O867&gt;='Итоги'!$D$5),"Да","Нет")</x:f>
        <x:v>Нет</x:v>
      </x:c>
    </x:row>
    <x:row r="868" ht="60" customHeight="1">
      <x:c r="A868" s="14" t="str">
        <x:v>Напитки</x:v>
      </x:c>
      <x:c r="B868" s="14" t="str">
        <x:v>Напитки холодные</x:v>
      </x:c>
      <x:c r="C868" s="14" t="str">
        <x:v>Сироп, топпинг</x:v>
      </x:c>
      <x:c r="D868" s="14" t="str">
        <x:v>Топпинг</x:v>
      </x:c>
      <x:c r="E868" s="2" t="n">
        <x:v>23</x:v>
      </x:c>
      <x:c r="F868" s="2" t="n">
        <x:v>0</x:v>
      </x:c>
      <x:c r="G868" s="12" t="n">
        <x:v>1992087.0211</x:v>
      </x:c>
      <x:c r="H868" s="12" t="n">
        <x:v>5747.807996</x:v>
      </x:c>
      <x:c r="I868" s="13" t="n">
        <x:v>0.0066782608695652</x:v>
      </x:c>
      <x:c r="J868" s="2" t="n">
        <x:v>16</x:v>
      </x:c>
      <x:c r="K868" s="2" t="n">
        <x:v>5</x:v>
      </x:c>
      <x:c r="L868" s="12" t="n">
        <x:v>1219.5789</x:v>
      </x:c>
      <x:c r="M868" s="13" t="n">
        <x:v>0.4742820770341096</x:v>
      </x:c>
      <x:c r="N868" s="13" t="n">
        <x:f>H868/G868</x:f>
        <x:v>0.0028853197350917673</x:v>
      </x:c>
      <x:c r="O868" s="13" t="n">
        <x:f>F868/E868</x:f>
        <x:v>0</x:v>
      </x:c>
      <x:c r="P868" s="2" t="str">
        <x:f>IF(AND(E868&gt;='Итоги'!$F$5,N868&lt;='Итоги'!$B$5,O868&gt;='Итоги'!$D$5),"Да","Нет")</x:f>
        <x:v>Нет</x:v>
      </x:c>
    </x:row>
    <x:row r="869" ht="60" customHeight="1">
      <x:c r="A869" s="14" t="str">
        <x:v>Товары для детей и спорта</x:v>
      </x:c>
      <x:c r="B869" s="14" t="str">
        <x:v>Спорт детский</x:v>
      </x:c>
      <x:c r="C869" s="14" t="str">
        <x:v>Зимний спорт детский</x:v>
      </x:c>
      <x:c r="D869" s="14" t="str">
        <x:v>Санки детские</x:v>
      </x:c>
      <x:c r="E869" s="2" t="n">
        <x:v>1</x:v>
      </x:c>
      <x:c r="F869" s="2" t="n">
        <x:v>0</x:v>
      </x:c>
      <x:c r="G869" s="12" t="n">
        <x:v>206714.92</x:v>
      </x:c>
      <x:c r="H869" s="12" t="n">
        <x:v>599.473268</x:v>
      </x:c>
      <x:c r="I869" s="13" t="n">
        <x:v>0.0029</x:v>
      </x:c>
      <x:c r="J869" s="2" t="n">
        <x:v>0</x:v>
      </x:c>
      <x:c r="K869" s="2" t="n">
        <x:v>1</x:v>
      </x:c>
      <x:c r="L869" s="12" t="n">
        <x:v>1602.4412</x:v>
      </x:c>
      <x:c r="M869" s="13" t="n">
        <x:v>1</x:v>
      </x:c>
      <x:c r="N869" s="13" t="n">
        <x:f>H869/G869</x:f>
        <x:v>0.0029</x:v>
      </x:c>
      <x:c r="O869" s="13" t="n">
        <x:f>F869/E869</x:f>
        <x:v>0</x:v>
      </x:c>
      <x:c r="P869" s="2" t="str">
        <x:f>IF(AND(E869&gt;='Итоги'!$F$5,N869&lt;='Итоги'!$B$5,O869&gt;='Итоги'!$D$5),"Да","Нет")</x:f>
        <x:v>Нет</x:v>
      </x:c>
    </x:row>
    <x:row r="870" ht="60" customHeight="1">
      <x:c r="A870" s="14" t="str">
        <x:v>Одежда</x:v>
      </x:c>
      <x:c r="B870" s="14" t="str">
        <x:v>Спецодежда и одежда для мероприятий</x:v>
      </x:c>
      <x:c r="C870" s="14" t="str">
        <x:v>Спецодежда мужская</x:v>
      </x:c>
      <x:c r="D870" s="14" t="str">
        <x:v>Рабочий комплект одежды мужской</x:v>
      </x:c>
      <x:c r="E870" s="2" t="n">
        <x:v>69</x:v>
      </x:c>
      <x:c r="F870" s="2" t="n">
        <x:v>0</x:v>
      </x:c>
      <x:c r="G870" s="12" t="n">
        <x:v>3845302.2604</x:v>
      </x:c>
      <x:c r="H870" s="12" t="n">
        <x:v>11279.7008788</x:v>
      </x:c>
      <x:c r="I870" s="13" t="n">
        <x:v>0.0011739130434782</x:v>
      </x:c>
      <x:c r="J870" s="2" t="n">
        <x:v>63</x:v>
      </x:c>
      <x:c r="K870" s="2" t="n">
        <x:v>10</x:v>
      </x:c>
      <x:c r="L870" s="12" t="n">
        <x:v>3569.66</x:v>
      </x:c>
      <x:c r="M870" s="13" t="n">
        <x:v>0.4282865217021159</x:v>
      </x:c>
      <x:c r="N870" s="13" t="n">
        <x:f>H870/G870</x:f>
        <x:v>0.002933371713054009</x:v>
      </x:c>
      <x:c r="O870" s="13" t="n">
        <x:f>F870/E870</x:f>
        <x:v>0</x:v>
      </x:c>
      <x:c r="P870" s="2" t="str">
        <x:f>IF(AND(E870&gt;='Итоги'!$F$5,N870&lt;='Итоги'!$B$5,O870&gt;='Итоги'!$D$5),"Да","Нет")</x:f>
        <x:v>Нет</x:v>
      </x:c>
    </x:row>
    <x:row r="871" ht="60" customHeight="1">
      <x:c r="A871" s="14" t="str">
        <x:v>Спорт и отдых</x:v>
      </x:c>
      <x:c r="B871" s="14" t="str">
        <x:v>Тренажеры и фитнес</x:v>
      </x:c>
      <x:c r="C871" s="14" t="str">
        <x:v>Художественная гимнастика</x:v>
      </x:c>
      <x:c r="D871" s="14" t="str">
        <x:v>Чехлы для художественной гимнастики</x:v>
      </x:c>
      <x:c r="E871" s="2" t="n">
        <x:v>2</x:v>
      </x:c>
      <x:c r="F871" s="2" t="n">
        <x:v>0</x:v>
      </x:c>
      <x:c r="G871" s="12" t="n">
        <x:v>211699.5187</x:v>
      </x:c>
      <x:c r="H871" s="12" t="n">
        <x:v>621.94835285</x:v>
      </x:c>
      <x:c r="I871" s="13" t="n">
        <x:v>0.00275</x:v>
      </x:c>
      <x:c r="J871" s="2" t="n">
        <x:v>1</x:v>
      </x:c>
      <x:c r="K871" s="2" t="n">
        <x:v>1</x:v>
      </x:c>
      <x:c r="L871" s="12" t="n">
        <x:v>4405.4999</x:v>
      </x:c>
      <x:c r="M871" s="13" t="n">
        <x:v>1</x:v>
      </x:c>
      <x:c r="N871" s="13" t="n">
        <x:f>H871/G871</x:f>
        <x:v>0.002937882696518384</x:v>
      </x:c>
      <x:c r="O871" s="13" t="n">
        <x:f>F871/E871</x:f>
        <x:v>0</x:v>
      </x:c>
      <x:c r="P871" s="2" t="str">
        <x:f>IF(AND(E871&gt;='Итоги'!$F$5,N871&lt;='Итоги'!$B$5,O871&gt;='Итоги'!$D$5),"Да","Нет")</x:f>
        <x:v>Нет</x:v>
      </x:c>
    </x:row>
    <x:row r="872" ht="60" customHeight="1">
      <x:c r="A872" s="14" t="str">
        <x:v>Обувь</x:v>
      </x:c>
      <x:c r="B872" s="14" t="str">
        <x:v>Обувь мужская</x:v>
      </x:c>
      <x:c r="C872" s="14" t="str">
        <x:v>Спортивная обувь мужская</x:v>
      </x:c>
      <x:c r="D872" s="14" t="str">
        <x:v>Спортивные кеды, слипоны мужские</x:v>
      </x:c>
      <x:c r="E872" s="2" t="n">
        <x:v>674</x:v>
      </x:c>
      <x:c r="F872" s="2" t="n">
        <x:v>0</x:v>
      </x:c>
      <x:c r="G872" s="12" t="n">
        <x:v>71944255.0156</x:v>
      </x:c>
      <x:c r="H872" s="12" t="n">
        <x:v>213409.80696354</x:v>
      </x:c>
      <x:c r="I872" s="13" t="n">
        <x:v>0.0037970326409495</x:v>
      </x:c>
      <x:c r="J872" s="2" t="n">
        <x:v>632</x:v>
      </x:c>
      <x:c r="K872" s="2" t="n">
        <x:v>11</x:v>
      </x:c>
      <x:c r="L872" s="12" t="n">
        <x:v>4044.9727</x:v>
      </x:c>
      <x:c r="M872" s="13" t="n">
        <x:v>0.9083266742970666</x:v>
      </x:c>
      <x:c r="N872" s="13" t="n">
        <x:f>H872/G872</x:f>
        <x:v>0.0029663217294732622</x:v>
      </x:c>
      <x:c r="O872" s="13" t="n">
        <x:f>F872/E872</x:f>
        <x:v>0</x:v>
      </x:c>
      <x:c r="P872" s="2" t="str">
        <x:f>IF(AND(E872&gt;='Итоги'!$F$5,N872&lt;='Итоги'!$B$5,O872&gt;='Итоги'!$D$5),"Да","Нет")</x:f>
        <x:v>Нет</x:v>
      </x:c>
    </x:row>
    <x:row r="873" ht="60" customHeight="1">
      <x:c r="A873" s="14" t="str">
        <x:v>Детская одежда</x:v>
      </x:c>
      <x:c r="B873" s="14" t="str">
        <x:v>Детская одежда</x:v>
      </x:c>
      <x:c r="C873" s="14" t="str">
        <x:v>Верхняя одежда для девочки</x:v>
      </x:c>
      <x:c r="D873" s="14" t="str">
        <x:v>Куртка джинсовая для девочки</x:v>
      </x:c>
      <x:c r="E873" s="2" t="n">
        <x:v>8</x:v>
      </x:c>
      <x:c r="F873" s="2" t="n">
        <x:v>0</x:v>
      </x:c>
      <x:c r="G873" s="12" t="n">
        <x:v>333263.9342</x:v>
      </x:c>
      <x:c r="H873" s="12" t="n">
        <x:v>990.785351</x:v>
      </x:c>
      <x:c r="I873" s="13" t="n">
        <x:v>0.00125</x:v>
      </x:c>
      <x:c r="J873" s="2" t="n">
        <x:v>6</x:v>
      </x:c>
      <x:c r="K873" s="2" t="n">
        <x:v>4</x:v>
      </x:c>
      <x:c r="L873" s="12" t="n">
        <x:v>1756.20835</x:v>
      </x:c>
      <x:c r="M873" s="13" t="n">
        <x:v>0.8544781027193431</x:v>
      </x:c>
      <x:c r="N873" s="13" t="n">
        <x:f>H873/G873</x:f>
        <x:v>0.002972975018669152</x:v>
      </x:c>
      <x:c r="O873" s="13" t="n">
        <x:f>F873/E873</x:f>
        <x:v>0</x:v>
      </x:c>
      <x:c r="P873" s="2" t="str">
        <x:f>IF(AND(E873&gt;='Итоги'!$F$5,N873&lt;='Итоги'!$B$5,O873&gt;='Итоги'!$D$5),"Да","Нет")</x:f>
        <x:v>Нет</x:v>
      </x:c>
    </x:row>
    <x:row r="874" ht="60" customHeight="1">
      <x:c r="A874" s="14" t="str">
        <x:v>Товары для животных</x:v>
      </x:c>
      <x:c r="B874" s="14" t="str">
        <x:v>Гигиена и уход животных</x:v>
      </x:c>
      <x:c r="C874" s="14" t="str">
        <x:v>Уход за животными</x:v>
      </x:c>
      <x:c r="D874" s="14" t="str">
        <x:v>Корректор поведения для животных</x:v>
      </x:c>
      <x:c r="E874" s="2" t="n">
        <x:v>1</x:v>
      </x:c>
      <x:c r="F874" s="2" t="n">
        <x:v>0</x:v>
      </x:c>
      <x:c r="G874" s="12" t="n">
        <x:v>134895.0833</x:v>
      </x:c>
      <x:c r="H874" s="12" t="n">
        <x:v>418.17475823</x:v>
      </x:c>
      <x:c r="I874" s="13" t="n">
        <x:v>0.0031</x:v>
      </x:c>
      <x:c r="J874" s="2" t="n">
        <x:v>0</x:v>
      </x:c>
      <x:c r="K874" s="2" t="n">
        <x:v>1</x:v>
      </x:c>
      <x:c r="L874" s="12" t="n">
        <x:v>2810.3142</x:v>
      </x:c>
      <x:c r="M874" s="13" t="n">
        <x:v>1</x:v>
      </x:c>
      <x:c r="N874" s="13" t="n">
        <x:f>H874/G874</x:f>
        <x:v>0.0031</x:v>
      </x:c>
      <x:c r="O874" s="13" t="n">
        <x:f>F874/E874</x:f>
        <x:v>0</x:v>
      </x:c>
      <x:c r="P874" s="2" t="str">
        <x:f>IF(AND(E874&gt;='Итоги'!$F$5,N874&lt;='Итоги'!$B$5,O874&gt;='Итоги'!$D$5),"Да","Нет")</x:f>
        <x:v>Нет</x:v>
      </x:c>
    </x:row>
    <x:row r="875" ht="60" customHeight="1">
      <x:c r="A875" s="14" t="str">
        <x:v>Одежда</x:v>
      </x:c>
      <x:c r="B875" s="14" t="str">
        <x:v>Верхняя одежда</x:v>
      </x:c>
      <x:c r="C875" s="14" t="str">
        <x:v>Верхняя одежда для беременных и кормящих</x:v>
      </x:c>
      <x:c r="D875" s="14" t="str">
        <x:v>Жилет со слинговставкой для беременных и кормящих</x:v>
      </x:c>
      <x:c r="E875" s="2" t="n">
        <x:v>62</x:v>
      </x:c>
      <x:c r="F875" s="2" t="n">
        <x:v>0</x:v>
      </x:c>
      <x:c r="G875" s="12" t="n">
        <x:v>3478148.9564</x:v>
      </x:c>
      <x:c r="H875" s="12" t="n">
        <x:v>10974.1757564</x:v>
      </x:c>
      <x:c r="I875" s="13" t="n">
        <x:v>0.001758064516129</x:v>
      </x:c>
      <x:c r="J875" s="2" t="n">
        <x:v>59</x:v>
      </x:c>
      <x:c r="K875" s="2" t="n">
        <x:v>4</x:v>
      </x:c>
      <x:c r="L875" s="12" t="n">
        <x:v>2467.55455</x:v>
      </x:c>
      <x:c r="M875" s="13" t="n">
        <x:v>0.9254836362533884</x:v>
      </x:c>
      <x:c r="N875" s="13" t="n">
        <x:f>H875/G875</x:f>
        <x:v>0.003155177047896947</x:v>
      </x:c>
      <x:c r="O875" s="13" t="n">
        <x:f>F875/E875</x:f>
        <x:v>0</x:v>
      </x:c>
      <x:c r="P875" s="2" t="str">
        <x:f>IF(AND(E875&gt;='Итоги'!$F$5,N875&lt;='Итоги'!$B$5,O875&gt;='Итоги'!$D$5),"Да","Нет")</x:f>
        <x:v>Нет</x:v>
      </x:c>
    </x:row>
    <x:row r="876" ht="60" customHeight="1">
      <x:c r="A876" s="14" t="str">
        <x:v>Спорт и отдых</x:v>
      </x:c>
      <x:c r="B876" s="14" t="str">
        <x:v>Тренажеры и фитнес</x:v>
      </x:c>
      <x:c r="C876" s="14" t="str">
        <x:v>Кросстренинг и тяжёлая атлетика</x:v>
      </x:c>
      <x:c r="D876" s="14" t="str">
        <x:v>Штангетки</x:v>
      </x:c>
      <x:c r="E876" s="2" t="n">
        <x:v>5</x:v>
      </x:c>
      <x:c r="F876" s="2" t="n">
        <x:v>0</x:v>
      </x:c>
      <x:c r="G876" s="12" t="n">
        <x:v>308645</x:v>
      </x:c>
      <x:c r="H876" s="12" t="n">
        <x:v>979.9265</x:v>
      </x:c>
      <x:c r="I876" s="13" t="n">
        <x:v>0.03626</x:v>
      </x:c>
      <x:c r="J876" s="2" t="n">
        <x:v>4</x:v>
      </x:c>
      <x:c r="K876" s="2" t="n">
        <x:v>3</x:v>
      </x:c>
      <x:c r="L876" s="12" t="n">
        <x:v>6956.75</x:v>
      </x:c>
      <x:c r="M876" s="13" t="n">
        <x:v>0.9653971391080368</x:v>
      </x:c>
      <x:c r="N876" s="13" t="n">
        <x:f>H876/G876</x:f>
        <x:v>0.0031749307456786923</x:v>
      </x:c>
      <x:c r="O876" s="13" t="n">
        <x:f>F876/E876</x:f>
        <x:v>0</x:v>
      </x:c>
      <x:c r="P876" s="2" t="str">
        <x:f>IF(AND(E876&gt;='Итоги'!$F$5,N876&lt;='Итоги'!$B$5,O876&gt;='Итоги'!$D$5),"Да","Нет")</x:f>
        <x:v>Нет</x:v>
      </x:c>
    </x:row>
    <x:row r="877" ht="60" customHeight="1">
      <x:c r="A877" s="14" t="str">
        <x:v>Товары для красоты и здоровья</x:v>
      </x:c>
      <x:c r="B877" s="14" t="str">
        <x:v>Косметика для ухода за волосами</x:v>
      </x:c>
      <x:c r="C877" s="14" t="str">
        <x:v>Окрашивание волос для женщин</x:v>
      </x:c>
      <x:c r="D877" s="14" t="str">
        <x:v>Окислитель для волос</x:v>
      </x:c>
      <x:c r="E877" s="2" t="n">
        <x:v>41</x:v>
      </x:c>
      <x:c r="F877" s="2" t="n">
        <x:v>0</x:v>
      </x:c>
      <x:c r="G877" s="12" t="n">
        <x:v>4067632.1486</x:v>
      </x:c>
      <x:c r="H877" s="12" t="n">
        <x:v>12959.84274245</x:v>
      </x:c>
      <x:c r="I877" s="13" t="n">
        <x:v>0.0078487804878048</x:v>
      </x:c>
      <x:c r="J877" s="2" t="n">
        <x:v>35</x:v>
      </x:c>
      <x:c r="K877" s="2" t="n">
        <x:v>3</x:v>
      </x:c>
      <x:c r="L877" s="12" t="n">
        <x:v>1009.5989</x:v>
      </x:c>
      <x:c r="M877" s="13" t="n">
        <x:v>0.916234013388533</x:v>
      </x:c>
      <x:c r="N877" s="13" t="n">
        <x:f>H877/G877</x:f>
        <x:v>0.003186090154910032</x:v>
      </x:c>
      <x:c r="O877" s="13" t="n">
        <x:f>F877/E877</x:f>
        <x:v>0</x:v>
      </x:c>
      <x:c r="P877" s="2" t="str">
        <x:f>IF(AND(E877&gt;='Итоги'!$F$5,N877&lt;='Итоги'!$B$5,O877&gt;='Итоги'!$D$5),"Да","Нет")</x:f>
        <x:v>Нет</x:v>
      </x:c>
    </x:row>
    <x:row r="878" ht="60" customHeight="1">
      <x:c r="A878" s="14" t="str">
        <x:v>Крупная бытовая техника</x:v>
      </x:c>
      <x:c r="B878" s="14" t="str">
        <x:v>Оборудование для предприятий общественного питания MDA</x:v>
      </x:c>
      <x:c r="C878" s="14" t="str">
        <x:v>Тепловое оборудование MDA</x:v>
      </x:c>
      <x:c r="D878" s="14" t="str">
        <x:v>Пекарское оборудование</x:v>
      </x:c>
      <x:c r="E878" s="2" t="n">
        <x:v>4</x:v>
      </x:c>
      <x:c r="F878" s="2" t="n">
        <x:v>0</x:v>
      </x:c>
      <x:c r="G878" s="12" t="n">
        <x:v>1071313.18</x:v>
      </x:c>
      <x:c r="H878" s="12" t="n">
        <x:v>3423.386946</x:v>
      </x:c>
      <x:c r="I878" s="13" t="n">
        <x:v>0.004025</x:v>
      </x:c>
      <x:c r="J878" s="2" t="n">
        <x:v>2</x:v>
      </x:c>
      <x:c r="K878" s="2" t="n">
        <x:v>2</x:v>
      </x:c>
      <x:c r="L878" s="12" t="n">
        <x:v>26334.9829</x:v>
      </x:c>
      <x:c r="M878" s="13" t="n">
        <x:v>0.9155242354061208</x:v>
      </x:c>
      <x:c r="N878" s="13" t="n">
        <x:f>H878/G878</x:f>
        <x:v>0.0031955053012602723</x:v>
      </x:c>
      <x:c r="O878" s="13" t="n">
        <x:f>F878/E878</x:f>
        <x:v>0</x:v>
      </x:c>
      <x:c r="P878" s="2" t="str">
        <x:f>IF(AND(E878&gt;='Итоги'!$F$5,N878&lt;='Итоги'!$B$5,O878&gt;='Итоги'!$D$5),"Да","Нет")</x:f>
        <x:v>Нет</x:v>
      </x:c>
    </x:row>
    <x:row r="879" ht="60" customHeight="1">
      <x:c r="A879" s="14" t="str">
        <x:v>Спорт и отдых</x:v>
      </x:c>
      <x:c r="B879" s="14" t="str">
        <x:v>Водные виды спорта</x:v>
      </x:c>
      <x:c r="C879" s="14" t="str">
        <x:v>Плавание</x:v>
      </x:c>
      <x:c r="D879" s="14" t="str">
        <x:v>Доска для плавания</x:v>
      </x:c>
      <x:c r="E879" s="2" t="n">
        <x:v>2</x:v>
      </x:c>
      <x:c r="F879" s="2" t="n">
        <x:v>0</x:v>
      </x:c>
      <x:c r="G879" s="12" t="n">
        <x:v>446313.5322</x:v>
      </x:c>
      <x:c r="H879" s="12" t="n">
        <x:v>1435.621173</x:v>
      </x:c>
      <x:c r="I879" s="13" t="n">
        <x:v>0.03805</x:v>
      </x:c>
      <x:c r="J879" s="2" t="n">
        <x:v>1</x:v>
      </x:c>
      <x:c r="K879" s="2" t="n">
        <x:v>2</x:v>
      </x:c>
      <x:c r="L879" s="12" t="n">
        <x:v>826.00545</x:v>
      </x:c>
      <x:c r="M879" s="13" t="n">
        <x:v>0.9577316647626396</x:v>
      </x:c>
      <x:c r="N879" s="13" t="n">
        <x:f>H879/G879</x:f>
        <x:v>0.0032166203115631185</x:v>
      </x:c>
      <x:c r="O879" s="13" t="n">
        <x:f>F879/E879</x:f>
        <x:v>0</x:v>
      </x:c>
      <x:c r="P879" s="2" t="str">
        <x:f>IF(AND(E879&gt;='Итоги'!$F$5,N879&lt;='Итоги'!$B$5,O879&gt;='Итоги'!$D$5),"Да","Нет")</x:f>
        <x:v>Нет</x:v>
      </x:c>
    </x:row>
    <x:row r="880" ht="60" customHeight="1">
      <x:c r="A880" s="14" t="str">
        <x:v>Спорт и отдых</x:v>
      </x:c>
      <x:c r="B880" s="14" t="str">
        <x:v>Всесезонные виды спорта</x:v>
      </x:c>
      <x:c r="C880" s="14" t="str">
        <x:v>Бильярд</x:v>
      </x:c>
      <x:c r="D880" s="14" t="str">
        <x:v>Кий для бильярда</x:v>
      </x:c>
      <x:c r="E880" s="2" t="n">
        <x:v>1</x:v>
      </x:c>
      <x:c r="F880" s="2" t="n">
        <x:v>0</x:v>
      </x:c>
      <x:c r="G880" s="12" t="n">
        <x:v>89231.2383</x:v>
      </x:c>
      <x:c r="H880" s="12" t="n">
        <x:v>294.46308639</x:v>
      </x:c>
      <x:c r="I880" s="13" t="n">
        <x:v>0.0033</x:v>
      </x:c>
      <x:c r="J880" s="2" t="n">
        <x:v>0</x:v>
      </x:c>
      <x:c r="K880" s="2" t="n">
        <x:v>1</x:v>
      </x:c>
      <x:c r="L880" s="12" t="n">
        <x:v>1256.778</x:v>
      </x:c>
      <x:c r="M880" s="13" t="n">
        <x:v>1</x:v>
      </x:c>
      <x:c r="N880" s="13" t="n">
        <x:f>H880/G880</x:f>
        <x:v>0.0033</x:v>
      </x:c>
      <x:c r="O880" s="13" t="n">
        <x:f>F880/E880</x:f>
        <x:v>0</x:v>
      </x:c>
      <x:c r="P880" s="2" t="str">
        <x:f>IF(AND(E880&gt;='Итоги'!$F$5,N880&lt;='Итоги'!$B$5,O880&gt;='Итоги'!$D$5),"Да","Нет")</x:f>
        <x:v>Нет</x:v>
      </x:c>
    </x:row>
    <x:row r="881" ht="60" customHeight="1">
      <x:c r="A881" s="14" t="str">
        <x:v>Товары для красоты и здоровья</x:v>
      </x:c>
      <x:c r="B881" s="14" t="str">
        <x:v>Косметика для ухода за волосами</x:v>
      </x:c>
      <x:c r="C881" s="14" t="str">
        <x:v>Уход за волосами для женщин</x:v>
      </x:c>
      <x:c r="D881" s="14" t="str">
        <x:v>Вода для расчесывания</x:v>
      </x:c>
      <x:c r="E881" s="2" t="n">
        <x:v>1</x:v>
      </x:c>
      <x:c r="F881" s="2" t="n">
        <x:v>0</x:v>
      </x:c>
      <x:c r="G881" s="12" t="n">
        <x:v>51059.3522</x:v>
      </x:c>
      <x:c r="H881" s="12" t="n">
        <x:v>168.49586226</x:v>
      </x:c>
      <x:c r="I881" s="13" t="n">
        <x:v>0.0033</x:v>
      </x:c>
      <x:c r="J881" s="2" t="n">
        <x:v>0</x:v>
      </x:c>
      <x:c r="K881" s="2" t="n">
        <x:v>1</x:v>
      </x:c>
      <x:c r="L881" s="12" t="n">
        <x:v>1823.5483</x:v>
      </x:c>
      <x:c r="M881" s="13" t="n">
        <x:v>1</x:v>
      </x:c>
      <x:c r="N881" s="13" t="n">
        <x:f>H881/G881</x:f>
        <x:v>0.0033</x:v>
      </x:c>
      <x:c r="O881" s="13" t="n">
        <x:f>F881/E881</x:f>
        <x:v>0</x:v>
      </x:c>
      <x:c r="P881" s="2" t="str">
        <x:f>IF(AND(E881&gt;='Итоги'!$F$5,N881&lt;='Итоги'!$B$5,O881&gt;='Итоги'!$D$5),"Да","Нет")</x:f>
        <x:v>Нет</x:v>
      </x:c>
    </x:row>
    <x:row r="882" ht="60" customHeight="1">
      <x:c r="A882" s="14" t="str">
        <x:v>Ноутбуки и компьютеры</x:v>
      </x:c>
      <x:c r="B882" s="14" t="str">
        <x:v>Компьютерная периферия Lap&amp;Comp</x:v>
      </x:c>
      <x:c r="C882" s="14" t="str">
        <x:v>Периферийное оборудование Lap&amp;Comp</x:v>
      </x:c>
      <x:c r="D882" s="14" t="str">
        <x:v>Электронная книга</x:v>
      </x:c>
      <x:c r="E882" s="2" t="n">
        <x:v>13</x:v>
      </x:c>
      <x:c r="F882" s="2" t="n">
        <x:v>0</x:v>
      </x:c>
      <x:c r="G882" s="12" t="n">
        <x:v>7141839.5156</x:v>
      </x:c>
      <x:c r="H882" s="12" t="n">
        <x:v>24689.01173615</x:v>
      </x:c>
      <x:c r="I882" s="13" t="n">
        <x:v>0.0036076923076923</x:v>
      </x:c>
      <x:c r="J882" s="2" t="n">
        <x:v>9</x:v>
      </x:c>
      <x:c r="K882" s="2" t="n">
        <x:v>4</x:v>
      </x:c>
      <x:c r="L882" s="12" t="n">
        <x:v>13088.1434</x:v>
      </x:c>
      <x:c r="M882" s="13" t="n">
        <x:v>0.5867011106098734</x:v>
      </x:c>
      <x:c r="N882" s="13" t="n">
        <x:f>H882/G882</x:f>
        <x:v>0.003456954147768445</x:v>
      </x:c>
      <x:c r="O882" s="13" t="n">
        <x:f>F882/E882</x:f>
        <x:v>0</x:v>
      </x:c>
      <x:c r="P882" s="2" t="str">
        <x:f>IF(AND(E882&gt;='Итоги'!$F$5,N882&lt;='Итоги'!$B$5,O882&gt;='Итоги'!$D$5),"Да","Нет")</x:f>
        <x:v>Нет</x:v>
      </x:c>
    </x:row>
    <x:row r="883" ht="60" customHeight="1">
      <x:c r="A883" s="14" t="str">
        <x:v>Ноутбуки и компьютеры</x:v>
      </x:c>
      <x:c r="B883" s="14" t="str">
        <x:v>Фото и видео Lap&amp;Comp</x:v>
      </x:c>
      <x:c r="C883" s="14" t="str">
        <x:v>Фотокамера Lap&amp;Comp</x:v>
      </x:c>
      <x:c r="D883" s="14" t="str">
        <x:v>Зеркальная фотокамера</x:v>
      </x:c>
      <x:c r="E883" s="2" t="n">
        <x:v>2</x:v>
      </x:c>
      <x:c r="F883" s="2" t="n">
        <x:v>0</x:v>
      </x:c>
      <x:c r="G883" s="12" t="n">
        <x:v>171783</x:v>
      </x:c>
      <x:c r="H883" s="12" t="n">
        <x:v>594.016</x:v>
      </x:c>
      <x:c r="I883" s="13" t="n">
        <x:v>0.004</x:v>
      </x:c>
      <x:c r="J883" s="2" t="n">
        <x:v>1</x:v>
      </x:c>
      <x:c r="K883" s="2" t="n">
        <x:v>2</x:v>
      </x:c>
      <x:c r="L883" s="12" t="n">
        <x:v>34818.16665</x:v>
      </x:c>
      <x:c r="M883" s="13" t="n">
        <x:v>0.5677569957446313</x:v>
      </x:c>
      <x:c r="N883" s="13" t="n">
        <x:f>H883/G883</x:f>
        <x:v>0.003457944034042949</x:v>
      </x:c>
      <x:c r="O883" s="13" t="n">
        <x:f>F883/E883</x:f>
        <x:v>0</x:v>
      </x:c>
      <x:c r="P883" s="2" t="str">
        <x:f>IF(AND(E883&gt;='Итоги'!$F$5,N883&lt;='Итоги'!$B$5,O883&gt;='Итоги'!$D$5),"Да","Нет")</x:f>
        <x:v>Нет</x:v>
      </x:c>
    </x:row>
    <x:row r="884" ht="60" customHeight="1">
      <x:c r="A884" s="14" t="str">
        <x:v>Ноутбуки и компьютеры</x:v>
      </x:c>
      <x:c r="B884" s="14" t="str">
        <x:v>Компьютерные комплектующие Lap&amp;Comp</x:v>
      </x:c>
      <x:c r="C884" s="14" t="str">
        <x:v>Компьютерные комплектующие Lap&amp;Comp</x:v>
      </x:c>
      <x:c r="D884" s="14" t="str">
        <x:v>Материнская плата</x:v>
      </x:c>
      <x:c r="E884" s="2" t="n">
        <x:v>260</x:v>
      </x:c>
      <x:c r="F884" s="2" t="n">
        <x:v>0</x:v>
      </x:c>
      <x:c r="G884" s="12" t="n">
        <x:v>56956718.6678</x:v>
      </x:c>
      <x:c r="H884" s="12" t="n">
        <x:v>196997.85887359</x:v>
      </x:c>
      <x:c r="I884" s="13" t="n">
        <x:v>0.0032623076923076</x:v>
      </x:c>
      <x:c r="J884" s="2" t="n">
        <x:v>240</x:v>
      </x:c>
      <x:c r="K884" s="2" t="n">
        <x:v>18</x:v>
      </x:c>
      <x:c r="L884" s="12" t="n">
        <x:v>11813.96385</x:v>
      </x:c>
      <x:c r="M884" s="13" t="n">
        <x:v>0.7757025292747003</x:v>
      </x:c>
      <x:c r="N884" s="13" t="n">
        <x:f>H884/G884</x:f>
        <x:v>0.003458729075011849</x:v>
      </x:c>
      <x:c r="O884" s="13" t="n">
        <x:f>F884/E884</x:f>
        <x:v>0</x:v>
      </x:c>
      <x:c r="P884" s="2" t="str">
        <x:f>IF(AND(E884&gt;='Итоги'!$F$5,N884&lt;='Итоги'!$B$5,O884&gt;='Итоги'!$D$5),"Да","Нет")</x:f>
        <x:v>Нет</x:v>
      </x:c>
    </x:row>
    <x:row r="885" ht="60" customHeight="1">
      <x:c r="A885" s="14" t="str">
        <x:v>Аксессуары для электроники</x:v>
      </x:c>
      <x:c r="B885" s="14" t="str">
        <x:v>Фото и видео Access</x:v>
      </x:c>
      <x:c r="C885" s="14" t="str">
        <x:v>Аксессуар к фото и видео Access</x:v>
      </x:c>
      <x:c r="D885" s="14" t="str">
        <x:v>Крышка для объектива</x:v>
      </x:c>
      <x:c r="E885" s="2" t="n">
        <x:v>1</x:v>
      </x:c>
      <x:c r="F885" s="2" t="n">
        <x:v>0</x:v>
      </x:c>
      <x:c r="G885" s="12" t="n">
        <x:v>35670.067</x:v>
      </x:c>
      <x:c r="H885" s="12" t="n">
        <x:v>124.84523450000002</x:v>
      </x:c>
      <x:c r="I885" s="13" t="n">
        <x:v>0.0035</x:v>
      </x:c>
      <x:c r="J885" s="2" t="n">
        <x:v>0</x:v>
      </x:c>
      <x:c r="K885" s="2" t="n">
        <x:v>1</x:v>
      </x:c>
      <x:c r="L885" s="12" t="n">
        <x:v>2972.5056</x:v>
      </x:c>
      <x:c r="M885" s="13" t="n">
        <x:v>1</x:v>
      </x:c>
      <x:c r="N885" s="13" t="n">
        <x:f>H885/G885</x:f>
        <x:v>0.0035</x:v>
      </x:c>
      <x:c r="O885" s="13" t="n">
        <x:f>F885/E885</x:f>
        <x:v>0</x:v>
      </x:c>
      <x:c r="P885" s="2" t="str">
        <x:f>IF(AND(E885&gt;='Итоги'!$F$5,N885&lt;='Итоги'!$B$5,O885&gt;='Итоги'!$D$5),"Да","Нет")</x:f>
        <x:v>Нет</x:v>
      </x:c>
    </x:row>
    <x:row r="886" ht="60" customHeight="1">
      <x:c r="A886" s="14" t="str">
        <x:v>Ноутбуки и компьютеры</x:v>
      </x:c>
      <x:c r="B886" s="14" t="str">
        <x:v>Компьютерная офисная техника Lap&amp;Comp</x:v>
      </x:c>
      <x:c r="C886" s="14" t="str">
        <x:v>Кассовое и складское оборудование Lap&amp;Comp</x:v>
      </x:c>
      <x:c r="D886" s="14" t="str">
        <x:v>Фискальный накопитель</x:v>
      </x:c>
      <x:c r="E886" s="2" t="n">
        <x:v>9</x:v>
      </x:c>
      <x:c r="F886" s="2" t="n">
        <x:v>0</x:v>
      </x:c>
      <x:c r="G886" s="12" t="n">
        <x:v>2850938.76</x:v>
      </x:c>
      <x:c r="H886" s="12" t="n">
        <x:v>10072.8253</x:v>
      </x:c>
      <x:c r="I886" s="13" t="n">
        <x:v>0.0074111111111111</x:v>
      </x:c>
      <x:c r="J886" s="2" t="n">
        <x:v>4</x:v>
      </x:c>
      <x:c r="K886" s="2" t="n">
        <x:v>6</x:v>
      </x:c>
      <x:c r="L886" s="12" t="n">
        <x:v>11285.7963</x:v>
      </x:c>
      <x:c r="M886" s="13" t="n">
        <x:v>0.4391488226846374</x:v>
      </x:c>
      <x:c r="N886" s="13" t="n">
        <x:f>H886/G886</x:f>
        <x:v>0.003533160880663744</x:v>
      </x:c>
      <x:c r="O886" s="13" t="n">
        <x:f>F886/E886</x:f>
        <x:v>0</x:v>
      </x:c>
      <x:c r="P886" s="2" t="str">
        <x:f>IF(AND(E886&gt;='Итоги'!$F$5,N886&lt;='Итоги'!$B$5,O886&gt;='Итоги'!$D$5),"Да","Нет")</x:f>
        <x:v>Нет</x:v>
      </x:c>
    </x:row>
    <x:row r="887" ht="60" customHeight="1">
      <x:c r="A887" s="14" t="str">
        <x:v>Спорт и отдых</x:v>
      </x:c>
      <x:c r="B887" s="14" t="str">
        <x:v>Тренажеры и фитнес</x:v>
      </x:c>
      <x:c r="C887" s="14" t="str">
        <x:v>Спортивная гимнастика</x:v>
      </x:c>
      <x:c r="D887" s="14" t="str">
        <x:v>Гимнастические кольца</x:v>
      </x:c>
      <x:c r="E887" s="2" t="n">
        <x:v>3</x:v>
      </x:c>
      <x:c r="F887" s="2" t="n">
        <x:v>0</x:v>
      </x:c>
      <x:c r="G887" s="12" t="n">
        <x:v>220900.1223</x:v>
      </x:c>
      <x:c r="H887" s="12" t="n">
        <x:v>799.69949094</x:v>
      </x:c>
      <x:c r="I887" s="13" t="n">
        <x:v>0.0028666666666666</x:v>
      </x:c>
      <x:c r="J887" s="2" t="n">
        <x:v>2</x:v>
      </x:c>
      <x:c r="K887" s="2" t="n">
        <x:v>3</x:v>
      </x:c>
      <x:c r="L887" s="12" t="n">
        <x:v>2113.3707</x:v>
      </x:c>
      <x:c r="M887" s="13" t="n">
        <x:v>0.4209518398261204</x:v>
      </x:c>
      <x:c r="N887" s="13" t="n">
        <x:f>H887/G887</x:f>
        <x:v>0.0036201858225046353</x:v>
      </x:c>
      <x:c r="O887" s="13" t="n">
        <x:f>F887/E887</x:f>
        <x:v>0</x:v>
      </x:c>
      <x:c r="P887" s="2" t="str">
        <x:f>IF(AND(E887&gt;='Итоги'!$F$5,N887&lt;='Итоги'!$B$5,O887&gt;='Итоги'!$D$5),"Да","Нет")</x:f>
        <x:v>Нет</x:v>
      </x:c>
    </x:row>
    <x:row r="888" ht="60" customHeight="1">
      <x:c r="A888" s="14" t="str">
        <x:v>Аудио и видеотехника</x:v>
      </x:c>
      <x:c r="B888" s="14" t="str">
        <x:v>Система безопасности TV&amp;Audio</x:v>
      </x:c>
      <x:c r="C888" s="14" t="str">
        <x:v>Безопасность дома TV&amp;Audio</x:v>
      </x:c>
      <x:c r="D888" s="14" t="str">
        <x:v>Персональный видеорегистратор</x:v>
      </x:c>
      <x:c r="E888" s="2" t="n">
        <x:v>2</x:v>
      </x:c>
      <x:c r="F888" s="2" t="n">
        <x:v>0</x:v>
      </x:c>
      <x:c r="G888" s="12" t="n">
        <x:v>130578</x:v>
      </x:c>
      <x:c r="H888" s="12" t="n">
        <x:v>479.7728</x:v>
      </x:c>
      <x:c r="I888" s="13" t="n">
        <x:v>0.0026</x:v>
      </x:c>
      <x:c r="J888" s="2" t="n">
        <x:v>1</x:v>
      </x:c>
      <x:c r="K888" s="2" t="n">
        <x:v>2</x:v>
      </x:c>
      <x:c r="L888" s="12" t="n">
        <x:v>11520.06665</x:v>
      </x:c>
      <x:c r="M888" s="13" t="n">
        <x:v>0.7065815068388243</x:v>
      </x:c>
      <x:c r="N888" s="13" t="n">
        <x:f>H888/G888</x:f>
        <x:v>0.0036742238355618865</x:v>
      </x:c>
      <x:c r="O888" s="13" t="n">
        <x:f>F888/E888</x:f>
        <x:v>0</x:v>
      </x:c>
      <x:c r="P888" s="2" t="str">
        <x:f>IF(AND(E888&gt;='Итоги'!$F$5,N888&lt;='Итоги'!$B$5,O888&gt;='Итоги'!$D$5),"Да","Нет")</x:f>
        <x:v>Нет</x:v>
      </x:c>
    </x:row>
    <x:row r="889" ht="60" customHeight="1">
      <x:c r="A889" s="14" t="str">
        <x:v>Ноутбуки и компьютеры</x:v>
      </x:c>
      <x:c r="B889" s="14" t="str">
        <x:v>Фото и видео Lap&amp;Comp</x:v>
      </x:c>
      <x:c r="C889" s="14" t="str">
        <x:v>Аксессуар к фото и видео Lap&amp;Comp</x:v>
      </x:c>
      <x:c r="D889" s="14" t="str">
        <x:v>Объектив</x:v>
      </x:c>
      <x:c r="E889" s="2" t="n">
        <x:v>8</x:v>
      </x:c>
      <x:c r="F889" s="2" t="n">
        <x:v>0</x:v>
      </x:c>
      <x:c r="G889" s="12" t="n">
        <x:v>1578955.3</x:v>
      </x:c>
      <x:c r="H889" s="12" t="n">
        <x:v>5839.99181</x:v>
      </x:c>
      <x:c r="I889" s="13" t="n">
        <x:v>0.0046125</x:v>
      </x:c>
      <x:c r="J889" s="2" t="n">
        <x:v>5</x:v>
      </x:c>
      <x:c r="K889" s="2" t="n">
        <x:v>5</x:v>
      </x:c>
      <x:c r="L889" s="12" t="n">
        <x:v>21541.5263</x:v>
      </x:c>
      <x:c r="M889" s="13" t="n">
        <x:v>0.4889999102571175</x:v>
      </x:c>
      <x:c r="N889" s="13" t="n">
        <x:f>H889/G889</x:f>
        <x:v>0.0036986429001504982</x:v>
      </x:c>
      <x:c r="O889" s="13" t="n">
        <x:f>F889/E889</x:f>
        <x:v>0</x:v>
      </x:c>
      <x:c r="P889" s="2" t="str">
        <x:f>IF(AND(E889&gt;='Итоги'!$F$5,N889&lt;='Итоги'!$B$5,O889&gt;='Итоги'!$D$5),"Да","Нет")</x:f>
        <x:v>Нет</x:v>
      </x:c>
    </x:row>
    <x:row r="890" ht="60" customHeight="1">
      <x:c r="A890" s="14" t="str">
        <x:v>Ноутбуки и компьютеры</x:v>
      </x:c>
      <x:c r="B890" s="14" t="str">
        <x:v>Компьютерные комплектующие Lap&amp;Comp</x:v>
      </x:c>
      <x:c r="C890" s="14" t="str">
        <x:v>Компьютерные комплектующие Lap&amp;Comp</x:v>
      </x:c>
      <x:c r="D890" s="14" t="str">
        <x:v>Видеокарта</x:v>
      </x:c>
      <x:c r="E890" s="2" t="n">
        <x:v>195</x:v>
      </x:c>
      <x:c r="F890" s="2" t="n">
        <x:v>0</x:v>
      </x:c>
      <x:c r="G890" s="12" t="n">
        <x:v>59352167.0986</x:v>
      </x:c>
      <x:c r="H890" s="12" t="n">
        <x:v>223492.29932871</x:v>
      </x:c>
      <x:c r="I890" s="13" t="n">
        <x:v>0.0042461538461538</x:v>
      </x:c>
      <x:c r="J890" s="2" t="n">
        <x:v>178</x:v>
      </x:c>
      <x:c r="K890" s="2" t="n">
        <x:v>14</x:v>
      </x:c>
      <x:c r="L890" s="12" t="n">
        <x:v>40724.3333</x:v>
      </x:c>
      <x:c r="M890" s="13" t="n">
        <x:v>0.7458017008639963</x:v>
      </x:c>
      <x:c r="N890" s="13" t="n">
        <x:f>H890/G890</x:f>
        <x:v>0.003765528880477588</x:v>
      </x:c>
      <x:c r="O890" s="13" t="n">
        <x:f>F890/E890</x:f>
        <x:v>0</x:v>
      </x:c>
      <x:c r="P890" s="2" t="str">
        <x:f>IF(AND(E890&gt;='Итоги'!$F$5,N890&lt;='Итоги'!$B$5,O890&gt;='Итоги'!$D$5),"Да","Нет")</x:f>
        <x:v>Нет</x:v>
      </x:c>
    </x:row>
    <x:row r="891" ht="60" customHeight="1">
      <x:c r="A891" s="14" t="str">
        <x:v>Аптека</x:v>
      </x:c>
      <x:c r="B891" s="14" t="str">
        <x:v>Парафармацевтика</x:v>
      </x:c>
      <x:c r="C891" s="14" t="str">
        <x:v>Парафармацевтика</x:v>
      </x:c>
      <x:c r="D891" s="14" t="str">
        <x:v>Средства при воспалительных заболеваниях ЛОР-органов</x:v>
      </x:c>
      <x:c r="E891" s="2" t="n">
        <x:v>1</x:v>
      </x:c>
      <x:c r="F891" s="2" t="n">
        <x:v>0</x:v>
      </x:c>
      <x:c r="G891" s="12" t="n">
        <x:v>69461</x:v>
      </x:c>
      <x:c r="H891" s="12" t="n">
        <x:v>263.9518</x:v>
      </x:c>
      <x:c r="I891" s="13" t="n">
        <x:v>0.0038</x:v>
      </x:c>
      <x:c r="J891" s="2" t="n">
        <x:v>0</x:v>
      </x:c>
      <x:c r="K891" s="2" t="n">
        <x:v>1</x:v>
      </x:c>
      <x:c r="L891" s="12" t="n">
        <x:v>1120.3387</x:v>
      </x:c>
      <x:c r="M891" s="13" t="n">
        <x:v>1</x:v>
      </x:c>
      <x:c r="N891" s="13" t="n">
        <x:f>H891/G891</x:f>
        <x:v>0.0038</x:v>
      </x:c>
      <x:c r="O891" s="13" t="n">
        <x:f>F891/E891</x:f>
        <x:v>0</x:v>
      </x:c>
      <x:c r="P891" s="2" t="str">
        <x:f>IF(AND(E891&gt;='Итоги'!$F$5,N891&lt;='Итоги'!$B$5,O891&gt;='Итоги'!$D$5),"Да","Нет")</x:f>
        <x:v>Нет</x:v>
      </x:c>
    </x:row>
    <x:row r="892" ht="60" customHeight="1">
      <x:c r="A892" s="14" t="str">
        <x:v>Товары для красоты и здоровья</x:v>
      </x:c>
      <x:c r="B892" s="14" t="str">
        <x:v>Уход и гигиена</x:v>
      </x:c>
      <x:c r="C892" s="14" t="str">
        <x:v>Гигиена тела</x:v>
      </x:c>
      <x:c r="D892" s="14" t="str">
        <x:v>Набор косметики для гигиены тела мужской</x:v>
      </x:c>
      <x:c r="E892" s="2" t="n">
        <x:v>2</x:v>
      </x:c>
      <x:c r="F892" s="2" t="n">
        <x:v>0</x:v>
      </x:c>
      <x:c r="G892" s="12" t="n">
        <x:v>144884.1416</x:v>
      </x:c>
      <x:c r="H892" s="12" t="n">
        <x:v>554.5998000000001</x:v>
      </x:c>
      <x:c r="I892" s="13" t="n">
        <x:v>0.0061</x:v>
      </x:c>
      <x:c r="J892" s="2" t="n">
        <x:v>1</x:v>
      </x:c>
      <x:c r="K892" s="2" t="n">
        <x:v>2</x:v>
      </x:c>
      <x:c r="L892" s="12" t="n">
        <x:v>892.5588</x:v>
      </x:c>
      <x:c r="M892" s="13" t="n">
        <x:v>0.6862389527384962</x:v>
      </x:c>
      <x:c r="N892" s="13" t="n">
        <x:f>H892/G892</x:f>
        <x:v>0.003827884776590346</x:v>
      </x:c>
      <x:c r="O892" s="13" t="n">
        <x:f>F892/E892</x:f>
        <x:v>0</x:v>
      </x:c>
      <x:c r="P892" s="2" t="str">
        <x:f>IF(AND(E892&gt;='Итоги'!$F$5,N892&lt;='Итоги'!$B$5,O892&gt;='Итоги'!$D$5),"Да","Нет")</x:f>
        <x:v>Нет</x:v>
      </x:c>
    </x:row>
    <x:row r="893" ht="60" customHeight="1">
      <x:c r="A893" s="14" t="str">
        <x:v>Товары для красоты и здоровья</x:v>
      </x:c>
      <x:c r="B893" s="14" t="str">
        <x:v>Косметическая техника</x:v>
      </x:c>
      <x:c r="C893" s="14" t="str">
        <x:v>Приборы для косметических процедур</x:v>
      </x:c>
      <x:c r="D893" s="14" t="str">
        <x:v>Насадки для эпилятора</x:v>
      </x:c>
      <x:c r="E893" s="2" t="n">
        <x:v>7</x:v>
      </x:c>
      <x:c r="F893" s="2" t="n">
        <x:v>0</x:v>
      </x:c>
      <x:c r="G893" s="12" t="n">
        <x:v>880084.3705</x:v>
      </x:c>
      <x:c r="H893" s="12" t="n">
        <x:v>3371.26665728</x:v>
      </x:c>
      <x:c r="I893" s="13" t="n">
        <x:v>0.0085142857142857</x:v>
      </x:c>
      <x:c r="J893" s="2" t="n">
        <x:v>6</x:v>
      </x:c>
      <x:c r="K893" s="2" t="n">
        <x:v>2</x:v>
      </x:c>
      <x:c r="L893" s="12" t="n">
        <x:v>3148.448</x:v>
      </x:c>
      <x:c r="M893" s="13" t="n">
        <x:v>0.9357278930338646</x:v>
      </x:c>
      <x:c r="N893" s="13" t="n">
        <x:f>H893/G893</x:f>
        <x:v>0.003830617575181674</x:v>
      </x:c>
      <x:c r="O893" s="13" t="n">
        <x:f>F893/E893</x:f>
        <x:v>0</x:v>
      </x:c>
      <x:c r="P893" s="2" t="str">
        <x:f>IF(AND(E893&gt;='Итоги'!$F$5,N893&lt;='Итоги'!$B$5,O893&gt;='Итоги'!$D$5),"Да","Нет")</x:f>
        <x:v>Нет</x:v>
      </x:c>
    </x:row>
    <x:row r="894" ht="60" customHeight="1">
      <x:c r="A894" s="14" t="str">
        <x:v>Строительство и ремонт (DIY)</x:v>
      </x:c>
      <x:c r="B894" s="14" t="str">
        <x:v>Инструменты</x:v>
      </x:c>
      <x:c r="C894" s="14" t="str">
        <x:v>Оснастка для инструмента</x:v>
      </x:c>
      <x:c r="D894" s="14" t="str">
        <x:v>Шлифовальная лента</x:v>
      </x:c>
      <x:c r="E894" s="2" t="n">
        <x:v>1</x:v>
      </x:c>
      <x:c r="F894" s="2" t="n">
        <x:v>0</x:v>
      </x:c>
      <x:c r="G894" s="12" t="n">
        <x:v>103118.3069</x:v>
      </x:c>
      <x:c r="H894" s="12" t="n">
        <x:v>402.16139691</x:v>
      </x:c>
      <x:c r="I894" s="13" t="n">
        <x:v>0.0039</x:v>
      </x:c>
      <x:c r="J894" s="2" t="n">
        <x:v>0</x:v>
      </x:c>
      <x:c r="K894" s="2" t="n">
        <x:v>1</x:v>
      </x:c>
      <x:c r="L894" s="12" t="n">
        <x:v>1718.6384</x:v>
      </x:c>
      <x:c r="M894" s="13" t="n">
        <x:v>1</x:v>
      </x:c>
      <x:c r="N894" s="13" t="n">
        <x:f>H894/G894</x:f>
        <x:v>0.0039000000000000003</x:v>
      </x:c>
      <x:c r="O894" s="13" t="n">
        <x:f>F894/E894</x:f>
        <x:v>0</x:v>
      </x:c>
      <x:c r="P894" s="2" t="str">
        <x:f>IF(AND(E894&gt;='Итоги'!$F$5,N894&lt;='Итоги'!$B$5,O894&gt;='Итоги'!$D$5),"Да","Нет")</x:f>
        <x:v>Нет</x:v>
      </x:c>
    </x:row>
    <x:row r="895" ht="60" customHeight="1">
      <x:c r="A895" s="14" t="str">
        <x:v>Детская одежда</x:v>
      </x:c>
      <x:c r="B895" s="14" t="str">
        <x:v>Детская одежда</x:v>
      </x:c>
      <x:c r="C895" s="14" t="str">
        <x:v>Верхняя одежда для мальчика</x:v>
      </x:c>
      <x:c r="D895" s="14" t="str">
        <x:v>Брюки утепленные для мальчика</x:v>
      </x:c>
      <x:c r="E895" s="2" t="n">
        <x:v>7</x:v>
      </x:c>
      <x:c r="F895" s="2" t="n">
        <x:v>0</x:v>
      </x:c>
      <x:c r="G895" s="12" t="n">
        <x:v>137136.9583</x:v>
      </x:c>
      <x:c r="H895" s="12" t="n">
        <x:v>537.152</x:v>
      </x:c>
      <x:c r="I895" s="13" t="n">
        <x:v>0.0249142857142857</x:v>
      </x:c>
      <x:c r="J895" s="2" t="n">
        <x:v>6</x:v>
      </x:c>
      <x:c r="K895" s="2" t="n">
        <x:v>2</x:v>
      </x:c>
      <x:c r="L895" s="12" t="n">
        <x:v>824.9625</x:v>
      </x:c>
      <x:c r="M895" s="13" t="n">
        <x:v>0.9770521379574744</x:v>
      </x:c>
      <x:c r="N895" s="13" t="n">
        <x:f>H895/G895</x:f>
        <x:v>0.0039169018086643685</x:v>
      </x:c>
      <x:c r="O895" s="13" t="n">
        <x:f>F895/E895</x:f>
        <x:v>0</x:v>
      </x:c>
      <x:c r="P895" s="2" t="str">
        <x:f>IF(AND(E895&gt;='Итоги'!$F$5,N895&lt;='Итоги'!$B$5,O895&gt;='Итоги'!$D$5),"Да","Нет")</x:f>
        <x:v>Нет</x:v>
      </x:c>
    </x:row>
    <x:row r="896" ht="60" customHeight="1">
      <x:c r="A896" s="14" t="str">
        <x:v>Автотовары</x:v>
      </x:c>
      <x:c r="B896" s="14" t="str">
        <x:v>Универсальные авто и мото аксессуары</x:v>
      </x:c>
      <x:c r="C896" s="14" t="str">
        <x:v>Аксессуары для шин и дисков</x:v>
      </x:c>
      <x:c r="D896" s="14" t="str">
        <x:v>Ниппель, вентиль, колпачок</x:v>
      </x:c>
      <x:c r="E896" s="2" t="n">
        <x:v>2</x:v>
      </x:c>
      <x:c r="F896" s="2" t="n">
        <x:v>0</x:v>
      </x:c>
      <x:c r="G896" s="12" t="n">
        <x:v>628457.9639</x:v>
      </x:c>
      <x:c r="H896" s="12" t="n">
        <x:v>2464.06862817</x:v>
      </x:c>
      <x:c r="I896" s="13" t="n">
        <x:v>0.00515</x:v>
      </x:c>
      <x:c r="J896" s="2" t="n">
        <x:v>1</x:v>
      </x:c>
      <x:c r="K896" s="2" t="n">
        <x:v>2</x:v>
      </x:c>
      <x:c r="L896" s="12" t="n">
        <x:v>1323.10875</x:v>
      </x:c>
      <x:c r="M896" s="13" t="n">
        <x:v>0.6193381615925132</x:v>
      </x:c>
      <x:c r="N896" s="13" t="n">
        <x:f>H896/G896</x:f>
        <x:v>0.003920816935597114</x:v>
      </x:c>
      <x:c r="O896" s="13" t="n">
        <x:f>F896/E896</x:f>
        <x:v>0</x:v>
      </x:c>
      <x:c r="P896" s="2" t="str">
        <x:f>IF(AND(E896&gt;='Итоги'!$F$5,N896&lt;='Итоги'!$B$5,O896&gt;='Итоги'!$D$5),"Да","Нет")</x:f>
        <x:v>Нет</x:v>
      </x:c>
    </x:row>
    <x:row r="897" ht="60" customHeight="1">
      <x:c r="A897" s="14" t="str">
        <x:v>Хобби и творчество</x:v>
      </x:c>
      <x:c r="B897" s="14" t="str">
        <x:v>Взрослое творчество и хобби</x:v>
      </x:c>
      <x:c r="C897" s="14" t="str">
        <x:v>Мыловарение, свечеварение</x:v>
      </x:c>
      <x:c r="D897" s="14" t="str">
        <x:v>Материалы и инструменты для свечеварения</x:v>
      </x:c>
      <x:c r="E897" s="2" t="n">
        <x:v>4</x:v>
      </x:c>
      <x:c r="F897" s="2" t="n">
        <x:v>0</x:v>
      </x:c>
      <x:c r="G897" s="12" t="n">
        <x:v>301547</x:v>
      </x:c>
      <x:c r="H897" s="12" t="n">
        <x:v>1190.7168</x:v>
      </x:c>
      <x:c r="I897" s="13" t="n">
        <x:v>0.0039</x:v>
      </x:c>
      <x:c r="J897" s="2" t="n">
        <x:v>3</x:v>
      </x:c>
      <x:c r="K897" s="2" t="n">
        <x:v>4</x:v>
      </x:c>
      <x:c r="L897" s="12" t="n">
        <x:v>3664.35295</x:v>
      </x:c>
      <x:c r="M897" s="13" t="n">
        <x:v>0.4112858028765002</x:v>
      </x:c>
      <x:c r="N897" s="13" t="n">
        <x:f>H897/G897</x:f>
        <x:v>0.0039486939017798215</x:v>
      </x:c>
      <x:c r="O897" s="13" t="n">
        <x:f>F897/E897</x:f>
        <x:v>0</x:v>
      </x:c>
      <x:c r="P897" s="2" t="str">
        <x:f>IF(AND(E897&gt;='Итоги'!$F$5,N897&lt;='Итоги'!$B$5,O897&gt;='Итоги'!$D$5),"Да","Нет")</x:f>
        <x:v>Нет</x:v>
      </x:c>
    </x:row>
    <x:row r="898" ht="60" customHeight="1">
      <x:c r="A898" s="14" t="str">
        <x:v>Одежда</x:v>
      </x:c>
      <x:c r="B898" s="14" t="str">
        <x:v>Спецодежда и одежда для мероприятий</x:v>
      </x:c>
      <x:c r="C898" s="14" t="str">
        <x:v>Свадебное платье женское</x:v>
      </x:c>
      <x:c r="D898" s="14" t="str">
        <x:v>Свадебное платье женское</x:v>
      </x:c>
      <x:c r="E898" s="2" t="n">
        <x:v>277</x:v>
      </x:c>
      <x:c r="F898" s="2" t="n">
        <x:v>0</x:v>
      </x:c>
      <x:c r="G898" s="12" t="n">
        <x:v>26891271.3205</x:v>
      </x:c>
      <x:c r="H898" s="12" t="n">
        <x:v>106654.77388025</x:v>
      </x:c>
      <x:c r="I898" s="13" t="n">
        <x:v>0.0032866425992779</x:v>
      </x:c>
      <x:c r="J898" s="2" t="n">
        <x:v>256</x:v>
      </x:c>
      <x:c r="K898" s="2" t="n">
        <x:v>18</x:v>
      </x:c>
      <x:c r="L898" s="12" t="n">
        <x:v>9288.8</x:v>
      </x:c>
      <x:c r="M898" s="13" t="n">
        <x:v>0.3620856572361918</x:v>
      </x:c>
      <x:c r="N898" s="13" t="n">
        <x:f>H898/G898</x:f>
        <x:v>0.003966148443080263</x:v>
      </x:c>
      <x:c r="O898" s="13" t="n">
        <x:f>F898/E898</x:f>
        <x:v>0</x:v>
      </x:c>
      <x:c r="P898" s="2" t="str">
        <x:f>IF(AND(E898&gt;='Итоги'!$F$5,N898&lt;='Итоги'!$B$5,O898&gt;='Итоги'!$D$5),"Да","Нет")</x:f>
        <x:v>Нет</x:v>
      </x:c>
    </x:row>
    <x:row r="899" ht="60" customHeight="1">
      <x:c r="A899" s="14" t="str">
        <x:v>Спорт и отдых</x:v>
      </x:c>
      <x:c r="B899" s="14" t="str">
        <x:v>Тренажеры и фитнес</x:v>
      </x:c>
      <x:c r="C899" s="14" t="str">
        <x:v>Измерительные приборы для спорта</x:v>
      </x:c>
      <x:c r="D899" s="14" t="str">
        <x:v>Секундомер, таймер</x:v>
      </x:c>
      <x:c r="E899" s="2" t="n">
        <x:v>1</x:v>
      </x:c>
      <x:c r="F899" s="2" t="n">
        <x:v>0</x:v>
      </x:c>
      <x:c r="G899" s="12" t="n">
        <x:v>108145.01</x:v>
      </x:c>
      <x:c r="H899" s="12" t="n">
        <x:v>432.58004</x:v>
      </x:c>
      <x:c r="I899" s="13" t="n">
        <x:v>0.004</x:v>
      </x:c>
      <x:c r="J899" s="2" t="n">
        <x:v>0</x:v>
      </x:c>
      <x:c r="K899" s="2" t="n">
        <x:v>1</x:v>
      </x:c>
      <x:c r="L899" s="12" t="n">
        <x:v>2002.6854</x:v>
      </x:c>
      <x:c r="M899" s="13" t="n">
        <x:v>1</x:v>
      </x:c>
      <x:c r="N899" s="13" t="n">
        <x:f>H899/G899</x:f>
        <x:v>0.004</x:v>
      </x:c>
      <x:c r="O899" s="13" t="n">
        <x:f>F899/E899</x:f>
        <x:v>0</x:v>
      </x:c>
      <x:c r="P899" s="2" t="str">
        <x:f>IF(AND(E899&gt;='Итоги'!$F$5,N899&lt;='Итоги'!$B$5,O899&gt;='Итоги'!$D$5),"Да","Нет")</x:f>
        <x:v>Нет</x:v>
      </x:c>
    </x:row>
    <x:row r="900" ht="60" customHeight="1">
      <x:c r="A900" s="14" t="str">
        <x:v>Спорт и отдых</x:v>
      </x:c>
      <x:c r="B900" s="14" t="str">
        <x:v>Водные виды спорта</x:v>
      </x:c>
      <x:c r="C900" s="14" t="str">
        <x:v>Отдых на воде</x:v>
      </x:c>
      <x:c r="D900" s="14" t="str">
        <x:v>Буксируемый баллон без газа для отдыха на воде</x:v>
      </x:c>
      <x:c r="E900" s="2" t="n">
        <x:v>15</x:v>
      </x:c>
      <x:c r="F900" s="2" t="n">
        <x:v>0</x:v>
      </x:c>
      <x:c r="G900" s="12" t="n">
        <x:v>2307425.5446</x:v>
      </x:c>
      <x:c r="H900" s="12" t="n">
        <x:v>9343.1613</x:v>
      </x:c>
      <x:c r="I900" s="13" t="n">
        <x:v>0.0021</x:v>
      </x:c>
      <x:c r="J900" s="2" t="n">
        <x:v>13</x:v>
      </x:c>
      <x:c r="K900" s="2" t="n">
        <x:v>4</x:v>
      </x:c>
      <x:c r="L900" s="12" t="n">
        <x:v>16686.4762</x:v>
      </x:c>
      <x:c r="M900" s="13" t="n">
        <x:v>0.3937612360781524</x:v>
      </x:c>
      <x:c r="N900" s="13" t="n">
        <x:f>H900/G900</x:f>
        <x:v>0.004049171303431881</x:v>
      </x:c>
      <x:c r="O900" s="13" t="n">
        <x:f>F900/E900</x:f>
        <x:v>0</x:v>
      </x:c>
      <x:c r="P900" s="2" t="str">
        <x:f>IF(AND(E900&gt;='Итоги'!$F$5,N900&lt;='Итоги'!$B$5,O900&gt;='Итоги'!$D$5),"Да","Нет")</x:f>
        <x:v>Нет</x:v>
      </x:c>
    </x:row>
    <x:row r="901" ht="60" customHeight="1">
      <x:c r="A901" s="14" t="str">
        <x:v>Детская одежда</x:v>
      </x:c>
      <x:c r="B901" s="14" t="str">
        <x:v>Детская одежда</x:v>
      </x:c>
      <x:c r="C901" s="14" t="str">
        <x:v>Верхняя одежда для мальчика</x:v>
      </x:c>
      <x:c r="D901" s="14" t="str">
        <x:v>Парка зимняя для мальчика</x:v>
      </x:c>
      <x:c r="E901" s="2" t="n">
        <x:v>18</x:v>
      </x:c>
      <x:c r="F901" s="2" t="n">
        <x:v>0</x:v>
      </x:c>
      <x:c r="G901" s="12" t="n">
        <x:v>895509.36</x:v>
      </x:c>
      <x:c r="H901" s="12" t="n">
        <x:v>3641.914125</x:v>
      </x:c>
      <x:c r="I901" s="13" t="n">
        <x:v>0.0024166666666666</x:v>
      </x:c>
      <x:c r="J901" s="2" t="n">
        <x:v>16</x:v>
      </x:c>
      <x:c r="K901" s="2" t="n">
        <x:v>5</x:v>
      </x:c>
      <x:c r="L901" s="12" t="n">
        <x:v>2966.994</x:v>
      </x:c>
      <x:c r="M901" s="13" t="n">
        <x:v>0.7438957533620866</x:v>
      </x:c>
      <x:c r="N901" s="13" t="n">
        <x:f>H901/G901</x:f>
        <x:v>0.004066863270976866</x:v>
      </x:c>
      <x:c r="O901" s="13" t="n">
        <x:f>F901/E901</x:f>
        <x:v>0</x:v>
      </x:c>
      <x:c r="P901" s="2" t="str">
        <x:f>IF(AND(E901&gt;='Итоги'!$F$5,N901&lt;='Итоги'!$B$5,O901&gt;='Итоги'!$D$5),"Да","Нет")</x:f>
        <x:v>Нет</x:v>
      </x:c>
    </x:row>
    <x:row r="902" ht="60" customHeight="1">
      <x:c r="A902" s="14" t="str">
        <x:v>Ноутбуки и компьютеры</x:v>
      </x:c>
      <x:c r="B902" s="14" t="str">
        <x:v>Компьютерная офисная техника Lap&amp;Comp</x:v>
      </x:c>
      <x:c r="C902" s="14" t="str">
        <x:v>Компьютерная офисная техника Lap&amp;Comp</x:v>
      </x:c>
      <x:c r="D902" s="14" t="str">
        <x:v>Термопресс</x:v>
      </x:c>
      <x:c r="E902" s="2" t="n">
        <x:v>6</x:v>
      </x:c>
      <x:c r="F902" s="2" t="n">
        <x:v>0</x:v>
      </x:c>
      <x:c r="G902" s="12" t="n">
        <x:v>1580082.6727</x:v>
      </x:c>
      <x:c r="H902" s="12" t="n">
        <x:v>6432.740684910001</x:v>
      </x:c>
      <x:c r="I902" s="13" t="n">
        <x:v>0.0084833333333333</x:v>
      </x:c>
      <x:c r="J902" s="2" t="n">
        <x:v>2</x:v>
      </x:c>
      <x:c r="K902" s="2" t="n">
        <x:v>4</x:v>
      </x:c>
      <x:c r="L902" s="12" t="n">
        <x:v>10530.08035</x:v>
      </x:c>
      <x:c r="M902" s="13" t="n">
        <x:v>0.5968392960024894</x:v>
      </x:c>
      <x:c r="N902" s="13" t="n">
        <x:f>H902/G902</x:f>
        <x:v>0.004071141843431469</x:v>
      </x:c>
      <x:c r="O902" s="13" t="n">
        <x:f>F902/E902</x:f>
        <x:v>0</x:v>
      </x:c>
      <x:c r="P902" s="2" t="str">
        <x:f>IF(AND(E902&gt;='Итоги'!$F$5,N902&lt;='Итоги'!$B$5,O902&gt;='Итоги'!$D$5),"Да","Нет")</x:f>
        <x:v>Нет</x:v>
      </x:c>
    </x:row>
    <x:row r="903" ht="60" customHeight="1">
      <x:c r="A903" s="14" t="str">
        <x:v>Строительство и ремонт (DIY)</x:v>
      </x:c>
      <x:c r="B903" s="14" t="str">
        <x:v>Ремонт и строительство</x:v>
      </x:c>
      <x:c r="C903" s="14" t="str">
        <x:v>Скобяные изделия</x:v>
      </x:c>
      <x:c r="D903" s="14" t="str">
        <x:v>Механизм качания мебельный</x:v>
      </x:c>
      <x:c r="E903" s="2" t="n">
        <x:v>7</x:v>
      </x:c>
      <x:c r="F903" s="2" t="n">
        <x:v>0</x:v>
      </x:c>
      <x:c r="G903" s="12" t="n">
        <x:v>978719.5583</x:v>
      </x:c>
      <x:c r="H903" s="12" t="n">
        <x:v>4023.62402</x:v>
      </x:c>
      <x:c r="I903" s="13" t="n">
        <x:v>0.0050857142857142</x:v>
      </x:c>
      <x:c r="J903" s="2" t="n">
        <x:v>5</x:v>
      </x:c>
      <x:c r="K903" s="2" t="n">
        <x:v>4</x:v>
      </x:c>
      <x:c r="L903" s="12" t="n">
        <x:v>1607.3646</x:v>
      </x:c>
      <x:c r="M903" s="13" t="n">
        <x:v>0.3838147840352605</x:v>
      </x:c>
      <x:c r="N903" s="13" t="n">
        <x:f>H903/G903</x:f>
        <x:v>0.004111110262258259</x:v>
      </x:c>
      <x:c r="O903" s="13" t="n">
        <x:f>F903/E903</x:f>
        <x:v>0</x:v>
      </x:c>
      <x:c r="P903" s="2" t="str">
        <x:f>IF(AND(E903&gt;='Итоги'!$F$5,N903&lt;='Итоги'!$B$5,O903&gt;='Итоги'!$D$5),"Да","Нет")</x:f>
        <x:v>Нет</x:v>
      </x:c>
    </x:row>
    <x:row r="904" ht="60" customHeight="1">
      <x:c r="A904" s="14" t="str">
        <x:v>Детская одежда</x:v>
      </x:c>
      <x:c r="B904" s="14" t="str">
        <x:v>Детская обувь</x:v>
      </x:c>
      <x:c r="C904" s="14" t="str">
        <x:v>Обувь для мальчика</x:v>
      </x:c>
      <x:c r="D904" s="14" t="str">
        <x:v>Резиновые сапоги для мальчика</x:v>
      </x:c>
      <x:c r="E904" s="2" t="n">
        <x:v>15</x:v>
      </x:c>
      <x:c r="F904" s="2" t="n">
        <x:v>0</x:v>
      </x:c>
      <x:c r="G904" s="12" t="n">
        <x:v>1349319.1573</x:v>
      </x:c>
      <x:c r="H904" s="12" t="n">
        <x:v>5560.27261368</x:v>
      </x:c>
      <x:c r="I904" s="13" t="n">
        <x:v>0.0043866666666666</x:v>
      </x:c>
      <x:c r="J904" s="2" t="n">
        <x:v>9</x:v>
      </x:c>
      <x:c r="K904" s="2" t="n">
        <x:v>2</x:v>
      </x:c>
      <x:c r="L904" s="12" t="n">
        <x:v>1324.0935</x:v>
      </x:c>
      <x:c r="M904" s="13" t="n">
        <x:v>0.8654526254831526</x:v>
      </x:c>
      <x:c r="N904" s="13" t="n">
        <x:f>H904/G904</x:f>
        <x:v>0.004120798688433474</x:v>
      </x:c>
      <x:c r="O904" s="13" t="n">
        <x:f>F904/E904</x:f>
        <x:v>0</x:v>
      </x:c>
      <x:c r="P904" s="2" t="str">
        <x:f>IF(AND(E904&gt;='Итоги'!$F$5,N904&lt;='Итоги'!$B$5,O904&gt;='Итоги'!$D$5),"Да","Нет")</x:f>
        <x:v>Нет</x:v>
      </x:c>
    </x:row>
    <x:row r="905" ht="60" customHeight="1">
      <x:c r="A905" s="14" t="str">
        <x:v>Детская одежда</x:v>
      </x:c>
      <x:c r="B905" s="14" t="str">
        <x:v>Детская обувь</x:v>
      </x:c>
      <x:c r="C905" s="14" t="str">
        <x:v>Обувь для мальчика</x:v>
      </x:c>
      <x:c r="D905" s="14" t="str">
        <x:v>Ботинки для мальчика</x:v>
      </x:c>
      <x:c r="E905" s="2" t="n">
        <x:v>46</x:v>
      </x:c>
      <x:c r="F905" s="2" t="n">
        <x:v>0</x:v>
      </x:c>
      <x:c r="G905" s="12" t="n">
        <x:v>2331255.7662</x:v>
      </x:c>
      <x:c r="H905" s="12" t="n">
        <x:v>9725.25299542</x:v>
      </x:c>
      <x:c r="I905" s="13" t="n">
        <x:v>0.0021043478260869</x:v>
      </x:c>
      <x:c r="J905" s="2" t="n">
        <x:v>41</x:v>
      </x:c>
      <x:c r="K905" s="2" t="n">
        <x:v>3</x:v>
      </x:c>
      <x:c r="L905" s="12" t="n">
        <x:v>3210.4125</x:v>
      </x:c>
      <x:c r="M905" s="13" t="n">
        <x:v>0.9904963237748408</x:v>
      </x:c>
      <x:c r="N905" s="13" t="n">
        <x:f>H905/G905</x:f>
        <x:v>0.004171679974553965</x:v>
      </x:c>
      <x:c r="O905" s="13" t="n">
        <x:f>F905/E905</x:f>
        <x:v>0</x:v>
      </x:c>
      <x:c r="P905" s="2" t="str">
        <x:f>IF(AND(E905&gt;='Итоги'!$F$5,N905&lt;='Итоги'!$B$5,O905&gt;='Итоги'!$D$5),"Да","Нет")</x:f>
        <x:v>Нет</x:v>
      </x:c>
    </x:row>
    <x:row r="906" ht="60" customHeight="1">
      <x:c r="A906" s="14" t="str">
        <x:v>Бакалея и кондитерские изделия</x:v>
      </x:c>
      <x:c r="B906" s="14" t="str">
        <x:v>Бакалея</x:v>
      </x:c>
      <x:c r="C906" s="14" t="str">
        <x:v>Снэки, чипсы, готовые завтраки</x:v>
      </x:c>
      <x:c r="D906" s="14" t="str">
        <x:v>Вяленые овощи</x:v>
      </x:c>
      <x:c r="E906" s="2" t="n">
        <x:v>1</x:v>
      </x:c>
      <x:c r="F906" s="2" t="n">
        <x:v>0</x:v>
      </x:c>
      <x:c r="G906" s="12" t="n">
        <x:v>16105</x:v>
      </x:c>
      <x:c r="H906" s="12" t="n">
        <x:v>67.64099999999999</x:v>
      </x:c>
      <x:c r="I906" s="13" t="n">
        <x:v>0.0042</x:v>
      </x:c>
      <x:c r="J906" s="2" t="n">
        <x:v>0</x:v>
      </x:c>
      <x:c r="K906" s="2" t="n">
        <x:v>1</x:v>
      </x:c>
      <x:c r="L906" s="12" t="n">
        <x:v>1006.5625</x:v>
      </x:c>
      <x:c r="M906" s="13" t="n">
        <x:v>1</x:v>
      </x:c>
      <x:c r="N906" s="13" t="n">
        <x:f>H906/G906</x:f>
        <x:v>0.0042</x:v>
      </x:c>
      <x:c r="O906" s="13" t="n">
        <x:f>F906/E906</x:f>
        <x:v>0</x:v>
      </x:c>
      <x:c r="P906" s="2" t="str">
        <x:f>IF(AND(E906&gt;='Итоги'!$F$5,N906&lt;='Итоги'!$B$5,O906&gt;='Итоги'!$D$5),"Да","Нет")</x:f>
        <x:v>Нет</x:v>
      </x:c>
    </x:row>
    <x:row r="907" ht="60" customHeight="1">
      <x:c r="A907" s="14" t="str">
        <x:v>Строительство и ремонт (DIY)</x:v>
      </x:c>
      <x:c r="B907" s="14" t="str">
        <x:v>Ремонт и строительство</x:v>
      </x:c>
      <x:c r="C907" s="14" t="str">
        <x:v>Изоляционные материалы</x:v>
      </x:c>
      <x:c r="D907" s="14" t="str">
        <x:v>Комплектующие для инъекционной гидроизоляции</x:v>
      </x:c>
      <x:c r="E907" s="2" t="n">
        <x:v>4</x:v>
      </x:c>
      <x:c r="F907" s="2" t="n">
        <x:v>0</x:v>
      </x:c>
      <x:c r="G907" s="12" t="n">
        <x:v>588401.15</x:v>
      </x:c>
      <x:c r="H907" s="12" t="n">
        <x:v>2477.146209</x:v>
      </x:c>
      <x:c r="I907" s="13" t="n">
        <x:v>0.0048</x:v>
      </x:c>
      <x:c r="J907" s="2" t="n">
        <x:v>0</x:v>
      </x:c>
      <x:c r="K907" s="2" t="n">
        <x:v>1</x:v>
      </x:c>
      <x:c r="L907" s="12" t="n">
        <x:v>9368.94575</x:v>
      </x:c>
      <x:c r="M907" s="13" t="n">
        <x:v>1</x:v>
      </x:c>
      <x:c r="N907" s="13" t="n">
        <x:f>H907/G907</x:f>
        <x:v>0.004209961535595231</x:v>
      </x:c>
      <x:c r="O907" s="13" t="n">
        <x:f>F907/E907</x:f>
        <x:v>0</x:v>
      </x:c>
      <x:c r="P907" s="2" t="str">
        <x:f>IF(AND(E907&gt;='Итоги'!$F$5,N907&lt;='Итоги'!$B$5,O907&gt;='Итоги'!$D$5),"Да","Нет")</x:f>
        <x:v>Нет</x:v>
      </x:c>
    </x:row>
    <x:row r="908" ht="60" customHeight="1">
      <x:c r="A908" s="14" t="str">
        <x:v>Обувь</x:v>
      </x:c>
      <x:c r="B908" s="14" t="str">
        <x:v>Обувь женская</x:v>
      </x:c>
      <x:c r="C908" s="14" t="str">
        <x:v>Обувь женская повседневная</x:v>
      </x:c>
      <x:c r="D908" s="14" t="str">
        <x:v>Женские Ботильоны</x:v>
      </x:c>
      <x:c r="E908" s="2" t="n">
        <x:v>149</x:v>
      </x:c>
      <x:c r="F908" s="2" t="n">
        <x:v>0</x:v>
      </x:c>
      <x:c r="G908" s="12" t="n">
        <x:v>5670673.4005</x:v>
      </x:c>
      <x:c r="H908" s="12" t="n">
        <x:v>23888.81095959</x:v>
      </x:c>
      <x:c r="I908" s="13" t="n">
        <x:v>0.0018550335570469</x:v>
      </x:c>
      <x:c r="J908" s="2" t="n">
        <x:v>142</x:v>
      </x:c>
      <x:c r="K908" s="2" t="n">
        <x:v>11</x:v>
      </x:c>
      <x:c r="L908" s="12" t="n">
        <x:v>8540</x:v>
      </x:c>
      <x:c r="M908" s="13" t="n">
        <x:v>0.4099632805153296</x:v>
      </x:c>
      <x:c r="N908" s="13" t="n">
        <x:f>H908/G908</x:f>
        <x:v>0.004212693849990312</x:v>
      </x:c>
      <x:c r="O908" s="13" t="n">
        <x:f>F908/E908</x:f>
        <x:v>0</x:v>
      </x:c>
      <x:c r="P908" s="2" t="str">
        <x:f>IF(AND(E908&gt;='Итоги'!$F$5,N908&lt;='Итоги'!$B$5,O908&gt;='Итоги'!$D$5),"Да","Нет")</x:f>
        <x:v>Нет</x:v>
      </x:c>
    </x:row>
    <x:row r="909" ht="60" customHeight="1">
      <x:c r="A909" s="14" t="str">
        <x:v>Хобби и творчество</x:v>
      </x:c>
      <x:c r="B909" s="14" t="str">
        <x:v>Взрослое творчество и хобби</x:v>
      </x:c>
      <x:c r="C909" s="14" t="str">
        <x:v>Живопись и аэрография</x:v>
      </x:c>
      <x:c r="D909" s="14" t="str">
        <x:v>Набор для рисования песком</x:v>
      </x:c>
      <x:c r="E909" s="2" t="n">
        <x:v>3</x:v>
      </x:c>
      <x:c r="F909" s="2" t="n">
        <x:v>0</x:v>
      </x:c>
      <x:c r="G909" s="12" t="n">
        <x:v>298536.0673</x:v>
      </x:c>
      <x:c r="H909" s="12" t="n">
        <x:v>1273.8227</x:v>
      </x:c>
      <x:c r="I909" s="13" t="n">
        <x:v>0.0042333333333333</x:v>
      </x:c>
      <x:c r="J909" s="2" t="n">
        <x:v>2</x:v>
      </x:c>
      <x:c r="K909" s="2" t="n">
        <x:v>2</x:v>
      </x:c>
      <x:c r="L909" s="12" t="n">
        <x:v>2868.7778</x:v>
      </x:c>
      <x:c r="M909" s="13" t="n">
        <x:v>0.6640238450679156</x:v>
      </x:c>
      <x:c r="N909" s="13" t="n">
        <x:f>H909/G909</x:f>
        <x:v>0.004266897167637473</x:v>
      </x:c>
      <x:c r="O909" s="13" t="n">
        <x:f>F909/E909</x:f>
        <x:v>0</x:v>
      </x:c>
      <x:c r="P909" s="2" t="str">
        <x:f>IF(AND(E909&gt;='Итоги'!$F$5,N909&lt;='Итоги'!$B$5,O909&gt;='Итоги'!$D$5),"Да","Нет")</x:f>
        <x:v>Нет</x:v>
      </x:c>
    </x:row>
    <x:row r="910" ht="60" customHeight="1">
      <x:c r="A910" s="14" t="str">
        <x:v>Ноутбуки и компьютеры</x:v>
      </x:c>
      <x:c r="B910" s="14" t="str">
        <x:v>Компьютерная офисная техника Lap&amp;Comp</x:v>
      </x:c>
      <x:c r="C910" s="14" t="str">
        <x:v>Кассовое и складское оборудование Lap&amp;Comp</x:v>
      </x:c>
      <x:c r="D910" s="14" t="str">
        <x:v>Запчасти для кассового оборудования</x:v>
      </x:c>
      <x:c r="E910" s="2" t="n">
        <x:v>3</x:v>
      </x:c>
      <x:c r="F910" s="2" t="n">
        <x:v>0</x:v>
      </x:c>
      <x:c r="G910" s="12" t="n">
        <x:v>187151.5884</x:v>
      </x:c>
      <x:c r="H910" s="12" t="n">
        <x:v>813.0812000000001</x:v>
      </x:c>
      <x:c r="I910" s="13" t="n">
        <x:v>0.0031333333333333</x:v>
      </x:c>
      <x:c r="J910" s="2" t="n">
        <x:v>2</x:v>
      </x:c>
      <x:c r="K910" s="2" t="n">
        <x:v>3</x:v>
      </x:c>
      <x:c r="L910" s="12" t="n">
        <x:v>3089.2143</x:v>
      </x:c>
      <x:c r="M910" s="13" t="n">
        <x:v>0.4621814900930864</x:v>
      </x:c>
      <x:c r="N910" s="13" t="n">
        <x:f>H910/G910</x:f>
        <x:v>0.004344506006875013</x:v>
      </x:c>
      <x:c r="O910" s="13" t="n">
        <x:f>F910/E910</x:f>
        <x:v>0</x:v>
      </x:c>
      <x:c r="P910" s="2" t="str">
        <x:f>IF(AND(E910&gt;='Итоги'!$F$5,N910&lt;='Итоги'!$B$5,O910&gt;='Итоги'!$D$5),"Да","Нет")</x:f>
        <x:v>Нет</x:v>
      </x:c>
    </x:row>
    <x:row r="911" ht="60" customHeight="1">
      <x:c r="A911" s="14" t="str">
        <x:v>Одежда</x:v>
      </x:c>
      <x:c r="B911" s="14" t="str">
        <x:v>Верхняя одежда</x:v>
      </x:c>
      <x:c r="C911" s="14" t="str">
        <x:v>Верхняя одежда женская</x:v>
      </x:c>
      <x:c r="D911" s="14" t="str">
        <x:v>Дубленка женская из натурального меха</x:v>
      </x:c>
      <x:c r="E911" s="2" t="n">
        <x:v>15</x:v>
      </x:c>
      <x:c r="F911" s="2" t="n">
        <x:v>0</x:v>
      </x:c>
      <x:c r="G911" s="12" t="n">
        <x:v>613644.23</x:v>
      </x:c>
      <x:c r="H911" s="12" t="n">
        <x:v>2688.2361</x:v>
      </x:c>
      <x:c r="I911" s="13" t="n">
        <x:v>0.01782</x:v>
      </x:c>
      <x:c r="J911" s="2" t="n">
        <x:v>14</x:v>
      </x:c>
      <x:c r="K911" s="2" t="n">
        <x:v>6</x:v>
      </x:c>
      <x:c r="L911" s="12" t="n">
        <x:v>10370.625</x:v>
      </x:c>
      <x:c r="M911" s="13" t="n">
        <x:v>0.5982391458321054</x:v>
      </x:c>
      <x:c r="N911" s="13" t="n">
        <x:f>H911/G911</x:f>
        <x:v>0.004380773041734622</x:v>
      </x:c>
      <x:c r="O911" s="13" t="n">
        <x:f>F911/E911</x:f>
        <x:v>0</x:v>
      </x:c>
      <x:c r="P911" s="2" t="str">
        <x:f>IF(AND(E911&gt;='Итоги'!$F$5,N911&lt;='Итоги'!$B$5,O911&gt;='Итоги'!$D$5),"Да","Нет")</x:f>
        <x:v>Нет</x:v>
      </x:c>
    </x:row>
    <x:row r="912" ht="60" customHeight="1">
      <x:c r="A912" s="14" t="str">
        <x:v>Товары для красоты и здоровья</x:v>
      </x:c>
      <x:c r="B912" s="14" t="str">
        <x:v>Уход и гигиена</x:v>
      </x:c>
      <x:c r="C912" s="14" t="str">
        <x:v>Гигиена тела</x:v>
      </x:c>
      <x:c r="D912" s="14" t="str">
        <x:v>Набор косметики для гигиены тела женский</x:v>
      </x:c>
      <x:c r="E912" s="2" t="n">
        <x:v>7</x:v>
      </x:c>
      <x:c r="F912" s="2" t="n">
        <x:v>0</x:v>
      </x:c>
      <x:c r="G912" s="12" t="n">
        <x:v>1051545.7258</x:v>
      </x:c>
      <x:c r="H912" s="12" t="n">
        <x:v>4608.89405416</x:v>
      </x:c>
      <x:c r="I912" s="13" t="n">
        <x:v>0.0058</x:v>
      </x:c>
      <x:c r="J912" s="2" t="n">
        <x:v>4</x:v>
      </x:c>
      <x:c r="K912" s="2" t="n">
        <x:v>2</x:v>
      </x:c>
      <x:c r="L912" s="12" t="n">
        <x:v>841.6849</x:v>
      </x:c>
      <x:c r="M912" s="13" t="n">
        <x:v>0.899146280377568</x:v>
      </x:c>
      <x:c r="N912" s="13" t="n">
        <x:f>H912/G912</x:f>
        <x:v>0.0043829706508042</x:v>
      </x:c>
      <x:c r="O912" s="13" t="n">
        <x:f>F912/E912</x:f>
        <x:v>0</x:v>
      </x:c>
      <x:c r="P912" s="2" t="str">
        <x:f>IF(AND(E912&gt;='Итоги'!$F$5,N912&lt;='Итоги'!$B$5,O912&gt;='Итоги'!$D$5),"Да","Нет")</x:f>
        <x:v>Нет</x:v>
      </x:c>
    </x:row>
    <x:row r="913" ht="60" customHeight="1">
      <x:c r="A913" s="14" t="str">
        <x:v>Автотовары</x:v>
      </x:c>
      <x:c r="B913" s="14" t="str">
        <x:v>Масла и автохимия</x:v>
      </x:c>
      <x:c r="C913" s="14" t="str">
        <x:v>Масла автомобильные</x:v>
      </x:c>
      <x:c r="D913" s="14" t="str">
        <x:v>Автохимия - Масло индустриальное</x:v>
      </x:c>
      <x:c r="E913" s="2" t="n">
        <x:v>4</x:v>
      </x:c>
      <x:c r="F913" s="2" t="n">
        <x:v>0</x:v>
      </x:c>
      <x:c r="G913" s="12" t="n">
        <x:v>813169.91</x:v>
      </x:c>
      <x:c r="H913" s="12" t="n">
        <x:v>3604.303</x:v>
      </x:c>
      <x:c r="I913" s="13" t="n">
        <x:v>0.0069999999999999</x:v>
      </x:c>
      <x:c r="J913" s="2" t="n">
        <x:v>2</x:v>
      </x:c>
      <x:c r="K913" s="2" t="n">
        <x:v>3</x:v>
      </x:c>
      <x:c r="L913" s="12" t="n">
        <x:v>1470.28345</x:v>
      </x:c>
      <x:c r="M913" s="13" t="n">
        <x:v>0.7038122082013586</x:v>
      </x:c>
      <x:c r="N913" s="13" t="n">
        <x:f>H913/G913</x:f>
        <x:v>0.004432410687699942</x:v>
      </x:c>
      <x:c r="O913" s="13" t="n">
        <x:f>F913/E913</x:f>
        <x:v>0</x:v>
      </x:c>
      <x:c r="P913" s="2" t="str">
        <x:f>IF(AND(E913&gt;='Итоги'!$F$5,N913&lt;='Итоги'!$B$5,O913&gt;='Итоги'!$D$5),"Да","Нет")</x:f>
        <x:v>Нет</x:v>
      </x:c>
    </x:row>
    <x:row r="914" ht="60" customHeight="1">
      <x:c r="A914" s="14" t="str">
        <x:v>Детская одежда</x:v>
      </x:c>
      <x:c r="B914" s="14" t="str">
        <x:v>Детская обувь</x:v>
      </x:c>
      <x:c r="C914" s="14" t="str">
        <x:v>Обувь спортивная для мальчика</x:v>
      </x:c>
      <x:c r="D914" s="14" t="str">
        <x:v>Кеды спортивные для мальчика</x:v>
      </x:c>
      <x:c r="E914" s="2" t="n">
        <x:v>53</x:v>
      </x:c>
      <x:c r="F914" s="2" t="n">
        <x:v>0</x:v>
      </x:c>
      <x:c r="G914" s="12" t="n">
        <x:v>4017421.172</x:v>
      </x:c>
      <x:c r="H914" s="12" t="n">
        <x:v>17930.4892288</x:v>
      </x:c>
      <x:c r="I914" s="13" t="n">
        <x:v>0.0082226415094339</x:v>
      </x:c>
      <x:c r="J914" s="2" t="n">
        <x:v>32</x:v>
      </x:c>
      <x:c r="K914" s="2" t="n">
        <x:v>5</x:v>
      </x:c>
      <x:c r="L914" s="12" t="n">
        <x:v>2189.2148</x:v>
      </x:c>
      <x:c r="M914" s="13" t="n">
        <x:v>0.6916023205047221</x:v>
      </x:c>
      <x:c r="N914" s="13" t="n">
        <x:f>H914/G914</x:f>
        <x:v>0.004463183833890544</x:v>
      </x:c>
      <x:c r="O914" s="13" t="n">
        <x:f>F914/E914</x:f>
        <x:v>0</x:v>
      </x:c>
      <x:c r="P914" s="2" t="str">
        <x:f>IF(AND(E914&gt;='Итоги'!$F$5,N914&lt;='Итоги'!$B$5,O914&gt;='Итоги'!$D$5),"Да","Нет")</x:f>
        <x:v>Нет</x:v>
      </x:c>
    </x:row>
    <x:row r="915" ht="60" customHeight="1">
      <x:c r="A915" s="14" t="str">
        <x:v>Автотовары</x:v>
      </x:c>
      <x:c r="B915" s="14" t="str">
        <x:v>Автоинструменты и гаражное оборудование</x:v>
      </x:c>
      <x:c r="C915" s="14" t="str">
        <x:v>Оборудование для гаража и автосервиса</x:v>
      </x:c>
      <x:c r="D915" s="14" t="str">
        <x:v>Парковочное оборудование</x:v>
      </x:c>
      <x:c r="E915" s="2" t="n">
        <x:v>9</x:v>
      </x:c>
      <x:c r="F915" s="2" t="n">
        <x:v>0</x:v>
      </x:c>
      <x:c r="G915" s="12" t="n">
        <x:v>1959689.2828</x:v>
      </x:c>
      <x:c r="H915" s="12" t="n">
        <x:v>8752.22974319</x:v>
      </x:c>
      <x:c r="I915" s="13" t="n">
        <x:v>0.0067333333333333</x:v>
      </x:c>
      <x:c r="J915" s="2" t="n">
        <x:v>7</x:v>
      </x:c>
      <x:c r="K915" s="2" t="n">
        <x:v>7</x:v>
      </x:c>
      <x:c r="L915" s="12" t="n">
        <x:v>2119.9141</x:v>
      </x:c>
      <x:c r="M915" s="13" t="n">
        <x:v>0.3125699596238053</x:v>
      </x:c>
      <x:c r="N915" s="13" t="n">
        <x:f>H915/G915</x:f>
        <x:v>0.004466131350519422</x:v>
      </x:c>
      <x:c r="O915" s="13" t="n">
        <x:f>F915/E915</x:f>
        <x:v>0</x:v>
      </x:c>
      <x:c r="P915" s="2" t="str">
        <x:f>IF(AND(E915&gt;='Итоги'!$F$5,N915&lt;='Итоги'!$B$5,O915&gt;='Итоги'!$D$5),"Да","Нет")</x:f>
        <x:v>Нет</x:v>
      </x:c>
    </x:row>
    <x:row r="916" ht="60" customHeight="1">
      <x:c r="A916" s="14" t="str">
        <x:v>Спорт и отдых</x:v>
      </x:c>
      <x:c r="B916" s="14" t="str">
        <x:v>Туризм</x:v>
      </x:c>
      <x:c r="C916" s="14" t="str">
        <x:v>Скандинавская ходьба и треккинг</x:v>
      </x:c>
      <x:c r="D916" s="14" t="str">
        <x:v>Ботинки для треккинга</x:v>
      </x:c>
      <x:c r="E916" s="2" t="n">
        <x:v>49</x:v>
      </x:c>
      <x:c r="F916" s="2" t="n">
        <x:v>0</x:v>
      </x:c>
      <x:c r="G916" s="12" t="n">
        <x:v>2931722.2688</x:v>
      </x:c>
      <x:c r="H916" s="12" t="n">
        <x:v>13132.805584000002</x:v>
      </x:c>
      <x:c r="I916" s="13" t="n">
        <x:v>0.0060367346938775</x:v>
      </x:c>
      <x:c r="J916" s="2" t="n">
        <x:v>47</x:v>
      </x:c>
      <x:c r="K916" s="2" t="n">
        <x:v>5</x:v>
      </x:c>
      <x:c r="L916" s="12" t="n">
        <x:v>6536</x:v>
      </x:c>
      <x:c r="M916" s="13" t="n">
        <x:v>0.41443038207617</x:v>
      </x:c>
      <x:c r="N916" s="13" t="n">
        <x:f>H916/G916</x:f>
        <x:v>0.004479553102202776</x:v>
      </x:c>
      <x:c r="O916" s="13" t="n">
        <x:f>F916/E916</x:f>
        <x:v>0</x:v>
      </x:c>
      <x:c r="P916" s="2" t="str">
        <x:f>IF(AND(E916&gt;='Итоги'!$F$5,N916&lt;='Итоги'!$B$5,O916&gt;='Итоги'!$D$5),"Да","Нет")</x:f>
        <x:v>Нет</x:v>
      </x:c>
    </x:row>
    <x:row r="917" ht="60" customHeight="1">
      <x:c r="A917" s="14" t="str">
        <x:v>Детская одежда</x:v>
      </x:c>
      <x:c r="B917" s="14" t="str">
        <x:v>Детская одежда</x:v>
      </x:c>
      <x:c r="C917" s="14" t="str">
        <x:v>Одежда спортивная для мальчика</x:v>
      </x:c>
      <x:c r="D917" s="14" t="str">
        <x:v>Худи спортивное для мальчика</x:v>
      </x:c>
      <x:c r="E917" s="2" t="n">
        <x:v>6</x:v>
      </x:c>
      <x:c r="F917" s="2" t="n">
        <x:v>0</x:v>
      </x:c>
      <x:c r="G917" s="12" t="n">
        <x:v>299917.19</x:v>
      </x:c>
      <x:c r="H917" s="12" t="n">
        <x:v>1347.790625</x:v>
      </x:c>
      <x:c r="I917" s="13" t="n">
        <x:v>0.01845</x:v>
      </x:c>
      <x:c r="J917" s="2" t="n">
        <x:v>2</x:v>
      </x:c>
      <x:c r="K917" s="2" t="n">
        <x:v>2</x:v>
      </x:c>
      <x:c r="L917" s="12" t="n">
        <x:v>1322.6460000000002</x:v>
      </x:c>
      <x:c r="M917" s="13" t="n">
        <x:v>0.8514781696907736</x:v>
      </x:c>
      <x:c r="N917" s="13" t="n">
        <x:f>H917/G917</x:f>
        <x:v>0.004493875876204362</x:v>
      </x:c>
      <x:c r="O917" s="13" t="n">
        <x:f>F917/E917</x:f>
        <x:v>0</x:v>
      </x:c>
      <x:c r="P917" s="2" t="str">
        <x:f>IF(AND(E917&gt;='Итоги'!$F$5,N917&lt;='Итоги'!$B$5,O917&gt;='Итоги'!$D$5),"Да","Нет")</x:f>
        <x:v>Нет</x:v>
      </x:c>
    </x:row>
    <x:row r="918" ht="60" customHeight="1">
      <x:c r="A918" s="14" t="str">
        <x:v>Спорт и отдых</x:v>
      </x:c>
      <x:c r="B918" s="14" t="str">
        <x:v>Зимние виды спорта</x:v>
      </x:c>
      <x:c r="C918" s="14" t="str">
        <x:v>Лыжный спорт</x:v>
      </x:c>
      <x:c r="D918" s="14" t="str">
        <x:v>Лыжероллеры</x:v>
      </x:c>
      <x:c r="E918" s="2" t="n">
        <x:v>8</x:v>
      </x:c>
      <x:c r="F918" s="2" t="n">
        <x:v>0</x:v>
      </x:c>
      <x:c r="G918" s="12" t="n">
        <x:v>1740050.8758</x:v>
      </x:c>
      <x:c r="H918" s="12" t="n">
        <x:v>7918.903666640001</x:v>
      </x:c>
      <x:c r="I918" s="13" t="n">
        <x:v>0.0126125</x:v>
      </x:c>
      <x:c r="J918" s="2" t="n">
        <x:v>2</x:v>
      </x:c>
      <x:c r="K918" s="2" t="n">
        <x:v>3</x:v>
      </x:c>
      <x:c r="L918" s="12" t="n">
        <x:v>14045.03965</x:v>
      </x:c>
      <x:c r="M918" s="13" t="n">
        <x:v>0.7893550211102397</x:v>
      </x:c>
      <x:c r="N918" s="13" t="n">
        <x:f>H918/G918</x:f>
        <x:v>0.004550960995895728</x:v>
      </x:c>
      <x:c r="O918" s="13" t="n">
        <x:f>F918/E918</x:f>
        <x:v>0</x:v>
      </x:c>
      <x:c r="P918" s="2" t="str">
        <x:f>IF(AND(E918&gt;='Итоги'!$F$5,N918&lt;='Итоги'!$B$5,O918&gt;='Итоги'!$D$5),"Да","Нет")</x:f>
        <x:v>Нет</x:v>
      </x:c>
    </x:row>
    <x:row r="919" ht="60" customHeight="1">
      <x:c r="A919" s="14" t="str">
        <x:v>Спорт и отдых</x:v>
      </x:c>
      <x:c r="B919" s="14" t="str">
        <x:v>Товары для охоты</x:v>
      </x:c>
      <x:c r="C919" s="14" t="str">
        <x:v>Оптика для охоты</x:v>
      </x:c>
      <x:c r="D919" s="14" t="str">
        <x:v>Дальномер для охоты</x:v>
      </x:c>
      <x:c r="E919" s="2" t="n">
        <x:v>8</x:v>
      </x:c>
      <x:c r="F919" s="2" t="n">
        <x:v>0</x:v>
      </x:c>
      <x:c r="G919" s="12" t="n">
        <x:v>1635133.4655</x:v>
      </x:c>
      <x:c r="H919" s="12" t="n">
        <x:v>7562.521860000001</x:v>
      </x:c>
      <x:c r="I919" s="13" t="n">
        <x:v>0.0166875</x:v>
      </x:c>
      <x:c r="J919" s="2" t="n">
        <x:v>5</x:v>
      </x:c>
      <x:c r="K919" s="2" t="n">
        <x:v>5</x:v>
      </x:c>
      <x:c r="L919" s="12" t="n">
        <x:v>6641.52255</x:v>
      </x:c>
      <x:c r="M919" s="13" t="n">
        <x:v>0.4023633354594809</x:v>
      </x:c>
      <x:c r="N919" s="13" t="n">
        <x:f>H919/G919</x:f>
        <x:v>0.004625018091527771</x:v>
      </x:c>
      <x:c r="O919" s="13" t="n">
        <x:f>F919/E919</x:f>
        <x:v>0</x:v>
      </x:c>
      <x:c r="P919" s="2" t="str">
        <x:f>IF(AND(E919&gt;='Итоги'!$F$5,N919&lt;='Итоги'!$B$5,O919&gt;='Итоги'!$D$5),"Да","Нет")</x:f>
        <x:v>Нет</x:v>
      </x:c>
    </x:row>
    <x:row r="920" ht="60" customHeight="1">
      <x:c r="A920" s="14" t="str">
        <x:v>Аптека</x:v>
      </x:c>
      <x:c r="B920" s="14" t="str">
        <x:v>Медицинская техника</x:v>
      </x:c>
      <x:c r="C920" s="14" t="str">
        <x:v>Медицинская техника</x:v>
      </x:c>
      <x:c r="D920" s="14" t="str">
        <x:v>Инъектор</x:v>
      </x:c>
      <x:c r="E920" s="2" t="n">
        <x:v>5</x:v>
      </x:c>
      <x:c r="F920" s="2" t="n">
        <x:v>0</x:v>
      </x:c>
      <x:c r="G920" s="12" t="n">
        <x:v>1562268.99</x:v>
      </x:c>
      <x:c r="H920" s="12" t="n">
        <x:v>7292.4448</x:v>
      </x:c>
      <x:c r="I920" s="13" t="n">
        <x:v>0.01066</x:v>
      </x:c>
      <x:c r="J920" s="2" t="n">
        <x:v>3</x:v>
      </x:c>
      <x:c r="K920" s="2" t="n">
        <x:v>4</x:v>
      </x:c>
      <x:c r="L920" s="12" t="n">
        <x:v>2517.96</x:v>
      </x:c>
      <x:c r="M920" s="13" t="n">
        <x:v>0.3789526667875549</x:v>
      </x:c>
      <x:c r="N920" s="13" t="n">
        <x:f>H920/G920</x:f>
        <x:v>0.004667854797527537</x:v>
      </x:c>
      <x:c r="O920" s="13" t="n">
        <x:f>F920/E920</x:f>
        <x:v>0</x:v>
      </x:c>
      <x:c r="P920" s="2" t="str">
        <x:f>IF(AND(E920&gt;='Итоги'!$F$5,N920&lt;='Итоги'!$B$5,O920&gt;='Итоги'!$D$5),"Да","Нет")</x:f>
        <x:v>Нет</x:v>
      </x:c>
    </x:row>
    <x:row r="921" ht="60" customHeight="1">
      <x:c r="A921" s="14" t="str">
        <x:v>Товары для дома</x:v>
      </x:c>
      <x:c r="B921" s="14" t="str">
        <x:v>Принадлежности для Нового года</x:v>
      </x:c>
      <x:c r="C921" s="14" t="str">
        <x:v>Украшение интерьера новогодние</x:v>
      </x:c>
      <x:c r="D921" s="14" t="str">
        <x:v>Свеча, подсвечник новогодние</x:v>
      </x:c>
      <x:c r="E921" s="2" t="n">
        <x:v>1</x:v>
      </x:c>
      <x:c r="F921" s="2" t="n">
        <x:v>0</x:v>
      </x:c>
      <x:c r="G921" s="12" t="n">
        <x:v>77663</x:v>
      </x:c>
      <x:c r="H921" s="12" t="n">
        <x:v>365.0161</x:v>
      </x:c>
      <x:c r="I921" s="13" t="n">
        <x:v>0.0047</x:v>
      </x:c>
      <x:c r="J921" s="2" t="n">
        <x:v>0</x:v>
      </x:c>
      <x:c r="K921" s="2" t="n">
        <x:v>1</x:v>
      </x:c>
      <x:c r="L921" s="12" t="n">
        <x:v>1078.6528</x:v>
      </x:c>
      <x:c r="M921" s="13" t="n">
        <x:v>1</x:v>
      </x:c>
      <x:c r="N921" s="13" t="n">
        <x:f>H921/G921</x:f>
        <x:v>0.0047</x:v>
      </x:c>
      <x:c r="O921" s="13" t="n">
        <x:f>F921/E921</x:f>
        <x:v>0</x:v>
      </x:c>
      <x:c r="P921" s="2" t="str">
        <x:f>IF(AND(E921&gt;='Итоги'!$F$5,N921&lt;='Итоги'!$B$5,O921&gt;='Итоги'!$D$5),"Да","Нет")</x:f>
        <x:v>Нет</x:v>
      </x:c>
    </x:row>
    <x:row r="922" ht="60" customHeight="1">
      <x:c r="A922" s="14" t="str">
        <x:v>Строительство и ремонт (DIY)</x:v>
      </x:c>
      <x:c r="B922" s="14" t="str">
        <x:v>Инструменты</x:v>
      </x:c>
      <x:c r="C922" s="14" t="str">
        <x:v>Инструмент ручной для строительства, ремонта</x:v>
      </x:c>
      <x:c r="D922" s="14" t="str">
        <x:v>Упаковочный инструмент</x:v>
      </x:c>
      <x:c r="E922" s="2" t="n">
        <x:v>3</x:v>
      </x:c>
      <x:c r="F922" s="2" t="n">
        <x:v>0</x:v>
      </x:c>
      <x:c r="G922" s="12" t="n">
        <x:v>566062.1163999999</x:v>
      </x:c>
      <x:c r="H922" s="12" t="n">
        <x:v>2714.2055</x:v>
      </x:c>
      <x:c r="I922" s="13" t="n">
        <x:v>0.0063666666666666</x:v>
      </x:c>
      <x:c r="J922" s="2" t="n">
        <x:v>2</x:v>
      </x:c>
      <x:c r="K922" s="2" t="n">
        <x:v>3</x:v>
      </x:c>
      <x:c r="L922" s="12" t="n">
        <x:v>2089.7794</x:v>
      </x:c>
      <x:c r="M922" s="13" t="n">
        <x:v>0.5766734613438266</x:v>
      </x:c>
      <x:c r="N922" s="13" t="n">
        <x:f>H922/G922</x:f>
        <x:v>0.004794889856367008</x:v>
      </x:c>
      <x:c r="O922" s="13" t="n">
        <x:f>F922/E922</x:f>
        <x:v>0</x:v>
      </x:c>
      <x:c r="P922" s="2" t="str">
        <x:f>IF(AND(E922&gt;='Итоги'!$F$5,N922&lt;='Итоги'!$B$5,O922&gt;='Итоги'!$D$5),"Да","Нет")</x:f>
        <x:v>Нет</x:v>
      </x:c>
    </x:row>
    <x:row r="923" ht="60" customHeight="1">
      <x:c r="A923" s="14" t="str">
        <x:v>Ноутбуки и компьютеры</x:v>
      </x:c>
      <x:c r="B923" s="14" t="str">
        <x:v>Компьютерная офисная техника Lap&amp;Comp</x:v>
      </x:c>
      <x:c r="C923" s="14" t="str">
        <x:v>Кассовое и складское оборудование Lap&amp;Comp</x:v>
      </x:c>
      <x:c r="D923" s="14" t="str">
        <x:v>Фискальный регистратор</x:v>
      </x:c>
      <x:c r="E923" s="2" t="n">
        <x:v>2</x:v>
      </x:c>
      <x:c r="F923" s="2" t="n">
        <x:v>0</x:v>
      </x:c>
      <x:c r="G923" s="12" t="n">
        <x:v>507950</x:v>
      </x:c>
      <x:c r="H923" s="12" t="n">
        <x:v>2448.2830000000004</x:v>
      </x:c>
      <x:c r="I923" s="13" t="n">
        <x:v>0.0059</x:v>
      </x:c>
      <x:c r="J923" s="2" t="n">
        <x:v>0</x:v>
      </x:c>
      <x:c r="K923" s="2" t="n">
        <x:v>1</x:v>
      </x:c>
      <x:c r="L923" s="12" t="n">
        <x:v>24698.66665</x:v>
      </x:c>
      <x:c r="M923" s="13" t="n">
        <x:v>1</x:v>
      </x:c>
      <x:c r="N923" s="13" t="n">
        <x:f>H923/G923</x:f>
        <x:v>0.0048199291268825675</x:v>
      </x:c>
      <x:c r="O923" s="13" t="n">
        <x:f>F923/E923</x:f>
        <x:v>0</x:v>
      </x:c>
      <x:c r="P923" s="2" t="str">
        <x:f>IF(AND(E923&gt;='Итоги'!$F$5,N923&lt;='Итоги'!$B$5,O923&gt;='Итоги'!$D$5),"Да","Нет")</x:f>
        <x:v>Нет</x:v>
      </x:c>
    </x:row>
    <x:row r="924" ht="60" customHeight="1">
      <x:c r="A924" s="14" t="str">
        <x:v>Аксессуары</x:v>
      </x:c>
      <x:c r="B924" s="14" t="str">
        <x:v>Ювелирные изделия</x:v>
      </x:c>
      <x:c r="C924" s="14" t="str">
        <x:v>Цепь ювелирная</x:v>
      </x:c>
      <x:c r="D924" s="14" t="str">
        <x:v>Платина цепочка</x:v>
      </x:c>
      <x:c r="E924" s="2" t="n">
        <x:v>5</x:v>
      </x:c>
      <x:c r="F924" s="2" t="n">
        <x:v>0</x:v>
      </x:c>
      <x:c r="G924" s="12" t="n">
        <x:v>350087</x:v>
      </x:c>
      <x:c r="H924" s="12" t="n">
        <x:v>1702.3458</x:v>
      </x:c>
      <x:c r="I924" s="13" t="n">
        <x:v>0.0043199999999999</x:v>
      </x:c>
      <x:c r="J924" s="2" t="n">
        <x:v>2</x:v>
      </x:c>
      <x:c r="K924" s="2" t="n">
        <x:v>1</x:v>
      </x:c>
      <x:c r="L924" s="12" t="n">
        <x:v>22411.5</x:v>
      </x:c>
      <x:c r="M924" s="13" t="n">
        <x:v>1</x:v>
      </x:c>
      <x:c r="N924" s="13" t="n">
        <x:f>H924/G924</x:f>
        <x:v>0.004862636430373022</x:v>
      </x:c>
      <x:c r="O924" s="13" t="n">
        <x:f>F924/E924</x:f>
        <x:v>0</x:v>
      </x:c>
      <x:c r="P924" s="2" t="str">
        <x:f>IF(AND(E924&gt;='Итоги'!$F$5,N924&lt;='Итоги'!$B$5,O924&gt;='Итоги'!$D$5),"Да","Нет")</x:f>
        <x:v>Нет</x:v>
      </x:c>
    </x:row>
    <x:row r="925" ht="60" customHeight="1">
      <x:c r="A925" s="14" t="str">
        <x:v>Аудио и видеотехника</x:v>
      </x:c>
      <x:c r="B925" s="14" t="str">
        <x:v>Movie</x:v>
      </x:c>
      <x:c r="C925" s="14" t="str">
        <x:v>Фильмы, мультфильмы, видеопрограммы</x:v>
      </x:c>
      <x:c r="D925" s="14" t="str">
        <x:v>Фильмы, мультфильмы, видеопрограммы</x:v>
      </x:c>
      <x:c r="E925" s="2" t="n">
        <x:v>1</x:v>
      </x:c>
      <x:c r="F925" s="2" t="n">
        <x:v>0</x:v>
      </x:c>
      <x:c r="G925" s="12" t="n">
        <x:v>85796</x:v>
      </x:c>
      <x:c r="H925" s="12" t="n">
        <x:v>420.4004</x:v>
      </x:c>
      <x:c r="I925" s="13" t="n">
        <x:v>0.0049</x:v>
      </x:c>
      <x:c r="J925" s="2" t="n">
        <x:v>0</x:v>
      </x:c>
      <x:c r="K925" s="2" t="n">
        <x:v>1</x:v>
      </x:c>
      <x:c r="L925" s="12" t="n">
        <x:v>12256.5714</x:v>
      </x:c>
      <x:c r="M925" s="13" t="n">
        <x:v>1</x:v>
      </x:c>
      <x:c r="N925" s="13" t="n">
        <x:f>H925/G925</x:f>
        <x:v>0.0049</x:v>
      </x:c>
      <x:c r="O925" s="13" t="n">
        <x:f>F925/E925</x:f>
        <x:v>0</x:v>
      </x:c>
      <x:c r="P925" s="2" t="str">
        <x:f>IF(AND(E925&gt;='Итоги'!$F$5,N925&lt;='Итоги'!$B$5,O925&gt;='Итоги'!$D$5),"Да","Нет")</x:f>
        <x:v>Нет</x:v>
      </x:c>
    </x:row>
    <x:row r="926" ht="60" customHeight="1">
      <x:c r="A926" s="14" t="str">
        <x:v>Товары для красоты и здоровья</x:v>
      </x:c>
      <x:c r="B926" s="14" t="str">
        <x:v>Косметическая техника</x:v>
      </x:c>
      <x:c r="C926" s="14" t="str">
        <x:v>Приборы для косметических процедур</x:v>
      </x:c>
      <x:c r="D926" s="14" t="str">
        <x:v>Комплектующие для косметологического аппарата</x:v>
      </x:c>
      <x:c r="E926" s="2" t="n">
        <x:v>2</x:v>
      </x:c>
      <x:c r="F926" s="2" t="n">
        <x:v>0</x:v>
      </x:c>
      <x:c r="G926" s="12" t="n">
        <x:v>192850.2749</x:v>
      </x:c>
      <x:c r="H926" s="12" t="n">
        <x:v>945.74981638</x:v>
      </x:c>
      <x:c r="I926" s="13" t="n">
        <x:v>0.00545</x:v>
      </x:c>
      <x:c r="J926" s="2" t="n">
        <x:v>1</x:v>
      </x:c>
      <x:c r="K926" s="2" t="n">
        <x:v>2</x:v>
      </x:c>
      <x:c r="L926" s="12" t="n">
        <x:v>1441.77505</x:v>
      </x:c>
      <x:c r="M926" s="13" t="n">
        <x:v>0.5500860019774854</x:v>
      </x:c>
      <x:c r="N926" s="13" t="n">
        <x:f>H926/G926</x:f>
        <x:v>0.0049040625784454095</x:v>
      </x:c>
      <x:c r="O926" s="13" t="n">
        <x:f>F926/E926</x:f>
        <x:v>0</x:v>
      </x:c>
      <x:c r="P926" s="2" t="str">
        <x:f>IF(AND(E926&gt;='Итоги'!$F$5,N926&lt;='Итоги'!$B$5,O926&gt;='Итоги'!$D$5),"Да","Нет")</x:f>
        <x:v>Нет</x:v>
      </x:c>
    </x:row>
    <x:row r="927" ht="60" customHeight="1">
      <x:c r="A927" s="14" t="str">
        <x:v>Ноутбуки и компьютеры</x:v>
      </x:c>
      <x:c r="B927" s="14" t="str">
        <x:v>Компьютерная периферия Lap&amp;Comp</x:v>
      </x:c>
      <x:c r="C927" s="14" t="str">
        <x:v>Компьютерный манипулятор Lap&amp;Comp</x:v>
      </x:c>
      <x:c r="D927" s="14" t="str">
        <x:v>Мышь Apple</x:v>
      </x:c>
      <x:c r="E927" s="2" t="n">
        <x:v>6</x:v>
      </x:c>
      <x:c r="F927" s="2" t="n">
        <x:v>0</x:v>
      </x:c>
      <x:c r="G927" s="12" t="n">
        <x:v>1350858.8017</x:v>
      </x:c>
      <x:c r="H927" s="12" t="n">
        <x:v>6640.480199999999</x:v>
      </x:c>
      <x:c r="I927" s="13" t="n">
        <x:v>0.0134499999999999</x:v>
      </x:c>
      <x:c r="J927" s="2" t="n">
        <x:v>5</x:v>
      </x:c>
      <x:c r="K927" s="2" t="n">
        <x:v>2</x:v>
      </x:c>
      <x:c r="L927" s="12" t="n">
        <x:v>8944.01285</x:v>
      </x:c>
      <x:c r="M927" s="13" t="n">
        <x:v>0.9390861577120818</x:v>
      </x:c>
      <x:c r="N927" s="13" t="n">
        <x:f>H927/G927</x:f>
        <x:v>0.004915747072635</x:v>
      </x:c>
      <x:c r="O927" s="13" t="n">
        <x:f>F927/E927</x:f>
        <x:v>0</x:v>
      </x:c>
      <x:c r="P927" s="2" t="str">
        <x:f>IF(AND(E927&gt;='Итоги'!$F$5,N927&lt;='Итоги'!$B$5,O927&gt;='Итоги'!$D$5),"Да","Нет")</x:f>
        <x:v>Нет</x:v>
      </x:c>
    </x:row>
    <x:row r="928" ht="60" customHeight="1">
      <x:c r="A928" s="14" t="str">
        <x:v>Обувь</x:v>
      </x:c>
      <x:c r="B928" s="14" t="str">
        <x:v>Обувь женская</x:v>
      </x:c>
      <x:c r="C928" s="14" t="str">
        <x:v>Обувь женская зимняя</x:v>
      </x:c>
      <x:c r="D928" s="14" t="str">
        <x:v>Женские Угги, унты</x:v>
      </x:c>
      <x:c r="E928" s="2" t="n">
        <x:v>15</x:v>
      </x:c>
      <x:c r="F928" s="2" t="n">
        <x:v>0</x:v>
      </x:c>
      <x:c r="G928" s="12" t="n">
        <x:v>615018.1656</x:v>
      </x:c>
      <x:c r="H928" s="12" t="n">
        <x:v>3038.24165</x:v>
      </x:c>
      <x:c r="I928" s="13" t="n">
        <x:v>0.0097266666666666</x:v>
      </x:c>
      <x:c r="J928" s="2" t="n">
        <x:v>11</x:v>
      </x:c>
      <x:c r="K928" s="2" t="n">
        <x:v>4</x:v>
      </x:c>
      <x:c r="L928" s="12" t="n">
        <x:v>6522.75</x:v>
      </x:c>
      <x:c r="M928" s="13" t="n">
        <x:v>0.9117802480727244</x:v>
      </x:c>
      <x:c r="N928" s="13" t="n">
        <x:f>H928/G928</x:f>
        <x:v>0.004940084407158851</x:v>
      </x:c>
      <x:c r="O928" s="13" t="n">
        <x:f>F928/E928</x:f>
        <x:v>0</x:v>
      </x:c>
      <x:c r="P928" s="2" t="str">
        <x:f>IF(AND(E928&gt;='Итоги'!$F$5,N928&lt;='Итоги'!$B$5,O928&gt;='Итоги'!$D$5),"Да","Нет")</x:f>
        <x:v>Нет</x:v>
      </x:c>
    </x:row>
    <x:row r="929" ht="60" customHeight="1">
      <x:c r="A929" s="14" t="str">
        <x:v>Аксессуары для электроники</x:v>
      </x:c>
      <x:c r="B929" s="14" t="str">
        <x:v>Домашняя Аудио и Видеотехника Access</x:v>
      </x:c>
      <x:c r="C929" s="14" t="str">
        <x:v>Аксессуар к TV и аудиотехнике Access</x:v>
      </x:c>
      <x:c r="D929" s="14" t="str">
        <x:v>Спецэффект для электрогитары</x:v>
      </x:c>
      <x:c r="E929" s="2" t="n">
        <x:v>7</x:v>
      </x:c>
      <x:c r="F929" s="2" t="n">
        <x:v>0</x:v>
      </x:c>
      <x:c r="G929" s="12" t="n">
        <x:v>1185430.0655</x:v>
      </x:c>
      <x:c r="H929" s="12" t="n">
        <x:v>5857.42037715</x:v>
      </x:c>
      <x:c r="I929" s="13" t="n">
        <x:v>0.0056142857142857</x:v>
      </x:c>
      <x:c r="J929" s="2" t="n">
        <x:v>6</x:v>
      </x:c>
      <x:c r="K929" s="2" t="n">
        <x:v>4</x:v>
      </x:c>
      <x:c r="L929" s="12" t="n">
        <x:v>10999.9557</x:v>
      </x:c>
      <x:c r="M929" s="13" t="n">
        <x:v>0.4498021566334231</x:v>
      </x:c>
      <x:c r="N929" s="13" t="n">
        <x:f>H929/G929</x:f>
        <x:v>0.004941177508164018</x:v>
      </x:c>
      <x:c r="O929" s="13" t="n">
        <x:f>F929/E929</x:f>
        <x:v>0</x:v>
      </x:c>
      <x:c r="P929" s="2" t="str">
        <x:f>IF(AND(E929&gt;='Итоги'!$F$5,N929&lt;='Итоги'!$B$5,O929&gt;='Итоги'!$D$5),"Да","Нет")</x:f>
        <x:v>Нет</x:v>
      </x:c>
    </x:row>
    <x:row r="930" ht="60" customHeight="1">
      <x:c r="A930" s="14" t="str">
        <x:v>Бакалея и кондитерские изделия</x:v>
      </x:c>
      <x:c r="B930" s="14" t="str">
        <x:v>Бакалея</x:v>
      </x:c>
      <x:c r="C930" s="14" t="str">
        <x:v>Приправы, специи, травы</x:v>
      </x:c>
      <x:c r="D930" s="14" t="str">
        <x:v>Ароматизатор пищевой</x:v>
      </x:c>
      <x:c r="E930" s="2" t="n">
        <x:v>1</x:v>
      </x:c>
      <x:c r="F930" s="2" t="n">
        <x:v>0</x:v>
      </x:c>
      <x:c r="G930" s="12" t="n">
        <x:v>90926.5869</x:v>
      </x:c>
      <x:c r="H930" s="12" t="n">
        <x:v>454.6329345</x:v>
      </x:c>
      <x:c r="I930" s="13" t="n">
        <x:v>0.005</x:v>
      </x:c>
      <x:c r="J930" s="2" t="n">
        <x:v>0</x:v>
      </x:c>
      <x:c r="K930" s="2" t="n">
        <x:v>1</x:v>
      </x:c>
      <x:c r="L930" s="12" t="n">
        <x:v>3497.1764</x:v>
      </x:c>
      <x:c r="M930" s="13" t="n">
        <x:v>1</x:v>
      </x:c>
      <x:c r="N930" s="13" t="n">
        <x:f>H930/G930</x:f>
        <x:v>0.005</x:v>
      </x:c>
      <x:c r="O930" s="13" t="n">
        <x:f>F930/E930</x:f>
        <x:v>0</x:v>
      </x:c>
      <x:c r="P930" s="2" t="str">
        <x:f>IF(AND(E930&gt;='Итоги'!$F$5,N930&lt;='Итоги'!$B$5,O930&gt;='Итоги'!$D$5),"Да","Нет")</x:f>
        <x:v>Нет</x:v>
      </x:c>
    </x:row>
    <x:row r="931" ht="60" customHeight="1">
      <x:c r="A931" s="14" t="str">
        <x:v>Детская одежда</x:v>
      </x:c>
      <x:c r="B931" s="14" t="str">
        <x:v>Детская одежда</x:v>
      </x:c>
      <x:c r="C931" s="14" t="str">
        <x:v>Верхняя одежда для девочки</x:v>
      </x:c>
      <x:c r="D931" s="14" t="str">
        <x:v>Куртка спортивная демисезонная для девочки</x:v>
      </x:c>
      <x:c r="E931" s="2" t="n">
        <x:v>5</x:v>
      </x:c>
      <x:c r="F931" s="2" t="n">
        <x:v>0</x:v>
      </x:c>
      <x:c r="G931" s="12" t="n">
        <x:v>170769.28</x:v>
      </x:c>
      <x:c r="H931" s="12" t="n">
        <x:v>856.1912</x:v>
      </x:c>
      <x:c r="I931" s="13" t="n">
        <x:v>0.05164</x:v>
      </x:c>
      <x:c r="J931" s="2" t="n">
        <x:v>4</x:v>
      </x:c>
      <x:c r="K931" s="2" t="n">
        <x:v>3</x:v>
      </x:c>
      <x:c r="L931" s="12" t="n">
        <x:v>3316</x:v>
      </x:c>
      <x:c r="M931" s="13" t="n">
        <x:v>0.90338426208742</x:v>
      </x:c>
      <x:c r="N931" s="13" t="n">
        <x:f>H931/G931</x:f>
        <x:v>0.00501373080685238</x:v>
      </x:c>
      <x:c r="O931" s="13" t="n">
        <x:f>F931/E931</x:f>
        <x:v>0</x:v>
      </x:c>
      <x:c r="P931" s="2" t="str">
        <x:f>IF(AND(E931&gt;='Итоги'!$F$5,N931&lt;='Итоги'!$B$5,O931&gt;='Итоги'!$D$5),"Да","Нет")</x:f>
        <x:v>Нет</x:v>
      </x:c>
    </x:row>
    <x:row r="932" ht="60" customHeight="1">
      <x:c r="A932" s="14" t="str">
        <x:v>Аксессуары</x:v>
      </x:c>
      <x:c r="B932" s="14" t="str">
        <x:v>Ювелирные изделия</x:v>
      </x:c>
      <x:c r="C932" s="14" t="str">
        <x:v>Пирсинг ювелирный</x:v>
      </x:c>
      <x:c r="D932" s="14" t="str">
        <x:v>Золото пирсинг</x:v>
      </x:c>
      <x:c r="E932" s="2" t="n">
        <x:v>11</x:v>
      </x:c>
      <x:c r="F932" s="2" t="n">
        <x:v>0</x:v>
      </x:c>
      <x:c r="G932" s="12" t="n">
        <x:v>909893.4</x:v>
      </x:c>
      <x:c r="H932" s="12" t="n">
        <x:v>4566.592544</x:v>
      </x:c>
      <x:c r="I932" s="13" t="n">
        <x:v>0.0078636363636363</x:v>
      </x:c>
      <x:c r="J932" s="2" t="n">
        <x:v>8</x:v>
      </x:c>
      <x:c r="K932" s="2" t="n">
        <x:v>4</x:v>
      </x:c>
      <x:c r="L932" s="12" t="n">
        <x:v>7949.2222</x:v>
      </x:c>
      <x:c r="M932" s="13" t="n">
        <x:v>0.7057515968354094</x:v>
      </x:c>
      <x:c r="N932" s="13" t="n">
        <x:f>H932/G932</x:f>
        <x:v>0.005018821483923281</x:v>
      </x:c>
      <x:c r="O932" s="13" t="n">
        <x:f>F932/E932</x:f>
        <x:v>0</x:v>
      </x:c>
      <x:c r="P932" s="2" t="str">
        <x:f>IF(AND(E932&gt;='Итоги'!$F$5,N932&lt;='Итоги'!$B$5,O932&gt;='Итоги'!$D$5),"Да","Нет")</x:f>
        <x:v>Нет</x:v>
      </x:c>
    </x:row>
    <x:row r="933" ht="60" customHeight="1">
      <x:c r="A933" s="14" t="str">
        <x:v>Строительство и ремонт (DIY)</x:v>
      </x:c>
      <x:c r="B933" s="14" t="str">
        <x:v>Ремонт и строительство</x:v>
      </x:c>
      <x:c r="C933" s="14" t="str">
        <x:v>Отделка пола</x:v>
      </x:c>
      <x:c r="D933" s="14" t="str">
        <x:v>Аксессуары для террасной доски</x:v>
      </x:c>
      <x:c r="E933" s="2" t="n">
        <x:v>2</x:v>
      </x:c>
      <x:c r="F933" s="2" t="n">
        <x:v>0</x:v>
      </x:c>
      <x:c r="G933" s="12" t="n">
        <x:v>169903</x:v>
      </x:c>
      <x:c r="H933" s="12" t="n">
        <x:v>854.4496</x:v>
      </x:c>
      <x:c r="I933" s="13" t="n">
        <x:v>0.0193</x:v>
      </x:c>
      <x:c r="J933" s="2" t="n">
        <x:v>1</x:v>
      </x:c>
      <x:c r="K933" s="2" t="n">
        <x:v>1</x:v>
      </x:c>
      <x:c r="L933" s="12" t="n">
        <x:v>1428.0659</x:v>
      </x:c>
      <x:c r="M933" s="13" t="n">
        <x:v>1</x:v>
      </x:c>
      <x:c r="N933" s="13" t="n">
        <x:f>H933/G933</x:f>
        <x:v>0.005029043630777562</x:v>
      </x:c>
      <x:c r="O933" s="13" t="n">
        <x:f>F933/E933</x:f>
        <x:v>0</x:v>
      </x:c>
      <x:c r="P933" s="2" t="str">
        <x:f>IF(AND(E933&gt;='Итоги'!$F$5,N933&lt;='Итоги'!$B$5,O933&gt;='Итоги'!$D$5),"Да","Нет")</x:f>
        <x:v>Нет</x:v>
      </x:c>
    </x:row>
    <x:row r="934" ht="60" customHeight="1">
      <x:c r="A934" s="14" t="str">
        <x:v>Мелкая бытовая техника</x:v>
      </x:c>
      <x:c r="B934" s="14" t="str">
        <x:v>SDA Климатическая техника</x:v>
      </x:c>
      <x:c r="C934" s="14" t="str">
        <x:v>Климатическая техника SDA</x:v>
      </x:c>
      <x:c r="D934" s="14" t="str">
        <x:v>Кондиционер напольно-потолочный</x:v>
      </x:c>
      <x:c r="E934" s="2" t="n">
        <x:v>3</x:v>
      </x:c>
      <x:c r="F934" s="2" t="n">
        <x:v>0</x:v>
      </x:c>
      <x:c r="G934" s="12" t="n">
        <x:v>946517.21</x:v>
      </x:c>
      <x:c r="H934" s="12" t="n">
        <x:v>4834.552527</x:v>
      </x:c>
      <x:c r="I934" s="13" t="n">
        <x:v>0.0057</x:v>
      </x:c>
      <x:c r="J934" s="2" t="n">
        <x:v>2</x:v>
      </x:c>
      <x:c r="K934" s="2" t="n">
        <x:v>3</x:v>
      </x:c>
      <x:c r="L934" s="12" t="n">
        <x:v>9120.0765</x:v>
      </x:c>
      <x:c r="M934" s="13" t="n">
        <x:v>0.5754697054055679</x:v>
      </x:c>
      <x:c r="N934" s="13" t="n">
        <x:f>H934/G934</x:f>
        <x:v>0.005107728075013026</x:v>
      </x:c>
      <x:c r="O934" s="13" t="n">
        <x:f>F934/E934</x:f>
        <x:v>0</x:v>
      </x:c>
      <x:c r="P934" s="2" t="str">
        <x:f>IF(AND(E934&gt;='Итоги'!$F$5,N934&lt;='Итоги'!$B$5,O934&gt;='Итоги'!$D$5),"Да","Нет")</x:f>
        <x:v>Нет</x:v>
      </x:c>
    </x:row>
    <x:row r="935" ht="60" customHeight="1">
      <x:c r="A935" s="14" t="str">
        <x:v>Товары для красоты и здоровья</x:v>
      </x:c>
      <x:c r="B935" s="14" t="str">
        <x:v>Косметика для ухода за волосами</x:v>
      </x:c>
      <x:c r="C935" s="14" t="str">
        <x:v>Окрашивание волос для мужчин</x:v>
      </x:c>
      <x:c r="D935" s="14" t="str">
        <x:v>Краска для волос мужская</x:v>
      </x:c>
      <x:c r="E935" s="2" t="n">
        <x:v>15</x:v>
      </x:c>
      <x:c r="F935" s="2" t="n">
        <x:v>0</x:v>
      </x:c>
      <x:c r="G935" s="12" t="n">
        <x:v>2730963.4154</x:v>
      </x:c>
      <x:c r="H935" s="12" t="n">
        <x:v>14065.199793680002</x:v>
      </x:c>
      <x:c r="I935" s="13" t="n">
        <x:v>0.0056533333333333</x:v>
      </x:c>
      <x:c r="J935" s="2" t="n">
        <x:v>10</x:v>
      </x:c>
      <x:c r="K935" s="2" t="n">
        <x:v>7</x:v>
      </x:c>
      <x:c r="L935" s="12" t="n">
        <x:v>1667.2876</x:v>
      </x:c>
      <x:c r="M935" s="13" t="n">
        <x:v>0.3981449810233881</x:v>
      </x:c>
      <x:c r="N935" s="13" t="n">
        <x:f>H935/G935</x:f>
        <x:v>0.0051502703091392</x:v>
      </x:c>
      <x:c r="O935" s="13" t="n">
        <x:f>F935/E935</x:f>
        <x:v>0</x:v>
      </x:c>
      <x:c r="P935" s="2" t="str">
        <x:f>IF(AND(E935&gt;='Итоги'!$F$5,N935&lt;='Итоги'!$B$5,O935&gt;='Итоги'!$D$5),"Да","Нет")</x:f>
        <x:v>Нет</x:v>
      </x:c>
    </x:row>
    <x:row r="936" ht="60" customHeight="1">
      <x:c r="A936" s="14" t="str">
        <x:v>Товары для красоты и здоровья</x:v>
      </x:c>
      <x:c r="B936" s="14" t="str">
        <x:v>Косметические средства для детей и беременных</x:v>
      </x:c>
      <x:c r="C936" s="14" t="str">
        <x:v>Детские косметические средства</x:v>
      </x:c>
      <x:c r="D936" s="14" t="str">
        <x:v>Молочко для тела детское</x:v>
      </x:c>
      <x:c r="E936" s="2" t="n">
        <x:v>4</x:v>
      </x:c>
      <x:c r="F936" s="2" t="n">
        <x:v>0</x:v>
      </x:c>
      <x:c r="G936" s="12" t="n">
        <x:v>453048.7908</x:v>
      </x:c>
      <x:c r="H936" s="12" t="n">
        <x:v>2337.777</x:v>
      </x:c>
      <x:c r="I936" s="13" t="n">
        <x:v>0.00585</x:v>
      </x:c>
      <x:c r="J936" s="2" t="n">
        <x:v>3</x:v>
      </x:c>
      <x:c r="K936" s="2" t="n">
        <x:v>4</x:v>
      </x:c>
      <x:c r="L936" s="12" t="n">
        <x:v>1461.9384</x:v>
      </x:c>
      <x:c r="M936" s="13" t="n">
        <x:v>0.3061956098702824</x:v>
      </x:c>
      <x:c r="N936" s="13" t="n">
        <x:f>H936/G936</x:f>
        <x:v>0.005160099855629059</x:v>
      </x:c>
      <x:c r="O936" s="13" t="n">
        <x:f>F936/E936</x:f>
        <x:v>0</x:v>
      </x:c>
      <x:c r="P936" s="2" t="str">
        <x:f>IF(AND(E936&gt;='Итоги'!$F$5,N936&lt;='Итоги'!$B$5,O936&gt;='Итоги'!$D$5),"Да","Нет")</x:f>
        <x:v>Нет</x:v>
      </x:c>
    </x:row>
    <x:row r="937" ht="60" customHeight="1">
      <x:c r="A937" s="14" t="str">
        <x:v>Товары для дома</x:v>
      </x:c>
      <x:c r="B937" s="14" t="str">
        <x:v>Кухня</x:v>
      </x:c>
      <x:c r="C937" s="14" t="str">
        <x:v>Посуда для приготовления пищи</x:v>
      </x:c>
      <x:c r="D937" s="14" t="str">
        <x:v>Противень</x:v>
      </x:c>
      <x:c r="E937" s="2" t="n">
        <x:v>12</x:v>
      </x:c>
      <x:c r="F937" s="2" t="n">
        <x:v>0</x:v>
      </x:c>
      <x:c r="G937" s="12" t="n">
        <x:v>1205164.6276</x:v>
      </x:c>
      <x:c r="H937" s="12" t="n">
        <x:v>6228.63431628</x:v>
      </x:c>
      <x:c r="I937" s="13" t="n">
        <x:v>0.01355</x:v>
      </x:c>
      <x:c r="J937" s="2" t="n">
        <x:v>7</x:v>
      </x:c>
      <x:c r="K937" s="2" t="n">
        <x:v>5</x:v>
      </x:c>
      <x:c r="L937" s="12" t="n">
        <x:v>1743.93185</x:v>
      </x:c>
      <x:c r="M937" s="13" t="n">
        <x:v>0.5537643210861859</x:v>
      </x:c>
      <x:c r="N937" s="13" t="n">
        <x:f>H937/G937</x:f>
        <x:v>0.0051682850405955615</x:v>
      </x:c>
      <x:c r="O937" s="13" t="n">
        <x:f>F937/E937</x:f>
        <x:v>0</x:v>
      </x:c>
      <x:c r="P937" s="2" t="str">
        <x:f>IF(AND(E937&gt;='Итоги'!$F$5,N937&lt;='Итоги'!$B$5,O937&gt;='Итоги'!$D$5),"Да","Нет")</x:f>
        <x:v>Нет</x:v>
      </x:c>
    </x:row>
    <x:row r="938" ht="60" customHeight="1">
      <x:c r="A938" s="14" t="str">
        <x:v>Одежда</x:v>
      </x:c>
      <x:c r="B938" s="14" t="str">
        <x:v>Основная одежда мужская</x:v>
      </x:c>
      <x:c r="C938" s="14" t="str">
        <x:v>Основная одежда мужская низы</x:v>
      </x:c>
      <x:c r="D938" s="14" t="str">
        <x:v>Бриджи мужские</x:v>
      </x:c>
      <x:c r="E938" s="2" t="n">
        <x:v>34</x:v>
      </x:c>
      <x:c r="F938" s="2" t="n">
        <x:v>0</x:v>
      </x:c>
      <x:c r="G938" s="12" t="n">
        <x:v>1846017.2388</x:v>
      </x:c>
      <x:c r="H938" s="12" t="n">
        <x:v>9543.74224948</x:v>
      </x:c>
      <x:c r="I938" s="13" t="n">
        <x:v>0.0045764705882352</x:v>
      </x:c>
      <x:c r="J938" s="2" t="n">
        <x:v>24</x:v>
      </x:c>
      <x:c r="K938" s="2" t="n">
        <x:v>4</x:v>
      </x:c>
      <x:c r="L938" s="12" t="n">
        <x:v>1856.62165</x:v>
      </x:c>
      <x:c r="M938" s="13" t="n">
        <x:v>0.4927005885336373</x:v>
      </x:c>
      <x:c r="N938" s="13" t="n">
        <x:f>H938/G938</x:f>
        <x:v>0.005169909602623154</x:v>
      </x:c>
      <x:c r="O938" s="13" t="n">
        <x:f>F938/E938</x:f>
        <x:v>0</x:v>
      </x:c>
      <x:c r="P938" s="2" t="str">
        <x:f>IF(AND(E938&gt;='Итоги'!$F$5,N938&lt;='Итоги'!$B$5,O938&gt;='Итоги'!$D$5),"Да","Нет")</x:f>
        <x:v>Нет</x:v>
      </x:c>
    </x:row>
    <x:row r="939" ht="60" customHeight="1">
      <x:c r="A939" s="14" t="str">
        <x:v>Аудио и видеотехника</x:v>
      </x:c>
      <x:c r="B939" s="14" t="str">
        <x:v>Электронные товары хобби и отдых TV&amp;Audio</x:v>
      </x:c>
      <x:c r="C939" s="14" t="str">
        <x:v>Навигатор TV&amp;Audio</x:v>
      </x:c>
      <x:c r="D939" s="14" t="str">
        <x:v>GPS навигатор</x:v>
      </x:c>
      <x:c r="E939" s="2" t="n">
        <x:v>15</x:v>
      </x:c>
      <x:c r="F939" s="2" t="n">
        <x:v>0</x:v>
      </x:c>
      <x:c r="G939" s="12" t="n">
        <x:v>3120326.3462</x:v>
      </x:c>
      <x:c r="H939" s="12" t="n">
        <x:v>16177.155725</x:v>
      </x:c>
      <x:c r="I939" s="13" t="n">
        <x:v>0.0062933333333333</x:v>
      </x:c>
      <x:c r="J939" s="2" t="n">
        <x:v>12</x:v>
      </x:c>
      <x:c r="K939" s="2" t="n">
        <x:v>4</x:v>
      </x:c>
      <x:c r="L939" s="12" t="n">
        <x:v>20598.75</x:v>
      </x:c>
      <x:c r="M939" s="13" t="n">
        <x:v>0.7313723287242743</x:v>
      </x:c>
      <x:c r="N939" s="13" t="n">
        <x:f>H939/G939</x:f>
        <x:v>0.005184443526139785</x:v>
      </x:c>
      <x:c r="O939" s="13" t="n">
        <x:f>F939/E939</x:f>
        <x:v>0</x:v>
      </x:c>
      <x:c r="P939" s="2" t="str">
        <x:f>IF(AND(E939&gt;='Итоги'!$F$5,N939&lt;='Итоги'!$B$5,O939&gt;='Итоги'!$D$5),"Да","Нет")</x:f>
        <x:v>Нет</x:v>
      </x:c>
    </x:row>
    <x:row r="940" ht="60" customHeight="1">
      <x:c r="A940" s="14" t="str">
        <x:v>Строительство и ремонт (DIY)</x:v>
      </x:c>
      <x:c r="B940" s="14" t="str">
        <x:v>Ремонт и строительство</x:v>
      </x:c>
      <x:c r="C940" s="14" t="str">
        <x:v>Солнечная, ветряная электростанции</x:v>
      </x:c>
      <x:c r="D940" s="14" t="str">
        <x:v>Контроллер для солнечной электростанции</x:v>
      </x:c>
      <x:c r="E940" s="2" t="n">
        <x:v>3</x:v>
      </x:c>
      <x:c r="F940" s="2" t="n">
        <x:v>0</x:v>
      </x:c>
      <x:c r="G940" s="12" t="n">
        <x:v>227488.6748</x:v>
      </x:c>
      <x:c r="H940" s="12" t="n">
        <x:v>1184.6656281</x:v>
      </x:c>
      <x:c r="I940" s="13" t="n">
        <x:v>0.0096666666666666</x:v>
      </x:c>
      <x:c r="J940" s="2" t="n">
        <x:v>2</x:v>
      </x:c>
      <x:c r="K940" s="2" t="n">
        <x:v>2</x:v>
      </x:c>
      <x:c r="L940" s="12" t="n">
        <x:v>7466.0136</x:v>
      </x:c>
      <x:c r="M940" s="13" t="n">
        <x:v>0.8204282523694231</x:v>
      </x:c>
      <x:c r="N940" s="13" t="n">
        <x:f>H940/G940</x:f>
        <x:v>0.005207580681286733</x:v>
      </x:c>
      <x:c r="O940" s="13" t="n">
        <x:f>F940/E940</x:f>
        <x:v>0</x:v>
      </x:c>
      <x:c r="P940" s="2" t="str">
        <x:f>IF(AND(E940&gt;='Итоги'!$F$5,N940&lt;='Итоги'!$B$5,O940&gt;='Итоги'!$D$5),"Да","Нет")</x:f>
        <x:v>Нет</x:v>
      </x:c>
    </x:row>
    <x:row r="941" ht="60" customHeight="1">
      <x:c r="A941" s="14" t="str">
        <x:v>Аптека</x:v>
      </x:c>
      <x:c r="B941" s="14" t="str">
        <x:v>Лекарственные средства</x:v>
      </x:c>
      <x:c r="C941" s="14" t="str">
        <x:v>Безрецептурные</x:v>
      </x:c>
      <x:c r="D941" s="14" t="str">
        <x:v>Безрецептурные лекарственные препараты</x:v>
      </x:c>
      <x:c r="E941" s="2" t="n">
        <x:v>121</x:v>
      </x:c>
      <x:c r="F941" s="2" t="n">
        <x:v>0</x:v>
      </x:c>
      <x:c r="G941" s="12" t="n">
        <x:v>25433236.14</x:v>
      </x:c>
      <x:c r="H941" s="12" t="n">
        <x:v>134924.71202500002</x:v>
      </x:c>
      <x:c r="I941" s="13" t="n">
        <x:v>0.0053826446280991</x:v>
      </x:c>
      <x:c r="J941" s="2" t="n">
        <x:v>108</x:v>
      </x:c>
      <x:c r="K941" s="2" t="n">
        <x:v>1</x:v>
      </x:c>
      <x:c r="L941" s="12" t="n">
        <x:v>1467.7414</x:v>
      </x:c>
      <x:c r="M941" s="13" t="n">
        <x:v>1</x:v>
      </x:c>
      <x:c r="N941" s="13" t="n">
        <x:f>H941/G941</x:f>
        <x:v>0.00530505482205616</x:v>
      </x:c>
      <x:c r="O941" s="13" t="n">
        <x:f>F941/E941</x:f>
        <x:v>0</x:v>
      </x:c>
      <x:c r="P941" s="2" t="str">
        <x:f>IF(AND(E941&gt;='Итоги'!$F$5,N941&lt;='Итоги'!$B$5,O941&gt;='Итоги'!$D$5),"Да","Нет")</x:f>
        <x:v>Нет</x:v>
      </x:c>
    </x:row>
    <x:row r="942" ht="60" customHeight="1">
      <x:c r="A942" s="14" t="str">
        <x:v>Строительство и ремонт (DIY)</x:v>
      </x:c>
      <x:c r="B942" s="14" t="str">
        <x:v>Ремонт и строительство</x:v>
      </x:c>
      <x:c r="C942" s="14" t="str">
        <x:v>Строительная химия</x:v>
      </x:c>
      <x:c r="D942" s="14" t="str">
        <x:v>Затирка плиточных швов</x:v>
      </x:c>
      <x:c r="E942" s="2" t="n">
        <x:v>54</x:v>
      </x:c>
      <x:c r="F942" s="2" t="n">
        <x:v>0</x:v>
      </x:c>
      <x:c r="G942" s="12" t="n">
        <x:v>9164638.1837</x:v>
      </x:c>
      <x:c r="H942" s="12" t="n">
        <x:v>48666.16949352</x:v>
      </x:c>
      <x:c r="I942" s="13" t="n">
        <x:v>0.0085777777777777</x:v>
      </x:c>
      <x:c r="J942" s="2" t="n">
        <x:v>46</x:v>
      </x:c>
      <x:c r="K942" s="2" t="n">
        <x:v>5</x:v>
      </x:c>
      <x:c r="L942" s="12" t="n">
        <x:v>1929.21175</x:v>
      </x:c>
      <x:c r="M942" s="13" t="n">
        <x:v>0.898820778855272</x:v>
      </x:c>
      <x:c r="N942" s="13" t="n">
        <x:f>H942/G942</x:f>
        <x:v>0.0053102117637416875</x:v>
      </x:c>
      <x:c r="O942" s="13" t="n">
        <x:f>F942/E942</x:f>
        <x:v>0</x:v>
      </x:c>
      <x:c r="P942" s="2" t="str">
        <x:f>IF(AND(E942&gt;='Итоги'!$F$5,N942&lt;='Итоги'!$B$5,O942&gt;='Итоги'!$D$5),"Да","Нет")</x:f>
        <x:v>Нет</x:v>
      </x:c>
    </x:row>
    <x:row r="943" ht="60" customHeight="1">
      <x:c r="A943" s="14" t="str">
        <x:v>Одежда</x:v>
      </x:c>
      <x:c r="B943" s="14" t="str">
        <x:v>Спецодежда и одежда для мероприятий</x:v>
      </x:c>
      <x:c r="C943" s="14" t="str">
        <x:v>Спецодежда мужская</x:v>
      </x:c>
      <x:c r="D943" s="14" t="str">
        <x:v>Рабочий комбинезон мужской</x:v>
      </x:c>
      <x:c r="E943" s="2" t="n">
        <x:v>8</x:v>
      </x:c>
      <x:c r="F943" s="2" t="n">
        <x:v>0</x:v>
      </x:c>
      <x:c r="G943" s="12" t="n">
        <x:v>632449.3365</x:v>
      </x:c>
      <x:c r="H943" s="12" t="n">
        <x:v>3424.8462806</x:v>
      </x:c>
      <x:c r="I943" s="13" t="n">
        <x:v>0.00915</x:v>
      </x:c>
      <x:c r="J943" s="2" t="n">
        <x:v>6</x:v>
      </x:c>
      <x:c r="K943" s="2" t="n">
        <x:v>4</x:v>
      </x:c>
      <x:c r="L943" s="12" t="n">
        <x:v>2194.4913</x:v>
      </x:c>
      <x:c r="M943" s="13" t="n">
        <x:v>0.4431098490052729</x:v>
      </x:c>
      <x:c r="N943" s="13" t="n">
        <x:f>H943/G943</x:f>
        <x:v>0.0054152104887218895</x:v>
      </x:c>
      <x:c r="O943" s="13" t="n">
        <x:f>F943/E943</x:f>
        <x:v>0</x:v>
      </x:c>
      <x:c r="P943" s="2" t="str">
        <x:f>IF(AND(E943&gt;='Итоги'!$F$5,N943&lt;='Итоги'!$B$5,O943&gt;='Итоги'!$D$5),"Да","Нет")</x:f>
        <x:v>Нет</x:v>
      </x:c>
    </x:row>
    <x:row r="944" ht="60" customHeight="1">
      <x:c r="A944" s="14" t="str">
        <x:v>Автотовары</x:v>
      </x:c>
      <x:c r="B944" s="14" t="str">
        <x:v>Авто и мото запчасти</x:v>
      </x:c>
      <x:c r="C944" s="14" t="str">
        <x:v>Кузовные детали</x:v>
      </x:c>
      <x:c r="D944" s="14" t="str">
        <x:v>Панель, обшивка салона авто</x:v>
      </x:c>
      <x:c r="E944" s="2" t="n">
        <x:v>23</x:v>
      </x:c>
      <x:c r="F944" s="2" t="n">
        <x:v>0</x:v>
      </x:c>
      <x:c r="G944" s="12" t="n">
        <x:v>2422126.0586</x:v>
      </x:c>
      <x:c r="H944" s="12" t="n">
        <x:v>13175.16710942</x:v>
      </x:c>
      <x:c r="I944" s="13" t="n">
        <x:v>0.0061608695652173</x:v>
      </x:c>
      <x:c r="J944" s="2" t="n">
        <x:v>16</x:v>
      </x:c>
      <x:c r="K944" s="2" t="n">
        <x:v>7</x:v>
      </x:c>
      <x:c r="L944" s="12" t="n">
        <x:v>2682.0377</x:v>
      </x:c>
      <x:c r="M944" s="13" t="n">
        <x:v>0.4040187448235564</x:v>
      </x:c>
      <x:c r="N944" s="13" t="n">
        <x:f>H944/G944</x:f>
        <x:v>0.005439505125111162</x:v>
      </x:c>
      <x:c r="O944" s="13" t="n">
        <x:f>F944/E944</x:f>
        <x:v>0</x:v>
      </x:c>
      <x:c r="P944" s="2" t="str">
        <x:f>IF(AND(E944&gt;='Итоги'!$F$5,N944&lt;='Итоги'!$B$5,O944&gt;='Итоги'!$D$5),"Да","Нет")</x:f>
        <x:v>Нет</x:v>
      </x:c>
    </x:row>
    <x:row r="945" ht="60" customHeight="1">
      <x:c r="A945" s="14" t="str">
        <x:v>Товары для красоты и здоровья</x:v>
      </x:c>
      <x:c r="B945" s="14" t="str">
        <x:v>Косметическая техника</x:v>
      </x:c>
      <x:c r="C945" s="14" t="str">
        <x:v>Оборудование для салона красоты</x:v>
      </x:c>
      <x:c r="D945" s="14" t="str">
        <x:v>Парикмахерская мойка и комплектующие к ней</x:v>
      </x:c>
      <x:c r="E945" s="2" t="n">
        <x:v>2</x:v>
      </x:c>
      <x:c r="F945" s="2" t="n">
        <x:v>0</x:v>
      </x:c>
      <x:c r="G945" s="12" t="n">
        <x:v>453396.1056</x:v>
      </x:c>
      <x:c r="H945" s="12" t="n">
        <x:v>2486.6386191600004</x:v>
      </x:c>
      <x:c r="I945" s="13" t="n">
        <x:v>0.00485</x:v>
      </x:c>
      <x:c r="J945" s="2" t="n">
        <x:v>0</x:v>
      </x:c>
      <x:c r="K945" s="2" t="n">
        <x:v>2</x:v>
      </x:c>
      <x:c r="L945" s="12" t="n">
        <x:v>1639.1172</x:v>
      </x:c>
      <x:c r="M945" s="13" t="n">
        <x:v>0.7537891291495028</x:v>
      </x:c>
      <x:c r="N945" s="13" t="n">
        <x:f>H945/G945</x:f>
        <x:v>0.005484472822873758</x:v>
      </x:c>
      <x:c r="O945" s="13" t="n">
        <x:f>F945/E945</x:f>
        <x:v>0</x:v>
      </x:c>
      <x:c r="P945" s="2" t="str">
        <x:f>IF(AND(E945&gt;='Итоги'!$F$5,N945&lt;='Итоги'!$B$5,O945&gt;='Итоги'!$D$5),"Да","Нет")</x:f>
        <x:v>Нет</x:v>
      </x:c>
    </x:row>
    <x:row r="946" ht="60" customHeight="1">
      <x:c r="A946" s="14" t="str">
        <x:v>Товары для дома</x:v>
      </x:c>
      <x:c r="B946" s="14" t="str">
        <x:v>Домашний текстиль</x:v>
      </x:c>
      <x:c r="C946" s="14" t="str">
        <x:v>Халат, тюрбан, чалма банные</x:v>
      </x:c>
      <x:c r="D946" s="14" t="str">
        <x:v>Полотенце, тюрбан, чалма для сушки волос</x:v>
      </x:c>
      <x:c r="E946" s="2" t="n">
        <x:v>7</x:v>
      </x:c>
      <x:c r="F946" s="2" t="n">
        <x:v>0</x:v>
      </x:c>
      <x:c r="G946" s="12" t="n">
        <x:v>1897407.4698</x:v>
      </x:c>
      <x:c r="H946" s="12" t="n">
        <x:v>10409.3856</x:v>
      </x:c>
      <x:c r="I946" s="13" t="n">
        <x:v>0.0319714285714285</x:v>
      </x:c>
      <x:c r="J946" s="2" t="n">
        <x:v>6</x:v>
      </x:c>
      <x:c r="K946" s="2" t="n">
        <x:v>2</x:v>
      </x:c>
      <x:c r="L946" s="12" t="n">
        <x:v>7287.8182</x:v>
      </x:c>
      <x:c r="M946" s="13" t="n">
        <x:v>0.9754865516551896</x:v>
      </x:c>
      <x:c r="N946" s="13" t="n">
        <x:f>H946/G946</x:f>
        <x:v>0.005486109739568603</x:v>
      </x:c>
      <x:c r="O946" s="13" t="n">
        <x:f>F946/E946</x:f>
        <x:v>0</x:v>
      </x:c>
      <x:c r="P946" s="2" t="str">
        <x:f>IF(AND(E946&gt;='Итоги'!$F$5,N946&lt;='Итоги'!$B$5,O946&gt;='Итоги'!$D$5),"Да","Нет")</x:f>
        <x:v>Нет</x:v>
      </x:c>
    </x:row>
    <x:row r="947" ht="60" customHeight="1">
      <x:c r="A947" s="14" t="str">
        <x:v>Одежда</x:v>
      </x:c>
      <x:c r="B947" s="14" t="str">
        <x:v>Верхняя одежда</x:v>
      </x:c>
      <x:c r="C947" s="14" t="str">
        <x:v>Спортивная верхняя одежда мужская</x:v>
      </x:c>
      <x:c r="D947" s="14" t="str">
        <x:v>Спортивная куртка мужская</x:v>
      </x:c>
      <x:c r="E947" s="2" t="n">
        <x:v>173</x:v>
      </x:c>
      <x:c r="F947" s="2" t="n">
        <x:v>0</x:v>
      </x:c>
      <x:c r="G947" s="12" t="n">
        <x:v>8981222.798</x:v>
      </x:c>
      <x:c r="H947" s="12" t="n">
        <x:v>49437.00749336</x:v>
      </x:c>
      <x:c r="I947" s="13" t="n">
        <x:v>0.0068988439306358</x:v>
      </x:c>
      <x:c r="J947" s="2" t="n">
        <x:v>145</x:v>
      </x:c>
      <x:c r="K947" s="2" t="n">
        <x:v>20</x:v>
      </x:c>
      <x:c r="L947" s="12" t="n">
        <x:v>3826.3727</x:v>
      </x:c>
      <x:c r="M947" s="13" t="n">
        <x:v>0.6642397992095775</x:v>
      </x:c>
      <x:c r="N947" s="13" t="n">
        <x:f>H947/G947</x:f>
        <x:v>0.0055044851469856606</x:v>
      </x:c>
      <x:c r="O947" s="13" t="n">
        <x:f>F947/E947</x:f>
        <x:v>0</x:v>
      </x:c>
      <x:c r="P947" s="2" t="str">
        <x:f>IF(AND(E947&gt;='Итоги'!$F$5,N947&lt;='Итоги'!$B$5,O947&gt;='Итоги'!$D$5),"Да","Нет")</x:f>
        <x:v>Нет</x:v>
      </x:c>
    </x:row>
    <x:row r="948" ht="60" customHeight="1">
      <x:c r="A948" s="14" t="str">
        <x:v>Книги</x:v>
      </x:c>
      <x:c r="B948" s="14" t="str">
        <x:v>Печатные книги: Нехудожественная литература</x:v>
      </x:c>
      <x:c r="C948" s="14" t="str">
        <x:v>Печатная книга: Медицина</x:v>
      </x:c>
      <x:c r="D948" s="14" t="str">
        <x:v>Печатная книга: Медицина</x:v>
      </x:c>
      <x:c r="E948" s="2" t="n">
        <x:v>5</x:v>
      </x:c>
      <x:c r="F948" s="2" t="n">
        <x:v>0</x:v>
      </x:c>
      <x:c r="G948" s="12" t="n">
        <x:v>227798.42</x:v>
      </x:c>
      <x:c r="H948" s="12" t="n">
        <x:v>1256.115414</x:v>
      </x:c>
      <x:c r="I948" s="13" t="n">
        <x:v>0.0039</x:v>
      </x:c>
      <x:c r="J948" s="2" t="n">
        <x:v>2</x:v>
      </x:c>
      <x:c r="K948" s="2" t="n">
        <x:v>3</x:v>
      </x:c>
      <x:c r="L948" s="12" t="n">
        <x:v>5873.2727</x:v>
      </x:c>
      <x:c r="M948" s="13" t="n">
        <x:v>0.6709704132276247</x:v>
      </x:c>
      <x:c r="N948" s="13" t="n">
        <x:f>H948/G948</x:f>
        <x:v>0.005514153320290808</x:v>
      </x:c>
      <x:c r="O948" s="13" t="n">
        <x:f>F948/E948</x:f>
        <x:v>0</x:v>
      </x:c>
      <x:c r="P948" s="2" t="str">
        <x:f>IF(AND(E948&gt;='Итоги'!$F$5,N948&lt;='Итоги'!$B$5,O948&gt;='Итоги'!$D$5),"Да","Нет")</x:f>
        <x:v>Нет</x:v>
      </x:c>
    </x:row>
    <x:row r="949" ht="60" customHeight="1">
      <x:c r="A949" s="14" t="str">
        <x:v>Обувь</x:v>
      </x:c>
      <x:c r="B949" s="14" t="str">
        <x:v>Обувь мужская</x:v>
      </x:c>
      <x:c r="C949" s="14" t="str">
        <x:v>Спортивная обувь мужская</x:v>
      </x:c>
      <x:c r="D949" s="14" t="str">
        <x:v>Спортивные сапоги, полусапоги мужские</x:v>
      </x:c>
      <x:c r="E949" s="2" t="n">
        <x:v>6</x:v>
      </x:c>
      <x:c r="F949" s="2" t="n">
        <x:v>0</x:v>
      </x:c>
      <x:c r="G949" s="12" t="n">
        <x:v>325042.13</x:v>
      </x:c>
      <x:c r="H949" s="12" t="n">
        <x:v>1799.2789</x:v>
      </x:c>
      <x:c r="I949" s="13" t="n">
        <x:v>0.0032666666666666</x:v>
      </x:c>
      <x:c r="J949" s="2" t="n">
        <x:v>4</x:v>
      </x:c>
      <x:c r="K949" s="2" t="n">
        <x:v>2</x:v>
      </x:c>
      <x:c r="L949" s="12" t="n">
        <x:v>1916.4275</x:v>
      </x:c>
      <x:c r="M949" s="13" t="n">
        <x:v>0.6442376562078276</x:v>
      </x:c>
      <x:c r="N949" s="13" t="n">
        <x:f>H949/G949</x:f>
        <x:v>0.005535525194841666</x:v>
      </x:c>
      <x:c r="O949" s="13" t="n">
        <x:f>F949/E949</x:f>
        <x:v>0</x:v>
      </x:c>
      <x:c r="P949" s="2" t="str">
        <x:f>IF(AND(E949&gt;='Итоги'!$F$5,N949&lt;='Итоги'!$B$5,O949&gt;='Итоги'!$D$5),"Да","Нет")</x:f>
        <x:v>Нет</x:v>
      </x:c>
    </x:row>
    <x:row r="950" ht="60" customHeight="1">
      <x:c r="A950" s="14" t="str">
        <x:v>Товары для дома</x:v>
      </x:c>
      <x:c r="B950" s="14" t="str">
        <x:v>Кухня</x:v>
      </x:c>
      <x:c r="C950" s="14" t="str">
        <x:v>Столовая посуда</x:v>
      </x:c>
      <x:c r="D950" s="14" t="str">
        <x:v>Супница, бульонница</x:v>
      </x:c>
      <x:c r="E950" s="2" t="n">
        <x:v>4</x:v>
      </x:c>
      <x:c r="F950" s="2" t="n">
        <x:v>0</x:v>
      </x:c>
      <x:c r="G950" s="12" t="n">
        <x:v>335258.4798</x:v>
      </x:c>
      <x:c r="H950" s="12" t="n">
        <x:v>1864.05766272</x:v>
      </x:c>
      <x:c r="I950" s="13" t="n">
        <x:v>0.004525</x:v>
      </x:c>
      <x:c r="J950" s="2" t="n">
        <x:v>3</x:v>
      </x:c>
      <x:c r="K950" s="2" t="n">
        <x:v>2</x:v>
      </x:c>
      <x:c r="L950" s="12" t="n">
        <x:v>1176.26615</x:v>
      </x:c>
      <x:c r="M950" s="13" t="n">
        <x:v>0.7299993722634545</x:v>
      </x:c>
      <x:c r="N950" s="13" t="n">
        <x:f>H950/G950</x:f>
        <x:v>0.00556006119168712</x:v>
      </x:c>
      <x:c r="O950" s="13" t="n">
        <x:f>F950/E950</x:f>
        <x:v>0</x:v>
      </x:c>
      <x:c r="P950" s="2" t="str">
        <x:f>IF(AND(E950&gt;='Итоги'!$F$5,N950&lt;='Итоги'!$B$5,O950&gt;='Итоги'!$D$5),"Да","Нет")</x:f>
        <x:v>Нет</x:v>
      </x:c>
    </x:row>
    <x:row r="951" ht="60" customHeight="1">
      <x:c r="A951" s="14" t="str">
        <x:v>Детская одежда</x:v>
      </x:c>
      <x:c r="B951" s="14" t="str">
        <x:v>Детская обувь</x:v>
      </x:c>
      <x:c r="C951" s="14" t="str">
        <x:v>Обувь для мальчика</x:v>
      </x:c>
      <x:c r="D951" s="14" t="str">
        <x:v>Сабо для мальчика</x:v>
      </x:c>
      <x:c r="E951" s="2" t="n">
        <x:v>138</x:v>
      </x:c>
      <x:c r="F951" s="2" t="n">
        <x:v>0</x:v>
      </x:c>
      <x:c r="G951" s="12" t="n">
        <x:v>9339111.5803</x:v>
      </x:c>
      <x:c r="H951" s="12" t="n">
        <x:v>51987.06610394</x:v>
      </x:c>
      <x:c r="I951" s="13" t="n">
        <x:v>0.0069224637681159</x:v>
      </x:c>
      <x:c r="J951" s="2" t="n">
        <x:v>125</x:v>
      </x:c>
      <x:c r="K951" s="2" t="n">
        <x:v>12</x:v>
      </x:c>
      <x:c r="L951" s="12" t="n">
        <x:v>1927.06125</x:v>
      </x:c>
      <x:c r="M951" s="13" t="n">
        <x:v>0.8926225824932497</x:v>
      </x:c>
      <x:c r="N951" s="13" t="n">
        <x:f>H951/G951</x:f>
        <x:v>0.005566596528689298</x:v>
      </x:c>
      <x:c r="O951" s="13" t="n">
        <x:f>F951/E951</x:f>
        <x:v>0</x:v>
      </x:c>
      <x:c r="P951" s="2" t="str">
        <x:f>IF(AND(E951&gt;='Итоги'!$F$5,N951&lt;='Итоги'!$B$5,O951&gt;='Итоги'!$D$5),"Да","Нет")</x:f>
        <x:v>Нет</x:v>
      </x:c>
    </x:row>
    <x:row r="952" ht="60" customHeight="1">
      <x:c r="A952" s="14" t="str">
        <x:v>Книги</x:v>
      </x:c>
      <x:c r="B952" s="14" t="str">
        <x:v>Печатные книги: Нехудожественная литература</x:v>
      </x:c>
      <x:c r="C952" s="14" t="str">
        <x:v>Печатная книга: Дом, хобби, кулинарные книги</x:v>
      </x:c>
      <x:c r="D952" s="14" t="str">
        <x:v>Печатная книга: Дом, хобби, кулинарные книги</x:v>
      </x:c>
      <x:c r="E952" s="2" t="n">
        <x:v>7</x:v>
      </x:c>
      <x:c r="F952" s="2" t="n">
        <x:v>0</x:v>
      </x:c>
      <x:c r="G952" s="12" t="n">
        <x:v>540344.9954</x:v>
      </x:c>
      <x:c r="H952" s="12" t="n">
        <x:v>3019.44545318</x:v>
      </x:c>
      <x:c r="I952" s="13" t="n">
        <x:v>0.0049</x:v>
      </x:c>
      <x:c r="J952" s="2" t="n">
        <x:v>1</x:v>
      </x:c>
      <x:c r="K952" s="2" t="n">
        <x:v>2</x:v>
      </x:c>
      <x:c r="L952" s="12" t="n">
        <x:v>1826.5498</x:v>
      </x:c>
      <x:c r="M952" s="13" t="n">
        <x:v>0.994488706242582</x:v>
      </x:c>
      <x:c r="N952" s="13" t="n">
        <x:f>H952/G952</x:f>
        <x:v>0.0055879955933427344</x:v>
      </x:c>
      <x:c r="O952" s="13" t="n">
        <x:f>F952/E952</x:f>
        <x:v>0</x:v>
      </x:c>
      <x:c r="P952" s="2" t="str">
        <x:f>IF(AND(E952&gt;='Итоги'!$F$5,N952&lt;='Итоги'!$B$5,O952&gt;='Итоги'!$D$5),"Да","Нет")</x:f>
        <x:v>Нет</x:v>
      </x:c>
    </x:row>
    <x:row r="953" ht="60" customHeight="1">
      <x:c r="A953" s="14" t="str">
        <x:v>Спорт и отдых</x:v>
      </x:c>
      <x:c r="B953" s="14" t="str">
        <x:v>Колесный транспорт</x:v>
      </x:c>
      <x:c r="C953" s="14" t="str">
        <x:v>Велоаксессуары</x:v>
      </x:c>
      <x:c r="D953" s="14" t="str">
        <x:v>Подножка для велосипеда</x:v>
      </x:c>
      <x:c r="E953" s="2" t="n">
        <x:v>2</x:v>
      </x:c>
      <x:c r="F953" s="2" t="n">
        <x:v>0</x:v>
      </x:c>
      <x:c r="G953" s="12" t="n">
        <x:v>153691.3609</x:v>
      </x:c>
      <x:c r="H953" s="12" t="n">
        <x:v>885.731</x:v>
      </x:c>
      <x:c r="I953" s="13" t="n">
        <x:v>0.0385</x:v>
      </x:c>
      <x:c r="J953" s="2" t="n">
        <x:v>1</x:v>
      </x:c>
      <x:c r="K953" s="2" t="n">
        <x:v>2</x:v>
      </x:c>
      <x:c r="L953" s="12" t="n">
        <x:v>1005.7795</x:v>
      </x:c>
      <x:c r="M953" s="13" t="n">
        <x:v>0.9251551945884292</x:v>
      </x:c>
      <x:c r="N953" s="13" t="n">
        <x:f>H953/G953</x:f>
        <x:v>0.005763050016690951</x:v>
      </x:c>
      <x:c r="O953" s="13" t="n">
        <x:f>F953/E953</x:f>
        <x:v>0</x:v>
      </x:c>
      <x:c r="P953" s="2" t="str">
        <x:f>IF(AND(E953&gt;='Итоги'!$F$5,N953&lt;='Итоги'!$B$5,O953&gt;='Итоги'!$D$5),"Да","Нет")</x:f>
        <x:v>Нет</x:v>
      </x:c>
    </x:row>
    <x:row r="954" ht="60" customHeight="1">
      <x:c r="A954" s="14" t="str">
        <x:v>Бытовая химия и гигиена рта</x:v>
      </x:c>
      <x:c r="B954" s="14" t="str">
        <x:v>Бытовая химия</x:v>
      </x:c>
      <x:c r="C954" s="14" t="str">
        <x:v>Чистящее и моющее средство</x:v>
      </x:c>
      <x:c r="D954" s="14" t="str">
        <x:v>Средство для чистки утюга</x:v>
      </x:c>
      <x:c r="E954" s="2" t="n">
        <x:v>1</x:v>
      </x:c>
      <x:c r="F954" s="2" t="n">
        <x:v>0</x:v>
      </x:c>
      <x:c r="G954" s="12" t="n">
        <x:v>426145.3191</x:v>
      </x:c>
      <x:c r="H954" s="12" t="n">
        <x:v>2471.64285078</x:v>
      </x:c>
      <x:c r="I954" s="13" t="n">
        <x:v>0.0058</x:v>
      </x:c>
      <x:c r="J954" s="2" t="n">
        <x:v>0</x:v>
      </x:c>
      <x:c r="K954" s="2" t="n">
        <x:v>1</x:v>
      </x:c>
      <x:c r="L954" s="12" t="n">
        <x:v>6985.9888</x:v>
      </x:c>
      <x:c r="M954" s="13" t="n">
        <x:v>1</x:v>
      </x:c>
      <x:c r="N954" s="13" t="n">
        <x:f>H954/G954</x:f>
        <x:v>0.0058</x:v>
      </x:c>
      <x:c r="O954" s="13" t="n">
        <x:f>F954/E954</x:f>
        <x:v>0</x:v>
      </x:c>
      <x:c r="P954" s="2" t="str">
        <x:f>IF(AND(E954&gt;='Итоги'!$F$5,N954&lt;='Итоги'!$B$5,O954&gt;='Итоги'!$D$5),"Да","Нет")</x:f>
        <x:v>Нет</x:v>
      </x:c>
    </x:row>
    <x:row r="955" ht="60" customHeight="1">
      <x:c r="A955" s="14" t="str">
        <x:v>Обувь</x:v>
      </x:c>
      <x:c r="B955" s="14" t="str">
        <x:v>Обувь женская</x:v>
      </x:c>
      <x:c r="C955" s="14" t="str">
        <x:v>Обувь женская демисезон</x:v>
      </x:c>
      <x:c r="D955" s="14" t="str">
        <x:v>Женские Сапоги демисезонные</x:v>
      </x:c>
      <x:c r="E955" s="2" t="n">
        <x:v>175</x:v>
      </x:c>
      <x:c r="F955" s="2" t="n">
        <x:v>0</x:v>
      </x:c>
      <x:c r="G955" s="12" t="n">
        <x:v>6362153.8304</x:v>
      </x:c>
      <x:c r="H955" s="12" t="n">
        <x:v>37146.3244002</x:v>
      </x:c>
      <x:c r="I955" s="13" t="n">
        <x:v>0.0020605714285714</x:v>
      </x:c>
      <x:c r="J955" s="2" t="n">
        <x:v>161</x:v>
      </x:c>
      <x:c r="K955" s="2" t="n">
        <x:v>17</x:v>
      </x:c>
      <x:c r="L955" s="12" t="n">
        <x:v>7302.5</x:v>
      </x:c>
      <x:c r="M955" s="13" t="n">
        <x:v>0.3903453478495759</x:v>
      </x:c>
      <x:c r="N955" s="13" t="n">
        <x:f>H955/G955</x:f>
        <x:v>0.005838639773641648</x:v>
      </x:c>
      <x:c r="O955" s="13" t="n">
        <x:f>F955/E955</x:f>
        <x:v>0</x:v>
      </x:c>
      <x:c r="P955" s="2" t="str">
        <x:f>IF(AND(E955&gt;='Итоги'!$F$5,N955&lt;='Итоги'!$B$5,O955&gt;='Итоги'!$D$5),"Да","Нет")</x:f>
        <x:v>Нет</x:v>
      </x:c>
    </x:row>
    <x:row r="956" ht="60" customHeight="1">
      <x:c r="A956" s="14" t="str">
        <x:v>Автотовары</x:v>
      </x:c>
      <x:c r="B956" s="14" t="str">
        <x:v>Дополнительное оборудование для авто и мото техники</x:v>
      </x:c>
      <x:c r="C956" s="14" t="str">
        <x:v>Оборудование для перевозки багажа</x:v>
      </x:c>
      <x:c r="D956" s="14" t="str">
        <x:v>Бокс багажный для авто</x:v>
      </x:c>
      <x:c r="E956" s="2" t="n">
        <x:v>44</x:v>
      </x:c>
      <x:c r="F956" s="2" t="n">
        <x:v>0</x:v>
      </x:c>
      <x:c r="G956" s="12" t="n">
        <x:v>8271736.2057</x:v>
      </x:c>
      <x:c r="H956" s="12" t="n">
        <x:v>48501.1742</x:v>
      </x:c>
      <x:c r="I956" s="13" t="n">
        <x:v>0.0042431818181818</x:v>
      </x:c>
      <x:c r="J956" s="2" t="n">
        <x:v>42</x:v>
      </x:c>
      <x:c r="K956" s="2" t="n">
        <x:v>5</x:v>
      </x:c>
      <x:c r="L956" s="12" t="n">
        <x:v>32468.8482</x:v>
      </x:c>
      <x:c r="M956" s="13" t="n">
        <x:v>0.9097766977644032</x:v>
      </x:c>
      <x:c r="N956" s="13" t="n">
        <x:f>H956/G956</x:f>
        <x:v>0.0058634817399735445</x:v>
      </x:c>
      <x:c r="O956" s="13" t="n">
        <x:f>F956/E956</x:f>
        <x:v>0</x:v>
      </x:c>
      <x:c r="P956" s="2" t="str">
        <x:f>IF(AND(E956&gt;='Итоги'!$F$5,N956&lt;='Итоги'!$B$5,O956&gt;='Итоги'!$D$5),"Да","Нет")</x:f>
        <x:v>Нет</x:v>
      </x:c>
    </x:row>
    <x:row r="957" ht="60" customHeight="1">
      <x:c r="A957" s="14" t="str">
        <x:v>Одежда</x:v>
      </x:c>
      <x:c r="B957" s="14" t="str">
        <x:v>Верхняя одежда</x:v>
      </x:c>
      <x:c r="C957" s="14" t="str">
        <x:v>Верхняя одежда женская</x:v>
      </x:c>
      <x:c r="D957" s="14" t="str">
        <x:v>Пончо женское</x:v>
      </x:c>
      <x:c r="E957" s="2" t="n">
        <x:v>1</x:v>
      </x:c>
      <x:c r="F957" s="2" t="n">
        <x:v>0</x:v>
      </x:c>
      <x:c r="G957" s="12" t="n">
        <x:v>14841</x:v>
      </x:c>
      <x:c r="H957" s="12" t="n">
        <x:v>89.046</x:v>
      </x:c>
      <x:c r="I957" s="13" t="n">
        <x:v>0.006</x:v>
      </x:c>
      <x:c r="J957" s="2" t="n">
        <x:v>0</x:v>
      </x:c>
      <x:c r="K957" s="2" t="n">
        <x:v>1</x:v>
      </x:c>
      <x:c r="L957" s="12" t="n">
        <x:v>14841</x:v>
      </x:c>
      <x:c r="M957" s="13" t="n">
        <x:v>1</x:v>
      </x:c>
      <x:c r="N957" s="13" t="n">
        <x:f>H957/G957</x:f>
        <x:v>0.006</x:v>
      </x:c>
      <x:c r="O957" s="13" t="n">
        <x:f>F957/E957</x:f>
        <x:v>0</x:v>
      </x:c>
      <x:c r="P957" s="2" t="str">
        <x:f>IF(AND(E957&gt;='Итоги'!$F$5,N957&lt;='Итоги'!$B$5,O957&gt;='Итоги'!$D$5),"Да","Нет")</x:f>
        <x:v>Нет</x:v>
      </x:c>
    </x:row>
    <x:row r="958" ht="60" customHeight="1">
      <x:c r="A958" s="14" t="str">
        <x:v>Товары для дома</x:v>
      </x:c>
      <x:c r="B958" s="14" t="str">
        <x:v>Интерьер и декор</x:v>
      </x:c>
      <x:c r="C958" s="14" t="str">
        <x:v>Религиозные товары</x:v>
      </x:c>
      <x:c r="D958" s="14" t="str">
        <x:v>Крест ритуальный на могилу</x:v>
      </x:c>
      <x:c r="E958" s="2" t="n">
        <x:v>1</x:v>
      </x:c>
      <x:c r="F958" s="2" t="n">
        <x:v>0</x:v>
      </x:c>
      <x:c r="G958" s="12" t="n">
        <x:v>133035</x:v>
      </x:c>
      <x:c r="H958" s="12" t="n">
        <x:v>798.21</x:v>
      </x:c>
      <x:c r="I958" s="13" t="n">
        <x:v>0.006</x:v>
      </x:c>
      <x:c r="J958" s="2" t="n">
        <x:v>0</x:v>
      </x:c>
      <x:c r="K958" s="2" t="n">
        <x:v>1</x:v>
      </x:c>
      <x:c r="L958" s="12" t="n">
        <x:v>12094.0909</x:v>
      </x:c>
      <x:c r="M958" s="13" t="n">
        <x:v>1</x:v>
      </x:c>
      <x:c r="N958" s="13" t="n">
        <x:f>H958/G958</x:f>
        <x:v>0.006</x:v>
      </x:c>
      <x:c r="O958" s="13" t="n">
        <x:f>F958/E958</x:f>
        <x:v>0</x:v>
      </x:c>
      <x:c r="P958" s="2" t="str">
        <x:f>IF(AND(E958&gt;='Итоги'!$F$5,N958&lt;='Итоги'!$B$5,O958&gt;='Итоги'!$D$5),"Да","Нет")</x:f>
        <x:v>Нет</x:v>
      </x:c>
    </x:row>
    <x:row r="959" ht="60" customHeight="1">
      <x:c r="A959" s="14" t="str">
        <x:v>Детская одежда</x:v>
      </x:c>
      <x:c r="B959" s="14" t="str">
        <x:v>Детская обувь</x:v>
      </x:c>
      <x:c r="C959" s="14" t="str">
        <x:v>Обувь для девочки</x:v>
      </x:c>
      <x:c r="D959" s="14" t="str">
        <x:v>Ортопедические сандалии для девочки</x:v>
      </x:c>
      <x:c r="E959" s="2" t="n">
        <x:v>8</x:v>
      </x:c>
      <x:c r="F959" s="2" t="n">
        <x:v>0</x:v>
      </x:c>
      <x:c r="G959" s="12" t="n">
        <x:v>160748.16999999998</x:v>
      </x:c>
      <x:c r="H959" s="12" t="n">
        <x:v>968.7619499999998</x:v>
      </x:c>
      <x:c r="I959" s="13" t="n">
        <x:v>0.008025</x:v>
      </x:c>
      <x:c r="J959" s="2" t="n">
        <x:v>7</x:v>
      </x:c>
      <x:c r="K959" s="2" t="n">
        <x:v>5</x:v>
      </x:c>
      <x:c r="L959" s="12" t="n">
        <x:v>3176.5916</x:v>
      </x:c>
      <x:c r="M959" s="13" t="n">
        <x:v>0.7064663317784583</x:v>
      </x:c>
      <x:c r="N959" s="13" t="n">
        <x:f>H959/G959</x:f>
        <x:v>0.006026581515671376</x:v>
      </x:c>
      <x:c r="O959" s="13" t="n">
        <x:f>F959/E959</x:f>
        <x:v>0</x:v>
      </x:c>
      <x:c r="P959" s="2" t="str">
        <x:f>IF(AND(E959&gt;='Итоги'!$F$5,N959&lt;='Итоги'!$B$5,O959&gt;='Итоги'!$D$5),"Да","Нет")</x:f>
        <x:v>Нет</x:v>
      </x:c>
    </x:row>
    <x:row r="960" ht="60" customHeight="1">
      <x:c r="A960" s="14" t="str">
        <x:v>Мелкая бытовая техника</x:v>
      </x:c>
      <x:c r="B960" s="14" t="str">
        <x:v>Мелкая бытовая техника SDA</x:v>
      </x:c>
      <x:c r="C960" s="14" t="str">
        <x:v>Электронная техника для дома SDA</x:v>
      </x:c>
      <x:c r="D960" s="14" t="str">
        <x:v>Пылесос бытовой Samsung</x:v>
      </x:c>
      <x:c r="E960" s="2" t="n">
        <x:v>13</x:v>
      </x:c>
      <x:c r="F960" s="2" t="n">
        <x:v>0</x:v>
      </x:c>
      <x:c r="G960" s="12" t="n">
        <x:v>3182003.8215</x:v>
      </x:c>
      <x:c r="H960" s="12" t="n">
        <x:v>19460.232558</x:v>
      </x:c>
      <x:c r="I960" s="13" t="n">
        <x:v>0.0101538461538461</x:v>
      </x:c>
      <x:c r="J960" s="2" t="n">
        <x:v>10</x:v>
      </x:c>
      <x:c r="K960" s="2" t="n">
        <x:v>2</x:v>
      </x:c>
      <x:c r="L960" s="12" t="n">
        <x:v>9732.6667</x:v>
      </x:c>
      <x:c r="M960" s="13" t="n">
        <x:v>0.5237130919643052</x:v>
      </x:c>
      <x:c r="N960" s="13" t="n">
        <x:f>H960/G960</x:f>
        <x:v>0.00611571627491837</x:v>
      </x:c>
      <x:c r="O960" s="13" t="n">
        <x:f>F960/E960</x:f>
        <x:v>0</x:v>
      </x:c>
      <x:c r="P960" s="2" t="str">
        <x:f>IF(AND(E960&gt;='Итоги'!$F$5,N960&lt;='Итоги'!$B$5,O960&gt;='Итоги'!$D$5),"Да","Нет")</x:f>
        <x:v>Нет</x:v>
      </x:c>
    </x:row>
    <x:row r="961" ht="60" customHeight="1">
      <x:c r="A961" s="14" t="str">
        <x:v>Строительство и ремонт (DIY)</x:v>
      </x:c>
      <x:c r="B961" s="14" t="str">
        <x:v>Сантехника</x:v>
      </x:c>
      <x:c r="C961" s="14" t="str">
        <x:v>Душевая программа</x:v>
      </x:c>
      <x:c r="D961" s="14" t="str">
        <x:v>Душевая кабина</x:v>
      </x:c>
      <x:c r="E961" s="2" t="n">
        <x:v>5</x:v>
      </x:c>
      <x:c r="F961" s="2" t="n">
        <x:v>0</x:v>
      </x:c>
      <x:c r="G961" s="12" t="n">
        <x:v>911898.68</x:v>
      </x:c>
      <x:c r="H961" s="12" t="n">
        <x:v>5638.558164</x:v>
      </x:c>
      <x:c r="I961" s="13" t="n">
        <x:v>0.00712</x:v>
      </x:c>
      <x:c r="J961" s="2" t="n">
        <x:v>1</x:v>
      </x:c>
      <x:c r="K961" s="2" t="n">
        <x:v>1</x:v>
      </x:c>
      <x:c r="L961" s="12" t="n">
        <x:v>12350.9787</x:v>
      </x:c>
      <x:c r="M961" s="13" t="n">
        <x:v>1</x:v>
      </x:c>
      <x:c r="N961" s="13" t="n">
        <x:f>H961/G961</x:f>
        <x:v>0.006183316510557949</x:v>
      </x:c>
      <x:c r="O961" s="13" t="n">
        <x:f>F961/E961</x:f>
        <x:v>0</x:v>
      </x:c>
      <x:c r="P961" s="2" t="str">
        <x:f>IF(AND(E961&gt;='Итоги'!$F$5,N961&lt;='Итоги'!$B$5,O961&gt;='Итоги'!$D$5),"Да","Нет")</x:f>
        <x:v>Нет</x:v>
      </x:c>
    </x:row>
    <x:row r="962" ht="60" customHeight="1">
      <x:c r="A962" s="14" t="str">
        <x:v>Аксессуары для электроники</x:v>
      </x:c>
      <x:c r="B962" s="14" t="str">
        <x:v>Аксессуары для мобильных устройств Access</x:v>
      </x:c>
      <x:c r="C962" s="14" t="str">
        <x:v>Наушники и аксессуары для наушников Access</x:v>
      </x:c>
      <x:c r="D962" s="14" t="str">
        <x:v>Наушники проводные Apple</x:v>
      </x:c>
      <x:c r="E962" s="2" t="n">
        <x:v>1</x:v>
      </x:c>
      <x:c r="F962" s="2" t="n">
        <x:v>0</x:v>
      </x:c>
      <x:c r="G962" s="12" t="n">
        <x:v>146170</x:v>
      </x:c>
      <x:c r="H962" s="12" t="n">
        <x:v>906.254</x:v>
      </x:c>
      <x:c r="I962" s="13" t="n">
        <x:v>0.0062</x:v>
      </x:c>
      <x:c r="J962" s="2" t="n">
        <x:v>0</x:v>
      </x:c>
      <x:c r="K962" s="2" t="n">
        <x:v>1</x:v>
      </x:c>
      <x:c r="L962" s="12" t="n">
        <x:v>2002.3288</x:v>
      </x:c>
      <x:c r="M962" s="13" t="n">
        <x:v>1</x:v>
      </x:c>
      <x:c r="N962" s="13" t="n">
        <x:f>H962/G962</x:f>
        <x:v>0.0062</x:v>
      </x:c>
      <x:c r="O962" s="13" t="n">
        <x:f>F962/E962</x:f>
        <x:v>0</x:v>
      </x:c>
      <x:c r="P962" s="2" t="str">
        <x:f>IF(AND(E962&gt;='Итоги'!$F$5,N962&lt;='Итоги'!$B$5,O962&gt;='Итоги'!$D$5),"Да","Нет")</x:f>
        <x:v>Нет</x:v>
      </x:c>
    </x:row>
    <x:row r="963" ht="60" customHeight="1">
      <x:c r="A963" s="14" t="str">
        <x:v>Строительство и ремонт (DIY)</x:v>
      </x:c>
      <x:c r="B963" s="14" t="str">
        <x:v>Инструменты</x:v>
      </x:c>
      <x:c r="C963" s="14" t="str">
        <x:v>Техника для строительства, ремонта</x:v>
      </x:c>
      <x:c r="D963" s="14" t="str">
        <x:v>Осушитель воздуха профессиональный</x:v>
      </x:c>
      <x:c r="E963" s="2" t="n">
        <x:v>1</x:v>
      </x:c>
      <x:c r="F963" s="2" t="n">
        <x:v>0</x:v>
      </x:c>
      <x:c r="G963" s="12" t="n">
        <x:v>242973</x:v>
      </x:c>
      <x:c r="H963" s="12" t="n">
        <x:v>1506.4326</x:v>
      </x:c>
      <x:c r="I963" s="13" t="n">
        <x:v>0.0062</x:v>
      </x:c>
      <x:c r="J963" s="2" t="n">
        <x:v>0</x:v>
      </x:c>
      <x:c r="K963" s="2" t="n">
        <x:v>1</x:v>
      </x:c>
      <x:c r="L963" s="12" t="n">
        <x:v>80991</x:v>
      </x:c>
      <x:c r="M963" s="13" t="n">
        <x:v>1</x:v>
      </x:c>
      <x:c r="N963" s="13" t="n">
        <x:f>H963/G963</x:f>
        <x:v>0.006200000000000001</x:v>
      </x:c>
      <x:c r="O963" s="13" t="n">
        <x:f>F963/E963</x:f>
        <x:v>0</x:v>
      </x:c>
      <x:c r="P963" s="2" t="str">
        <x:f>IF(AND(E963&gt;='Итоги'!$F$5,N963&lt;='Итоги'!$B$5,O963&gt;='Итоги'!$D$5),"Да","Нет")</x:f>
        <x:v>Нет</x:v>
      </x:c>
    </x:row>
    <x:row r="964" ht="60" customHeight="1">
      <x:c r="A964" s="14" t="str">
        <x:v>Строительство и ремонт (DIY)</x:v>
      </x:c>
      <x:c r="B964" s="14" t="str">
        <x:v>Ремонт и строительство</x:v>
      </x:c>
      <x:c r="C964" s="14" t="str">
        <x:v>Спецодежда, средства защиты</x:v>
      </x:c>
      <x:c r="D964" s="14" t="str">
        <x:v>Защитные наушники строительные</x:v>
      </x:c>
      <x:c r="E964" s="2" t="n">
        <x:v>4</x:v>
      </x:c>
      <x:c r="F964" s="2" t="n">
        <x:v>0</x:v>
      </x:c>
      <x:c r="G964" s="12" t="n">
        <x:v>855387.0618</x:v>
      </x:c>
      <x:c r="H964" s="12" t="n">
        <x:v>5306.2752536200005</x:v>
      </x:c>
      <x:c r="I964" s="13" t="n">
        <x:v>0.011</x:v>
      </x:c>
      <x:c r="J964" s="2" t="n">
        <x:v>2</x:v>
      </x:c>
      <x:c r="K964" s="2" t="n">
        <x:v>3</x:v>
      </x:c>
      <x:c r="L964" s="12" t="n">
        <x:v>1205.95155</x:v>
      </x:c>
      <x:c r="M964" s="13" t="n">
        <x:v>0.5536679021113526</x:v>
      </x:c>
      <x:c r="N964" s="13" t="n">
        <x:f>H964/G964</x:f>
        <x:v>0.00620336160153504</x:v>
      </x:c>
      <x:c r="O964" s="13" t="n">
        <x:f>F964/E964</x:f>
        <x:v>0</x:v>
      </x:c>
      <x:c r="P964" s="2" t="str">
        <x:f>IF(AND(E964&gt;='Итоги'!$F$5,N964&lt;='Итоги'!$B$5,O964&gt;='Итоги'!$D$5),"Да","Нет")</x:f>
        <x:v>Нет</x:v>
      </x:c>
    </x:row>
    <x:row r="965" ht="60" customHeight="1">
      <x:c r="A965" s="14" t="str">
        <x:v>Хобби и творчество</x:v>
      </x:c>
      <x:c r="B965" s="14" t="str">
        <x:v>Детское творчество и хобби</x:v>
      </x:c>
      <x:c r="C965" s="14" t="str">
        <x:v>Рисование для детей</x:v>
      </x:c>
      <x:c r="D965" s="14" t="str">
        <x:v>Проектор для рисования детский</x:v>
      </x:c>
      <x:c r="E965" s="2" t="n">
        <x:v>2</x:v>
      </x:c>
      <x:c r="F965" s="2" t="n">
        <x:v>0</x:v>
      </x:c>
      <x:c r="G965" s="12" t="n">
        <x:v>190098.8557</x:v>
      </x:c>
      <x:c r="H965" s="12" t="n">
        <x:v>1191.54620169</x:v>
      </x:c>
      <x:c r="I965" s="13" t="n">
        <x:v>0.00585</x:v>
      </x:c>
      <x:c r="J965" s="2" t="n">
        <x:v>1</x:v>
      </x:c>
      <x:c r="K965" s="2" t="n">
        <x:v>1</x:v>
      </x:c>
      <x:c r="L965" s="12" t="n">
        <x:v>1347.39815</x:v>
      </x:c>
      <x:c r="M965" s="13" t="n">
        <x:v>1</x:v>
      </x:c>
      <x:c r="N965" s="13" t="n">
        <x:f>H965/G965</x:f>
        <x:v>0.006268034582861511</x:v>
      </x:c>
      <x:c r="O965" s="13" t="n">
        <x:f>F965/E965</x:f>
        <x:v>0</x:v>
      </x:c>
      <x:c r="P965" s="2" t="str">
        <x:f>IF(AND(E965&gt;='Итоги'!$F$5,N965&lt;='Итоги'!$B$5,O965&gt;='Итоги'!$D$5),"Да","Нет")</x:f>
        <x:v>Нет</x:v>
      </x:c>
    </x:row>
    <x:row r="966" ht="60" customHeight="1">
      <x:c r="A966" s="14" t="str">
        <x:v>Аксессуары для электроники</x:v>
      </x:c>
      <x:c r="B966" s="14" t="str">
        <x:v>Домашняя Аудио и Видеотехника Access</x:v>
      </x:c>
      <x:c r="C966" s="14" t="str">
        <x:v>Аксессуар к TV и аудиотехнике Access</x:v>
      </x:c>
      <x:c r="D966" s="14" t="str">
        <x:v>Защитный экран для телевизора</x:v>
      </x:c>
      <x:c r="E966" s="2" t="n">
        <x:v>6</x:v>
      </x:c>
      <x:c r="F966" s="2" t="n">
        <x:v>0</x:v>
      </x:c>
      <x:c r="G966" s="12" t="n">
        <x:v>797989.1749</x:v>
      </x:c>
      <x:c r="H966" s="12" t="n">
        <x:v>5015.25399116</x:v>
      </x:c>
      <x:c r="I966" s="13" t="n">
        <x:v>0.0079666666666666</x:v>
      </x:c>
      <x:c r="J966" s="2" t="n">
        <x:v>3</x:v>
      </x:c>
      <x:c r="K966" s="2" t="n">
        <x:v>2</x:v>
      </x:c>
      <x:c r="L966" s="12" t="n">
        <x:v>3823.3852</x:v>
      </x:c>
      <x:c r="M966" s="13" t="n">
        <x:v>0.6209148282770772</x:v>
      </x:c>
      <x:c r="N966" s="13" t="n">
        <x:f>H966/G966</x:f>
        <x:v>0.006284864693544855</x:v>
      </x:c>
      <x:c r="O966" s="13" t="n">
        <x:f>F966/E966</x:f>
        <x:v>0</x:v>
      </x:c>
      <x:c r="P966" s="2" t="str">
        <x:f>IF(AND(E966&gt;='Итоги'!$F$5,N966&lt;='Итоги'!$B$5,O966&gt;='Итоги'!$D$5),"Да","Нет")</x:f>
        <x:v>Нет</x:v>
      </x:c>
    </x:row>
    <x:row r="967" ht="60" customHeight="1">
      <x:c r="A967" s="14" t="str">
        <x:v>Спорт и отдых</x:v>
      </x:c>
      <x:c r="B967" s="14" t="str">
        <x:v>Всесезонные виды спорта</x:v>
      </x:c>
      <x:c r="C967" s="14" t="str">
        <x:v>Футбол</x:v>
      </x:c>
      <x:c r="D967" s="14" t="str">
        <x:v>Бутсы</x:v>
      </x:c>
      <x:c r="E967" s="2" t="n">
        <x:v>54</x:v>
      </x:c>
      <x:c r="F967" s="2" t="n">
        <x:v>0</x:v>
      </x:c>
      <x:c r="G967" s="12" t="n">
        <x:v>1048488.6952</x:v>
      </x:c>
      <x:c r="H967" s="12" t="n">
        <x:v>6610.1427884</x:v>
      </x:c>
      <x:c r="I967" s="13" t="n">
        <x:v>0.0048537037037037</x:v>
      </x:c>
      <x:c r="J967" s="2" t="n">
        <x:v>48</x:v>
      </x:c>
      <x:c r="K967" s="2" t="n">
        <x:v>6</x:v>
      </x:c>
      <x:c r="L967" s="12" t="n">
        <x:v>4225.25615</x:v>
      </x:c>
      <x:c r="M967" s="13" t="n">
        <x:v>0.7506203479379203</x:v>
      </x:c>
      <x:c r="N967" s="13" t="n">
        <x:f>H967/G967</x:f>
        <x:v>0.006304448315619761</x:v>
      </x:c>
      <x:c r="O967" s="13" t="n">
        <x:f>F967/E967</x:f>
        <x:v>0</x:v>
      </x:c>
      <x:c r="P967" s="2" t="str">
        <x:f>IF(AND(E967&gt;='Итоги'!$F$5,N967&lt;='Итоги'!$B$5,O967&gt;='Итоги'!$D$5),"Да","Нет")</x:f>
        <x:v>Нет</x:v>
      </x:c>
    </x:row>
    <x:row r="968" ht="60" customHeight="1">
      <x:c r="A968" s="14" t="str">
        <x:v>Аудио и видеотехника</x:v>
      </x:c>
      <x:c r="B968" s="14" t="str">
        <x:v>Компьютерная периферия TV&amp;Audio</x:v>
      </x:c>
      <x:c r="C968" s="14" t="str">
        <x:v>Периферийное оборудование TV&amp;Audio</x:v>
      </x:c>
      <x:c r="D968" s="14" t="str">
        <x:v>Электронный переводчик</x:v>
      </x:c>
      <x:c r="E968" s="2" t="n">
        <x:v>7</x:v>
      </x:c>
      <x:c r="F968" s="2" t="n">
        <x:v>0</x:v>
      </x:c>
      <x:c r="G968" s="12" t="n">
        <x:v>1509819.9775</x:v>
      </x:c>
      <x:c r="H968" s="12" t="n">
        <x:v>9594.942</x:v>
      </x:c>
      <x:c r="I968" s="13" t="n">
        <x:v>0.0080142857142857</x:v>
      </x:c>
      <x:c r="J968" s="2" t="n">
        <x:v>3</x:v>
      </x:c>
      <x:c r="K968" s="2" t="n">
        <x:v>6</x:v>
      </x:c>
      <x:c r="L968" s="12" t="n">
        <x:v>6730.9221</x:v>
      </x:c>
      <x:c r="M968" s="13" t="n">
        <x:v>0.6997006369920019</x:v>
      </x:c>
      <x:c r="N968" s="13" t="n">
        <x:f>H968/G968</x:f>
        <x:v>0.006355023872374214</x:v>
      </x:c>
      <x:c r="O968" s="13" t="n">
        <x:f>F968/E968</x:f>
        <x:v>0</x:v>
      </x:c>
      <x:c r="P968" s="2" t="str">
        <x:f>IF(AND(E968&gt;='Итоги'!$F$5,N968&lt;='Итоги'!$B$5,O968&gt;='Итоги'!$D$5),"Да","Нет")</x:f>
        <x:v>Нет</x:v>
      </x:c>
    </x:row>
    <x:row r="969" ht="60" customHeight="1">
      <x:c r="A969" s="14" t="str">
        <x:v>Автотовары</x:v>
      </x:c>
      <x:c r="B969" s="14" t="str">
        <x:v>Дополнительное оборудование для авто и мото техники</x:v>
      </x:c>
      <x:c r="C969" s="14" t="str">
        <x:v>Оборудование для дооснащения авто</x:v>
      </x:c>
      <x:c r="D969" s="14" t="str">
        <x:v>Подкрылки</x:v>
      </x:c>
      <x:c r="E969" s="2" t="n">
        <x:v>6</x:v>
      </x:c>
      <x:c r="F969" s="2" t="n">
        <x:v>0</x:v>
      </x:c>
      <x:c r="G969" s="12" t="n">
        <x:v>1132379.034</x:v>
      </x:c>
      <x:c r="H969" s="12" t="n">
        <x:v>7211.35046665</x:v>
      </x:c>
      <x:c r="I969" s="13" t="n">
        <x:v>0.0164833333333333</x:v>
      </x:c>
      <x:c r="J969" s="2" t="n">
        <x:v>4</x:v>
      </x:c>
      <x:c r="K969" s="2" t="n">
        <x:v>3</x:v>
      </x:c>
      <x:c r="L969" s="12" t="n">
        <x:v>7346.77245</x:v>
      </x:c>
      <x:c r="M969" s="13" t="n">
        <x:v>0.7379090949329604</x:v>
      </x:c>
      <x:c r="N969" s="13" t="n">
        <x:f>H969/G969</x:f>
        <x:v>0.006368318601923179</x:v>
      </x:c>
      <x:c r="O969" s="13" t="n">
        <x:f>F969/E969</x:f>
        <x:v>0</x:v>
      </x:c>
      <x:c r="P969" s="2" t="str">
        <x:f>IF(AND(E969&gt;='Итоги'!$F$5,N969&lt;='Итоги'!$B$5,O969&gt;='Итоги'!$D$5),"Да","Нет")</x:f>
        <x:v>Нет</x:v>
      </x:c>
    </x:row>
    <x:row r="970" ht="60" customHeight="1">
      <x:c r="A970" s="14" t="str">
        <x:v>Спорт и отдых</x:v>
      </x:c>
      <x:c r="B970" s="14" t="str">
        <x:v>Товары для охоты</x:v>
      </x:c>
      <x:c r="C970" s="14" t="str">
        <x:v>Одежда для охоты</x:v>
      </x:c>
      <x:c r="D970" s="14" t="str">
        <x:v>Ветровка, анорак для спорта/туризма мужские</x:v>
      </x:c>
      <x:c r="E970" s="2" t="n">
        <x:v>3</x:v>
      </x:c>
      <x:c r="F970" s="2" t="n">
        <x:v>0</x:v>
      </x:c>
      <x:c r="G970" s="12" t="n">
        <x:v>36223.75</x:v>
      </x:c>
      <x:c r="H970" s="12" t="n">
        <x:v>232.853475</x:v>
      </x:c>
      <x:c r="I970" s="13" t="n">
        <x:v>0.0049666666666666</x:v>
      </x:c>
      <x:c r="J970" s="2" t="n">
        <x:v>2</x:v>
      </x:c>
      <x:c r="K970" s="2" t="n">
        <x:v>3</x:v>
      </x:c>
      <x:c r="L970" s="12" t="n">
        <x:v>5428.5</x:v>
      </x:c>
      <x:c r="M970" s="13" t="n">
        <x:v>0.4314227544083647</x:v>
      </x:c>
      <x:c r="N970" s="13" t="n">
        <x:f>H970/G970</x:f>
        <x:v>0.0064281990406846335</x:v>
      </x:c>
      <x:c r="O970" s="13" t="n">
        <x:f>F970/E970</x:f>
        <x:v>0</x:v>
      </x:c>
      <x:c r="P970" s="2" t="str">
        <x:f>IF(AND(E970&gt;='Итоги'!$F$5,N970&lt;='Итоги'!$B$5,O970&gt;='Итоги'!$D$5),"Да","Нет")</x:f>
        <x:v>Нет</x:v>
      </x:c>
    </x:row>
    <x:row r="971" ht="60" customHeight="1">
      <x:c r="A971" s="14" t="str">
        <x:v>Товары для красоты и здоровья</x:v>
      </x:c>
      <x:c r="B971" s="14" t="str">
        <x:v>Косметические аксессуары</x:v>
      </x:c>
      <x:c r="C971" s="14" t="str">
        <x:v>Аксессуары для макияжа</x:v>
      </x:c>
      <x:c r="D971" s="14" t="str">
        <x:v>Аксессуары для наращивания ресниц</x:v>
      </x:c>
      <x:c r="E971" s="2" t="n">
        <x:v>1</x:v>
      </x:c>
      <x:c r="F971" s="2" t="n">
        <x:v>0</x:v>
      </x:c>
      <x:c r="G971" s="12" t="n">
        <x:v>108799.36</x:v>
      </x:c>
      <x:c r="H971" s="12" t="n">
        <x:v>707.19584</x:v>
      </x:c>
      <x:c r="I971" s="13" t="n">
        <x:v>0.0065</x:v>
      </x:c>
      <x:c r="J971" s="2" t="n">
        <x:v>0</x:v>
      </x:c>
      <x:c r="K971" s="2" t="n">
        <x:v>1</x:v>
      </x:c>
      <x:c r="L971" s="12" t="n">
        <x:v>2014.803</x:v>
      </x:c>
      <x:c r="M971" s="13" t="n">
        <x:v>1</x:v>
      </x:c>
      <x:c r="N971" s="13" t="n">
        <x:f>H971/G971</x:f>
        <x:v>0.0065</x:v>
      </x:c>
      <x:c r="O971" s="13" t="n">
        <x:f>F971/E971</x:f>
        <x:v>0</x:v>
      </x:c>
      <x:c r="P971" s="2" t="str">
        <x:f>IF(AND(E971&gt;='Итоги'!$F$5,N971&lt;='Итоги'!$B$5,O971&gt;='Итоги'!$D$5),"Да","Нет")</x:f>
        <x:v>Нет</x:v>
      </x:c>
    </x:row>
    <x:row r="972" ht="60" customHeight="1">
      <x:c r="A972" s="14" t="str">
        <x:v>Мебель</x:v>
      </x:c>
      <x:c r="B972" s="14" t="str">
        <x:v>Мебель для сада</x:v>
      </x:c>
      <x:c r="C972" s="14" t="str">
        <x:v>Уличные шкафы и тумбы</x:v>
      </x:c>
      <x:c r="D972" s="14" t="str">
        <x:v>Уличная тумба, сундук</x:v>
      </x:c>
      <x:c r="E972" s="2" t="n">
        <x:v>5</x:v>
      </x:c>
      <x:c r="F972" s="2" t="n">
        <x:v>0</x:v>
      </x:c>
      <x:c r="G972" s="12" t="n">
        <x:v>428694</x:v>
      </x:c>
      <x:c r="H972" s="12" t="n">
        <x:v>2819.1309</x:v>
      </x:c>
      <x:c r="I972" s="13" t="n">
        <x:v>0.00582</x:v>
      </x:c>
      <x:c r="J972" s="2" t="n">
        <x:v>3</x:v>
      </x:c>
      <x:c r="K972" s="2" t="n">
        <x:v>1</x:v>
      </x:c>
      <x:c r="L972" s="12" t="n">
        <x:v>8525.5714</x:v>
      </x:c>
      <x:c r="M972" s="13" t="n">
        <x:v>1</x:v>
      </x:c>
      <x:c r="N972" s="13" t="n">
        <x:f>H972/G972</x:f>
        <x:v>0.006576091337877368</x:v>
      </x:c>
      <x:c r="O972" s="13" t="n">
        <x:f>F972/E972</x:f>
        <x:v>0</x:v>
      </x:c>
      <x:c r="P972" s="2" t="str">
        <x:f>IF(AND(E972&gt;='Итоги'!$F$5,N972&lt;='Итоги'!$B$5,O972&gt;='Итоги'!$D$5),"Да","Нет")</x:f>
        <x:v>Нет</x:v>
      </x:c>
    </x:row>
    <x:row r="973" ht="60" customHeight="1">
      <x:c r="A973" s="14" t="str">
        <x:v>Спорт и отдых</x:v>
      </x:c>
      <x:c r="B973" s="14" t="str">
        <x:v>Колесный транспорт</x:v>
      </x:c>
      <x:c r="C973" s="14" t="str">
        <x:v>Экипировка для велоспорта</x:v>
      </x:c>
      <x:c r="D973" s="14" t="str">
        <x:v>Одежда для велоспорта</x:v>
      </x:c>
      <x:c r="E973" s="2" t="n">
        <x:v>7</x:v>
      </x:c>
      <x:c r="F973" s="2" t="n">
        <x:v>0</x:v>
      </x:c>
      <x:c r="G973" s="12" t="n">
        <x:v>221302.93</x:v>
      </x:c>
      <x:c r="H973" s="12" t="n">
        <x:v>1459.28</x:v>
      </x:c>
      <x:c r="I973" s="13" t="n">
        <x:v>0.0066285714285714</x:v>
      </x:c>
      <x:c r="J973" s="2" t="n">
        <x:v>6</x:v>
      </x:c>
      <x:c r="K973" s="2" t="n">
        <x:v>3</x:v>
      </x:c>
      <x:c r="L973" s="12" t="n">
        <x:v>3780.3333</x:v>
      </x:c>
      <x:c r="M973" s="13" t="n">
        <x:v>0.8409058569626711</x:v>
      </x:c>
      <x:c r="N973" s="13" t="n">
        <x:f>H973/G973</x:f>
        <x:v>0.006594038316618763</x:v>
      </x:c>
      <x:c r="O973" s="13" t="n">
        <x:f>F973/E973</x:f>
        <x:v>0</x:v>
      </x:c>
      <x:c r="P973" s="2" t="str">
        <x:f>IF(AND(E973&gt;='Итоги'!$F$5,N973&lt;='Итоги'!$B$5,O973&gt;='Итоги'!$D$5),"Да","Нет")</x:f>
        <x:v>Нет</x:v>
      </x:c>
    </x:row>
    <x:row r="974" ht="60" customHeight="1">
      <x:c r="A974" s="14" t="str">
        <x:v>Мелкая бытовая техника</x:v>
      </x:c>
      <x:c r="B974" s="14" t="str">
        <x:v>Мелкая бытовая техника SDA</x:v>
      </x:c>
      <x:c r="C974" s="14" t="str">
        <x:v>Электронная кухонная техника SDA</x:v>
      </x:c>
      <x:c r="D974" s="14" t="str">
        <x:v>Кофе-ростер электрический</x:v>
      </x:c>
      <x:c r="E974" s="2" t="n">
        <x:v>1</x:v>
      </x:c>
      <x:c r="F974" s="2" t="n">
        <x:v>0</x:v>
      </x:c>
      <x:c r="G974" s="12" t="n">
        <x:v>112385</x:v>
      </x:c>
      <x:c r="H974" s="12" t="n">
        <x:v>741.741</x:v>
      </x:c>
      <x:c r="I974" s="13" t="n">
        <x:v>0.0066</x:v>
      </x:c>
      <x:c r="J974" s="2" t="n">
        <x:v>0</x:v>
      </x:c>
      <x:c r="K974" s="2" t="n">
        <x:v>1</x:v>
      </x:c>
      <x:c r="L974" s="12" t="n">
        <x:v>14048.125</x:v>
      </x:c>
      <x:c r="M974" s="13" t="n">
        <x:v>1</x:v>
      </x:c>
      <x:c r="N974" s="13" t="n">
        <x:f>H974/G974</x:f>
        <x:v>0.0066</x:v>
      </x:c>
      <x:c r="O974" s="13" t="n">
        <x:f>F974/E974</x:f>
        <x:v>0</x:v>
      </x:c>
      <x:c r="P974" s="2" t="str">
        <x:f>IF(AND(E974&gt;='Итоги'!$F$5,N974&lt;='Итоги'!$B$5,O974&gt;='Итоги'!$D$5),"Да","Нет")</x:f>
        <x:v>Нет</x:v>
      </x:c>
    </x:row>
    <x:row r="975" ht="60" customHeight="1">
      <x:c r="A975" s="14" t="str">
        <x:v>Спорт и отдых</x:v>
      </x:c>
      <x:c r="B975" s="14" t="str">
        <x:v>Колесный транспорт</x:v>
      </x:c>
      <x:c r="C975" s="14" t="str">
        <x:v>Велосипед</x:v>
      </x:c>
      <x:c r="D975" s="14" t="str">
        <x:v>Велосипед электрический</x:v>
      </x:c>
      <x:c r="E975" s="2" t="n">
        <x:v>14</x:v>
      </x:c>
      <x:c r="F975" s="2" t="n">
        <x:v>0</x:v>
      </x:c>
      <x:c r="G975" s="12" t="n">
        <x:v>4325950.11</x:v>
      </x:c>
      <x:c r="H975" s="12" t="n">
        <x:v>29089.435681000003</x:v>
      </x:c>
      <x:c r="I975" s="13" t="n">
        <x:v>0.0055642857142857</x:v>
      </x:c>
      <x:c r="J975" s="2" t="n">
        <x:v>6</x:v>
      </x:c>
      <x:c r="K975" s="2" t="n">
        <x:v>4</x:v>
      </x:c>
      <x:c r="L975" s="12" t="n">
        <x:v>56678.8393</x:v>
      </x:c>
      <x:c r="M975" s="13" t="n">
        <x:v>0.5725544786738189</x:v>
      </x:c>
      <x:c r="N975" s="13" t="n">
        <x:f>H975/G975</x:f>
        <x:v>0.00672440387459762</x:v>
      </x:c>
      <x:c r="O975" s="13" t="n">
        <x:f>F975/E975</x:f>
        <x:v>0</x:v>
      </x:c>
      <x:c r="P975" s="2" t="str">
        <x:f>IF(AND(E975&gt;='Итоги'!$F$5,N975&lt;='Итоги'!$B$5,O975&gt;='Итоги'!$D$5),"Да","Нет")</x:f>
        <x:v>Нет</x:v>
      </x:c>
    </x:row>
    <x:row r="976" ht="60" customHeight="1">
      <x:c r="A976" s="14" t="str">
        <x:v>Спорт и отдых</x:v>
      </x:c>
      <x:c r="B976" s="14" t="str">
        <x:v>Тренажеры и фитнес</x:v>
      </x:c>
      <x:c r="C976" s="14" t="str">
        <x:v>Кросстренинг и тяжёлая атлетика</x:v>
      </x:c>
      <x:c r="D976" s="14" t="str">
        <x:v>Блины спортивные</x:v>
      </x:c>
      <x:c r="E976" s="2" t="n">
        <x:v>43</x:v>
      </x:c>
      <x:c r="F976" s="2" t="n">
        <x:v>0</x:v>
      </x:c>
      <x:c r="G976" s="12" t="n">
        <x:v>6916740.5476</x:v>
      </x:c>
      <x:c r="H976" s="12" t="n">
        <x:v>46822.99569558</x:v>
      </x:c>
      <x:c r="I976" s="13" t="n">
        <x:v>0.0111488372093023</x:v>
      </x:c>
      <x:c r="J976" s="2" t="n">
        <x:v>29</x:v>
      </x:c>
      <x:c r="K976" s="2" t="n">
        <x:v>9</x:v>
      </x:c>
      <x:c r="L976" s="12" t="n">
        <x:v>2402.872</x:v>
      </x:c>
      <x:c r="M976" s="13" t="n">
        <x:v>0.3422054040499311</x:v>
      </x:c>
      <x:c r="N976" s="13" t="n">
        <x:f>H976/G976</x:f>
        <x:v>0.006769517429973117</x:v>
      </x:c>
      <x:c r="O976" s="13" t="n">
        <x:f>F976/E976</x:f>
        <x:v>0</x:v>
      </x:c>
      <x:c r="P976" s="2" t="str">
        <x:f>IF(AND(E976&gt;='Итоги'!$F$5,N976&lt;='Итоги'!$B$5,O976&gt;='Итоги'!$D$5),"Да","Нет")</x:f>
        <x:v>Нет</x:v>
      </x:c>
    </x:row>
    <x:row r="977" ht="60" customHeight="1">
      <x:c r="A977" s="14" t="str">
        <x:v>Товары для дома</x:v>
      </x:c>
      <x:c r="B977" s="14" t="str">
        <x:v>Интерьер и декор</x:v>
      </x:c>
      <x:c r="C977" s="14" t="str">
        <x:v>Принадлежности для праздника</x:v>
      </x:c>
      <x:c r="D977" s="14" t="str">
        <x:v>Карнавальные парики, бороды</x:v>
      </x:c>
      <x:c r="E977" s="2" t="n">
        <x:v>1</x:v>
      </x:c>
      <x:c r="F977" s="2" t="n">
        <x:v>0</x:v>
      </x:c>
      <x:c r="G977" s="12" t="n">
        <x:v>94566</x:v>
      </x:c>
      <x:c r="H977" s="12" t="n">
        <x:v>643.0487999999999</x:v>
      </x:c>
      <x:c r="I977" s="13" t="n">
        <x:v>0.0068</x:v>
      </x:c>
      <x:c r="J977" s="2" t="n">
        <x:v>0</x:v>
      </x:c>
      <x:c r="K977" s="2" t="n">
        <x:v>1</x:v>
      </x:c>
      <x:c r="L977" s="12" t="n">
        <x:v>794.6723</x:v>
      </x:c>
      <x:c r="M977" s="13" t="n">
        <x:v>1</x:v>
      </x:c>
      <x:c r="N977" s="13" t="n">
        <x:f>H977/G977</x:f>
        <x:v>0.006799999999999999</x:v>
      </x:c>
      <x:c r="O977" s="13" t="n">
        <x:f>F977/E977</x:f>
        <x:v>0</x:v>
      </x:c>
      <x:c r="P977" s="2" t="str">
        <x:f>IF(AND(E977&gt;='Итоги'!$F$5,N977&lt;='Итоги'!$B$5,O977&gt;='Итоги'!$D$5),"Да","Нет")</x:f>
        <x:v>Нет</x:v>
      </x:c>
    </x:row>
    <x:row r="978" ht="60" customHeight="1">
      <x:c r="A978" s="14" t="str">
        <x:v>Детская одежда</x:v>
      </x:c>
      <x:c r="B978" s="14" t="str">
        <x:v>Детская обувь</x:v>
      </x:c>
      <x:c r="C978" s="14" t="str">
        <x:v>Обувь для девочки</x:v>
      </x:c>
      <x:c r="D978" s="14" t="str">
        <x:v>Кроссовки для девочки</x:v>
      </x:c>
      <x:c r="E978" s="2" t="n">
        <x:v>69</x:v>
      </x:c>
      <x:c r="F978" s="2" t="n">
        <x:v>0</x:v>
      </x:c>
      <x:c r="G978" s="12" t="n">
        <x:v>4626052.4993</x:v>
      </x:c>
      <x:c r="H978" s="12" t="n">
        <x:v>31484.47515523</x:v>
      </x:c>
      <x:c r="I978" s="13" t="n">
        <x:v>0.0049898550724637</x:v>
      </x:c>
      <x:c r="J978" s="2" t="n">
        <x:v>42</x:v>
      </x:c>
      <x:c r="K978" s="2" t="n">
        <x:v>5</x:v>
      </x:c>
      <x:c r="L978" s="12" t="n">
        <x:v>1433.9244</x:v>
      </x:c>
      <x:c r="M978" s="13" t="n">
        <x:v>0.9805364227894896</x:v>
      </x:c>
      <x:c r="N978" s="13" t="n">
        <x:f>H978/G978</x:f>
        <x:v>0.006805905285336501</x:v>
      </x:c>
      <x:c r="O978" s="13" t="n">
        <x:f>F978/E978</x:f>
        <x:v>0</x:v>
      </x:c>
      <x:c r="P978" s="2" t="str">
        <x:f>IF(AND(E978&gt;='Итоги'!$F$5,N978&lt;='Итоги'!$B$5,O978&gt;='Итоги'!$D$5),"Да","Нет")</x:f>
        <x:v>Нет</x:v>
      </x:c>
    </x:row>
    <x:row r="979" ht="60" customHeight="1">
      <x:c r="A979" s="14" t="str">
        <x:v>Аксессуары</x:v>
      </x:c>
      <x:c r="B979" s="14" t="str">
        <x:v>Ювелирные изделия</x:v>
      </x:c>
      <x:c r="C979" s="14" t="str">
        <x:v>Колье ювелирное</x:v>
      </x:c>
      <x:c r="D979" s="14" t="str">
        <x:v>Золото колье/ожерелье</x:v>
      </x:c>
      <x:c r="E979" s="2" t="n">
        <x:v>60</x:v>
      </x:c>
      <x:c r="F979" s="2" t="n">
        <x:v>0</x:v>
      </x:c>
      <x:c r="G979" s="12" t="n">
        <x:v>5314545.23</x:v>
      </x:c>
      <x:c r="H979" s="12" t="n">
        <x:v>36262.814595</x:v>
      </x:c>
      <x:c r="I979" s="13" t="n">
        <x:v>0.0091416666666666</x:v>
      </x:c>
      <x:c r="J979" s="2" t="n">
        <x:v>51</x:v>
      </x:c>
      <x:c r="K979" s="2" t="n">
        <x:v>9</x:v>
      </x:c>
      <x:c r="L979" s="12" t="n">
        <x:v>16374</x:v>
      </x:c>
      <x:c r="M979" s="13" t="n">
        <x:v>0.9179324267412434</x:v>
      </x:c>
      <x:c r="N979" s="13" t="n">
        <x:f>H979/G979</x:f>
        <x:v>0.006823314700625852</x:v>
      </x:c>
      <x:c r="O979" s="13" t="n">
        <x:f>F979/E979</x:f>
        <x:v>0</x:v>
      </x:c>
      <x:c r="P979" s="2" t="str">
        <x:f>IF(AND(E979&gt;='Итоги'!$F$5,N979&lt;='Итоги'!$B$5,O979&gt;='Итоги'!$D$5),"Да","Нет")</x:f>
        <x:v>Нет</x:v>
      </x:c>
    </x:row>
    <x:row r="980" ht="60" customHeight="1">
      <x:c r="A980" s="14" t="str">
        <x:v>Спорт и отдых</x:v>
      </x:c>
      <x:c r="B980" s="14" t="str">
        <x:v>Активный отдых</x:v>
      </x:c>
      <x:c r="C980" s="14" t="str">
        <x:v>Джампер, прыгалка-кузнечик</x:v>
      </x:c>
      <x:c r="D980" s="14" t="str">
        <x:v>Джампер</x:v>
      </x:c>
      <x:c r="E980" s="2" t="n">
        <x:v>7</x:v>
      </x:c>
      <x:c r="F980" s="2" t="n">
        <x:v>0</x:v>
      </x:c>
      <x:c r="G980" s="12" t="n">
        <x:v>119864.6319</x:v>
      </x:c>
      <x:c r="H980" s="12" t="n">
        <x:v>826.2974</x:v>
      </x:c>
      <x:c r="I980" s="13" t="n">
        <x:v>0.0050857142857142</x:v>
      </x:c>
      <x:c r="J980" s="2" t="n">
        <x:v>4</x:v>
      </x:c>
      <x:c r="K980" s="2" t="n">
        <x:v>3</x:v>
      </x:c>
      <x:c r="L980" s="12" t="n">
        <x:v>2790.8333</x:v>
      </x:c>
      <x:c r="M980" s="13" t="n">
        <x:v>0.441681579969045</x:v>
      </x:c>
      <x:c r="N980" s="13" t="n">
        <x:f>H980/G980</x:f>
        <x:v>0.006893588099359942</x:v>
      </x:c>
      <x:c r="O980" s="13" t="n">
        <x:f>F980/E980</x:f>
        <x:v>0</x:v>
      </x:c>
      <x:c r="P980" s="2" t="str">
        <x:f>IF(AND(E980&gt;='Итоги'!$F$5,N980&lt;='Итоги'!$B$5,O980&gt;='Итоги'!$D$5),"Да","Нет")</x:f>
        <x:v>Нет</x:v>
      </x:c>
    </x:row>
    <x:row r="981" ht="60" customHeight="1">
      <x:c r="A981" s="14" t="str">
        <x:v>Мелкая бытовая техника</x:v>
      </x:c>
      <x:c r="B981" s="14" t="str">
        <x:v>Мелкая бытовая техника SDA</x:v>
      </x:c>
      <x:c r="C981" s="14" t="str">
        <x:v>Электронная кухонная техника SDA</x:v>
      </x:c>
      <x:c r="D981" s="14" t="str">
        <x:v>Микроволновая/СВЧ-печь Samsung</x:v>
      </x:c>
      <x:c r="E981" s="2" t="n">
        <x:v>13</x:v>
      </x:c>
      <x:c r="F981" s="2" t="n">
        <x:v>0</x:v>
      </x:c>
      <x:c r="G981" s="12" t="n">
        <x:v>3810023.1553</x:v>
      </x:c>
      <x:c r="H981" s="12" t="n">
        <x:v>26355.22891513</x:v>
      </x:c>
      <x:c r="I981" s="13" t="n">
        <x:v>0.0076538461538461</x:v>
      </x:c>
      <x:c r="J981" s="2" t="n">
        <x:v>3</x:v>
      </x:c>
      <x:c r="K981" s="2" t="n">
        <x:v>2</x:v>
      </x:c>
      <x:c r="L981" s="12" t="n">
        <x:v>14093.3333</x:v>
      </x:c>
      <x:c r="M981" s="13" t="n">
        <x:v>0.945857559234766</x:v>
      </x:c>
      <x:c r="N981" s="13" t="n">
        <x:f>H981/G981</x:f>
        <x:v>0.006917340877172384</x:v>
      </x:c>
      <x:c r="O981" s="13" t="n">
        <x:f>F981/E981</x:f>
        <x:v>0</x:v>
      </x:c>
      <x:c r="P981" s="2" t="str">
        <x:f>IF(AND(E981&gt;='Итоги'!$F$5,N981&lt;='Итоги'!$B$5,O981&gt;='Итоги'!$D$5),"Да","Нет")</x:f>
        <x:v>Нет</x:v>
      </x:c>
    </x:row>
    <x:row r="982" ht="60" customHeight="1">
      <x:c r="A982" s="14" t="str">
        <x:v>Бакалея и кондитерские изделия</x:v>
      </x:c>
      <x:c r="B982" s="14" t="str">
        <x:v>Бакалея</x:v>
      </x:c>
      <x:c r="C982" s="14" t="str">
        <x:v>Консервы</x:v>
      </x:c>
      <x:c r="D982" s="14" t="str">
        <x:v>Паштет консервированный</x:v>
      </x:c>
      <x:c r="E982" s="2" t="n">
        <x:v>4</x:v>
      </x:c>
      <x:c r="F982" s="2" t="n">
        <x:v>0</x:v>
      </x:c>
      <x:c r="G982" s="12" t="n">
        <x:v>622357.8969</x:v>
      </x:c>
      <x:c r="H982" s="12" t="n">
        <x:v>4319.8837</x:v>
      </x:c>
      <x:c r="I982" s="13" t="n">
        <x:v>0.038225</x:v>
      </x:c>
      <x:c r="J982" s="2" t="n">
        <x:v>3</x:v>
      </x:c>
      <x:c r="K982" s="2" t="n">
        <x:v>1</x:v>
      </x:c>
      <x:c r="L982" s="12" t="n">
        <x:v>2099.49565</x:v>
      </x:c>
      <x:c r="M982" s="13" t="n">
        <x:v>1</x:v>
      </x:c>
      <x:c r="N982" s="13" t="n">
        <x:f>H982/G982</x:f>
        <x:v>0.006941156722711459</x:v>
      </x:c>
      <x:c r="O982" s="13" t="n">
        <x:f>F982/E982</x:f>
        <x:v>0</x:v>
      </x:c>
      <x:c r="P982" s="2" t="str">
        <x:f>IF(AND(E982&gt;='Итоги'!$F$5,N982&lt;='Итоги'!$B$5,O982&gt;='Итоги'!$D$5),"Да","Нет")</x:f>
        <x:v>Нет</x:v>
      </x:c>
    </x:row>
    <x:row r="983" ht="60" customHeight="1">
      <x:c r="A983" s="14" t="str">
        <x:v>Товары для дома</x:v>
      </x:c>
      <x:c r="B983" s="14" t="str">
        <x:v>Аксессуары для уборки и стирки</x:v>
      </x:c>
      <x:c r="C983" s="14" t="str">
        <x:v>HoReCa</x:v>
      </x:c>
      <x:c r="D983" s="14" t="str">
        <x:v>Наполнитель упаковочный для коробок</x:v>
      </x:c>
      <x:c r="E983" s="2" t="n">
        <x:v>2</x:v>
      </x:c>
      <x:c r="F983" s="2" t="n">
        <x:v>0</x:v>
      </x:c>
      <x:c r="G983" s="12" t="n">
        <x:v>347657</x:v>
      </x:c>
      <x:c r="H983" s="12" t="n">
        <x:v>2418.2403000000004</x:v>
      </x:c>
      <x:c r="I983" s="13" t="n">
        <x:v>0.00665</x:v>
      </x:c>
      <x:c r="J983" s="2" t="n">
        <x:v>0</x:v>
      </x:c>
      <x:c r="K983" s="2" t="n">
        <x:v>1</x:v>
      </x:c>
      <x:c r="L983" s="12" t="n">
        <x:v>1537.02245</x:v>
      </x:c>
      <x:c r="M983" s="13" t="n">
        <x:v>1</x:v>
      </x:c>
      <x:c r="N983" s="13" t="n">
        <x:f>H983/G983</x:f>
        <x:v>0.00695582226159692</x:v>
      </x:c>
      <x:c r="O983" s="13" t="n">
        <x:f>F983/E983</x:f>
        <x:v>0</x:v>
      </x:c>
      <x:c r="P983" s="2" t="str">
        <x:f>IF(AND(E983&gt;='Итоги'!$F$5,N983&lt;='Итоги'!$B$5,O983&gt;='Итоги'!$D$5),"Да","Нет")</x:f>
        <x:v>Нет</x:v>
      </x:c>
    </x:row>
    <x:row r="984" ht="60" customHeight="1">
      <x:c r="A984" s="14" t="str">
        <x:v>Аксессуары</x:v>
      </x:c>
      <x:c r="B984" s="14" t="str">
        <x:v>Ювелирные изделия</x:v>
      </x:c>
      <x:c r="C984" s="14" t="str">
        <x:v>Браслет ювелирный</x:v>
      </x:c>
      <x:c r="D984" s="14" t="str">
        <x:v>Золото браслет анклет (на ногу)</x:v>
      </x:c>
      <x:c r="E984" s="2" t="n">
        <x:v>2</x:v>
      </x:c>
      <x:c r="F984" s="2" t="n">
        <x:v>0</x:v>
      </x:c>
      <x:c r="G984" s="12" t="n">
        <x:v>195315</x:v>
      </x:c>
      <x:c r="H984" s="12" t="n">
        <x:v>1362.9366</x:v>
      </x:c>
      <x:c r="I984" s="13" t="n">
        <x:v>0.0068</x:v>
      </x:c>
      <x:c r="J984" s="2" t="n">
        <x:v>0</x:v>
      </x:c>
      <x:c r="K984" s="2" t="n">
        <x:v>1</x:v>
      </x:c>
      <x:c r="L984" s="12" t="n">
        <x:v>16875.75</x:v>
      </x:c>
      <x:c r="M984" s="13" t="n">
        <x:v>1</x:v>
      </x:c>
      <x:c r="N984" s="13" t="n">
        <x:f>H984/G984</x:f>
        <x:v>0.006978146071730282</x:v>
      </x:c>
      <x:c r="O984" s="13" t="n">
        <x:f>F984/E984</x:f>
        <x:v>0</x:v>
      </x:c>
      <x:c r="P984" s="2" t="str">
        <x:f>IF(AND(E984&gt;='Итоги'!$F$5,N984&lt;='Итоги'!$B$5,O984&gt;='Итоги'!$D$5),"Да","Нет")</x:f>
        <x:v>Нет</x:v>
      </x:c>
    </x:row>
    <x:row r="985" ht="60" customHeight="1">
      <x:c r="A985" s="14" t="str">
        <x:v>Обувь</x:v>
      </x:c>
      <x:c r="B985" s="14" t="str">
        <x:v>Обувь мужская</x:v>
      </x:c>
      <x:c r="C985" s="14" t="str">
        <x:v>Обувь мужская демисезон</x:v>
      </x:c>
      <x:c r="D985" s="14" t="str">
        <x:v>Мужские Полусапоги демисезонные</x:v>
      </x:c>
      <x:c r="E985" s="2" t="n">
        <x:v>6</x:v>
      </x:c>
      <x:c r="F985" s="2" t="n">
        <x:v>0</x:v>
      </x:c>
      <x:c r="G985" s="12" t="n">
        <x:v>437525.4166</x:v>
      </x:c>
      <x:c r="H985" s="12" t="n">
        <x:v>3124.327834</x:v>
      </x:c>
      <x:c r="I985" s="13" t="n">
        <x:v>0.0062166666666666</x:v>
      </x:c>
      <x:c r="J985" s="2" t="n">
        <x:v>4</x:v>
      </x:c>
      <x:c r="K985" s="2" t="n">
        <x:v>2</x:v>
      </x:c>
      <x:c r="L985" s="12" t="n">
        <x:v>4687</x:v>
      </x:c>
      <x:c r="M985" s="13" t="n">
        <x:v>0.5847860268056482</x:v>
      </x:c>
      <x:c r="N985" s="13" t="n">
        <x:f>H985/G985</x:f>
        <x:v>0.007140905911887543</x:v>
      </x:c>
      <x:c r="O985" s="13" t="n">
        <x:f>F985/E985</x:f>
        <x:v>0</x:v>
      </x:c>
      <x:c r="P985" s="2" t="str">
        <x:f>IF(AND(E985&gt;='Итоги'!$F$5,N985&lt;='Итоги'!$B$5,O985&gt;='Итоги'!$D$5),"Да","Нет")</x:f>
        <x:v>Нет</x:v>
      </x:c>
    </x:row>
    <x:row r="986" ht="60" customHeight="1">
      <x:c r="A986" s="14" t="str">
        <x:v>Детская одежда</x:v>
      </x:c>
      <x:c r="B986" s="14" t="str">
        <x:v>Детская обувь</x:v>
      </x:c>
      <x:c r="C986" s="14" t="str">
        <x:v>Обувь для девочки</x:v>
      </x:c>
      <x:c r="D986" s="14" t="str">
        <x:v>Сандалии для девочки</x:v>
      </x:c>
      <x:c r="E986" s="2" t="n">
        <x:v>199</x:v>
      </x:c>
      <x:c r="F986" s="2" t="n">
        <x:v>0</x:v>
      </x:c>
      <x:c r="G986" s="12" t="n">
        <x:v>11076058.4717</x:v>
      </x:c>
      <x:c r="H986" s="12" t="n">
        <x:v>79103.80874686</x:v>
      </x:c>
      <x:c r="I986" s="13" t="n">
        <x:v>0.0091929648241206</x:v>
      </x:c>
      <x:c r="J986" s="2" t="n">
        <x:v>154</x:v>
      </x:c>
      <x:c r="K986" s="2" t="n">
        <x:v>22</x:v>
      </x:c>
      <x:c r="L986" s="12" t="n">
        <x:v>1563.1667</x:v>
      </x:c>
      <x:c r="M986" s="13" t="n">
        <x:v>0.7048974881947941</x:v>
      </x:c>
      <x:c r="N986" s="13" t="n">
        <x:f>H986/G986</x:f>
        <x:v>0.00714187352377879</x:v>
      </x:c>
      <x:c r="O986" s="13" t="n">
        <x:f>F986/E986</x:f>
        <x:v>0</x:v>
      </x:c>
      <x:c r="P986" s="2" t="str">
        <x:f>IF(AND(E986&gt;='Итоги'!$F$5,N986&lt;='Итоги'!$B$5,O986&gt;='Итоги'!$D$5),"Да","Нет")</x:f>
        <x:v>Нет</x:v>
      </x:c>
    </x:row>
    <x:row r="987" ht="60" customHeight="1">
      <x:c r="A987" s="14" t="str">
        <x:v>Одежда</x:v>
      </x:c>
      <x:c r="B987" s="14" t="str">
        <x:v>Основная одежда мужская</x:v>
      </x:c>
      <x:c r="C987" s="14" t="str">
        <x:v>Спортивная основная одежда мужская верха</x:v>
      </x:c>
      <x:c r="D987" s="14" t="str">
        <x:v>Спортивная толстовка мужская</x:v>
      </x:c>
      <x:c r="E987" s="2" t="n">
        <x:v>92</x:v>
      </x:c>
      <x:c r="F987" s="2" t="n">
        <x:v>0</x:v>
      </x:c>
      <x:c r="G987" s="12" t="n">
        <x:v>5900952.2482</x:v>
      </x:c>
      <x:c r="H987" s="12" t="n">
        <x:v>42301.105672</x:v>
      </x:c>
      <x:c r="I987" s="13" t="n">
        <x:v>0.0078891304347826</x:v>
      </x:c>
      <x:c r="J987" s="2" t="n">
        <x:v>73</x:v>
      </x:c>
      <x:c r="K987" s="2" t="n">
        <x:v>9</x:v>
      </x:c>
      <x:c r="L987" s="12" t="n">
        <x:v>3381.47845</x:v>
      </x:c>
      <x:c r="M987" s="13" t="n">
        <x:v>0.5712278402571737</x:v>
      </x:c>
      <x:c r="N987" s="13" t="n">
        <x:f>H987/G987</x:f>
        <x:v>0.007168521942353174</x:v>
      </x:c>
      <x:c r="O987" s="13" t="n">
        <x:f>F987/E987</x:f>
        <x:v>0</x:v>
      </x:c>
      <x:c r="P987" s="2" t="str">
        <x:f>IF(AND(E987&gt;='Итоги'!$F$5,N987&lt;='Итоги'!$B$5,O987&gt;='Итоги'!$D$5),"Да","Нет")</x:f>
        <x:v>Нет</x:v>
      </x:c>
    </x:row>
    <x:row r="988" ht="60" customHeight="1">
      <x:c r="A988" s="14" t="str">
        <x:v>Ноутбуки и компьютеры</x:v>
      </x:c>
      <x:c r="B988" s="14" t="str">
        <x:v>Компьютерная офисная техника Lap&amp;Comp</x:v>
      </x:c>
      <x:c r="C988" s="14" t="str">
        <x:v>Компьютерная офисная техника Lap&amp;Comp</x:v>
      </x:c>
      <x:c r="D988" s="14" t="str">
        <x:v>VoIP телефон</x:v>
      </x:c>
      <x:c r="E988" s="2" t="n">
        <x:v>7</x:v>
      </x:c>
      <x:c r="F988" s="2" t="n">
        <x:v>0</x:v>
      </x:c>
      <x:c r="G988" s="12" t="n">
        <x:v>547484</x:v>
      </x:c>
      <x:c r="H988" s="12" t="n">
        <x:v>3962.1876</x:v>
      </x:c>
      <x:c r="I988" s="13" t="n">
        <x:v>0.0076428571428571</x:v>
      </x:c>
      <x:c r="J988" s="2" t="n">
        <x:v>3</x:v>
      </x:c>
      <x:c r="K988" s="2" t="n">
        <x:v>2</x:v>
      </x:c>
      <x:c r="L988" s="12" t="n">
        <x:v>4329.4286</x:v>
      </x:c>
      <x:c r="M988" s="13" t="n">
        <x:v>0.7170602245910382</x:v>
      </x:c>
      <x:c r="N988" s="13" t="n">
        <x:f>H988/G988</x:f>
        <x:v>0.007237083823454202</x:v>
      </x:c>
      <x:c r="O988" s="13" t="n">
        <x:f>F988/E988</x:f>
        <x:v>0</x:v>
      </x:c>
      <x:c r="P988" s="2" t="str">
        <x:f>IF(AND(E988&gt;='Итоги'!$F$5,N988&lt;='Итоги'!$B$5,O988&gt;='Итоги'!$D$5),"Да","Нет")</x:f>
        <x:v>Нет</x:v>
      </x:c>
    </x:row>
    <x:row r="989" ht="60" customHeight="1">
      <x:c r="A989" s="14" t="str">
        <x:v>Строительство и ремонт (DIY)</x:v>
      </x:c>
      <x:c r="B989" s="14" t="str">
        <x:v>Ремонт и строительство</x:v>
      </x:c>
      <x:c r="C989" s="14" t="str">
        <x:v>Скобяные изделия</x:v>
      </x:c>
      <x:c r="D989" s="14" t="str">
        <x:v>Дюбель, дюбель-гвоздь</x:v>
      </x:c>
      <x:c r="E989" s="2" t="n">
        <x:v>26</x:v>
      </x:c>
      <x:c r="F989" s="2" t="n">
        <x:v>0</x:v>
      </x:c>
      <x:c r="G989" s="12" t="n">
        <x:v>3710854.2895</x:v>
      </x:c>
      <x:c r="H989" s="12" t="n">
        <x:v>26877.54737475</x:v>
      </x:c>
      <x:c r="I989" s="13" t="n">
        <x:v>0.0081730769230769</x:v>
      </x:c>
      <x:c r="J989" s="2" t="n">
        <x:v>6</x:v>
      </x:c>
      <x:c r="K989" s="2" t="n">
        <x:v>7</x:v>
      </x:c>
      <x:c r="L989" s="12" t="n">
        <x:v>1891.69375</x:v>
      </x:c>
      <x:c r="M989" s="13" t="n">
        <x:v>0.4096650649694016</x:v>
      </x:c>
      <x:c r="N989" s="13" t="n">
        <x:f>H989/G989</x:f>
        <x:v>0.007242954122666853</x:v>
      </x:c>
      <x:c r="O989" s="13" t="n">
        <x:f>F989/E989</x:f>
        <x:v>0</x:v>
      </x:c>
      <x:c r="P989" s="2" t="str">
        <x:f>IF(AND(E989&gt;='Итоги'!$F$5,N989&lt;='Итоги'!$B$5,O989&gt;='Итоги'!$D$5),"Да","Нет")</x:f>
        <x:v>Нет</x:v>
      </x:c>
    </x:row>
    <x:row r="990" ht="60" customHeight="1">
      <x:c r="A990" s="14" t="str">
        <x:v>Детская одежда</x:v>
      </x:c>
      <x:c r="B990" s="14" t="str">
        <x:v>Детская одежда</x:v>
      </x:c>
      <x:c r="C990" s="14" t="str">
        <x:v>Одежда для девочки</x:v>
      </x:c>
      <x:c r="D990" s="14" t="str">
        <x:v>Комбинезон летний для девочки</x:v>
      </x:c>
      <x:c r="E990" s="2" t="n">
        <x:v>12</x:v>
      </x:c>
      <x:c r="F990" s="2" t="n">
        <x:v>0</x:v>
      </x:c>
      <x:c r="G990" s="12" t="n">
        <x:v>607829.0588</x:v>
      </x:c>
      <x:c r="H990" s="12" t="n">
        <x:v>4412.4140744</x:v>
      </x:c>
      <x:c r="I990" s="13" t="n">
        <x:v>0.0026916666666666</x:v>
      </x:c>
      <x:c r="J990" s="2" t="n">
        <x:v>10</x:v>
      </x:c>
      <x:c r="K990" s="2" t="n">
        <x:v>5</x:v>
      </x:c>
      <x:c r="L990" s="12" t="n">
        <x:v>2981.46875</x:v>
      </x:c>
      <x:c r="M990" s="13" t="n">
        <x:v>0.5100077982648762</x:v>
      </x:c>
      <x:c r="N990" s="13" t="n">
        <x:f>H990/G990</x:f>
        <x:v>0.007259300967135663</x:v>
      </x:c>
      <x:c r="O990" s="13" t="n">
        <x:f>F990/E990</x:f>
        <x:v>0</x:v>
      </x:c>
      <x:c r="P990" s="2" t="str">
        <x:f>IF(AND(E990&gt;='Итоги'!$F$5,N990&lt;='Итоги'!$B$5,O990&gt;='Итоги'!$D$5),"Да","Нет")</x:f>
        <x:v>Нет</x:v>
      </x:c>
    </x:row>
    <x:row r="991" ht="60" customHeight="1">
      <x:c r="A991" s="14" t="str">
        <x:v>Товары для животных</x:v>
      </x:c>
      <x:c r="B991" s="14" t="str">
        <x:v>Фермерское хозяйство - Содержание, уход птицы и сельскохозяйственных животных</x:v>
      </x:c>
      <x:c r="C991" s="14" t="str">
        <x:v>Клетки и комплектующие для сельскохозяйственных животных и птиц</x:v>
      </x:c>
      <x:c r="D991" s="14" t="str">
        <x:v>Влагомер для сена</x:v>
      </x:c>
      <x:c r="E991" s="2" t="n">
        <x:v>3</x:v>
      </x:c>
      <x:c r="F991" s="2" t="n">
        <x:v>0</x:v>
      </x:c>
      <x:c r="G991" s="12" t="n">
        <x:v>1402036</x:v>
      </x:c>
      <x:c r="H991" s="12" t="n">
        <x:v>10385.9109</x:v>
      </x:c>
      <x:c r="I991" s="13" t="n">
        <x:v>0.0056999999999999</x:v>
      </x:c>
      <x:c r="J991" s="2" t="n">
        <x:v>1</x:v>
      </x:c>
      <x:c r="K991" s="2" t="n">
        <x:v>2</x:v>
      </x:c>
      <x:c r="L991" s="12" t="n">
        <x:v>31436.7647</x:v>
      </x:c>
      <x:c r="M991" s="13" t="n">
        <x:v>0.8764061693137694</x:v>
      </x:c>
      <x:c r="N991" s="13" t="n">
        <x:f>H991/G991</x:f>
        <x:v>0.007407734822786291</x:v>
      </x:c>
      <x:c r="O991" s="13" t="n">
        <x:f>F991/E991</x:f>
        <x:v>0</x:v>
      </x:c>
      <x:c r="P991" s="2" t="str">
        <x:f>IF(AND(E991&gt;='Итоги'!$F$5,N991&lt;='Итоги'!$B$5,O991&gt;='Итоги'!$D$5),"Да","Нет")</x:f>
        <x:v>Нет</x:v>
      </x:c>
    </x:row>
    <x:row r="992" ht="60" customHeight="1">
      <x:c r="A992" s="14" t="str">
        <x:v>Товары для красоты и здоровья</x:v>
      </x:c>
      <x:c r="B992" s="14" t="str">
        <x:v>Косметика для ухода за кожей</x:v>
      </x:c>
      <x:c r="C992" s="14" t="str">
        <x:v>Средства для бритья и депиляции женские</x:v>
      </x:c>
      <x:c r="D992" s="14" t="str">
        <x:v>Средство после бритья женское</x:v>
      </x:c>
      <x:c r="E992" s="2" t="n">
        <x:v>1</x:v>
      </x:c>
      <x:c r="F992" s="2" t="n">
        <x:v>0</x:v>
      </x:c>
      <x:c r="G992" s="12" t="n">
        <x:v>109512</x:v>
      </x:c>
      <x:c r="H992" s="12" t="n">
        <x:v>821.3399999999999</x:v>
      </x:c>
      <x:c r="I992" s="13" t="n">
        <x:v>0.0075</x:v>
      </x:c>
      <x:c r="J992" s="2" t="n">
        <x:v>0</x:v>
      </x:c>
      <x:c r="K992" s="2" t="n">
        <x:v>1</x:v>
      </x:c>
      <x:c r="L992" s="12" t="n">
        <x:v>2433.6</x:v>
      </x:c>
      <x:c r="M992" s="13" t="n">
        <x:v>1</x:v>
      </x:c>
      <x:c r="N992" s="13" t="n">
        <x:f>H992/G992</x:f>
        <x:v>0.007499999999999999</x:v>
      </x:c>
      <x:c r="O992" s="13" t="n">
        <x:f>F992/E992</x:f>
        <x:v>0</x:v>
      </x:c>
      <x:c r="P992" s="2" t="str">
        <x:f>IF(AND(E992&gt;='Итоги'!$F$5,N992&lt;='Итоги'!$B$5,O992&gt;='Итоги'!$D$5),"Да","Нет")</x:f>
        <x:v>Нет</x:v>
      </x:c>
    </x:row>
    <x:row r="993" ht="60" customHeight="1">
      <x:c r="A993" s="14" t="str">
        <x:v>Автотовары</x:v>
      </x:c>
      <x:c r="B993" s="14" t="str">
        <x:v>Авто и мото запчасти</x:v>
      </x:c>
      <x:c r="C993" s="14" t="str">
        <x:v>Запчасти для спецтехники</x:v>
      </x:c>
      <x:c r="D993" s="14" t="str">
        <x:v>Электрика для спецтехники</x:v>
      </x:c>
      <x:c r="E993" s="2" t="n">
        <x:v>7</x:v>
      </x:c>
      <x:c r="F993" s="2" t="n">
        <x:v>0</x:v>
      </x:c>
      <x:c r="G993" s="12" t="n">
        <x:v>1239580.5701</x:v>
      </x:c>
      <x:c r="H993" s="12" t="n">
        <x:v>9339.1992</x:v>
      </x:c>
      <x:c r="I993" s="13" t="n">
        <x:v>0.0099857142857142</x:v>
      </x:c>
      <x:c r="J993" s="2" t="n">
        <x:v>6</x:v>
      </x:c>
      <x:c r="K993" s="2" t="n">
        <x:v>3</x:v>
      </x:c>
      <x:c r="L993" s="12" t="n">
        <x:v>7666.4804</x:v>
      </x:c>
      <x:c r="M993" s="13" t="n">
        <x:v>0.8860275778696638</x:v>
      </x:c>
      <x:c r="N993" s="13" t="n">
        <x:f>H993/G993</x:f>
        <x:v>0.0075341606873094045</x:v>
      </x:c>
      <x:c r="O993" s="13" t="n">
        <x:f>F993/E993</x:f>
        <x:v>0</x:v>
      </x:c>
      <x:c r="P993" s="2" t="str">
        <x:f>IF(AND(E993&gt;='Итоги'!$F$5,N993&lt;='Итоги'!$B$5,O993&gt;='Итоги'!$D$5),"Да","Нет")</x:f>
        <x:v>Нет</x:v>
      </x:c>
    </x:row>
    <x:row r="994" ht="60" customHeight="1">
      <x:c r="A994" s="14" t="str">
        <x:v>Одежда</x:v>
      </x:c>
      <x:c r="B994" s="14" t="str">
        <x:v>Основная одежда мужская</x:v>
      </x:c>
      <x:c r="C994" s="14" t="str">
        <x:v>Спортивная основная одежда мужская верха</x:v>
      </x:c>
      <x:c r="D994" s="14" t="str">
        <x:v>Спортивный лонгслив мужской</x:v>
      </x:c>
      <x:c r="E994" s="2" t="n">
        <x:v>31</x:v>
      </x:c>
      <x:c r="F994" s="2" t="n">
        <x:v>0</x:v>
      </x:c>
      <x:c r="G994" s="12" t="n">
        <x:v>2175604.2737</x:v>
      </x:c>
      <x:c r="H994" s="12" t="n">
        <x:v>16510.35927012</x:v>
      </x:c>
      <x:c r="I994" s="13" t="n">
        <x:v>0.0149677419354838</x:v>
      </x:c>
      <x:c r="J994" s="2" t="n">
        <x:v>24</x:v>
      </x:c>
      <x:c r="K994" s="2" t="n">
        <x:v>5</x:v>
      </x:c>
      <x:c r="L994" s="12" t="n">
        <x:v>2370.5939</x:v>
      </x:c>
      <x:c r="M994" s="13" t="n">
        <x:v>0.8231425592644074</x:v>
      </x:c>
      <x:c r="N994" s="13" t="n">
        <x:f>H994/G994</x:f>
        <x:v>0.007588861388859664</x:v>
      </x:c>
      <x:c r="O994" s="13" t="n">
        <x:f>F994/E994</x:f>
        <x:v>0</x:v>
      </x:c>
      <x:c r="P994" s="2" t="str">
        <x:f>IF(AND(E994&gt;='Итоги'!$F$5,N994&lt;='Итоги'!$B$5,O994&gt;='Итоги'!$D$5),"Да","Нет")</x:f>
        <x:v>Нет</x:v>
      </x:c>
    </x:row>
    <x:row r="995" ht="60" customHeight="1">
      <x:c r="A995" s="14" t="str">
        <x:v>Школьные принадлежности и канцелярия</x:v>
      </x:c>
      <x:c r="B995" s="14" t="str">
        <x:v>Товары для школы, канцелярия, оборудование</x:v>
      </x:c>
      <x:c r="C995" s="14" t="str">
        <x:v>Чертежные принадлежности</x:v>
      </x:c>
      <x:c r="D995" s="14" t="str">
        <x:v>Набор геометрический</x:v>
      </x:c>
      <x:c r="E995" s="2" t="n">
        <x:v>1</x:v>
      </x:c>
      <x:c r="F995" s="2" t="n">
        <x:v>0</x:v>
      </x:c>
      <x:c r="G995" s="12" t="n">
        <x:v>156484.0933</x:v>
      </x:c>
      <x:c r="H995" s="12" t="n">
        <x:v>1189.27910908</x:v>
      </x:c>
      <x:c r="I995" s="13" t="n">
        <x:v>0.0076</x:v>
      </x:c>
      <x:c r="J995" s="2" t="n">
        <x:v>0</x:v>
      </x:c>
      <x:c r="K995" s="2" t="n">
        <x:v>1</x:v>
      </x:c>
      <x:c r="L995" s="12" t="n">
        <x:v>1314.9924</x:v>
      </x:c>
      <x:c r="M995" s="13" t="n">
        <x:v>1</x:v>
      </x:c>
      <x:c r="N995" s="13" t="n">
        <x:f>H995/G995</x:f>
        <x:v>0.007599999999999999</x:v>
      </x:c>
      <x:c r="O995" s="13" t="n">
        <x:f>F995/E995</x:f>
        <x:v>0</x:v>
      </x:c>
      <x:c r="P995" s="2" t="str">
        <x:f>IF(AND(E995&gt;='Итоги'!$F$5,N995&lt;='Итоги'!$B$5,O995&gt;='Итоги'!$D$5),"Да","Нет")</x:f>
        <x:v>Нет</x:v>
      </x:c>
    </x:row>
    <x:row r="996" ht="60" customHeight="1">
      <x:c r="A996" s="14" t="str">
        <x:v>Детская одежда</x:v>
      </x:c>
      <x:c r="B996" s="14" t="str">
        <x:v>Детская одежда</x:v>
      </x:c>
      <x:c r="C996" s="14" t="str">
        <x:v>Верхняя одежда для мальчика</x:v>
      </x:c>
      <x:c r="D996" s="14" t="str">
        <x:v>Куртка спортивная демисезонная для мальчика</x:v>
      </x:c>
      <x:c r="E996" s="2" t="n">
        <x:v>33</x:v>
      </x:c>
      <x:c r="F996" s="2" t="n">
        <x:v>0</x:v>
      </x:c>
      <x:c r="G996" s="12" t="n">
        <x:v>1726795.2906</x:v>
      </x:c>
      <x:c r="H996" s="12" t="n">
        <x:v>13130.367973</x:v>
      </x:c>
      <x:c r="I996" s="13" t="n">
        <x:v>0.0089939393939393</x:v>
      </x:c>
      <x:c r="J996" s="2" t="n">
        <x:v>23</x:v>
      </x:c>
      <x:c r="K996" s="2" t="n">
        <x:v>2</x:v>
      </x:c>
      <x:c r="L996" s="12" t="n">
        <x:v>2121.979</x:v>
      </x:c>
      <x:c r="M996" s="13" t="n">
        <x:v>0.9974774079917218</x:v>
      </x:c>
      <x:c r="N996" s="13" t="n">
        <x:f>H996/G996</x:f>
        <x:v>0.0076038937820114534</x:v>
      </x:c>
      <x:c r="O996" s="13" t="n">
        <x:f>F996/E996</x:f>
        <x:v>0</x:v>
      </x:c>
      <x:c r="P996" s="2" t="str">
        <x:f>IF(AND(E996&gt;='Итоги'!$F$5,N996&lt;='Итоги'!$B$5,O996&gt;='Итоги'!$D$5),"Да","Нет")</x:f>
        <x:v>Нет</x:v>
      </x:c>
    </x:row>
    <x:row r="997" ht="60" customHeight="1">
      <x:c r="A997" s="14" t="str">
        <x:v>Бакалея и кондитерские изделия</x:v>
      </x:c>
      <x:c r="B997" s="14" t="str">
        <x:v>Бакалея</x:v>
      </x:c>
      <x:c r="C997" s="14" t="str">
        <x:v>Снэки, чипсы, готовые завтраки</x:v>
      </x:c>
      <x:c r="D997" s="14" t="str">
        <x:v>Урбеч</x:v>
      </x:c>
      <x:c r="E997" s="2" t="n">
        <x:v>8</x:v>
      </x:c>
      <x:c r="F997" s="2" t="n">
        <x:v>0</x:v>
      </x:c>
      <x:c r="G997" s="12" t="n">
        <x:v>1113444.4053</x:v>
      </x:c>
      <x:c r="H997" s="12" t="n">
        <x:v>8490.922967620001</x:v>
      </x:c>
      <x:c r="I997" s="13" t="n">
        <x:v>0.0064875</x:v>
      </x:c>
      <x:c r="J997" s="2" t="n">
        <x:v>5</x:v>
      </x:c>
      <x:c r="K997" s="2" t="n">
        <x:v>2</x:v>
      </x:c>
      <x:c r="L997" s="12" t="n">
        <x:v>1200.5316</x:v>
      </x:c>
      <x:c r="M997" s="13" t="n">
        <x:v>0.8196334440731327</x:v>
      </x:c>
      <x:c r="N997" s="13" t="n">
        <x:f>H997/G997</x:f>
        <x:v>0.007625816724394296</x:v>
      </x:c>
      <x:c r="O997" s="13" t="n">
        <x:f>F997/E997</x:f>
        <x:v>0</x:v>
      </x:c>
      <x:c r="P997" s="2" t="str">
        <x:f>IF(AND(E997&gt;='Итоги'!$F$5,N997&lt;='Итоги'!$B$5,O997&gt;='Итоги'!$D$5),"Да","Нет")</x:f>
        <x:v>Нет</x:v>
      </x:c>
    </x:row>
    <x:row r="998" ht="60" customHeight="1">
      <x:c r="A998" s="14" t="str">
        <x:v>Обувь</x:v>
      </x:c>
      <x:c r="B998" s="14" t="str">
        <x:v>Обувь мужская</x:v>
      </x:c>
      <x:c r="C998" s="14" t="str">
        <x:v>Спортивная обувь мужская</x:v>
      </x:c>
      <x:c r="D998" s="14" t="str">
        <x:v>Спортивные сланцы, шлепанцы мужские</x:v>
      </x:c>
      <x:c r="E998" s="2" t="n">
        <x:v>260</x:v>
      </x:c>
      <x:c r="F998" s="2" t="n">
        <x:v>0</x:v>
      </x:c>
      <x:c r="G998" s="12" t="n">
        <x:v>28091989.1002</x:v>
      </x:c>
      <x:c r="H998" s="12" t="n">
        <x:v>215275.08601623</x:v>
      </x:c>
      <x:c r="I998" s="13" t="n">
        <x:v>0.0048553846153846</x:v>
      </x:c>
      <x:c r="J998" s="2" t="n">
        <x:v>233</x:v>
      </x:c>
      <x:c r="K998" s="2" t="n">
        <x:v>13</x:v>
      </x:c>
      <x:c r="L998" s="12" t="n">
        <x:v>1898.46435</x:v>
      </x:c>
      <x:c r="M998" s="13" t="n">
        <x:v>0.7918156775997623</x:v>
      </x:c>
      <x:c r="N998" s="13" t="n">
        <x:f>H998/G998</x:f>
        <x:v>0.007663219761632947</x:v>
      </x:c>
      <x:c r="O998" s="13" t="n">
        <x:f>F998/E998</x:f>
        <x:v>0</x:v>
      </x:c>
      <x:c r="P998" s="2" t="str">
        <x:f>IF(AND(E998&gt;='Итоги'!$F$5,N998&lt;='Итоги'!$B$5,O998&gt;='Итоги'!$D$5),"Да","Нет")</x:f>
        <x:v>Нет</x:v>
      </x:c>
    </x:row>
    <x:row r="999" ht="60" customHeight="1">
      <x:c r="A999" s="14" t="str">
        <x:v>Книги</x:v>
      </x:c>
      <x:c r="B999" s="14" t="str">
        <x:v>Печатные книги: Художественная литература</x:v>
      </x:c>
      <x:c r="C999" s="14" t="str">
        <x:v>Книги: Фэнтези</x:v>
      </x:c>
      <x:c r="D999" s="14" t="str">
        <x:v>Печатная книга: Фэнтези</x:v>
      </x:c>
      <x:c r="E999" s="2" t="n">
        <x:v>8</x:v>
      </x:c>
      <x:c r="F999" s="2" t="n">
        <x:v>0</x:v>
      </x:c>
      <x:c r="G999" s="12" t="n">
        <x:v>608841.6087</x:v>
      </x:c>
      <x:c r="H999" s="12" t="n">
        <x:v>4727.49125286</x:v>
      </x:c>
      <x:c r="I999" s="13" t="n">
        <x:v>0.0098999999999999</x:v>
      </x:c>
      <x:c r="J999" s="2" t="n">
        <x:v>5</x:v>
      </x:c>
      <x:c r="K999" s="2" t="n">
        <x:v>5</x:v>
      </x:c>
      <x:c r="L999" s="12" t="n">
        <x:v>940.6185</x:v>
      </x:c>
      <x:c r="M999" s="13" t="n">
        <x:v>0.5560352051543352</x:v>
      </x:c>
      <x:c r="N999" s="13" t="n">
        <x:f>H999/G999</x:f>
        <x:v>0.00776473090095493</x:v>
      </x:c>
      <x:c r="O999" s="13" t="n">
        <x:f>F999/E999</x:f>
        <x:v>0</x:v>
      </x:c>
      <x:c r="P999" s="2" t="str">
        <x:f>IF(AND(E999&gt;='Итоги'!$F$5,N999&lt;='Итоги'!$B$5,O999&gt;='Итоги'!$D$5),"Да","Нет")</x:f>
        <x:v>Нет</x:v>
      </x:c>
    </x:row>
    <x:row r="1000" ht="60" customHeight="1">
      <x:c r="A1000" s="14" t="str">
        <x:v>Обувь</x:v>
      </x:c>
      <x:c r="B1000" s="14" t="str">
        <x:v>Обувь женская</x:v>
      </x:c>
      <x:c r="C1000" s="14" t="str">
        <x:v>Спортивная обувь женская</x:v>
      </x:c>
      <x:c r="D1000" s="14" t="str">
        <x:v>Спортивные ботинки, полуботинки женские</x:v>
      </x:c>
      <x:c r="E1000" s="2" t="n">
        <x:v>99</x:v>
      </x:c>
      <x:c r="F1000" s="2" t="n">
        <x:v>0</x:v>
      </x:c>
      <x:c r="G1000" s="12" t="n">
        <x:v>5528337.5882</x:v>
      </x:c>
      <x:c r="H1000" s="12" t="n">
        <x:v>43221.57665642</x:v>
      </x:c>
      <x:c r="I1000" s="13" t="n">
        <x:v>0.005030303030303</x:v>
      </x:c>
      <x:c r="J1000" s="2" t="n">
        <x:v>86</x:v>
      </x:c>
      <x:c r="K1000" s="2" t="n">
        <x:v>7</x:v>
      </x:c>
      <x:c r="L1000" s="12" t="n">
        <x:v>5302.9286</x:v>
      </x:c>
      <x:c r="M1000" s="13" t="n">
        <x:v>0.4555030159111367</x:v>
      </x:c>
      <x:c r="N1000" s="13" t="n">
        <x:f>H1000/G1000</x:f>
        <x:v>0.0078181869263329</x:v>
      </x:c>
      <x:c r="O1000" s="13" t="n">
        <x:f>F1000/E1000</x:f>
        <x:v>0</x:v>
      </x:c>
      <x:c r="P1000" s="2" t="str">
        <x:f>IF(AND(E1000&gt;='Итоги'!$F$5,N1000&lt;='Итоги'!$B$5,O1000&gt;='Итоги'!$D$5),"Да","Нет")</x:f>
        <x:v>Нет</x:v>
      </x:c>
    </x:row>
    <x:row r="1001" ht="60" customHeight="1">
      <x:c r="A1001" s="14" t="str">
        <x:v>Детская одежда</x:v>
      </x:c>
      <x:c r="B1001" s="14" t="str">
        <x:v>Детская обувь</x:v>
      </x:c>
      <x:c r="C1001" s="14" t="str">
        <x:v>Обувь для девочки</x:v>
      </x:c>
      <x:c r="D1001" s="14" t="str">
        <x:v>Балетки для девочки</x:v>
      </x:c>
      <x:c r="E1001" s="2" t="n">
        <x:v>16</x:v>
      </x:c>
      <x:c r="F1001" s="2" t="n">
        <x:v>0</x:v>
      </x:c>
      <x:c r="G1001" s="12" t="n">
        <x:v>1050164.0607</x:v>
      </x:c>
      <x:c r="H1001" s="12" t="n">
        <x:v>8218.489273000001</x:v>
      </x:c>
      <x:c r="I1001" s="13" t="n">
        <x:v>0.00690625</x:v>
      </x:c>
      <x:c r="J1001" s="2" t="n">
        <x:v>14</x:v>
      </x:c>
      <x:c r="K1001" s="2" t="n">
        <x:v>6</x:v>
      </x:c>
      <x:c r="L1001" s="12" t="n">
        <x:v>4952.0372</x:v>
      </x:c>
      <x:c r="M1001" s="13" t="n">
        <x:v>0.8502823645524512</x:v>
      </x:c>
      <x:c r="N1001" s="13" t="n">
        <x:f>H1001/G1001</x:f>
        <x:v>0.007825909855953234</x:v>
      </x:c>
      <x:c r="O1001" s="13" t="n">
        <x:f>F1001/E1001</x:f>
        <x:v>0</x:v>
      </x:c>
      <x:c r="P1001" s="2" t="str">
        <x:f>IF(AND(E1001&gt;='Итоги'!$F$5,N1001&lt;='Итоги'!$B$5,O1001&gt;='Итоги'!$D$5),"Да","Нет")</x:f>
        <x:v>Нет</x:v>
      </x:c>
    </x:row>
    <x:row r="1002" ht="60" customHeight="1">
      <x:c r="A1002" s="14" t="str">
        <x:v>Товары для дома</x:v>
      </x:c>
      <x:c r="B1002" s="14" t="str">
        <x:v>Интерьер и декор</x:v>
      </x:c>
      <x:c r="C1002" s="14" t="str">
        <x:v>Украшение интерьера</x:v>
      </x:c>
      <x:c r="D1002" s="14" t="str">
        <x:v>Термометр декоративный интерьерный</x:v>
      </x:c>
      <x:c r="E1002" s="2" t="n">
        <x:v>1</x:v>
      </x:c>
      <x:c r="F1002" s="2" t="n">
        <x:v>0</x:v>
      </x:c>
      <x:c r="G1002" s="12" t="n">
        <x:v>469555.31</x:v>
      </x:c>
      <x:c r="H1002" s="12" t="n">
        <x:v>3756.44248</x:v>
      </x:c>
      <x:c r="I1002" s="13" t="n">
        <x:v>0.008</x:v>
      </x:c>
      <x:c r="J1002" s="2" t="n">
        <x:v>0</x:v>
      </x:c>
      <x:c r="K1002" s="2" t="n">
        <x:v>1</x:v>
      </x:c>
      <x:c r="L1002" s="12" t="n">
        <x:v>897.8113</x:v>
      </x:c>
      <x:c r="M1002" s="13" t="n">
        <x:v>1</x:v>
      </x:c>
      <x:c r="N1002" s="13" t="n">
        <x:f>H1002/G1002</x:f>
        <x:v>0.008</x:v>
      </x:c>
      <x:c r="O1002" s="13" t="n">
        <x:f>F1002/E1002</x:f>
        <x:v>0</x:v>
      </x:c>
      <x:c r="P1002" s="2" t="str">
        <x:f>IF(AND(E1002&gt;='Итоги'!$F$5,N1002&lt;='Итоги'!$B$5,O1002&gt;='Итоги'!$D$5),"Да","Нет")</x:f>
        <x:v>Нет</x:v>
      </x:c>
    </x:row>
    <x:row r="1003" ht="60" customHeight="1">
      <x:c r="A1003" s="14" t="str">
        <x:v>Одежда</x:v>
      </x:c>
      <x:c r="B1003" s="14" t="str">
        <x:v>Верхняя одежда</x:v>
      </x:c>
      <x:c r="C1003" s="14" t="str">
        <x:v>Спортивная верхняя одежда женская</x:v>
      </x:c>
      <x:c r="D1003" s="14" t="str">
        <x:v>Спортивный пуховик женский</x:v>
      </x:c>
      <x:c r="E1003" s="2" t="n">
        <x:v>80</x:v>
      </x:c>
      <x:c r="F1003" s="2" t="n">
        <x:v>0</x:v>
      </x:c>
      <x:c r="G1003" s="12" t="n">
        <x:v>3663913.7713</x:v>
      </x:c>
      <x:c r="H1003" s="12" t="n">
        <x:v>29336.0208902</x:v>
      </x:c>
      <x:c r="I1003" s="13" t="n">
        <x:v>0.00596875</x:v>
      </x:c>
      <x:c r="J1003" s="2" t="n">
        <x:v>54</x:v>
      </x:c>
      <x:c r="K1003" s="2" t="n">
        <x:v>15</x:v>
      </x:c>
      <x:c r="L1003" s="12" t="n">
        <x:v>3963.0357</x:v>
      </x:c>
      <x:c r="M1003" s="13" t="n">
        <x:v>0.3780089536901378</x:v>
      </x:c>
      <x:c r="N1003" s="13" t="n">
        <x:f>H1003/G1003</x:f>
        <x:v>0.008006744350806934</x:v>
      </x:c>
      <x:c r="O1003" s="13" t="n">
        <x:f>F1003/E1003</x:f>
        <x:v>0</x:v>
      </x:c>
      <x:c r="P1003" s="2" t="str">
        <x:f>IF(AND(E1003&gt;='Итоги'!$F$5,N1003&lt;='Итоги'!$B$5,O1003&gt;='Итоги'!$D$5),"Да","Нет")</x:f>
        <x:v>Нет</x:v>
      </x:c>
    </x:row>
    <x:row r="1004" ht="60" customHeight="1">
      <x:c r="A1004" s="14" t="str">
        <x:v>Ноутбуки и компьютеры</x:v>
      </x:c>
      <x:c r="B1004" s="14" t="str">
        <x:v>Компьютерная офисная техника Lap&amp;Comp</x:v>
      </x:c>
      <x:c r="C1004" s="14" t="str">
        <x:v>Компьютерная офисная техника Lap&amp;Comp</x:v>
      </x:c>
      <x:c r="D1004" s="14" t="str">
        <x:v>Плоттер офисный</x:v>
      </x:c>
      <x:c r="E1004" s="2" t="n">
        <x:v>3</x:v>
      </x:c>
      <x:c r="F1004" s="2" t="n">
        <x:v>0</x:v>
      </x:c>
      <x:c r="G1004" s="12" t="n">
        <x:v>647531</x:v>
      </x:c>
      <x:c r="H1004" s="12" t="n">
        <x:v>5197.428</x:v>
      </x:c>
      <x:c r="I1004" s="13" t="n">
        <x:v>0.0236</x:v>
      </x:c>
      <x:c r="J1004" s="2" t="n">
        <x:v>2</x:v>
      </x:c>
      <x:c r="K1004" s="2" t="n">
        <x:v>3</x:v>
      </x:c>
      <x:c r="L1004" s="12" t="n">
        <x:v>24470</x:v>
      </x:c>
      <x:c r="M1004" s="13" t="n">
        <x:v>0.7000823126614788</x:v>
      </x:c>
      <x:c r="N1004" s="13" t="n">
        <x:f>H1004/G1004</x:f>
        <x:v>0.00802653154829653</x:v>
      </x:c>
      <x:c r="O1004" s="13" t="n">
        <x:f>F1004/E1004</x:f>
        <x:v>0</x:v>
      </x:c>
      <x:c r="P1004" s="2" t="str">
        <x:f>IF(AND(E1004&gt;='Итоги'!$F$5,N1004&lt;='Итоги'!$B$5,O1004&gt;='Итоги'!$D$5),"Да","Нет")</x:f>
        <x:v>Нет</x:v>
      </x:c>
    </x:row>
    <x:row r="1005" ht="60" customHeight="1">
      <x:c r="A1005" s="14" t="str">
        <x:v>Товары для животных</x:v>
      </x:c>
      <x:c r="B1005" s="14" t="str">
        <x:v>Фермерское хозяйство - Товары для пчеловодства</x:v>
      </x:c>
      <x:c r="C1005" s="14" t="str">
        <x:v>Вощина, рамки и комплектующие</x:v>
      </x:c>
      <x:c r="D1005" s="14" t="str">
        <x:v>Вощина</x:v>
      </x:c>
      <x:c r="E1005" s="2" t="n">
        <x:v>6</x:v>
      </x:c>
      <x:c r="F1005" s="2" t="n">
        <x:v>0</x:v>
      </x:c>
      <x:c r="G1005" s="12" t="n">
        <x:v>651527.1056</x:v>
      </x:c>
      <x:c r="H1005" s="12" t="n">
        <x:v>5255.49726064</x:v>
      </x:c>
      <x:c r="I1005" s="13" t="n">
        <x:v>0.0082666666666666</x:v>
      </x:c>
      <x:c r="J1005" s="2" t="n">
        <x:v>4</x:v>
      </x:c>
      <x:c r="K1005" s="2" t="n">
        <x:v>2</x:v>
      </x:c>
      <x:c r="L1005" s="12" t="n">
        <x:v>2713.1528</x:v>
      </x:c>
      <x:c r="M1005" s="13" t="n">
        <x:v>0.8599948655766256</x:v>
      </x:c>
      <x:c r="N1005" s="13" t="n">
        <x:f>H1005/G1005</x:f>
        <x:v>0.008066429186856535</x:v>
      </x:c>
      <x:c r="O1005" s="13" t="n">
        <x:f>F1005/E1005</x:f>
        <x:v>0</x:v>
      </x:c>
      <x:c r="P1005" s="2" t="str">
        <x:f>IF(AND(E1005&gt;='Итоги'!$F$5,N1005&lt;='Итоги'!$B$5,O1005&gt;='Итоги'!$D$5),"Да","Нет")</x:f>
        <x:v>Нет</x:v>
      </x:c>
    </x:row>
    <x:row r="1006" ht="60" customHeight="1">
      <x:c r="A1006" s="14" t="str">
        <x:v>Одежда</x:v>
      </x:c>
      <x:c r="B1006" s="14" t="str">
        <x:v>Основная одежда женская</x:v>
      </x:c>
      <x:c r="C1006" s="14" t="str">
        <x:v>Головные уборы, перчатки, шарфы женские</x:v>
      </x:c>
      <x:c r="D1006" s="14" t="str">
        <x:v>Женский платок-каре</x:v>
      </x:c>
      <x:c r="E1006" s="2" t="n">
        <x:v>10</x:v>
      </x:c>
      <x:c r="F1006" s="2" t="n">
        <x:v>0</x:v>
      </x:c>
      <x:c r="G1006" s="12" t="n">
        <x:v>964891.8484</x:v>
      </x:c>
      <x:c r="H1006" s="12" t="n">
        <x:v>7819.4256</x:v>
      </x:c>
      <x:c r="I1006" s="13" t="n">
        <x:v>0.01138</x:v>
      </x:c>
      <x:c r="J1006" s="2" t="n">
        <x:v>9</x:v>
      </x:c>
      <x:c r="K1006" s="2" t="n">
        <x:v>3</x:v>
      </x:c>
      <x:c r="L1006" s="12" t="n">
        <x:v>853.33995</x:v>
      </x:c>
      <x:c r="M1006" s="13" t="n">
        <x:v>0.9121886042041932</x:v>
      </x:c>
      <x:c r="N1006" s="13" t="n">
        <x:f>H1006/G1006</x:f>
        <x:v>0.008103939952406379</x:v>
      </x:c>
      <x:c r="O1006" s="13" t="n">
        <x:f>F1006/E1006</x:f>
        <x:v>0</x:v>
      </x:c>
      <x:c r="P1006" s="2" t="str">
        <x:f>IF(AND(E1006&gt;='Итоги'!$F$5,N1006&lt;='Итоги'!$B$5,O1006&gt;='Итоги'!$D$5),"Да","Нет")</x:f>
        <x:v>Нет</x:v>
      </x:c>
    </x:row>
    <x:row r="1007" ht="60" customHeight="1">
      <x:c r="A1007" s="14" t="str">
        <x:v>Спорт и отдых</x:v>
      </x:c>
      <x:c r="B1007" s="14" t="str">
        <x:v>Товары для охоты</x:v>
      </x:c>
      <x:c r="C1007" s="14" t="str">
        <x:v>Аксессуары для охотничьего оружия</x:v>
      </x:c>
      <x:c r="D1007" s="14" t="str">
        <x:v>Цевье</x:v>
      </x:c>
      <x:c r="E1007" s="2" t="n">
        <x:v>7</x:v>
      </x:c>
      <x:c r="F1007" s="2" t="n">
        <x:v>0</x:v>
      </x:c>
      <x:c r="G1007" s="12" t="n">
        <x:v>1328533</x:v>
      </x:c>
      <x:c r="H1007" s="12" t="n">
        <x:v>10936.4704</x:v>
      </x:c>
      <x:c r="I1007" s="13" t="n">
        <x:v>0.0089428571428571</x:v>
      </x:c>
      <x:c r="J1007" s="2" t="n">
        <x:v>6</x:v>
      </x:c>
      <x:c r="K1007" s="2" t="n">
        <x:v>4</x:v>
      </x:c>
      <x:c r="L1007" s="12" t="n">
        <x:v>7403.2857</x:v>
      </x:c>
      <x:c r="M1007" s="13" t="n">
        <x:v>0.4868640824127063</x:v>
      </x:c>
      <x:c r="N1007" s="13" t="n">
        <x:f>H1007/G1007</x:f>
        <x:v>0.008231990022076982</x:v>
      </x:c>
      <x:c r="O1007" s="13" t="n">
        <x:f>F1007/E1007</x:f>
        <x:v>0</x:v>
      </x:c>
      <x:c r="P1007" s="2" t="str">
        <x:f>IF(AND(E1007&gt;='Итоги'!$F$5,N1007&lt;='Итоги'!$B$5,O1007&gt;='Итоги'!$D$5),"Да","Нет")</x:f>
        <x:v>Нет</x:v>
      </x:c>
    </x:row>
    <x:row r="1008" ht="60" customHeight="1">
      <x:c r="A1008" s="14" t="str">
        <x:v>Строительство и ремонт (DIY)</x:v>
      </x:c>
      <x:c r="B1008" s="14" t="str">
        <x:v>Сантехника</x:v>
      </x:c>
      <x:c r="C1008" s="14" t="str">
        <x:v>Аксессуары для сантехники</x:v>
      </x:c>
      <x:c r="D1008" s="14" t="str">
        <x:v>Экран для ванны</x:v>
      </x:c>
      <x:c r="E1008" s="2" t="n">
        <x:v>47</x:v>
      </x:c>
      <x:c r="F1008" s="2" t="n">
        <x:v>0</x:v>
      </x:c>
      <x:c r="G1008" s="12" t="n">
        <x:v>7907260.1628</x:v>
      </x:c>
      <x:c r="H1008" s="12" t="n">
        <x:v>65322.5112</x:v>
      </x:c>
      <x:c r="I1008" s="13" t="n">
        <x:v>0.0137127659574468</x:v>
      </x:c>
      <x:c r="J1008" s="2" t="n">
        <x:v>43</x:v>
      </x:c>
      <x:c r="K1008" s="2" t="n">
        <x:v>4</x:v>
      </x:c>
      <x:c r="L1008" s="12" t="n">
        <x:v>5567.5556</x:v>
      </x:c>
      <x:c r="M1008" s="13" t="n">
        <x:v>0.6405304120418007</x:v>
      </x:c>
      <x:c r="N1008" s="13" t="n">
        <x:f>H1008/G1008</x:f>
        <x:v>0.008261080305326513</x:v>
      </x:c>
      <x:c r="O1008" s="13" t="n">
        <x:f>F1008/E1008</x:f>
        <x:v>0</x:v>
      </x:c>
      <x:c r="P1008" s="2" t="str">
        <x:f>IF(AND(E1008&gt;='Итоги'!$F$5,N1008&lt;='Итоги'!$B$5,O1008&gt;='Итоги'!$D$5),"Да","Нет")</x:f>
        <x:v>Нет</x:v>
      </x:c>
    </x:row>
    <x:row r="1009" ht="60" customHeight="1">
      <x:c r="A1009" s="14" t="str">
        <x:v>Аптека</x:v>
      </x:c>
      <x:c r="B1009" s="14" t="str">
        <x:v>Средства реабилитации</x:v>
      </x:c>
      <x:c r="C1009" s="14" t="str">
        <x:v>Средства реабилитации</x:v>
      </x:c>
      <x:c r="D1009" s="14" t="str">
        <x:v>Приспособление для надевания и захваты</x:v>
      </x:c>
      <x:c r="E1009" s="2" t="n">
        <x:v>4</x:v>
      </x:c>
      <x:c r="F1009" s="2" t="n">
        <x:v>0</x:v>
      </x:c>
      <x:c r="G1009" s="12" t="n">
        <x:v>845032.31</x:v>
      </x:c>
      <x:c r="H1009" s="12" t="n">
        <x:v>6988.353819</x:v>
      </x:c>
      <x:c r="I1009" s="13" t="n">
        <x:v>0.0064</x:v>
      </x:c>
      <x:c r="J1009" s="2" t="n">
        <x:v>2</x:v>
      </x:c>
      <x:c r="K1009" s="2" t="n">
        <x:v>2</x:v>
      </x:c>
      <x:c r="L1009" s="12" t="n">
        <x:v>1386.70515</x:v>
      </x:c>
      <x:c r="M1009" s="13" t="n">
        <x:v>0.6180216588404768</x:v>
      </x:c>
      <x:c r="N1009" s="13" t="n">
        <x:f>H1009/G1009</x:f>
        <x:v>0.00826992499138879</x:v>
      </x:c>
      <x:c r="O1009" s="13" t="n">
        <x:f>F1009/E1009</x:f>
        <x:v>0</x:v>
      </x:c>
      <x:c r="P1009" s="2" t="str">
        <x:f>IF(AND(E1009&gt;='Итоги'!$F$5,N1009&lt;='Итоги'!$B$5,O1009&gt;='Итоги'!$D$5),"Да","Нет")</x:f>
        <x:v>Нет</x:v>
      </x:c>
    </x:row>
    <x:row r="1010" ht="60" customHeight="1">
      <x:c r="A1010" s="14" t="str">
        <x:v>Автотовары</x:v>
      </x:c>
      <x:c r="B1010" s="14" t="str">
        <x:v>Универсальные авто и мото аксессуары</x:v>
      </x:c>
      <x:c r="C1010" s="14" t="str">
        <x:v>Аксессуары для шин и дисков</x:v>
      </x:c>
      <x:c r="D1010" s="14" t="str">
        <x:v>Колпаки на колеса</x:v>
      </x:c>
      <x:c r="E1010" s="2" t="n">
        <x:v>3</x:v>
      </x:c>
      <x:c r="F1010" s="2" t="n">
        <x:v>0</x:v>
      </x:c>
      <x:c r="G1010" s="12" t="n">
        <x:v>317505.7564</x:v>
      </x:c>
      <x:c r="H1010" s="12" t="n">
        <x:v>2632.2267</x:v>
      </x:c>
      <x:c r="I1010" s="13" t="n">
        <x:v>0.0073</x:v>
      </x:c>
      <x:c r="J1010" s="2" t="n">
        <x:v>2</x:v>
      </x:c>
      <x:c r="K1010" s="2" t="n">
        <x:v>3</x:v>
      </x:c>
      <x:c r="L1010" s="12" t="n">
        <x:v>1440.5265</x:v>
      </x:c>
      <x:c r="M1010" s="13" t="n">
        <x:v>0.4535768989919327</x:v>
      </x:c>
      <x:c r="N1010" s="13" t="n">
        <x:f>H1010/G1010</x:f>
        <x:v>0.008290327488374319</x:v>
      </x:c>
      <x:c r="O1010" s="13" t="n">
        <x:f>F1010/E1010</x:f>
        <x:v>0</x:v>
      </x:c>
      <x:c r="P1010" s="2" t="str">
        <x:f>IF(AND(E1010&gt;='Итоги'!$F$5,N1010&lt;='Итоги'!$B$5,O1010&gt;='Итоги'!$D$5),"Да","Нет")</x:f>
        <x:v>Нет</x:v>
      </x:c>
    </x:row>
    <x:row r="1011" ht="60" customHeight="1">
      <x:c r="A1011" s="14" t="str">
        <x:v>Товары для красоты и здоровья</x:v>
      </x:c>
      <x:c r="B1011" s="14" t="str">
        <x:v>Декоративная косметика</x:v>
      </x:c>
      <x:c r="C1011" s="14" t="str">
        <x:v>Губы</x:v>
      </x:c>
      <x:c r="D1011" s="14" t="str">
        <x:v>Помада для губ</x:v>
      </x:c>
      <x:c r="E1011" s="2" t="n">
        <x:v>12</x:v>
      </x:c>
      <x:c r="F1011" s="2" t="n">
        <x:v>0</x:v>
      </x:c>
      <x:c r="G1011" s="12" t="n">
        <x:v>2049012.2536</x:v>
      </x:c>
      <x:c r="H1011" s="12" t="n">
        <x:v>16991.274247</x:v>
      </x:c>
      <x:c r="I1011" s="13" t="n">
        <x:v>0.01375</x:v>
      </x:c>
      <x:c r="J1011" s="2" t="n">
        <x:v>9</x:v>
      </x:c>
      <x:c r="K1011" s="2" t="n">
        <x:v>4</x:v>
      </x:c>
      <x:c r="L1011" s="12" t="n">
        <x:v>1420.24405</x:v>
      </x:c>
      <x:c r="M1011" s="13" t="n">
        <x:v>0.5259750547643088</x:v>
      </x:c>
      <x:c r="N1011" s="13" t="n">
        <x:f>H1011/G1011</x:f>
        <x:v>0.008292421979003435</x:v>
      </x:c>
      <x:c r="O1011" s="13" t="n">
        <x:f>F1011/E1011</x:f>
        <x:v>0</x:v>
      </x:c>
      <x:c r="P1011" s="2" t="str">
        <x:f>IF(AND(E1011&gt;='Итоги'!$F$5,N1011&lt;='Итоги'!$B$5,O1011&gt;='Итоги'!$D$5),"Да","Нет")</x:f>
        <x:v>Нет</x:v>
      </x:c>
    </x:row>
    <x:row r="1012" ht="60" customHeight="1">
      <x:c r="A1012" s="14" t="str">
        <x:v>Товары для красоты и здоровья</x:v>
      </x:c>
      <x:c r="B1012" s="14" t="str">
        <x:v>Косметика для ухода за кожей</x:v>
      </x:c>
      <x:c r="C1012" s="14" t="str">
        <x:v>Средства для бритья и депиляции женские</x:v>
      </x:c>
      <x:c r="D1012" s="14" t="str">
        <x:v>Средство для бритья женское</x:v>
      </x:c>
      <x:c r="E1012" s="2" t="n">
        <x:v>1</x:v>
      </x:c>
      <x:c r="F1012" s="2" t="n">
        <x:v>0</x:v>
      </x:c>
      <x:c r="G1012" s="12" t="n">
        <x:v>81890</x:v>
      </x:c>
      <x:c r="H1012" s="12" t="n">
        <x:v>679.687</x:v>
      </x:c>
      <x:c r="I1012" s="13" t="n">
        <x:v>0.0083</x:v>
      </x:c>
      <x:c r="J1012" s="2" t="n">
        <x:v>0</x:v>
      </x:c>
      <x:c r="K1012" s="2" t="n">
        <x:v>1</x:v>
      </x:c>
      <x:c r="L1012" s="12" t="n">
        <x:v>1904.4186</x:v>
      </x:c>
      <x:c r="M1012" s="13" t="n">
        <x:v>1</x:v>
      </x:c>
      <x:c r="N1012" s="13" t="n">
        <x:f>H1012/G1012</x:f>
        <x:v>0.0083</x:v>
      </x:c>
      <x:c r="O1012" s="13" t="n">
        <x:f>F1012/E1012</x:f>
        <x:v>0</x:v>
      </x:c>
      <x:c r="P1012" s="2" t="str">
        <x:f>IF(AND(E1012&gt;='Итоги'!$F$5,N1012&lt;='Итоги'!$B$5,O1012&gt;='Итоги'!$D$5),"Да","Нет")</x:f>
        <x:v>Нет</x:v>
      </x:c>
    </x:row>
    <x:row r="1013" ht="60" customHeight="1">
      <x:c r="A1013" s="14" t="str">
        <x:v>Аудио и видеотехника</x:v>
      </x:c>
      <x:c r="B1013" s="14" t="str">
        <x:v>Домашняя Аудио и Видеотехника TV&amp;Audio</x:v>
      </x:c>
      <x:c r="C1013" s="14" t="str">
        <x:v>Акустическая система TV&amp;Audio</x:v>
      </x:c>
      <x:c r="D1013" s="14" t="str">
        <x:v>Сабвуфер</x:v>
      </x:c>
      <x:c r="E1013" s="2" t="n">
        <x:v>4</x:v>
      </x:c>
      <x:c r="F1013" s="2" t="n">
        <x:v>0</x:v>
      </x:c>
      <x:c r="G1013" s="12" t="n">
        <x:v>632958.13</x:v>
      </x:c>
      <x:c r="H1013" s="12" t="n">
        <x:v>5347.013531999999</x:v>
      </x:c>
      <x:c r="I1013" s="13" t="n">
        <x:v>0.028525</x:v>
      </x:c>
      <x:c r="J1013" s="2" t="n">
        <x:v>3</x:v>
      </x:c>
      <x:c r="K1013" s="2" t="n">
        <x:v>2</x:v>
      </x:c>
      <x:c r="L1013" s="12" t="n">
        <x:v>15825.4524</x:v>
      </x:c>
      <x:c r="M1013" s="13" t="n">
        <x:v>0.9259626857150882</x:v>
      </x:c>
      <x:c r="N1013" s="13" t="n">
        <x:f>H1013/G1013</x:f>
        <x:v>0.008447657559908424</x:v>
      </x:c>
      <x:c r="O1013" s="13" t="n">
        <x:f>F1013/E1013</x:f>
        <x:v>0</x:v>
      </x:c>
      <x:c r="P1013" s="2" t="str">
        <x:f>IF(AND(E1013&gt;='Итоги'!$F$5,N1013&lt;='Итоги'!$B$5,O1013&gt;='Итоги'!$D$5),"Да","Нет")</x:f>
        <x:v>Нет</x:v>
      </x:c>
    </x:row>
    <x:row r="1014" ht="60" customHeight="1">
      <x:c r="A1014" s="14" t="str">
        <x:v>Строительство и ремонт (DIY)</x:v>
      </x:c>
      <x:c r="B1014" s="14" t="str">
        <x:v>Ремонт и строительство</x:v>
      </x:c>
      <x:c r="C1014" s="14" t="str">
        <x:v>Строительная химия</x:v>
      </x:c>
      <x:c r="D1014" s="14" t="str">
        <x:v>Штукатурка</x:v>
      </x:c>
      <x:c r="E1014" s="2" t="n">
        <x:v>12</x:v>
      </x:c>
      <x:c r="F1014" s="2" t="n">
        <x:v>0</x:v>
      </x:c>
      <x:c r="G1014" s="12" t="n">
        <x:v>1847783.3433</x:v>
      </x:c>
      <x:c r="H1014" s="12" t="n">
        <x:v>15682.44754</x:v>
      </x:c>
      <x:c r="I1014" s="13" t="n">
        <x:v>0.0131083333333333</x:v>
      </x:c>
      <x:c r="J1014" s="2" t="n">
        <x:v>4</x:v>
      </x:c>
      <x:c r="K1014" s="2" t="n">
        <x:v>3</x:v>
      </x:c>
      <x:c r="L1014" s="12" t="n">
        <x:v>1903.50015</x:v>
      </x:c>
      <x:c r="M1014" s="13" t="n">
        <x:v>0.5259501828630864</x:v>
      </x:c>
      <x:c r="N1014" s="13" t="n">
        <x:f>H1014/G1014</x:f>
        <x:v>0.00848716793387278</x:v>
      </x:c>
      <x:c r="O1014" s="13" t="n">
        <x:f>F1014/E1014</x:f>
        <x:v>0</x:v>
      </x:c>
      <x:c r="P1014" s="2" t="str">
        <x:f>IF(AND(E1014&gt;='Итоги'!$F$5,N1014&lt;='Итоги'!$B$5,O1014&gt;='Итоги'!$D$5),"Да","Нет")</x:f>
        <x:v>Нет</x:v>
      </x:c>
    </x:row>
    <x:row r="1015" ht="60" customHeight="1">
      <x:c r="A1015" s="14" t="str">
        <x:v>Ноутбуки и компьютеры</x:v>
      </x:c>
      <x:c r="B1015" s="14" t="str">
        <x:v>Компьютерные комплектующие Lap&amp;Comp</x:v>
      </x:c>
      <x:c r="C1015" s="14" t="str">
        <x:v>Компьютерные комплектующие Lap&amp;Comp</x:v>
      </x:c>
      <x:c r="D1015" s="14" t="str">
        <x:v>Компьютерный корпус</x:v>
      </x:c>
      <x:c r="E1015" s="2" t="n">
        <x:v>215</x:v>
      </x:c>
      <x:c r="F1015" s="2" t="n">
        <x:v>0</x:v>
      </x:c>
      <x:c r="G1015" s="12" t="n">
        <x:v>46299905.3748</x:v>
      </x:c>
      <x:c r="H1015" s="12" t="n">
        <x:v>395797.68634819</x:v>
      </x:c>
      <x:c r="I1015" s="13" t="n">
        <x:v>0.0108167441860465</x:v>
      </x:c>
      <x:c r="J1015" s="2" t="n">
        <x:v>108</x:v>
      </x:c>
      <x:c r="K1015" s="2" t="n">
        <x:v>11</x:v>
      </x:c>
      <x:c r="L1015" s="12" t="n">
        <x:v>4249</x:v>
      </x:c>
      <x:c r="M1015" s="13" t="n">
        <x:v>0.5608353861222588</x:v>
      </x:c>
      <x:c r="N1015" s="13" t="n">
        <x:f>H1015/G1015</x:f>
        <x:v>0.008548563612478004</x:v>
      </x:c>
      <x:c r="O1015" s="13" t="n">
        <x:f>F1015/E1015</x:f>
        <x:v>0</x:v>
      </x:c>
      <x:c r="P1015" s="2" t="str">
        <x:f>IF(AND(E1015&gt;='Итоги'!$F$5,N1015&lt;='Итоги'!$B$5,O1015&gt;='Итоги'!$D$5),"Да","Нет")</x:f>
        <x:v>Нет</x:v>
      </x:c>
    </x:row>
    <x:row r="1016" ht="60" customHeight="1">
      <x:c r="A1016" s="14" t="str">
        <x:v>Мебель</x:v>
      </x:c>
      <x:c r="B1016" s="14" t="str">
        <x:v>Мягкая мебель</x:v>
      </x:c>
      <x:c r="C1016" s="14" t="str">
        <x:v>Диван</x:v>
      </x:c>
      <x:c r="D1016" s="14" t="str">
        <x:v>Кушетки</x:v>
      </x:c>
      <x:c r="E1016" s="2" t="n">
        <x:v>11</x:v>
      </x:c>
      <x:c r="F1016" s="2" t="n">
        <x:v>0</x:v>
      </x:c>
      <x:c r="G1016" s="12" t="n">
        <x:v>2877372</x:v>
      </x:c>
      <x:c r="H1016" s="12" t="n">
        <x:v>24631.1739</x:v>
      </x:c>
      <x:c r="I1016" s="13" t="n">
        <x:v>0.008890909090909</x:v>
      </x:c>
      <x:c r="J1016" s="2" t="n">
        <x:v>8</x:v>
      </x:c>
      <x:c r="K1016" s="2" t="n">
        <x:v>3</x:v>
      </x:c>
      <x:c r="L1016" s="12" t="n">
        <x:v>11410.2778</x:v>
      </x:c>
      <x:c r="M1016" s="13" t="n">
        <x:v>0.6720371922712809</x:v>
      </x:c>
      <x:c r="N1016" s="13" t="n">
        <x:f>H1016/G1016</x:f>
        <x:v>0.008560302213269609</x:v>
      </x:c>
      <x:c r="O1016" s="13" t="n">
        <x:f>F1016/E1016</x:f>
        <x:v>0</x:v>
      </x:c>
      <x:c r="P1016" s="2" t="str">
        <x:f>IF(AND(E1016&gt;='Итоги'!$F$5,N1016&lt;='Итоги'!$B$5,O1016&gt;='Итоги'!$D$5),"Да","Нет")</x:f>
        <x:v>Нет</x:v>
      </x:c>
    </x:row>
    <x:row r="1017" ht="60" customHeight="1">
      <x:c r="A1017" s="14" t="str">
        <x:v>Товары для животных</x:v>
      </x:c>
      <x:c r="B1017" s="14" t="str">
        <x:v>Фермерское хозяйство - Оборудование для птицеводства и животноводства</x:v>
      </x:c>
      <x:c r="C1017" s="14" t="str">
        <x:v>Оборудование для хранения и переработки молока</x:v>
      </x:c>
      <x:c r="D1017" s="14" t="str">
        <x:v>Маслобойка</x:v>
      </x:c>
      <x:c r="E1017" s="2" t="n">
        <x:v>3</x:v>
      </x:c>
      <x:c r="F1017" s="2" t="n">
        <x:v>0</x:v>
      </x:c>
      <x:c r="G1017" s="12" t="n">
        <x:v>524016.4</x:v>
      </x:c>
      <x:c r="H1017" s="12" t="n">
        <x:v>4496.54248</x:v>
      </x:c>
      <x:c r="I1017" s="13" t="n">
        <x:v>0.0096333333333333</x:v>
      </x:c>
      <x:c r="J1017" s="2" t="n">
        <x:v>0</x:v>
      </x:c>
      <x:c r="K1017" s="2" t="n">
        <x:v>1</x:v>
      </x:c>
      <x:c r="L1017" s="12" t="n">
        <x:v>14721.7778</x:v>
      </x:c>
      <x:c r="M1017" s="13" t="n">
        <x:v>1</x:v>
      </x:c>
      <x:c r="N1017" s="13" t="n">
        <x:f>H1017/G1017</x:f>
        <x:v>0.008580919375805796</x:v>
      </x:c>
      <x:c r="O1017" s="13" t="n">
        <x:f>F1017/E1017</x:f>
        <x:v>0</x:v>
      </x:c>
      <x:c r="P1017" s="2" t="str">
        <x:f>IF(AND(E1017&gt;='Итоги'!$F$5,N1017&lt;='Итоги'!$B$5,O1017&gt;='Итоги'!$D$5),"Да","Нет")</x:f>
        <x:v>Нет</x:v>
      </x:c>
    </x:row>
    <x:row r="1018" ht="60" customHeight="1">
      <x:c r="A1018" s="14" t="str">
        <x:v>Бакалея и кондитерские изделия</x:v>
      </x:c>
      <x:c r="B1018" s="14" t="str">
        <x:v>Бакалея</x:v>
      </x:c>
      <x:c r="C1018" s="14" t="str">
        <x:v>Диетическое питание</x:v>
      </x:c>
      <x:c r="D1018" s="14" t="str">
        <x:v>Соевые продукты</x:v>
      </x:c>
      <x:c r="E1018" s="2" t="n">
        <x:v>1</x:v>
      </x:c>
      <x:c r="F1018" s="2" t="n">
        <x:v>0</x:v>
      </x:c>
      <x:c r="G1018" s="12" t="n">
        <x:v>86451.5704</x:v>
      </x:c>
      <x:c r="H1018" s="12" t="n">
        <x:v>743.4835054399999</x:v>
      </x:c>
      <x:c r="I1018" s="13" t="n">
        <x:v>0.0086</x:v>
      </x:c>
      <x:c r="J1018" s="2" t="n">
        <x:v>0</x:v>
      </x:c>
      <x:c r="K1018" s="2" t="n">
        <x:v>1</x:v>
      </x:c>
      <x:c r="L1018" s="12" t="n">
        <x:v>1122.7477</x:v>
      </x:c>
      <x:c r="M1018" s="13" t="n">
        <x:v>1</x:v>
      </x:c>
      <x:c r="N1018" s="13" t="n">
        <x:f>H1018/G1018</x:f>
        <x:v>0.0086</x:v>
      </x:c>
      <x:c r="O1018" s="13" t="n">
        <x:f>F1018/E1018</x:f>
        <x:v>0</x:v>
      </x:c>
      <x:c r="P1018" s="2" t="str">
        <x:f>IF(AND(E1018&gt;='Итоги'!$F$5,N1018&lt;='Итоги'!$B$5,O1018&gt;='Итоги'!$D$5),"Да","Нет")</x:f>
        <x:v>Нет</x:v>
      </x:c>
    </x:row>
    <x:row r="1019" ht="60" customHeight="1">
      <x:c r="A1019" s="14" t="str">
        <x:v>Спорт и отдых</x:v>
      </x:c>
      <x:c r="B1019" s="14" t="str">
        <x:v>Водные виды спорта</x:v>
      </x:c>
      <x:c r="C1019" s="14" t="str">
        <x:v>Отдых на воде</x:v>
      </x:c>
      <x:c r="D1019" s="14" t="str">
        <x:v>Плащ, пончо для водных видов спорта</x:v>
      </x:c>
      <x:c r="E1019" s="2" t="n">
        <x:v>4</x:v>
      </x:c>
      <x:c r="F1019" s="2" t="n">
        <x:v>0</x:v>
      </x:c>
      <x:c r="G1019" s="12" t="n">
        <x:v>207811.42</x:v>
      </x:c>
      <x:c r="H1019" s="12" t="n">
        <x:v>1787.8034</x:v>
      </x:c>
      <x:c r="I1019" s="13" t="n">
        <x:v>0.00415</x:v>
      </x:c>
      <x:c r="J1019" s="2" t="n">
        <x:v>3</x:v>
      </x:c>
      <x:c r="K1019" s="2" t="n">
        <x:v>2</x:v>
      </x:c>
      <x:c r="L1019" s="12" t="n">
        <x:v>4128.3793000000005</x:v>
      </x:c>
      <x:c r="M1019" s="13" t="n">
        <x:v>0.5625148030844503</x:v>
      </x:c>
      <x:c r="N1019" s="13" t="n">
        <x:f>H1019/G1019</x:f>
        <x:v>0.00860300843909348</x:v>
      </x:c>
      <x:c r="O1019" s="13" t="n">
        <x:f>F1019/E1019</x:f>
        <x:v>0</x:v>
      </x:c>
      <x:c r="P1019" s="2" t="str">
        <x:f>IF(AND(E1019&gt;='Итоги'!$F$5,N1019&lt;='Итоги'!$B$5,O1019&gt;='Итоги'!$D$5),"Да","Нет")</x:f>
        <x:v>Нет</x:v>
      </x:c>
    </x:row>
    <x:row r="1020" ht="60" customHeight="1">
      <x:c r="A1020" s="14" t="str">
        <x:v>Школьные принадлежности и канцелярия</x:v>
      </x:c>
      <x:c r="B1020" s="14" t="str">
        <x:v>Товары для школы, канцелярия, оборудование</x:v>
      </x:c>
      <x:c r="C1020" s="14" t="str">
        <x:v>Бумага офисная и бумажная продукция</x:v>
      </x:c>
      <x:c r="D1020" s="14" t="str">
        <x:v>Генеалогическое древо, родословная книга</x:v>
      </x:c>
      <x:c r="E1020" s="2" t="n">
        <x:v>2</x:v>
      </x:c>
      <x:c r="F1020" s="2" t="n">
        <x:v>0</x:v>
      </x:c>
      <x:c r="G1020" s="12" t="n">
        <x:v>202455.6232</x:v>
      </x:c>
      <x:c r="H1020" s="12" t="n">
        <x:v>1744.82890736</x:v>
      </x:c>
      <x:c r="I1020" s="13" t="n">
        <x:v>0.00875</x:v>
      </x:c>
      <x:c r="J1020" s="2" t="n">
        <x:v>0</x:v>
      </x:c>
      <x:c r="K1020" s="2" t="n">
        <x:v>1</x:v>
      </x:c>
      <x:c r="L1020" s="12" t="n">
        <x:v>9490.9151</x:v>
      </x:c>
      <x:c r="M1020" s="13" t="n">
        <x:v>1</x:v>
      </x:c>
      <x:c r="N1020" s="13" t="n">
        <x:f>H1020/G1020</x:f>
        <x:v>0.00861832770945727</x:v>
      </x:c>
      <x:c r="O1020" s="13" t="n">
        <x:f>F1020/E1020</x:f>
        <x:v>0</x:v>
      </x:c>
      <x:c r="P1020" s="2" t="str">
        <x:f>IF(AND(E1020&gt;='Итоги'!$F$5,N1020&lt;='Итоги'!$B$5,O1020&gt;='Итоги'!$D$5),"Да","Нет")</x:f>
        <x:v>Нет</x:v>
      </x:c>
    </x:row>
    <x:row r="1021" ht="60" customHeight="1">
      <x:c r="A1021" s="14" t="str">
        <x:v>Обувь</x:v>
      </x:c>
      <x:c r="B1021" s="14" t="str">
        <x:v>Обувь женская</x:v>
      </x:c>
      <x:c r="C1021" s="14" t="str">
        <x:v>Обувь женская повседневная</x:v>
      </x:c>
      <x:c r="D1021" s="14" t="str">
        <x:v>Женские Эспадрильи</x:v>
      </x:c>
      <x:c r="E1021" s="2" t="n">
        <x:v>51</x:v>
      </x:c>
      <x:c r="F1021" s="2" t="n">
        <x:v>0</x:v>
      </x:c>
      <x:c r="G1021" s="12" t="n">
        <x:v>2960032.5734</x:v>
      </x:c>
      <x:c r="H1021" s="12" t="n">
        <x:v>25523.8186542</x:v>
      </x:c>
      <x:c r="I1021" s="13" t="n">
        <x:v>0.0130117647058823</x:v>
      </x:c>
      <x:c r="J1021" s="2" t="n">
        <x:v>40</x:v>
      </x:c>
      <x:c r="K1021" s="2" t="n">
        <x:v>5</x:v>
      </x:c>
      <x:c r="L1021" s="12" t="n">
        <x:v>1223.375</x:v>
      </x:c>
      <x:c r="M1021" s="13" t="n">
        <x:v>0.71051455301529</x:v>
      </x:c>
      <x:c r="N1021" s="13" t="n">
        <x:f>H1021/G1021</x:f>
        <x:v>0.008622816817479282</x:v>
      </x:c>
      <x:c r="O1021" s="13" t="n">
        <x:f>F1021/E1021</x:f>
        <x:v>0</x:v>
      </x:c>
      <x:c r="P1021" s="2" t="str">
        <x:f>IF(AND(E1021&gt;='Итоги'!$F$5,N1021&lt;='Итоги'!$B$5,O1021&gt;='Итоги'!$D$5),"Да","Нет")</x:f>
        <x:v>Нет</x:v>
      </x:c>
    </x:row>
    <x:row r="1022" ht="60" customHeight="1">
      <x:c r="A1022" s="14" t="str">
        <x:v>Обувь</x:v>
      </x:c>
      <x:c r="B1022" s="14" t="str">
        <x:v>Обувь мужская</x:v>
      </x:c>
      <x:c r="C1022" s="14" t="str">
        <x:v>Спортивная обувь мужская</x:v>
      </x:c>
      <x:c r="D1022" s="14" t="str">
        <x:v>Спортивные кроссовки мужские</x:v>
      </x:c>
      <x:c r="E1022" s="2" t="n">
        <x:v>3469</x:v>
      </x:c>
      <x:c r="F1022" s="2" t="n">
        <x:v>0</x:v>
      </x:c>
      <x:c r="G1022" s="12" t="n">
        <x:v>298471868.5308</x:v>
      </x:c>
      <x:c r="H1022" s="12" t="n">
        <x:v>2586358.38082107</x:v>
      </x:c>
      <x:c r="I1022" s="13" t="n">
        <x:v>0.007198212741424</x:v>
      </x:c>
      <x:c r="J1022" s="2" t="n">
        <x:v>2854</x:v>
      </x:c>
      <x:c r="K1022" s="2" t="n">
        <x:v>48</x:v>
      </x:c>
      <x:c r="L1022" s="12" t="n">
        <x:v>5263.7273</x:v>
      </x:c>
      <x:c r="M1022" s="13" t="n">
        <x:v>0.6980926768245791</x:v>
      </x:c>
      <x:c r="N1022" s="13" t="n">
        <x:f>H1022/G1022</x:f>
        <x:v>0.00866533383381214</x:v>
      </x:c>
      <x:c r="O1022" s="13" t="n">
        <x:f>F1022/E1022</x:f>
        <x:v>0</x:v>
      </x:c>
      <x:c r="P1022" s="2" t="str">
        <x:f>IF(AND(E1022&gt;='Итоги'!$F$5,N1022&lt;='Итоги'!$B$5,O1022&gt;='Итоги'!$D$5),"Да","Нет")</x:f>
        <x:v>Нет</x:v>
      </x:c>
    </x:row>
    <x:row r="1023" ht="60" customHeight="1">
      <x:c r="A1023" s="14" t="str">
        <x:v>Обувь</x:v>
      </x:c>
      <x:c r="B1023" s="14" t="str">
        <x:v>Обувь женская</x:v>
      </x:c>
      <x:c r="C1023" s="14" t="str">
        <x:v>Спортивная обувь женская</x:v>
      </x:c>
      <x:c r="D1023" s="14" t="str">
        <x:v>Спортивные кеды, слипоны женские</x:v>
      </x:c>
      <x:c r="E1023" s="2" t="n">
        <x:v>813</x:v>
      </x:c>
      <x:c r="F1023" s="2" t="n">
        <x:v>0</x:v>
      </x:c>
      <x:c r="G1023" s="12" t="n">
        <x:v>88625098.24</x:v>
      </x:c>
      <x:c r="H1023" s="12" t="n">
        <x:v>769759.01414217</x:v>
      </x:c>
      <x:c r="I1023" s="13" t="n">
        <x:v>0.0070038130381303</x:v>
      </x:c>
      <x:c r="J1023" s="2" t="n">
        <x:v>706</x:v>
      </x:c>
      <x:c r="K1023" s="2" t="n">
        <x:v>34</x:v>
      </x:c>
      <x:c r="L1023" s="12" t="n">
        <x:v>4195.1389</x:v>
      </x:c>
      <x:c r="M1023" s="13" t="n">
        <x:v>0.7228267999604533</x:v>
      </x:c>
      <x:c r="N1023" s="13" t="n">
        <x:f>H1023/G1023</x:f>
        <x:v>0.008685564579659303</x:v>
      </x:c>
      <x:c r="O1023" s="13" t="n">
        <x:f>F1023/E1023</x:f>
        <x:v>0</x:v>
      </x:c>
      <x:c r="P1023" s="2" t="str">
        <x:f>IF(AND(E1023&gt;='Итоги'!$F$5,N1023&lt;='Итоги'!$B$5,O1023&gt;='Итоги'!$D$5),"Да","Нет")</x:f>
        <x:v>Нет</x:v>
      </x:c>
    </x:row>
    <x:row r="1024" ht="60" customHeight="1">
      <x:c r="A1024" s="14" t="str">
        <x:v>Аксессуары для электроники</x:v>
      </x:c>
      <x:c r="B1024" s="14" t="str">
        <x:v>Оборудование Access</x:v>
      </x:c>
      <x:c r="C1024" s="14" t="str">
        <x:v>Оборудование для предприятий Access</x:v>
      </x:c>
      <x:c r="D1024" s="14" t="str">
        <x:v>Терминал сбора данных</x:v>
      </x:c>
      <x:c r="E1024" s="2" t="n">
        <x:v>1</x:v>
      </x:c>
      <x:c r="F1024" s="2" t="n">
        <x:v>0</x:v>
      </x:c>
      <x:c r="G1024" s="12" t="n">
        <x:v>217238</x:v>
      </x:c>
      <x:c r="H1024" s="12" t="n">
        <x:v>1889.9706</x:v>
      </x:c>
      <x:c r="I1024" s="13" t="n">
        <x:v>0.0087</x:v>
      </x:c>
      <x:c r="J1024" s="2" t="n">
        <x:v>0</x:v>
      </x:c>
      <x:c r="K1024" s="2" t="n">
        <x:v>1</x:v>
      </x:c>
      <x:c r="L1024" s="12" t="n">
        <x:v>27154.75</x:v>
      </x:c>
      <x:c r="M1024" s="13" t="n">
        <x:v>1</x:v>
      </x:c>
      <x:c r="N1024" s="13" t="n">
        <x:f>H1024/G1024</x:f>
        <x:v>0.008700000000000001</x:v>
      </x:c>
      <x:c r="O1024" s="13" t="n">
        <x:f>F1024/E1024</x:f>
        <x:v>0</x:v>
      </x:c>
      <x:c r="P1024" s="2" t="str">
        <x:f>IF(AND(E1024&gt;='Итоги'!$F$5,N1024&lt;='Итоги'!$B$5,O1024&gt;='Итоги'!$D$5),"Да","Нет")</x:f>
        <x:v>Нет</x:v>
      </x:c>
    </x:row>
    <x:row r="1025" ht="60" customHeight="1">
      <x:c r="A1025" s="14" t="str">
        <x:v>Бытовая химия и гигиена рта</x:v>
      </x:c>
      <x:c r="B1025" s="14" t="str">
        <x:v>Средства для стирки</x:v>
      </x:c>
      <x:c r="C1025" s="14" t="str">
        <x:v>Пятновыводитель</x:v>
      </x:c>
      <x:c r="D1025" s="14" t="str">
        <x:v>Пятновыводитель белого белья</x:v>
      </x:c>
      <x:c r="E1025" s="2" t="n">
        <x:v>1</x:v>
      </x:c>
      <x:c r="F1025" s="2" t="n">
        <x:v>0</x:v>
      </x:c>
      <x:c r="G1025" s="12" t="n">
        <x:v>232827.2532</x:v>
      </x:c>
      <x:c r="H1025" s="12" t="n">
        <x:v>2025.59710284</x:v>
      </x:c>
      <x:c r="I1025" s="13" t="n">
        <x:v>0.0087</x:v>
      </x:c>
      <x:c r="J1025" s="2" t="n">
        <x:v>0</x:v>
      </x:c>
      <x:c r="K1025" s="2" t="n">
        <x:v>1</x:v>
      </x:c>
      <x:c r="L1025" s="12" t="n">
        <x:v>1098.2418</x:v>
      </x:c>
      <x:c r="M1025" s="13" t="n">
        <x:v>1</x:v>
      </x:c>
      <x:c r="N1025" s="13" t="n">
        <x:f>H1025/G1025</x:f>
        <x:v>0.0087</x:v>
      </x:c>
      <x:c r="O1025" s="13" t="n">
        <x:f>F1025/E1025</x:f>
        <x:v>0</x:v>
      </x:c>
      <x:c r="P1025" s="2" t="str">
        <x:f>IF(AND(E1025&gt;='Итоги'!$F$5,N1025&lt;='Итоги'!$B$5,O1025&gt;='Итоги'!$D$5),"Да","Нет")</x:f>
        <x:v>Нет</x:v>
      </x:c>
    </x:row>
    <x:row r="1026" ht="60" customHeight="1">
      <x:c r="A1026" s="14" t="str">
        <x:v>Личная гигиена и детская продукция</x:v>
      </x:c>
      <x:c r="B1026" s="14" t="str">
        <x:v>Детская продукция</x:v>
      </x:c>
      <x:c r="C1026" s="14" t="str">
        <x:v>Подгузники детские</x:v>
      </x:c>
      <x:c r="D1026" s="14" t="str">
        <x:v>Накопитель для подгузников</x:v>
      </x:c>
      <x:c r="E1026" s="2" t="n">
        <x:v>6</x:v>
      </x:c>
      <x:c r="F1026" s="2" t="n">
        <x:v>0</x:v>
      </x:c>
      <x:c r="G1026" s="12" t="n">
        <x:v>1422654.4455</x:v>
      </x:c>
      <x:c r="H1026" s="12" t="n">
        <x:v>12381.1617926</x:v>
      </x:c>
      <x:c r="I1026" s="13" t="n">
        <x:v>0.0038666666666666</x:v>
      </x:c>
      <x:c r="J1026" s="2" t="n">
        <x:v>4</x:v>
      </x:c>
      <x:c r="K1026" s="2" t="n">
        <x:v>3</x:v>
      </x:c>
      <x:c r="L1026" s="12" t="n">
        <x:v>4062.5804</x:v>
      </x:c>
      <x:c r="M1026" s="13" t="n">
        <x:v>0.7939450434170806</x:v>
      </x:c>
      <x:c r="N1026" s="13" t="n">
        <x:f>H1026/G1026</x:f>
        <x:v>0.008702859525560032</x:v>
      </x:c>
      <x:c r="O1026" s="13" t="n">
        <x:f>F1026/E1026</x:f>
        <x:v>0</x:v>
      </x:c>
      <x:c r="P1026" s="2" t="str">
        <x:f>IF(AND(E1026&gt;='Итоги'!$F$5,N1026&lt;='Итоги'!$B$5,O1026&gt;='Итоги'!$D$5),"Да","Нет")</x:f>
        <x:v>Нет</x:v>
      </x:c>
    </x:row>
    <x:row r="1027" ht="60" customHeight="1">
      <x:c r="A1027" s="14" t="str">
        <x:v>Одежда</x:v>
      </x:c>
      <x:c r="B1027" s="14" t="str">
        <x:v>Верхняя одежда</x:v>
      </x:c>
      <x:c r="C1027" s="14" t="str">
        <x:v>Верхняя одежда женская</x:v>
      </x:c>
      <x:c r="D1027" s="14" t="str">
        <x:v>Комплект верхней одежды женский</x:v>
      </x:c>
      <x:c r="E1027" s="2" t="n">
        <x:v>12</x:v>
      </x:c>
      <x:c r="F1027" s="2" t="n">
        <x:v>0</x:v>
      </x:c>
      <x:c r="G1027" s="12" t="n">
        <x:v>156778.16999999998</x:v>
      </x:c>
      <x:c r="H1027" s="12" t="n">
        <x:v>1374.7773</x:v>
      </x:c>
      <x:c r="I1027" s="13" t="n">
        <x:v>0.0041166666666666</x:v>
      </x:c>
      <x:c r="J1027" s="2" t="n">
        <x:v>11</x:v>
      </x:c>
      <x:c r="K1027" s="2" t="n">
        <x:v>5</x:v>
      </x:c>
      <x:c r="L1027" s="12" t="n">
        <x:v>5553.5</x:v>
      </x:c>
      <x:c r="M1027" s="13" t="n">
        <x:v>0.3542489365706973</x:v>
      </x:c>
      <x:c r="N1027" s="13" t="n">
        <x:f>H1027/G1027</x:f>
        <x:v>0.008768933200330124</x:v>
      </x:c>
      <x:c r="O1027" s="13" t="n">
        <x:f>F1027/E1027</x:f>
        <x:v>0</x:v>
      </x:c>
      <x:c r="P1027" s="2" t="str">
        <x:f>IF(AND(E1027&gt;='Итоги'!$F$5,N1027&lt;='Итоги'!$B$5,O1027&gt;='Итоги'!$D$5),"Да","Нет")</x:f>
        <x:v>Нет</x:v>
      </x:c>
    </x:row>
    <x:row r="1028" ht="60" customHeight="1">
      <x:c r="A1028" s="14" t="str">
        <x:v>Автотовары</x:v>
      </x:c>
      <x:c r="B1028" s="14" t="str">
        <x:v>Авто и мото запчасти</x:v>
      </x:c>
      <x:c r="C1028" s="14" t="str">
        <x:v>Запчасти для спецтехники</x:v>
      </x:c>
      <x:c r="D1028" s="14" t="str">
        <x:v>Система ДВС и КП спецтехники</x:v>
      </x:c>
      <x:c r="E1028" s="2" t="n">
        <x:v>13</x:v>
      </x:c>
      <x:c r="F1028" s="2" t="n">
        <x:v>0</x:v>
      </x:c>
      <x:c r="G1028" s="12" t="n">
        <x:v>2763152.7405</x:v>
      </x:c>
      <x:c r="H1028" s="12" t="n">
        <x:v>24235.23992919</x:v>
      </x:c>
      <x:c r="I1028" s="13" t="n">
        <x:v>0.0154307692307692</x:v>
      </x:c>
      <x:c r="J1028" s="2" t="n">
        <x:v>2</x:v>
      </x:c>
      <x:c r="K1028" s="2" t="n">
        <x:v>4</x:v>
      </x:c>
      <x:c r="L1028" s="12" t="n">
        <x:v>4792.2961</x:v>
      </x:c>
      <x:c r="M1028" s="13" t="n">
        <x:v>0.9712028860244616</x:v>
      </x:c>
      <x:c r="N1028" s="13" t="n">
        <x:f>H1028/G1028</x:f>
        <x:v>0.008770865096948846</x:v>
      </x:c>
      <x:c r="O1028" s="13" t="n">
        <x:f>F1028/E1028</x:f>
        <x:v>0</x:v>
      </x:c>
      <x:c r="P1028" s="2" t="str">
        <x:f>IF(AND(E1028&gt;='Итоги'!$F$5,N1028&lt;='Итоги'!$B$5,O1028&gt;='Итоги'!$D$5),"Да","Нет")</x:f>
        <x:v>Нет</x:v>
      </x:c>
    </x:row>
    <x:row r="1029" ht="60" customHeight="1">
      <x:c r="A1029" s="14" t="str">
        <x:v>Аптека</x:v>
      </x:c>
      <x:c r="B1029" s="14" t="str">
        <x:v>Медицинские изделия</x:v>
      </x:c>
      <x:c r="C1029" s="14" t="str">
        <x:v>Товары для больных диабетом</x:v>
      </x:c>
      <x:c r="D1029" s="14" t="str">
        <x:v>Инсулиновая помпа</x:v>
      </x:c>
      <x:c r="E1029" s="2" t="n">
        <x:v>1</x:v>
      </x:c>
      <x:c r="F1029" s="2" t="n">
        <x:v>0</x:v>
      </x:c>
      <x:c r="G1029" s="12" t="n">
        <x:v>161459</x:v>
      </x:c>
      <x:c r="H1029" s="12" t="n">
        <x:v>1420.8392</x:v>
      </x:c>
      <x:c r="I1029" s="13" t="n">
        <x:v>0.0088</x:v>
      </x:c>
      <x:c r="J1029" s="2" t="n">
        <x:v>0</x:v>
      </x:c>
      <x:c r="K1029" s="2" t="n">
        <x:v>1</x:v>
      </x:c>
      <x:c r="L1029" s="12" t="n">
        <x:v>2152.7867</x:v>
      </x:c>
      <x:c r="M1029" s="13" t="n">
        <x:v>1</x:v>
      </x:c>
      <x:c r="N1029" s="13" t="n">
        <x:f>H1029/G1029</x:f>
        <x:v>0.008799999999999999</x:v>
      </x:c>
      <x:c r="O1029" s="13" t="n">
        <x:f>F1029/E1029</x:f>
        <x:v>0</x:v>
      </x:c>
      <x:c r="P1029" s="2" t="str">
        <x:f>IF(AND(E1029&gt;='Итоги'!$F$5,N1029&lt;='Итоги'!$B$5,O1029&gt;='Итоги'!$D$5),"Да","Нет")</x:f>
        <x:v>Нет</x:v>
      </x:c>
    </x:row>
    <x:row r="1030" ht="60" customHeight="1">
      <x:c r="A1030" s="14" t="str">
        <x:v>Детская одежда</x:v>
      </x:c>
      <x:c r="B1030" s="14" t="str">
        <x:v>Детская одежда</x:v>
      </x:c>
      <x:c r="C1030" s="14" t="str">
        <x:v>Одежда для мальчика</x:v>
      </x:c>
      <x:c r="D1030" s="14" t="str">
        <x:v>Кардиган для мальчика</x:v>
      </x:c>
      <x:c r="E1030" s="2" t="n">
        <x:v>20</x:v>
      </x:c>
      <x:c r="F1030" s="2" t="n">
        <x:v>0</x:v>
      </x:c>
      <x:c r="G1030" s="12" t="n">
        <x:v>2340199.0556</x:v>
      </x:c>
      <x:c r="H1030" s="12" t="n">
        <x:v>20600.97996518</x:v>
      </x:c>
      <x:c r="I1030" s="13" t="n">
        <x:v>0.01361</x:v>
      </x:c>
      <x:c r="J1030" s="2" t="n">
        <x:v>16</x:v>
      </x:c>
      <x:c r="K1030" s="2" t="n">
        <x:v>4</x:v>
      </x:c>
      <x:c r="L1030" s="12" t="n">
        <x:v>1318.5743</x:v>
      </x:c>
      <x:c r="M1030" s="13" t="n">
        <x:v>0.5794291739222767</x:v>
      </x:c>
      <x:c r="N1030" s="13" t="n">
        <x:f>H1030/G1030</x:f>
        <x:v>0.008803088744046238</x:v>
      </x:c>
      <x:c r="O1030" s="13" t="n">
        <x:f>F1030/E1030</x:f>
        <x:v>0</x:v>
      </x:c>
      <x:c r="P1030" s="2" t="str">
        <x:f>IF(AND(E1030&gt;='Итоги'!$F$5,N1030&lt;='Итоги'!$B$5,O1030&gt;='Итоги'!$D$5),"Да","Нет")</x:f>
        <x:v>Нет</x:v>
      </x:c>
    </x:row>
    <x:row r="1031" ht="60" customHeight="1">
      <x:c r="A1031" s="14" t="str">
        <x:v>Аптека</x:v>
      </x:c>
      <x:c r="B1031" s="14" t="str">
        <x:v>Электронные сигареты, парители, кальяны</x:v>
      </x:c>
      <x:c r="C1031" s="14" t="str">
        <x:v>Аксессуары для кальяна</x:v>
      </x:c>
      <x:c r="D1031" s="14" t="str">
        <x:v>Прочие аксессуары для кальяна</x:v>
      </x:c>
      <x:c r="E1031" s="2" t="n">
        <x:v>15</x:v>
      </x:c>
      <x:c r="F1031" s="2" t="n">
        <x:v>0</x:v>
      </x:c>
      <x:c r="G1031" s="12" t="n">
        <x:v>2482481.2766</x:v>
      </x:c>
      <x:c r="H1031" s="12" t="n">
        <x:v>21919.12556359</x:v>
      </x:c>
      <x:c r="I1031" s="13" t="n">
        <x:v>0.0123133333333333</x:v>
      </x:c>
      <x:c r="J1031" s="2" t="n">
        <x:v>12</x:v>
      </x:c>
      <x:c r="K1031" s="2" t="n">
        <x:v>9</x:v>
      </x:c>
      <x:c r="L1031" s="12" t="n">
        <x:v>1618.0737</x:v>
      </x:c>
      <x:c r="M1031" s="13" t="n">
        <x:v>0.2759640269828249</x:v>
      </x:c>
      <x:c r="N1031" s="13" t="n">
        <x:f>H1031/G1031</x:f>
        <x:v>0.008829523014010555</x:v>
      </x:c>
      <x:c r="O1031" s="13" t="n">
        <x:f>F1031/E1031</x:f>
        <x:v>0</x:v>
      </x:c>
      <x:c r="P1031" s="2" t="str">
        <x:f>IF(AND(E1031&gt;='Итоги'!$F$5,N1031&lt;='Итоги'!$B$5,O1031&gt;='Итоги'!$D$5),"Да","Нет")</x:f>
        <x:v>Нет</x:v>
      </x:c>
    </x:row>
    <x:row r="1032" ht="60" customHeight="1">
      <x:c r="A1032" s="14" t="str">
        <x:v>Смартфоны и планшеты</x:v>
      </x:c>
      <x:c r="B1032" s="14" t="str">
        <x:v>Компьютеры Smart&amp;Tablets</x:v>
      </x:c>
      <x:c r="C1032" s="14" t="str">
        <x:v>Мобильный компьютер Smart&amp;Tablets</x:v>
      </x:c>
      <x:c r="D1032" s="14" t="str">
        <x:v>Планшетный компьютер Samsung</x:v>
      </x:c>
      <x:c r="E1032" s="2" t="n">
        <x:v>29</x:v>
      </x:c>
      <x:c r="F1032" s="2" t="n">
        <x:v>0</x:v>
      </x:c>
      <x:c r="G1032" s="12" t="n">
        <x:v>7676094.7741</x:v>
      </x:c>
      <x:c r="H1032" s="12" t="n">
        <x:v>67826.919104</x:v>
      </x:c>
      <x:c r="I1032" s="13" t="n">
        <x:v>0.0174172413793103</x:v>
      </x:c>
      <x:c r="J1032" s="2" t="n">
        <x:v>21</x:v>
      </x:c>
      <x:c r="K1032" s="2" t="n">
        <x:v>4</x:v>
      </x:c>
      <x:c r="L1032" s="12" t="n">
        <x:v>31760</x:v>
      </x:c>
      <x:c r="M1032" s="13" t="n">
        <x:v>0.7212210371320095</x:v>
      </x:c>
      <x:c r="N1032" s="13" t="n">
        <x:f>H1032/G1032</x:f>
        <x:v>0.00883612319806884</x:v>
      </x:c>
      <x:c r="O1032" s="13" t="n">
        <x:f>F1032/E1032</x:f>
        <x:v>0</x:v>
      </x:c>
      <x:c r="P1032" s="2" t="str">
        <x:f>IF(AND(E1032&gt;='Итоги'!$F$5,N1032&lt;='Итоги'!$B$5,O1032&gt;='Итоги'!$D$5),"Да","Нет")</x:f>
        <x:v>Нет</x:v>
      </x:c>
    </x:row>
    <x:row r="1033" ht="60" customHeight="1">
      <x:c r="A1033" s="14" t="str">
        <x:v>Автотовары</x:v>
      </x:c>
      <x:c r="B1033" s="14" t="str">
        <x:v>Универсальные авто и мото аксессуары</x:v>
      </x:c>
      <x:c r="C1033" s="14" t="str">
        <x:v>Автотовары в дорогу</x:v>
      </x:c>
      <x:c r="D1033" s="14" t="str">
        <x:v>Зеркало автомобильное дополнительное</x:v>
      </x:c>
      <x:c r="E1033" s="2" t="n">
        <x:v>8</x:v>
      </x:c>
      <x:c r="F1033" s="2" t="n">
        <x:v>0</x:v>
      </x:c>
      <x:c r="G1033" s="12" t="n">
        <x:v>1097483.9653</x:v>
      </x:c>
      <x:c r="H1033" s="12" t="n">
        <x:v>9749.76858647</x:v>
      </x:c>
      <x:c r="I1033" s="13" t="n">
        <x:v>0.0246125</x:v>
      </x:c>
      <x:c r="J1033" s="2" t="n">
        <x:v>7</x:v>
      </x:c>
      <x:c r="K1033" s="2" t="n">
        <x:v>3</x:v>
      </x:c>
      <x:c r="L1033" s="12" t="n">
        <x:v>1395.42075</x:v>
      </x:c>
      <x:c r="M1033" s="13" t="n">
        <x:v>0.579076429719205</x:v>
      </x:c>
      <x:c r="N1033" s="13" t="n">
        <x:f>H1033/G1033</x:f>
        <x:v>0.008883745817466112</x:v>
      </x:c>
      <x:c r="O1033" s="13" t="n">
        <x:f>F1033/E1033</x:f>
        <x:v>0</x:v>
      </x:c>
      <x:c r="P1033" s="2" t="str">
        <x:f>IF(AND(E1033&gt;='Итоги'!$F$5,N1033&lt;='Итоги'!$B$5,O1033&gt;='Итоги'!$D$5),"Да","Нет")</x:f>
        <x:v>Нет</x:v>
      </x:c>
    </x:row>
    <x:row r="1034" ht="60" customHeight="1">
      <x:c r="A1034" s="14" t="str">
        <x:v>Обувь</x:v>
      </x:c>
      <x:c r="B1034" s="14" t="str">
        <x:v>Обувь мужская</x:v>
      </x:c>
      <x:c r="C1034" s="14" t="str">
        <x:v>Обувь мужская демисезон</x:v>
      </x:c>
      <x:c r="D1034" s="14" t="str">
        <x:v>Мужские Полуботинки демисезонные</x:v>
      </x:c>
      <x:c r="E1034" s="2" t="n">
        <x:v>291</x:v>
      </x:c>
      <x:c r="F1034" s="2" t="n">
        <x:v>0</x:v>
      </x:c>
      <x:c r="G1034" s="12" t="n">
        <x:v>18772116.6971</x:v>
      </x:c>
      <x:c r="H1034" s="12" t="n">
        <x:v>168704.23909087002</x:v>
      </x:c>
      <x:c r="I1034" s="13" t="n">
        <x:v>0.0058580756013745</x:v>
      </x:c>
      <x:c r="J1034" s="2" t="n">
        <x:v>263</x:v>
      </x:c>
      <x:c r="K1034" s="2" t="n">
        <x:v>8</x:v>
      </x:c>
      <x:c r="L1034" s="12" t="n">
        <x:v>2185.3771</x:v>
      </x:c>
      <x:c r="M1034" s="13" t="n">
        <x:v>0.9042896670103504</x:v>
      </x:c>
      <x:c r="N1034" s="13" t="n">
        <x:f>H1034/G1034</x:f>
        <x:v>0.008986958786428821</x:v>
      </x:c>
      <x:c r="O1034" s="13" t="n">
        <x:f>F1034/E1034</x:f>
        <x:v>0</x:v>
      </x:c>
      <x:c r="P1034" s="2" t="str">
        <x:f>IF(AND(E1034&gt;='Итоги'!$F$5,N1034&lt;='Итоги'!$B$5,O1034&gt;='Итоги'!$D$5),"Да","Нет")</x:f>
        <x:v>Нет</x:v>
      </x:c>
    </x:row>
    <x:row r="1035" ht="60" customHeight="1">
      <x:c r="A1035" s="14" t="str">
        <x:v>Одежда</x:v>
      </x:c>
      <x:c r="B1035" s="14" t="str">
        <x:v>Основная одежда мужская</x:v>
      </x:c>
      <x:c r="C1035" s="14" t="str">
        <x:v>Головные уборы, перчатки, шарфы мужские</x:v>
      </x:c>
      <x:c r="D1035" s="14" t="str">
        <x:v>Мужская шляпа</x:v>
      </x:c>
      <x:c r="E1035" s="2" t="n">
        <x:v>14</x:v>
      </x:c>
      <x:c r="F1035" s="2" t="n">
        <x:v>0</x:v>
      </x:c>
      <x:c r="G1035" s="12" t="n">
        <x:v>686444.596</x:v>
      </x:c>
      <x:c r="H1035" s="12" t="n">
        <x:v>6175.66700927</x:v>
      </x:c>
      <x:c r="I1035" s="13" t="n">
        <x:v>0.0060071428571428</x:v>
      </x:c>
      <x:c r="J1035" s="2" t="n">
        <x:v>10</x:v>
      </x:c>
      <x:c r="K1035" s="2" t="n">
        <x:v>5</x:v>
      </x:c>
      <x:c r="L1035" s="12" t="n">
        <x:v>1128.2246</x:v>
      </x:c>
      <x:c r="M1035" s="13" t="n">
        <x:v>0.3550526641482949</x:v>
      </x:c>
      <x:c r="N1035" s="13" t="n">
        <x:f>H1035/G1035</x:f>
        <x:v>0.008996599354494735</x:v>
      </x:c>
      <x:c r="O1035" s="13" t="n">
        <x:f>F1035/E1035</x:f>
        <x:v>0</x:v>
      </x:c>
      <x:c r="P1035" s="2" t="str">
        <x:f>IF(AND(E1035&gt;='Итоги'!$F$5,N1035&lt;='Итоги'!$B$5,O1035&gt;='Итоги'!$D$5),"Да","Нет")</x:f>
        <x:v>Нет</x:v>
      </x:c>
    </x:row>
    <x:row r="1036" ht="60" customHeight="1">
      <x:c r="A1036" s="14" t="str">
        <x:v>Мебель</x:v>
      </x:c>
      <x:c r="B1036" s="14" t="str">
        <x:v>Корпусная мебель и мебель для хранения</x:v>
      </x:c>
      <x:c r="C1036" s="14" t="str">
        <x:v>Прочая мебель для хранения</x:v>
      </x:c>
      <x:c r="D1036" s="14" t="str">
        <x:v>Сундук</x:v>
      </x:c>
      <x:c r="E1036" s="2" t="n">
        <x:v>31</x:v>
      </x:c>
      <x:c r="F1036" s="2" t="n">
        <x:v>0</x:v>
      </x:c>
      <x:c r="G1036" s="12" t="n">
        <x:v>4406913.3397</x:v>
      </x:c>
      <x:c r="H1036" s="12" t="n">
        <x:v>40361.015992</x:v>
      </x:c>
      <x:c r="I1036" s="13" t="n">
        <x:v>0.0084129032258064</x:v>
      </x:c>
      <x:c r="J1036" s="2" t="n">
        <x:v>19</x:v>
      </x:c>
      <x:c r="K1036" s="2" t="n">
        <x:v>6</x:v>
      </x:c>
      <x:c r="L1036" s="12" t="n">
        <x:v>6784.3923</x:v>
      </x:c>
      <x:c r="M1036" s="13" t="n">
        <x:v>0.5143362794273374</x:v>
      </x:c>
      <x:c r="N1036" s="13" t="n">
        <x:f>H1036/G1036</x:f>
        <x:v>0.009158568113514927</x:v>
      </x:c>
      <x:c r="O1036" s="13" t="n">
        <x:f>F1036/E1036</x:f>
        <x:v>0</x:v>
      </x:c>
      <x:c r="P1036" s="2" t="str">
        <x:f>IF(AND(E1036&gt;='Итоги'!$F$5,N1036&lt;='Итоги'!$B$5,O1036&gt;='Итоги'!$D$5),"Да","Нет")</x:f>
        <x:v>Нет</x:v>
      </x:c>
    </x:row>
    <x:row r="1037" ht="60" customHeight="1">
      <x:c r="A1037" s="14" t="str">
        <x:v>Строительство и ремонт (DIY)</x:v>
      </x:c>
      <x:c r="B1037" s="14" t="str">
        <x:v>Ремонт и строительство</x:v>
      </x:c>
      <x:c r="C1037" s="14" t="str">
        <x:v>Электротовары</x:v>
      </x:c>
      <x:c r="D1037" s="14" t="str">
        <x:v>Контакторы</x:v>
      </x:c>
      <x:c r="E1037" s="2" t="n">
        <x:v>5</x:v>
      </x:c>
      <x:c r="F1037" s="2" t="n">
        <x:v>0</x:v>
      </x:c>
      <x:c r="G1037" s="12" t="n">
        <x:v>615224.7917</x:v>
      </x:c>
      <x:c r="H1037" s="12" t="n">
        <x:v>5677.59472929</x:v>
      </x:c>
      <x:c r="I1037" s="13" t="n">
        <x:v>0.03024</x:v>
      </x:c>
      <x:c r="J1037" s="2" t="n">
        <x:v>0</x:v>
      </x:c>
      <x:c r="K1037" s="2" t="n">
        <x:v>2</x:v>
      </x:c>
      <x:c r="L1037" s="12" t="n">
        <x:v>2212.6222</x:v>
      </x:c>
      <x:c r="M1037" s="13" t="n">
        <x:v>0.9582136475206676</x:v>
      </x:c>
      <x:c r="N1037" s="13" t="n">
        <x:f>H1037/G1037</x:f>
        <x:v>0.009228488197950493</x:v>
      </x:c>
      <x:c r="O1037" s="13" t="n">
        <x:f>F1037/E1037</x:f>
        <x:v>0</x:v>
      </x:c>
      <x:c r="P1037" s="2" t="str">
        <x:f>IF(AND(E1037&gt;='Итоги'!$F$5,N1037&lt;='Итоги'!$B$5,O1037&gt;='Итоги'!$D$5),"Да","Нет")</x:f>
        <x:v>Нет</x:v>
      </x:c>
    </x:row>
    <x:row r="1038" ht="60" customHeight="1">
      <x:c r="A1038" s="14" t="str">
        <x:v>Одежда</x:v>
      </x:c>
      <x:c r="B1038" s="14" t="str">
        <x:v>Спецодежда и одежда для мероприятий</x:v>
      </x:c>
      <x:c r="C1038" s="14" t="str">
        <x:v>Спецодежда женская</x:v>
      </x:c>
      <x:c r="D1038" s="14" t="str">
        <x:v>Рабочий костюм женский</x:v>
      </x:c>
      <x:c r="E1038" s="2" t="n">
        <x:v>14</x:v>
      </x:c>
      <x:c r="F1038" s="2" t="n">
        <x:v>0</x:v>
      </x:c>
      <x:c r="G1038" s="12" t="n">
        <x:v>458943.741</x:v>
      </x:c>
      <x:c r="H1038" s="12" t="n">
        <x:v>4250.00555</x:v>
      </x:c>
      <x:c r="I1038" s="13" t="n">
        <x:v>0.0209428571428571</x:v>
      </x:c>
      <x:c r="J1038" s="2" t="n">
        <x:v>11</x:v>
      </x:c>
      <x:c r="K1038" s="2" t="n">
        <x:v>4</x:v>
      </x:c>
      <x:c r="L1038" s="12" t="n">
        <x:v>1348.1504</x:v>
      </x:c>
      <x:c r="M1038" s="13" t="n">
        <x:v>0.7876798585646252</x:v>
      </x:c>
      <x:c r="N1038" s="13" t="n">
        <x:f>H1038/G1038</x:f>
        <x:v>0.009260406386062906</x:v>
      </x:c>
      <x:c r="O1038" s="13" t="n">
        <x:f>F1038/E1038</x:f>
        <x:v>0</x:v>
      </x:c>
      <x:c r="P1038" s="2" t="str">
        <x:f>IF(AND(E1038&gt;='Итоги'!$F$5,N1038&lt;='Итоги'!$B$5,O1038&gt;='Итоги'!$D$5),"Да","Нет")</x:f>
        <x:v>Нет</x:v>
      </x:c>
    </x:row>
    <x:row r="1039" ht="60" customHeight="1">
      <x:c r="A1039" s="14" t="str">
        <x:v>Аудио и видеотехника</x:v>
      </x:c>
      <x:c r="B1039" s="14" t="str">
        <x:v>Система безопасности TV&amp;Audio</x:v>
      </x:c>
      <x:c r="C1039" s="14" t="str">
        <x:v>Умный дом TV&amp;Audio</x:v>
      </x:c>
      <x:c r="D1039" s="14" t="str">
        <x:v>Умный климат для умного дома</x:v>
      </x:c>
      <x:c r="E1039" s="2" t="n">
        <x:v>3</x:v>
      </x:c>
      <x:c r="F1039" s="2" t="n">
        <x:v>0</x:v>
      </x:c>
      <x:c r="G1039" s="12" t="n">
        <x:v>386478.2612</x:v>
      </x:c>
      <x:c r="H1039" s="12" t="n">
        <x:v>3586.3369120800003</x:v>
      </x:c>
      <x:c r="I1039" s="13" t="n">
        <x:v>0.0078</x:v>
      </x:c>
      <x:c r="J1039" s="2" t="n">
        <x:v>2</x:v>
      </x:c>
      <x:c r="K1039" s="2" t="n">
        <x:v>2</x:v>
      </x:c>
      <x:c r="L1039" s="12" t="n">
        <x:v>3767.5897</x:v>
      </x:c>
      <x:c r="M1039" s="13" t="n">
        <x:v>0.7767532907747413</x:v>
      </x:c>
      <x:c r="N1039" s="13" t="n">
        <x:f>H1039/G1039</x:f>
        <x:v>0.009279530757938527</x:v>
      </x:c>
      <x:c r="O1039" s="13" t="n">
        <x:f>F1039/E1039</x:f>
        <x:v>0</x:v>
      </x:c>
      <x:c r="P1039" s="2" t="str">
        <x:f>IF(AND(E1039&gt;='Итоги'!$F$5,N1039&lt;='Итоги'!$B$5,O1039&gt;='Итоги'!$D$5),"Да","Нет")</x:f>
        <x:v>Нет</x:v>
      </x:c>
    </x:row>
    <x:row r="1040" ht="60" customHeight="1">
      <x:c r="A1040" s="14" t="str">
        <x:v>Товары для животных</x:v>
      </x:c>
      <x:c r="B1040" s="14" t="str">
        <x:v>Фермерское хозяйство - Корма и кормовые добавки для птицеводства и животноводства</x:v>
      </x:c>
      <x:c r="C1040" s="14" t="str">
        <x:v>Кормовые комплексы и витамины для сельскохозяйственных животных и птиц</x:v>
      </x:c>
      <x:c r="D1040" s="14" t="str">
        <x:v>Корм для сельскохозяйственных животных</x:v>
      </x:c>
      <x:c r="E1040" s="2" t="n">
        <x:v>8</x:v>
      </x:c>
      <x:c r="F1040" s="2" t="n">
        <x:v>0</x:v>
      </x:c>
      <x:c r="G1040" s="12" t="n">
        <x:v>1398019.23</x:v>
      </x:c>
      <x:c r="H1040" s="12" t="n">
        <x:v>13062.607264000002</x:v>
      </x:c>
      <x:c r="I1040" s="13" t="n">
        <x:v>0.0071</x:v>
      </x:c>
      <x:c r="J1040" s="2" t="n">
        <x:v>7</x:v>
      </x:c>
      <x:c r="K1040" s="2" t="n">
        <x:v>4</x:v>
      </x:c>
      <x:c r="L1040" s="12" t="n">
        <x:v>1314.165</x:v>
      </x:c>
      <x:c r="M1040" s="13" t="n">
        <x:v>0.8059932694917223</x:v>
      </x:c>
      <x:c r="N1040" s="13" t="n">
        <x:f>H1040/G1040</x:f>
        <x:v>0.009343653494666166</x:v>
      </x:c>
      <x:c r="O1040" s="13" t="n">
        <x:f>F1040/E1040</x:f>
        <x:v>0</x:v>
      </x:c>
      <x:c r="P1040" s="2" t="str">
        <x:f>IF(AND(E1040&gt;='Итоги'!$F$5,N1040&lt;='Итоги'!$B$5,O1040&gt;='Итоги'!$D$5),"Да","Нет")</x:f>
        <x:v>Нет</x:v>
      </x:c>
    </x:row>
    <x:row r="1041" ht="60" customHeight="1">
      <x:c r="A1041" s="14" t="str">
        <x:v>Строительство и ремонт (DIY)</x:v>
      </x:c>
      <x:c r="B1041" s="14" t="str">
        <x:v>Ремонт и строительство</x:v>
      </x:c>
      <x:c r="C1041" s="14" t="str">
        <x:v>Отделка пола</x:v>
      </x:c>
      <x:c r="D1041" s="14" t="str">
        <x:v>Террасная доска</x:v>
      </x:c>
      <x:c r="E1041" s="2" t="n">
        <x:v>34</x:v>
      </x:c>
      <x:c r="F1041" s="2" t="n">
        <x:v>0</x:v>
      </x:c>
      <x:c r="G1041" s="12" t="n">
        <x:v>7863020.8089</x:v>
      </x:c>
      <x:c r="H1041" s="12" t="n">
        <x:v>73747.1929614</x:v>
      </x:c>
      <x:c r="I1041" s="13" t="n">
        <x:v>0.0106058823529411</x:v>
      </x:c>
      <x:c r="J1041" s="2" t="n">
        <x:v>22</x:v>
      </x:c>
      <x:c r="K1041" s="2" t="n">
        <x:v>3</x:v>
      </x:c>
      <x:c r="L1041" s="12" t="n">
        <x:v>3563.5080500000004</x:v>
      </x:c>
      <x:c r="M1041" s="13" t="n">
        <x:v>0.9158251360277664</x:v>
      </x:c>
      <x:c r="N1041" s="13" t="n">
        <x:f>H1041/G1041</x:f>
        <x:v>0.00937898992686462</x:v>
      </x:c>
      <x:c r="O1041" s="13" t="n">
        <x:f>F1041/E1041</x:f>
        <x:v>0</x:v>
      </x:c>
      <x:c r="P1041" s="2" t="str">
        <x:f>IF(AND(E1041&gt;='Итоги'!$F$5,N1041&lt;='Итоги'!$B$5,O1041&gt;='Итоги'!$D$5),"Да","Нет")</x:f>
        <x:v>Нет</x:v>
      </x:c>
    </x:row>
    <x:row r="1042" ht="60" customHeight="1">
      <x:c r="A1042" s="14" t="str">
        <x:v>Бытовая химия и гигиена рта</x:v>
      </x:c>
      <x:c r="B1042" s="14" t="str">
        <x:v>Средства для стирки</x:v>
      </x:c>
      <x:c r="C1042" s="14" t="str">
        <x:v>Отбеливатель</x:v>
      </x:c>
      <x:c r="D1042" s="14" t="str">
        <x:v>Отбеливатель универсальный</x:v>
      </x:c>
      <x:c r="E1042" s="2" t="n">
        <x:v>16</x:v>
      </x:c>
      <x:c r="F1042" s="2" t="n">
        <x:v>0</x:v>
      </x:c>
      <x:c r="G1042" s="12" t="n">
        <x:v>4216290.9912</x:v>
      </x:c>
      <x:c r="H1042" s="12" t="n">
        <x:v>39569.3505</x:v>
      </x:c>
      <x:c r="I1042" s="13" t="n">
        <x:v>0.0283625</x:v>
      </x:c>
      <x:c r="J1042" s="2" t="n">
        <x:v>10</x:v>
      </x:c>
      <x:c r="K1042" s="2" t="n">
        <x:v>8</x:v>
      </x:c>
      <x:c r="L1042" s="12" t="n">
        <x:v>1618.0567999999998</x:v>
      </x:c>
      <x:c r="M1042" s="13" t="n">
        <x:v>0.5965318229812601</x:v>
      </x:c>
      <x:c r="N1042" s="13" t="n">
        <x:f>H1042/G1042</x:f>
        <x:v>0.009384871818047395</x:v>
      </x:c>
      <x:c r="O1042" s="13" t="n">
        <x:f>F1042/E1042</x:f>
        <x:v>0</x:v>
      </x:c>
      <x:c r="P1042" s="2" t="str">
        <x:f>IF(AND(E1042&gt;='Итоги'!$F$5,N1042&lt;='Итоги'!$B$5,O1042&gt;='Итоги'!$D$5),"Да","Нет")</x:f>
        <x:v>Нет</x:v>
      </x:c>
    </x:row>
    <x:row r="1043" ht="60" customHeight="1">
      <x:c r="A1043" s="14" t="str">
        <x:v>Смартфоны и планшеты</x:v>
      </x:c>
      <x:c r="B1043" s="14" t="str">
        <x:v>Средства связи Smart&amp;Tablets</x:v>
      </x:c>
      <x:c r="C1043" s="14" t="str">
        <x:v>Аксессуар к мобильным устройствам Smart&amp;Tablets</x:v>
      </x:c>
      <x:c r="D1043" s="14" t="str">
        <x:v>Наушники Bluetooth Sony</x:v>
      </x:c>
      <x:c r="E1043" s="2" t="n">
        <x:v>26</x:v>
      </x:c>
      <x:c r="F1043" s="2" t="n">
        <x:v>0</x:v>
      </x:c>
      <x:c r="G1043" s="12" t="n">
        <x:v>6789070.9236</x:v>
      </x:c>
      <x:c r="H1043" s="12" t="n">
        <x:v>64044.50793307</x:v>
      </x:c>
      <x:c r="I1043" s="13" t="n">
        <x:v>0.0187230769230769</x:v>
      </x:c>
      <x:c r="J1043" s="2" t="n">
        <x:v>12</x:v>
      </x:c>
      <x:c r="K1043" s="2" t="n">
        <x:v>8</x:v>
      </x:c>
      <x:c r="L1043" s="12" t="n">
        <x:v>9272.2034</x:v>
      </x:c>
      <x:c r="M1043" s="13" t="n">
        <x:v>0.3302596679474759</x:v>
      </x:c>
      <x:c r="N1043" s="13" t="n">
        <x:f>H1043/G1043</x:f>
        <x:v>0.009433471627235483</x:v>
      </x:c>
      <x:c r="O1043" s="13" t="n">
        <x:f>F1043/E1043</x:f>
        <x:v>0</x:v>
      </x:c>
      <x:c r="P1043" s="2" t="str">
        <x:f>IF(AND(E1043&gt;='Итоги'!$F$5,N1043&lt;='Итоги'!$B$5,O1043&gt;='Итоги'!$D$5),"Да","Нет")</x:f>
        <x:v>Нет</x:v>
      </x:c>
    </x:row>
    <x:row r="1044" ht="60" customHeight="1">
      <x:c r="A1044" s="14" t="str">
        <x:v>Строительство и ремонт (DIY)</x:v>
      </x:c>
      <x:c r="B1044" s="14" t="str">
        <x:v>Ремонт и строительство</x:v>
      </x:c>
      <x:c r="C1044" s="14" t="str">
        <x:v>Аксессуары для ремонта</x:v>
      </x:c>
      <x:c r="D1044" s="14" t="str">
        <x:v>Строительные леса, люлька, подвесная площадка</x:v>
      </x:c>
      <x:c r="E1044" s="2" t="n">
        <x:v>6</x:v>
      </x:c>
      <x:c r="F1044" s="2" t="n">
        <x:v>0</x:v>
      </x:c>
      <x:c r="G1044" s="12" t="n">
        <x:v>1385916.6016</x:v>
      </x:c>
      <x:c r="H1044" s="12" t="n">
        <x:v>13127.2364</x:v>
      </x:c>
      <x:c r="I1044" s="13" t="n">
        <x:v>0.0158166666666666</x:v>
      </x:c>
      <x:c r="J1044" s="2" t="n">
        <x:v>4</x:v>
      </x:c>
      <x:c r="K1044" s="2" t="n">
        <x:v>3</x:v>
      </x:c>
      <x:c r="L1044" s="12" t="n">
        <x:v>7881.36665</x:v>
      </x:c>
      <x:c r="M1044" s="13" t="n">
        <x:v>0.5769521778416367</x:v>
      </x:c>
      <x:c r="N1044" s="13" t="n">
        <x:f>H1044/G1044</x:f>
        <x:v>0.009471880475957204</x:v>
      </x:c>
      <x:c r="O1044" s="13" t="n">
        <x:f>F1044/E1044</x:f>
        <x:v>0</x:v>
      </x:c>
      <x:c r="P1044" s="2" t="str">
        <x:f>IF(AND(E1044&gt;='Итоги'!$F$5,N1044&lt;='Итоги'!$B$5,O1044&gt;='Итоги'!$D$5),"Да","Нет")</x:f>
        <x:v>Нет</x:v>
      </x:c>
    </x:row>
    <x:row r="1045" ht="60" customHeight="1">
      <x:c r="A1045" s="14" t="str">
        <x:v>Товары для красоты и здоровья</x:v>
      </x:c>
      <x:c r="B1045" s="14" t="str">
        <x:v>Косметика для ухода за кожей</x:v>
      </x:c>
      <x:c r="C1045" s="14" t="str">
        <x:v>Ноги</x:v>
      </x:c>
      <x:c r="D1045" s="14" t="str">
        <x:v>Маска для ног</x:v>
      </x:c>
      <x:c r="E1045" s="2" t="n">
        <x:v>1</x:v>
      </x:c>
      <x:c r="F1045" s="2" t="n">
        <x:v>0</x:v>
      </x:c>
      <x:c r="G1045" s="12" t="n">
        <x:v>126910</x:v>
      </x:c>
      <x:c r="H1045" s="12" t="n">
        <x:v>1205.645</x:v>
      </x:c>
      <x:c r="I1045" s="13" t="n">
        <x:v>0.0095</x:v>
      </x:c>
      <x:c r="J1045" s="2" t="n">
        <x:v>0</x:v>
      </x:c>
      <x:c r="K1045" s="2" t="n">
        <x:v>1</x:v>
      </x:c>
      <x:c r="L1045" s="12" t="n">
        <x:v>1715</x:v>
      </x:c>
      <x:c r="M1045" s="13" t="n">
        <x:v>1</x:v>
      </x:c>
      <x:c r="N1045" s="13" t="n">
        <x:f>H1045/G1045</x:f>
        <x:v>0.0095</x:v>
      </x:c>
      <x:c r="O1045" s="13" t="n">
        <x:f>F1045/E1045</x:f>
        <x:v>0</x:v>
      </x:c>
      <x:c r="P1045" s="2" t="str">
        <x:f>IF(AND(E1045&gt;='Итоги'!$F$5,N1045&lt;='Итоги'!$B$5,O1045&gt;='Итоги'!$D$5),"Да","Нет")</x:f>
        <x:v>Нет</x:v>
      </x:c>
    </x:row>
    <x:row r="1046" ht="60" customHeight="1">
      <x:c r="A1046" s="14" t="str">
        <x:v>Аксессуары для электроники</x:v>
      </x:c>
      <x:c r="B1046" s="14" t="str">
        <x:v>Домашняя Аудио и Видеотехника Access</x:v>
      </x:c>
      <x:c r="C1046" s="14" t="str">
        <x:v>Запчасти для телевизора Access</x:v>
      </x:c>
      <x:c r="D1046" s="14" t="str">
        <x:v>Запчасти для телевизора</x:v>
      </x:c>
      <x:c r="E1046" s="2" t="n">
        <x:v>30</x:v>
      </x:c>
      <x:c r="F1046" s="2" t="n">
        <x:v>0</x:v>
      </x:c>
      <x:c r="G1046" s="12" t="n">
        <x:v>4075293.551</x:v>
      </x:c>
      <x:c r="H1046" s="12" t="n">
        <x:v>38833.12179791</x:v>
      </x:c>
      <x:c r="I1046" s="13" t="n">
        <x:v>0.0134466666666666</x:v>
      </x:c>
      <x:c r="J1046" s="2" t="n">
        <x:v>2</x:v>
      </x:c>
      <x:c r="K1046" s="2" t="n">
        <x:v>4</x:v>
      </x:c>
      <x:c r="L1046" s="12" t="n">
        <x:v>986.4129</x:v>
      </x:c>
      <x:c r="M1046" s="13" t="n">
        <x:v>0.9283230512981516</x:v>
      </x:c>
      <x:c r="N1046" s="13" t="n">
        <x:f>H1046/G1046</x:f>
        <x:v>0.0095289140063005</x:v>
      </x:c>
      <x:c r="O1046" s="13" t="n">
        <x:f>F1046/E1046</x:f>
        <x:v>0</x:v>
      </x:c>
      <x:c r="P1046" s="2" t="str">
        <x:f>IF(AND(E1046&gt;='Итоги'!$F$5,N1046&lt;='Итоги'!$B$5,O1046&gt;='Итоги'!$D$5),"Да","Нет")</x:f>
        <x:v>Нет</x:v>
      </x:c>
    </x:row>
    <x:row r="1047" ht="60" customHeight="1">
      <x:c r="A1047" s="14" t="str">
        <x:v>Обувь</x:v>
      </x:c>
      <x:c r="B1047" s="14" t="str">
        <x:v>Обувь женская</x:v>
      </x:c>
      <x:c r="C1047" s="14" t="str">
        <x:v>Обувь женская летняя</x:v>
      </x:c>
      <x:c r="D1047" s="14" t="str">
        <x:v>Женские Сандалии</x:v>
      </x:c>
      <x:c r="E1047" s="2" t="n">
        <x:v>2437</x:v>
      </x:c>
      <x:c r="F1047" s="2" t="n">
        <x:v>0</x:v>
      </x:c>
      <x:c r="G1047" s="12" t="n">
        <x:v>191413185.2596</x:v>
      </x:c>
      <x:c r="H1047" s="12" t="n">
        <x:v>1824046.38416938</x:v>
      </x:c>
      <x:c r="I1047" s="13" t="n">
        <x:v>0.0083899466557242</x:v>
      </x:c>
      <x:c r="J1047" s="2" t="n">
        <x:v>2078</x:v>
      </x:c>
      <x:c r="K1047" s="2" t="n">
        <x:v>57</x:v>
      </x:c>
      <x:c r="L1047" s="12" t="n">
        <x:v>2405.7586</x:v>
      </x:c>
      <x:c r="M1047" s="13" t="n">
        <x:v>0.836851642961551</x:v>
      </x:c>
      <x:c r="N1047" s="13" t="n">
        <x:f>H1047/G1047</x:f>
        <x:v>0.009529366442001141</x:v>
      </x:c>
      <x:c r="O1047" s="13" t="n">
        <x:f>F1047/E1047</x:f>
        <x:v>0</x:v>
      </x:c>
      <x:c r="P1047" s="2" t="str">
        <x:f>IF(AND(E1047&gt;='Итоги'!$F$5,N1047&lt;='Итоги'!$B$5,O1047&gt;='Итоги'!$D$5),"Да","Нет")</x:f>
        <x:v>Нет</x:v>
      </x:c>
    </x:row>
    <x:row r="1048" ht="60" customHeight="1">
      <x:c r="A1048" s="14" t="str">
        <x:v>Хобби и творчество</x:v>
      </x:c>
      <x:c r="B1048" s="14" t="str">
        <x:v>Взрослое творчество и хобби</x:v>
      </x:c>
      <x:c r="C1048" s="14" t="str">
        <x:v>Вязание</x:v>
      </x:c>
      <x:c r="D1048" s="14" t="str">
        <x:v>Машинка для вязания</x:v>
      </x:c>
      <x:c r="E1048" s="2" t="n">
        <x:v>1</x:v>
      </x:c>
      <x:c r="F1048" s="2" t="n">
        <x:v>0</x:v>
      </x:c>
      <x:c r="G1048" s="12" t="n">
        <x:v>103157</x:v>
      </x:c>
      <x:c r="H1048" s="12" t="n">
        <x:v>1000.6229</x:v>
      </x:c>
      <x:c r="I1048" s="13" t="n">
        <x:v>0.0097</x:v>
      </x:c>
      <x:c r="J1048" s="2" t="n">
        <x:v>0</x:v>
      </x:c>
      <x:c r="K1048" s="2" t="n">
        <x:v>1</x:v>
      </x:c>
      <x:c r="L1048" s="12" t="n">
        <x:v>3684.1786</x:v>
      </x:c>
      <x:c r="M1048" s="13" t="n">
        <x:v>1</x:v>
      </x:c>
      <x:c r="N1048" s="13" t="n">
        <x:f>H1048/G1048</x:f>
        <x:v>0.0097</x:v>
      </x:c>
      <x:c r="O1048" s="13" t="n">
        <x:f>F1048/E1048</x:f>
        <x:v>0</x:v>
      </x:c>
      <x:c r="P1048" s="2" t="str">
        <x:f>IF(AND(E1048&gt;='Итоги'!$F$5,N1048&lt;='Итоги'!$B$5,O1048&gt;='Итоги'!$D$5),"Да","Нет")</x:f>
        <x:v>Нет</x:v>
      </x:c>
    </x:row>
    <x:row r="1049" ht="60" customHeight="1">
      <x:c r="A1049" s="14" t="str">
        <x:v>Детская одежда</x:v>
      </x:c>
      <x:c r="B1049" s="14" t="str">
        <x:v>Детская обувь</x:v>
      </x:c>
      <x:c r="C1049" s="14" t="str">
        <x:v>Обувь для девочки</x:v>
      </x:c>
      <x:c r="D1049" s="14" t="str">
        <x:v>Ботинки для девочки</x:v>
      </x:c>
      <x:c r="E1049" s="2" t="n">
        <x:v>50</x:v>
      </x:c>
      <x:c r="F1049" s="2" t="n">
        <x:v>0</x:v>
      </x:c>
      <x:c r="G1049" s="12" t="n">
        <x:v>1901845.745</x:v>
      </x:c>
      <x:c r="H1049" s="12" t="n">
        <x:v>18466.82550154</x:v>
      </x:c>
      <x:c r="I1049" s="13" t="n">
        <x:v>0.00747</x:v>
      </x:c>
      <x:c r="J1049" s="2" t="n">
        <x:v>44</x:v>
      </x:c>
      <x:c r="K1049" s="2" t="n">
        <x:v>8</x:v>
      </x:c>
      <x:c r="L1049" s="12" t="n">
        <x:v>3807.85</x:v>
      </x:c>
      <x:c r="M1049" s="13" t="n">
        <x:v>0.8406803176353296</x:v>
      </x:c>
      <x:c r="N1049" s="13" t="n">
        <x:f>H1049/G1049</x:f>
        <x:v>0.009709949163905508</x:v>
      </x:c>
      <x:c r="O1049" s="13" t="n">
        <x:f>F1049/E1049</x:f>
        <x:v>0</x:v>
      </x:c>
      <x:c r="P1049" s="2" t="str">
        <x:f>IF(AND(E1049&gt;='Итоги'!$F$5,N1049&lt;='Итоги'!$B$5,O1049&gt;='Итоги'!$D$5),"Да","Нет")</x:f>
        <x:v>Нет</x:v>
      </x:c>
    </x:row>
    <x:row r="1050" ht="60" customHeight="1">
      <x:c r="A1050" s="14" t="str">
        <x:v>Бакалея и кондитерские изделия</x:v>
      </x:c>
      <x:c r="B1050" s="14" t="str">
        <x:v>Бакалея</x:v>
      </x:c>
      <x:c r="C1050" s="14" t="str">
        <x:v>Снэки, чипсы, готовые завтраки</x:v>
      </x:c>
      <x:c r="D1050" s="14" t="str">
        <x:v>Чипсы</x:v>
      </x:c>
      <x:c r="E1050" s="2" t="n">
        <x:v>7</x:v>
      </x:c>
      <x:c r="F1050" s="2" t="n">
        <x:v>0</x:v>
      </x:c>
      <x:c r="G1050" s="12" t="n">
        <x:v>520832.7292</x:v>
      </x:c>
      <x:c r="H1050" s="12" t="n">
        <x:v>5058.216495119999</x:v>
      </x:c>
      <x:c r="I1050" s="13" t="n">
        <x:v>0.0200571428571428</x:v>
      </x:c>
      <x:c r="J1050" s="2" t="n">
        <x:v>4</x:v>
      </x:c>
      <x:c r="K1050" s="2" t="n">
        <x:v>7</x:v>
      </x:c>
      <x:c r="L1050" s="12" t="n">
        <x:v>985.2352</x:v>
      </x:c>
      <x:c r="M1050" s="13" t="n">
        <x:v>0.2521183956732034</x:v>
      </x:c>
      <x:c r="N1050" s="13" t="n">
        <x:f>H1050/G1050</x:f>
        <x:v>0.00971178693568169</x:v>
      </x:c>
      <x:c r="O1050" s="13" t="n">
        <x:f>F1050/E1050</x:f>
        <x:v>0</x:v>
      </x:c>
      <x:c r="P1050" s="2" t="str">
        <x:f>IF(AND(E1050&gt;='Итоги'!$F$5,N1050&lt;='Итоги'!$B$5,O1050&gt;='Итоги'!$D$5),"Да","Нет")</x:f>
        <x:v>Нет</x:v>
      </x:c>
    </x:row>
    <x:row r="1051" ht="60" customHeight="1">
      <x:c r="A1051" s="14" t="str">
        <x:v>Детская одежда</x:v>
      </x:c>
      <x:c r="B1051" s="14" t="str">
        <x:v>Детская обувь</x:v>
      </x:c>
      <x:c r="C1051" s="14" t="str">
        <x:v>Обувь для мальчика</x:v>
      </x:c>
      <x:c r="D1051" s="14" t="str">
        <x:v>Сандалии для мальчика</x:v>
      </x:c>
      <x:c r="E1051" s="2" t="n">
        <x:v>160</x:v>
      </x:c>
      <x:c r="F1051" s="2" t="n">
        <x:v>0</x:v>
      </x:c>
      <x:c r="G1051" s="12" t="n">
        <x:v>7563170.7853</x:v>
      </x:c>
      <x:c r="H1051" s="12" t="n">
        <x:v>73578.39197719</x:v>
      </x:c>
      <x:c r="I1051" s="13" t="n">
        <x:v>0.0143825</x:v>
      </x:c>
      <x:c r="J1051" s="2" t="n">
        <x:v>124</x:v>
      </x:c>
      <x:c r="K1051" s="2" t="n">
        <x:v>13</x:v>
      </x:c>
      <x:c r="L1051" s="12" t="n">
        <x:v>1435.85715</x:v>
      </x:c>
      <x:c r="M1051" s="13" t="n">
        <x:v>0.7011138247078028</x:v>
      </x:c>
      <x:c r="N1051" s="13" t="n">
        <x:f>H1051/G1051</x:f>
        <x:v>0.009728511237667556</x:v>
      </x:c>
      <x:c r="O1051" s="13" t="n">
        <x:f>F1051/E1051</x:f>
        <x:v>0</x:v>
      </x:c>
      <x:c r="P1051" s="2" t="str">
        <x:f>IF(AND(E1051&gt;='Итоги'!$F$5,N1051&lt;='Итоги'!$B$5,O1051&gt;='Итоги'!$D$5),"Да","Нет")</x:f>
        <x:v>Нет</x:v>
      </x:c>
    </x:row>
    <x:row r="1052" ht="60" customHeight="1">
      <x:c r="A1052" s="14" t="str">
        <x:v>Товары для животных</x:v>
      </x:c>
      <x:c r="B1052" s="14" t="str">
        <x:v>Фермерское хозяйство - Оборудование для птицеводства и животноводства</x:v>
      </x:c>
      <x:c r="C1052" s="14" t="str">
        <x:v>Оборудование для хранения и переработки молока</x:v>
      </x:c>
      <x:c r="D1052" s="14" t="str">
        <x:v>Сепаратор</x:v>
      </x:c>
      <x:c r="E1052" s="2" t="n">
        <x:v>2</x:v>
      </x:c>
      <x:c r="F1052" s="2" t="n">
        <x:v>0</x:v>
      </x:c>
      <x:c r="G1052" s="12" t="n">
        <x:v>537655</x:v>
      </x:c>
      <x:c r="H1052" s="12" t="n">
        <x:v>5247.2802</x:v>
      </x:c>
      <x:c r="I1052" s="13" t="n">
        <x:v>0.0102</x:v>
      </x:c>
      <x:c r="J1052" s="2" t="n">
        <x:v>0</x:v>
      </x:c>
      <x:c r="K1052" s="2" t="n">
        <x:v>2</x:v>
      </x:c>
      <x:c r="L1052" s="12" t="n">
        <x:v>6171.4069500000005</x:v>
      </x:c>
      <x:c r="M1052" s="13" t="n">
        <x:v>0.7752703871441724</x:v>
      </x:c>
      <x:c r="N1052" s="13" t="n">
        <x:f>H1052/G1052</x:f>
        <x:v>0.009759567380569325</x:v>
      </x:c>
      <x:c r="O1052" s="13" t="n">
        <x:f>F1052/E1052</x:f>
        <x:v>0</x:v>
      </x:c>
      <x:c r="P1052" s="2" t="str">
        <x:f>IF(AND(E1052&gt;='Итоги'!$F$5,N1052&lt;='Итоги'!$B$5,O1052&gt;='Итоги'!$D$5),"Да","Нет")</x:f>
        <x:v>Нет</x:v>
      </x:c>
    </x:row>
    <x:row r="1053" ht="60" customHeight="1">
      <x:c r="A1053" s="14" t="str">
        <x:v>Аптека</x:v>
      </x:c>
      <x:c r="B1053" s="14" t="str">
        <x:v>Оптика</x:v>
      </x:c>
      <x:c r="C1053" s="14" t="str">
        <x:v>Контактные линзы</x:v>
      </x:c>
      <x:c r="D1053" s="14" t="str">
        <x:v>Контактные линзы однодневные</x:v>
      </x:c>
      <x:c r="E1053" s="2" t="n">
        <x:v>864</x:v>
      </x:c>
      <x:c r="F1053" s="2" t="n">
        <x:v>0</x:v>
      </x:c>
      <x:c r="G1053" s="12" t="n">
        <x:v>150607317.2859</x:v>
      </x:c>
      <x:c r="H1053" s="12" t="n">
        <x:v>1470779.82919304</x:v>
      </x:c>
      <x:c r="I1053" s="13" t="n">
        <x:v>0.0107003472222222</x:v>
      </x:c>
      <x:c r="J1053" s="2" t="n">
        <x:v>533</x:v>
      </x:c>
      <x:c r="K1053" s="2" t="n">
        <x:v>7</x:v>
      </x:c>
      <x:c r="L1053" s="12" t="n">
        <x:v>2389.5258000000003</x:v>
      </x:c>
      <x:c r="M1053" s="13" t="n">
        <x:v>0.6204796067232569</x:v>
      </x:c>
      <x:c r="N1053" s="13" t="n">
        <x:f>H1053/G1053</x:f>
        <x:v>0.009765659834449065</x:v>
      </x:c>
      <x:c r="O1053" s="13" t="n">
        <x:f>F1053/E1053</x:f>
        <x:v>0</x:v>
      </x:c>
      <x:c r="P1053" s="2" t="str">
        <x:f>IF(AND(E1053&gt;='Итоги'!$F$5,N1053&lt;='Итоги'!$B$5,O1053&gt;='Итоги'!$D$5),"Да","Нет")</x:f>
        <x:v>Нет</x:v>
      </x:c>
    </x:row>
    <x:row r="1054" ht="60" customHeight="1">
      <x:c r="A1054" s="14" t="str">
        <x:v>Аксессуары для электроники</x:v>
      </x:c>
      <x:c r="B1054" s="14" t="str">
        <x:v>Аксессуары для мобильных устройств Access</x:v>
      </x:c>
      <x:c r="C1054" s="14" t="str">
        <x:v>Универсальные аксессуары для мобильных устройств Access</x:v>
      </x:c>
      <x:c r="D1054" s="14" t="str">
        <x:v>Стилус Apple</x:v>
      </x:c>
      <x:c r="E1054" s="2" t="n">
        <x:v>7</x:v>
      </x:c>
      <x:c r="F1054" s="2" t="n">
        <x:v>0</x:v>
      </x:c>
      <x:c r="G1054" s="12" t="n">
        <x:v>805595</x:v>
      </x:c>
      <x:c r="H1054" s="12" t="n">
        <x:v>7895.722299999999</x:v>
      </x:c>
      <x:c r="I1054" s="13" t="n">
        <x:v>0.0121857142857142</x:v>
      </x:c>
      <x:c r="J1054" s="2" t="n">
        <x:v>5</x:v>
      </x:c>
      <x:c r="K1054" s="2" t="n">
        <x:v>2</x:v>
      </x:c>
      <x:c r="L1054" s="12" t="n">
        <x:v>10171.12</x:v>
      </x:c>
      <x:c r="M1054" s="13" t="n">
        <x:v>0.5069122822261807</x:v>
      </x:c>
      <x:c r="N1054" s="13" t="n">
        <x:f>H1054/G1054</x:f>
        <x:v>0.009801106387204488</x:v>
      </x:c>
      <x:c r="O1054" s="13" t="n">
        <x:f>F1054/E1054</x:f>
        <x:v>0</x:v>
      </x:c>
      <x:c r="P1054" s="2" t="str">
        <x:f>IF(AND(E1054&gt;='Итоги'!$F$5,N1054&lt;='Итоги'!$B$5,O1054&gt;='Итоги'!$D$5),"Да","Нет")</x:f>
        <x:v>Нет</x:v>
      </x:c>
    </x:row>
    <x:row r="1055" ht="60" customHeight="1">
      <x:c r="A1055" s="14" t="str">
        <x:v>Школьные принадлежности и канцелярия</x:v>
      </x:c>
      <x:c r="B1055" s="14" t="str">
        <x:v>Товары для школы, канцелярия, оборудование</x:v>
      </x:c>
      <x:c r="C1055" s="14" t="str">
        <x:v>Оборудование для магазина</x:v>
      </x:c>
      <x:c r="D1055" s="14" t="str">
        <x:v>Лототрон</x:v>
      </x:c>
      <x:c r="E1055" s="2" t="n">
        <x:v>4</x:v>
      </x:c>
      <x:c r="F1055" s="2" t="n">
        <x:v>0</x:v>
      </x:c>
      <x:c r="G1055" s="12" t="n">
        <x:v>427232.4586</x:v>
      </x:c>
      <x:c r="H1055" s="12" t="n">
        <x:v>4201.1731801000005</x:v>
      </x:c>
      <x:c r="I1055" s="13" t="n">
        <x:v>0.009725</x:v>
      </x:c>
      <x:c r="J1055" s="2" t="n">
        <x:v>0</x:v>
      </x:c>
      <x:c r="K1055" s="2" t="n">
        <x:v>2</x:v>
      </x:c>
      <x:c r="L1055" s="12" t="n">
        <x:v>1267.99025</x:v>
      </x:c>
      <x:c r="M1055" s="13" t="n">
        <x:v>0.7520506743632517</x:v>
      </x:c>
      <x:c r="N1055" s="13" t="n">
        <x:f>H1055/G1055</x:f>
        <x:v>0.009833459737274747</x:v>
      </x:c>
      <x:c r="O1055" s="13" t="n">
        <x:f>F1055/E1055</x:f>
        <x:v>0</x:v>
      </x:c>
      <x:c r="P1055" s="2" t="str">
        <x:f>IF(AND(E1055&gt;='Итоги'!$F$5,N1055&lt;='Итоги'!$B$5,O1055&gt;='Итоги'!$D$5),"Да","Нет")</x:f>
        <x:v>Нет</x:v>
      </x:c>
    </x:row>
    <x:row r="1056" ht="60" customHeight="1">
      <x:c r="A1056" s="14" t="str">
        <x:v>Аптека</x:v>
      </x:c>
      <x:c r="B1056" s="14" t="str">
        <x:v>Медицинские изделия</x:v>
      </x:c>
      <x:c r="C1056" s="14" t="str">
        <x:v>Расходные медицинские материалы</x:v>
      </x:c>
      <x:c r="D1056" s="14" t="str">
        <x:v>Пакет медицинский</x:v>
      </x:c>
      <x:c r="E1056" s="2" t="n">
        <x:v>3</x:v>
      </x:c>
      <x:c r="F1056" s="2" t="n">
        <x:v>0</x:v>
      </x:c>
      <x:c r="G1056" s="12" t="n">
        <x:v>357658</x:v>
      </x:c>
      <x:c r="H1056" s="12" t="n">
        <x:v>3526.1904000000004</x:v>
      </x:c>
      <x:c r="I1056" s="13" t="n">
        <x:v>0.0040666666666666</x:v>
      </x:c>
      <x:c r="J1056" s="2" t="n">
        <x:v>2</x:v>
      </x:c>
      <x:c r="K1056" s="2" t="n">
        <x:v>3</x:v>
      </x:c>
      <x:c r="L1056" s="12" t="n">
        <x:v>1356.9577</x:v>
      </x:c>
      <x:c r="M1056" s="13" t="n">
        <x:v>0.8081239619972153</x:v>
      </x:c>
      <x:c r="N1056" s="13" t="n">
        <x:f>H1056/G1056</x:f>
        <x:v>0.009859112336366027</x:v>
      </x:c>
      <x:c r="O1056" s="13" t="n">
        <x:f>F1056/E1056</x:f>
        <x:v>0</x:v>
      </x:c>
      <x:c r="P1056" s="2" t="str">
        <x:f>IF(AND(E1056&gt;='Итоги'!$F$5,N1056&lt;='Итоги'!$B$5,O1056&gt;='Итоги'!$D$5),"Да","Нет")</x:f>
        <x:v>Нет</x:v>
      </x:c>
    </x:row>
    <x:row r="1057" ht="60" customHeight="1">
      <x:c r="A1057" s="14" t="str">
        <x:v>Строительство и ремонт (DIY)</x:v>
      </x:c>
      <x:c r="B1057" s="14" t="str">
        <x:v>Ремонт и строительство</x:v>
      </x:c>
      <x:c r="C1057" s="14" t="str">
        <x:v>Отделка пола</x:v>
      </x:c>
      <x:c r="D1057" s="14" t="str">
        <x:v>Мозаика керамическая для ремонта</x:v>
      </x:c>
      <x:c r="E1057" s="2" t="n">
        <x:v>4</x:v>
      </x:c>
      <x:c r="F1057" s="2" t="n">
        <x:v>0</x:v>
      </x:c>
      <x:c r="G1057" s="12" t="n">
        <x:v>727967</x:v>
      </x:c>
      <x:c r="H1057" s="12" t="n">
        <x:v>7191.437899999999</x:v>
      </x:c>
      <x:c r="I1057" s="13" t="n">
        <x:v>0.0121999999999999</x:v>
      </x:c>
      <x:c r="J1057" s="2" t="n">
        <x:v>0</x:v>
      </x:c>
      <x:c r="K1057" s="2" t="n">
        <x:v>1</x:v>
      </x:c>
      <x:c r="L1057" s="12" t="n">
        <x:v>3472.06545</x:v>
      </x:c>
      <x:c r="M1057" s="13" t="n">
        <x:v>1</x:v>
      </x:c>
      <x:c r="N1057" s="13" t="n">
        <x:f>H1057/G1057</x:f>
        <x:v>0.009878796566327869</x:v>
      </x:c>
      <x:c r="O1057" s="13" t="n">
        <x:f>F1057/E1057</x:f>
        <x:v>0</x:v>
      </x:c>
      <x:c r="P1057" s="2" t="str">
        <x:f>IF(AND(E1057&gt;='Итоги'!$F$5,N1057&lt;='Итоги'!$B$5,O1057&gt;='Итоги'!$D$5),"Да","Нет")</x:f>
        <x:v>Нет</x:v>
      </x:c>
    </x:row>
    <x:row r="1058" ht="60" customHeight="1">
      <x:c r="A1058" s="14" t="str">
        <x:v>Аптека</x:v>
      </x:c>
      <x:c r="B1058" s="14" t="str">
        <x:v>Медицинские изделия</x:v>
      </x:c>
      <x:c r="C1058" s="14" t="str">
        <x:v>Расходные медицинские материалы</x:v>
      </x:c>
      <x:c r="D1058" s="14" t="str">
        <x:v>Шапочка медицинская</x:v>
      </x:c>
      <x:c r="E1058" s="2" t="n">
        <x:v>1</x:v>
      </x:c>
      <x:c r="F1058" s="2" t="n">
        <x:v>0</x:v>
      </x:c>
      <x:c r="G1058" s="12" t="n">
        <x:v>131786</x:v>
      </x:c>
      <x:c r="H1058" s="12" t="n">
        <x:v>1304.6814000000002</x:v>
      </x:c>
      <x:c r="I1058" s="13" t="n">
        <x:v>0.0099</x:v>
      </x:c>
      <x:c r="J1058" s="2" t="n">
        <x:v>0</x:v>
      </x:c>
      <x:c r="K1058" s="2" t="n">
        <x:v>1</x:v>
      </x:c>
      <x:c r="L1058" s="12" t="n">
        <x:v>1344.7551</x:v>
      </x:c>
      <x:c r="M1058" s="13" t="n">
        <x:v>1</x:v>
      </x:c>
      <x:c r="N1058" s="13" t="n">
        <x:f>H1058/G1058</x:f>
        <x:v>0.0099</x:v>
      </x:c>
      <x:c r="O1058" s="13" t="n">
        <x:f>F1058/E1058</x:f>
        <x:v>0</x:v>
      </x:c>
      <x:c r="P1058" s="2" t="str">
        <x:f>IF(AND(E1058&gt;='Итоги'!$F$5,N1058&lt;='Итоги'!$B$5,O1058&gt;='Итоги'!$D$5),"Да","Нет")</x:f>
        <x:v>Нет</x:v>
      </x:c>
    </x:row>
    <x:row r="1059" ht="60" customHeight="1">
      <x:c r="A1059" s="14" t="str">
        <x:v>Одежда</x:v>
      </x:c>
      <x:c r="B1059" s="14" t="str">
        <x:v>Верхняя одежда</x:v>
      </x:c>
      <x:c r="C1059" s="14" t="str">
        <x:v>Верхняя одежда женская</x:v>
      </x:c>
      <x:c r="D1059" s="14" t="str">
        <x:v>Пуховик женский</x:v>
      </x:c>
      <x:c r="E1059" s="2" t="n">
        <x:v>413</x:v>
      </x:c>
      <x:c r="F1059" s="2" t="n">
        <x:v>0</x:v>
      </x:c>
      <x:c r="G1059" s="12" t="n">
        <x:v>22671533.2689</x:v>
      </x:c>
      <x:c r="H1059" s="12" t="n">
        <x:v>224741.32858326</x:v>
      </x:c>
      <x:c r="I1059" s="13" t="n">
        <x:v>0.0105029055690072</x:v>
      </x:c>
      <x:c r="J1059" s="2" t="n">
        <x:v>333</x:v>
      </x:c>
      <x:c r="K1059" s="2" t="n">
        <x:v>66</x:v>
      </x:c>
      <x:c r="L1059" s="12" t="n">
        <x:v>8768</x:v>
      </x:c>
      <x:c r="M1059" s="13" t="n">
        <x:v>0.3285114281625013</x:v>
      </x:c>
      <x:c r="N1059" s="13" t="n">
        <x:f>H1059/G1059</x:f>
        <x:v>0.009912930277704337</x:v>
      </x:c>
      <x:c r="O1059" s="13" t="n">
        <x:f>F1059/E1059</x:f>
        <x:v>0</x:v>
      </x:c>
      <x:c r="P1059" s="2" t="str">
        <x:f>IF(AND(E1059&gt;='Итоги'!$F$5,N1059&lt;='Итоги'!$B$5,O1059&gt;='Итоги'!$D$5),"Да","Нет")</x:f>
        <x:v>Нет</x:v>
      </x:c>
    </x:row>
    <x:row r="1060" ht="60" customHeight="1">
      <x:c r="A1060" s="14" t="str">
        <x:v>Ноутбуки и компьютеры</x:v>
      </x:c>
      <x:c r="B1060" s="14" t="str">
        <x:v>Компьютерная офисная техника Lap&amp;Comp</x:v>
      </x:c>
      <x:c r="C1060" s="14" t="str">
        <x:v>Компьютерная офисная техника Lap&amp;Comp</x:v>
      </x:c>
      <x:c r="D1060" s="14" t="str">
        <x:v>Радиотелефон DECT</x:v>
      </x:c>
      <x:c r="E1060" s="2" t="n">
        <x:v>41</x:v>
      </x:c>
      <x:c r="F1060" s="2" t="n">
        <x:v>0</x:v>
      </x:c>
      <x:c r="G1060" s="12" t="n">
        <x:v>4421467.8268</x:v>
      </x:c>
      <x:c r="H1060" s="12" t="n">
        <x:v>43850.64923775</x:v>
      </x:c>
      <x:c r="I1060" s="13" t="n">
        <x:v>0.010370731707317</x:v>
      </x:c>
      <x:c r="J1060" s="2" t="n">
        <x:v>17</x:v>
      </x:c>
      <x:c r="K1060" s="2" t="n">
        <x:v>9</x:v>
      </x:c>
      <x:c r="L1060" s="12" t="n">
        <x:v>3087.4928</x:v>
      </x:c>
      <x:c r="M1060" s="13" t="n">
        <x:v>0.4342629297134661</x:v>
      </x:c>
      <x:c r="N1060" s="13" t="n">
        <x:f>H1060/G1060</x:f>
        <x:v>0.009917667832378312</x:v>
      </x:c>
      <x:c r="O1060" s="13" t="n">
        <x:f>F1060/E1060</x:f>
        <x:v>0</x:v>
      </x:c>
      <x:c r="P1060" s="2" t="str">
        <x:f>IF(AND(E1060&gt;='Итоги'!$F$5,N1060&lt;='Итоги'!$B$5,O1060&gt;='Итоги'!$D$5),"Да","Нет")</x:f>
        <x:v>Нет</x:v>
      </x:c>
    </x:row>
    <x:row r="1061" ht="60" customHeight="1">
      <x:c r="A1061" s="14" t="str">
        <x:v>Обувь</x:v>
      </x:c>
      <x:c r="B1061" s="14" t="str">
        <x:v>Обувь мужская</x:v>
      </x:c>
      <x:c r="C1061" s="14" t="str">
        <x:v>Спортивная обувь мужская</x:v>
      </x:c>
      <x:c r="D1061" s="14" t="str">
        <x:v>Спортивные сандалии мужские</x:v>
      </x:c>
      <x:c r="E1061" s="2" t="n">
        <x:v>129</x:v>
      </x:c>
      <x:c r="F1061" s="2" t="n">
        <x:v>0</x:v>
      </x:c>
      <x:c r="G1061" s="12" t="n">
        <x:v>9894552.039</x:v>
      </x:c>
      <x:c r="H1061" s="12" t="n">
        <x:v>98310.77407706</x:v>
      </x:c>
      <x:c r="I1061" s="13" t="n">
        <x:v>0.007422480620155</x:v>
      </x:c>
      <x:c r="J1061" s="2" t="n">
        <x:v>99</x:v>
      </x:c>
      <x:c r="K1061" s="2" t="n">
        <x:v>10</x:v>
      </x:c>
      <x:c r="L1061" s="12" t="n">
        <x:v>3363.3</x:v>
      </x:c>
      <x:c r="M1061" s="13" t="n">
        <x:v>0.8072268849077907</x:v>
      </x:c>
      <x:c r="N1061" s="13" t="n">
        <x:f>H1061/G1061</x:f>
        <x:v>0.009935848908526822</x:v>
      </x:c>
      <x:c r="O1061" s="13" t="n">
        <x:f>F1061/E1061</x:f>
        <x:v>0</x:v>
      </x:c>
      <x:c r="P1061" s="2" t="str">
        <x:f>IF(AND(E1061&gt;='Итоги'!$F$5,N1061&lt;='Итоги'!$B$5,O1061&gt;='Итоги'!$D$5),"Да","Нет")</x:f>
        <x:v>Нет</x:v>
      </x:c>
    </x:row>
    <x:row r="1062" ht="60" customHeight="1">
      <x:c r="A1062" s="14" t="str">
        <x:v>Мебель</x:v>
      </x:c>
      <x:c r="B1062" s="14" t="str">
        <x:v>Мягкая мебель</x:v>
      </x:c>
      <x:c r="C1062" s="14" t="str">
        <x:v>Кресло</x:v>
      </x:c>
      <x:c r="D1062" s="14" t="str">
        <x:v>Кресло-глайдер</x:v>
      </x:c>
      <x:c r="E1062" s="2" t="n">
        <x:v>24</x:v>
      </x:c>
      <x:c r="F1062" s="2" t="n">
        <x:v>0</x:v>
      </x:c>
      <x:c r="G1062" s="12" t="n">
        <x:v>5555671.6412</x:v>
      </x:c>
      <x:c r="H1062" s="12" t="n">
        <x:v>55227.88567725</x:v>
      </x:c>
      <x:c r="I1062" s="13" t="n">
        <x:v>0.0142208333333333</x:v>
      </x:c>
      <x:c r="J1062" s="2" t="n">
        <x:v>16</x:v>
      </x:c>
      <x:c r="K1062" s="2" t="n">
        <x:v>2</x:v>
      </x:c>
      <x:c r="L1062" s="12" t="n">
        <x:v>14169.9457</x:v>
      </x:c>
      <x:c r="M1062" s="13" t="n">
        <x:v>0.8541483276313685</x:v>
      </x:c>
      <x:c r="N1062" s="13" t="n">
        <x:f>H1062/G1062</x:f>
        <x:v>0.009940811704509056</x:v>
      </x:c>
      <x:c r="O1062" s="13" t="n">
        <x:f>F1062/E1062</x:f>
        <x:v>0</x:v>
      </x:c>
      <x:c r="P1062" s="2" t="str">
        <x:f>IF(AND(E1062&gt;='Итоги'!$F$5,N1062&lt;='Итоги'!$B$5,O1062&gt;='Итоги'!$D$5),"Да","Нет")</x:f>
        <x:v>Нет</x:v>
      </x:c>
    </x:row>
    <x:row r="1063" ht="60" customHeight="1">
      <x:c r="A1063" s="14" t="str">
        <x:v>Хобби и творчество</x:v>
      </x:c>
      <x:c r="B1063" s="14" t="str">
        <x:v>Взрослое творчество и хобби</x:v>
      </x:c>
      <x:c r="C1063" s="14" t="str">
        <x:v>Шитье</x:v>
      </x:c>
      <x:c r="D1063" s="14" t="str">
        <x:v>Аксессуары, инструменты для шитья</x:v>
      </x:c>
      <x:c r="E1063" s="2" t="n">
        <x:v>2</x:v>
      </x:c>
      <x:c r="F1063" s="2" t="n">
        <x:v>0</x:v>
      </x:c>
      <x:c r="G1063" s="12" t="n">
        <x:v>87474</x:v>
      </x:c>
      <x:c r="H1063" s="12" t="n">
        <x:v>871.5498</x:v>
      </x:c>
      <x:c r="I1063" s="13" t="n">
        <x:v>0.00645</x:v>
      </x:c>
      <x:c r="J1063" s="2" t="n">
        <x:v>1</x:v>
      </x:c>
      <x:c r="K1063" s="2" t="n">
        <x:v>2</x:v>
      </x:c>
      <x:c r="L1063" s="12" t="n">
        <x:v>1615.8088</x:v>
      </x:c>
      <x:c r="M1063" s="13" t="n">
        <x:v>0.7723666460891236</x:v>
      </x:c>
      <x:c r="N1063" s="13" t="n">
        <x:f>H1063/G1063</x:f>
        <x:v>0.009963529734549694</x:v>
      </x:c>
      <x:c r="O1063" s="13" t="n">
        <x:f>F1063/E1063</x:f>
        <x:v>0</x:v>
      </x:c>
      <x:c r="P1063" s="2" t="str">
        <x:f>IF(AND(E1063&gt;='Итоги'!$F$5,N1063&lt;='Итоги'!$B$5,O1063&gt;='Итоги'!$D$5),"Да","Нет")</x:f>
        <x:v>Нет</x:v>
      </x:c>
    </x:row>
    <x:row r="1064" ht="60" customHeight="1">
      <x:c r="A1064" s="14" t="str">
        <x:v>Автотовары</x:v>
      </x:c>
      <x:c r="B1064" s="14" t="str">
        <x:v>Универсальные авто и мото аксессуары</x:v>
      </x:c>
      <x:c r="C1064" s="14" t="str">
        <x:v>Мотоэкипировка</x:v>
      </x:c>
      <x:c r="D1064" s="14" t="str">
        <x:v>Мотообувь</x:v>
      </x:c>
      <x:c r="E1064" s="2" t="n">
        <x:v>51</x:v>
      </x:c>
      <x:c r="F1064" s="2" t="n">
        <x:v>0</x:v>
      </x:c>
      <x:c r="G1064" s="12" t="n">
        <x:v>5683910.4264</x:v>
      </x:c>
      <x:c r="H1064" s="12" t="n">
        <x:v>57131.9964216</x:v>
      </x:c>
      <x:c r="I1064" s="13" t="n">
        <x:v>0.0114627450980392</x:v>
      </x:c>
      <x:c r="J1064" s="2" t="n">
        <x:v>20</x:v>
      </x:c>
      <x:c r="K1064" s="2" t="n">
        <x:v>4</x:v>
      </x:c>
      <x:c r="L1064" s="12" t="n">
        <x:v>12813.619</x:v>
      </x:c>
      <x:c r="M1064" s="13" t="n">
        <x:v>0.7232064543641205</x:v>
      </x:c>
      <x:c r="N1064" s="13" t="n">
        <x:f>H1064/G1064</x:f>
        <x:v>0.010051530044569247</x:v>
      </x:c>
      <x:c r="O1064" s="13" t="n">
        <x:f>F1064/E1064</x:f>
        <x:v>0</x:v>
      </x:c>
      <x:c r="P1064" s="2" t="str">
        <x:f>IF(AND(E1064&gt;='Итоги'!$F$5,N1064&lt;='Итоги'!$B$5,O1064&gt;='Итоги'!$D$5),"Да","Нет")</x:f>
        <x:v>Нет</x:v>
      </x:c>
    </x:row>
    <x:row r="1065" ht="60" customHeight="1">
      <x:c r="A1065" s="14" t="str">
        <x:v>Одежда</x:v>
      </x:c>
      <x:c r="B1065" s="14" t="str">
        <x:v>Основная одежда мужская</x:v>
      </x:c>
      <x:c r="C1065" s="14" t="str">
        <x:v>Основная одежда мужская верха</x:v>
      </x:c>
      <x:c r="D1065" s="14" t="str">
        <x:v>Пиджак мужской</x:v>
      </x:c>
      <x:c r="E1065" s="2" t="n">
        <x:v>167</x:v>
      </x:c>
      <x:c r="F1065" s="2" t="n">
        <x:v>0</x:v>
      </x:c>
      <x:c r="G1065" s="12" t="n">
        <x:v>10155418.3001</x:v>
      </x:c>
      <x:c r="H1065" s="12" t="n">
        <x:v>102143.39806583</x:v>
      </x:c>
      <x:c r="I1065" s="13" t="n">
        <x:v>0.0123005988023952</x:v>
      </x:c>
      <x:c r="J1065" s="2" t="n">
        <x:v>121</x:v>
      </x:c>
      <x:c r="K1065" s="2" t="n">
        <x:v>23</x:v>
      </x:c>
      <x:c r="L1065" s="12" t="n">
        <x:v>4032.917</x:v>
      </x:c>
      <x:c r="M1065" s="13" t="n">
        <x:v>0.3538990411812588</x:v>
      </x:c>
      <x:c r="N1065" s="13" t="n">
        <x:f>H1065/G1065</x:f>
        <x:v>0.010058019773033297</x:v>
      </x:c>
      <x:c r="O1065" s="13" t="n">
        <x:f>F1065/E1065</x:f>
        <x:v>0</x:v>
      </x:c>
      <x:c r="P1065" s="2" t="str">
        <x:f>IF(AND(E1065&gt;='Итоги'!$F$5,N1065&lt;='Итоги'!$B$5,O1065&gt;='Итоги'!$D$5),"Да","Нет")</x:f>
        <x:v>Нет</x:v>
      </x:c>
    </x:row>
    <x:row r="1066" ht="60" customHeight="1">
      <x:c r="A1066" s="14" t="str">
        <x:v>Школьные принадлежности и канцелярия</x:v>
      </x:c>
      <x:c r="B1066" s="14" t="str">
        <x:v>Товары для школы, канцелярия, оборудование</x:v>
      </x:c>
      <x:c r="C1066" s="14" t="str">
        <x:v>Письменные принадлежности</x:v>
      </x:c>
      <x:c r="D1066" s="14" t="str">
        <x:v>Ручка для каллиграфии</x:v>
      </x:c>
      <x:c r="E1066" s="2" t="n">
        <x:v>3</x:v>
      </x:c>
      <x:c r="F1066" s="2" t="n">
        <x:v>0</x:v>
      </x:c>
      <x:c r="G1066" s="12" t="n">
        <x:v>183845</x:v>
      </x:c>
      <x:c r="H1066" s="12" t="n">
        <x:v>1850.4326</x:v>
      </x:c>
      <x:c r="I1066" s="13" t="n">
        <x:v>0.0634</x:v>
      </x:c>
      <x:c r="J1066" s="2" t="n">
        <x:v>0</x:v>
      </x:c>
      <x:c r="K1066" s="2" t="n">
        <x:v>1</x:v>
      </x:c>
      <x:c r="L1066" s="12" t="n">
        <x:v>3683.5556</x:v>
      </x:c>
      <x:c r="M1066" s="13" t="n">
        <x:v>1</x:v>
      </x:c>
      <x:c r="N1066" s="13" t="n">
        <x:f>H1066/G1066</x:f>
        <x:v>0.010065177731240991</x:v>
      </x:c>
      <x:c r="O1066" s="13" t="n">
        <x:f>F1066/E1066</x:f>
        <x:v>0</x:v>
      </x:c>
      <x:c r="P1066" s="2" t="str">
        <x:f>IF(AND(E1066&gt;='Итоги'!$F$5,N1066&lt;='Итоги'!$B$5,O1066&gt;='Итоги'!$D$5),"Да","Нет")</x:f>
        <x:v>Нет</x:v>
      </x:c>
    </x:row>
    <x:row r="1067" ht="60" customHeight="1">
      <x:c r="A1067" s="14" t="str">
        <x:v>Мебель</x:v>
      </x:c>
      <x:c r="B1067" s="14" t="str">
        <x:v>Компьютерная и офисная мебель</x:v>
      </x:c>
      <x:c r="C1067" s="14" t="str">
        <x:v>Аксессуары для компьютерной, офисной мебели</x:v>
      </x:c>
      <x:c r="D1067" s="14" t="str">
        <x:v>Табуреты для ног</x:v>
      </x:c>
      <x:c r="E1067" s="2" t="n">
        <x:v>6</x:v>
      </x:c>
      <x:c r="F1067" s="2" t="n">
        <x:v>0</x:v>
      </x:c>
      <x:c r="G1067" s="12" t="n">
        <x:v>1436149.9896</x:v>
      </x:c>
      <x:c r="H1067" s="12" t="n">
        <x:v>14458.91066512</x:v>
      </x:c>
      <x:c r="I1067" s="13" t="n">
        <x:v>0.0101166666666666</x:v>
      </x:c>
      <x:c r="J1067" s="2" t="n">
        <x:v>2</x:v>
      </x:c>
      <x:c r="K1067" s="2" t="n">
        <x:v>1</x:v>
      </x:c>
      <x:c r="L1067" s="12" t="n">
        <x:v>1478.9104</x:v>
      </x:c>
      <x:c r="M1067" s="13" t="n">
        <x:v>1</x:v>
      </x:c>
      <x:c r="N1067" s="13" t="n">
        <x:f>H1067/G1067</x:f>
        <x:v>0.010067827712861058</x:v>
      </x:c>
      <x:c r="O1067" s="13" t="n">
        <x:f>F1067/E1067</x:f>
        <x:v>0</x:v>
      </x:c>
      <x:c r="P1067" s="2" t="str">
        <x:f>IF(AND(E1067&gt;='Итоги'!$F$5,N1067&lt;='Итоги'!$B$5,O1067&gt;='Итоги'!$D$5),"Да","Нет")</x:f>
        <x:v>Нет</x:v>
      </x:c>
    </x:row>
    <x:row r="1068" ht="60" customHeight="1">
      <x:c r="A1068" s="14" t="str">
        <x:v>Товары для детей и спорта</x:v>
      </x:c>
      <x:c r="B1068" s="14" t="str">
        <x:v>Кормление детское</x:v>
      </x:c>
      <x:c r="C1068" s="14" t="str">
        <x:v>Кормление детское</x:v>
      </x:c>
      <x:c r="D1068" s="14" t="str">
        <x:v>Контейнер для детского питания</x:v>
      </x:c>
      <x:c r="E1068" s="2" t="n">
        <x:v>3</x:v>
      </x:c>
      <x:c r="F1068" s="2" t="n">
        <x:v>0</x:v>
      </x:c>
      <x:c r="G1068" s="12" t="n">
        <x:v>333425.3289</x:v>
      </x:c>
      <x:c r="H1068" s="12" t="n">
        <x:v>3392.03652</x:v>
      </x:c>
      <x:c r="I1068" s="13" t="n">
        <x:v>0.0336666666666666</x:v>
      </x:c>
      <x:c r="J1068" s="2" t="n">
        <x:v>2</x:v>
      </x:c>
      <x:c r="K1068" s="2" t="n">
        <x:v>1</x:v>
      </x:c>
      <x:c r="L1068" s="12" t="n">
        <x:v>1679.226</x:v>
      </x:c>
      <x:c r="M1068" s="13" t="n">
        <x:v>1</x:v>
      </x:c>
      <x:c r="N1068" s="13" t="n">
        <x:f>H1068/G1068</x:f>
        <x:v>0.010173301863990453</x:v>
      </x:c>
      <x:c r="O1068" s="13" t="n">
        <x:f>F1068/E1068</x:f>
        <x:v>0</x:v>
      </x:c>
      <x:c r="P1068" s="2" t="str">
        <x:f>IF(AND(E1068&gt;='Итоги'!$F$5,N1068&lt;='Итоги'!$B$5,O1068&gt;='Итоги'!$D$5),"Да","Нет")</x:f>
        <x:v>Нет</x:v>
      </x:c>
    </x:row>
    <x:row r="1069" ht="60" customHeight="1">
      <x:c r="A1069" s="14" t="str">
        <x:v>Спорт и отдых</x:v>
      </x:c>
      <x:c r="B1069" s="14" t="str">
        <x:v>Тренажеры и фитнес</x:v>
      </x:c>
      <x:c r="C1069" s="14" t="str">
        <x:v>Кросстренинг и тяжёлая атлетика</x:v>
      </x:c>
      <x:c r="D1069" s="14" t="str">
        <x:v>Силовой тренажер</x:v>
      </x:c>
      <x:c r="E1069" s="2" t="n">
        <x:v>6</x:v>
      </x:c>
      <x:c r="F1069" s="2" t="n">
        <x:v>0</x:v>
      </x:c>
      <x:c r="G1069" s="12" t="n">
        <x:v>652116.7308</x:v>
      </x:c>
      <x:c r="H1069" s="12" t="n">
        <x:v>6648.56050064</x:v>
      </x:c>
      <x:c r="I1069" s="13" t="n">
        <x:v>0.0096166666666666</x:v>
      </x:c>
      <x:c r="J1069" s="2" t="n">
        <x:v>3</x:v>
      </x:c>
      <x:c r="K1069" s="2" t="n">
        <x:v>5</x:v>
      </x:c>
      <x:c r="L1069" s="12" t="n">
        <x:v>13324.51925</x:v>
      </x:c>
      <x:c r="M1069" s="13" t="n">
        <x:v>0.3236537111094773</x:v>
      </x:c>
      <x:c r="N1069" s="13" t="n">
        <x:f>H1069/G1069</x:f>
        <x:v>0.010195353357187627</x:v>
      </x:c>
      <x:c r="O1069" s="13" t="n">
        <x:f>F1069/E1069</x:f>
        <x:v>0</x:v>
      </x:c>
      <x:c r="P1069" s="2" t="str">
        <x:f>IF(AND(E1069&gt;='Итоги'!$F$5,N1069&lt;='Итоги'!$B$5,O1069&gt;='Итоги'!$D$5),"Да","Нет")</x:f>
        <x:v>Нет</x:v>
      </x:c>
    </x:row>
    <x:row r="1070" ht="60" customHeight="1">
      <x:c r="A1070" s="14" t="str">
        <x:v>Аптека</x:v>
      </x:c>
      <x:c r="B1070" s="14" t="str">
        <x:v>Тату</x:v>
      </x:c>
      <x:c r="C1070" s="14" t="str">
        <x:v>Тату мебель</x:v>
      </x:c>
      <x:c r="D1070" s="14" t="str">
        <x:v>Подлокотники для тату салона</x:v>
      </x:c>
      <x:c r="E1070" s="2" t="n">
        <x:v>2</x:v>
      </x:c>
      <x:c r="F1070" s="2" t="n">
        <x:v>0</x:v>
      </x:c>
      <x:c r="G1070" s="12" t="n">
        <x:v>409336.7823</x:v>
      </x:c>
      <x:c r="H1070" s="12" t="n">
        <x:v>4208.5488</x:v>
      </x:c>
      <x:c r="I1070" s="13" t="n">
        <x:v>0.0202</x:v>
      </x:c>
      <x:c r="J1070" s="2" t="n">
        <x:v>1</x:v>
      </x:c>
      <x:c r="K1070" s="2" t="n">
        <x:v>2</x:v>
      </x:c>
      <x:c r="L1070" s="12" t="n">
        <x:v>4172.0687</x:v>
      </x:c>
      <x:c r="M1070" s="13" t="n">
        <x:v>0.7455102876055417</x:v>
      </x:c>
      <x:c r="N1070" s="13" t="n">
        <x:f>H1070/G1070</x:f>
        <x:v>0.010281384380736116</x:v>
      </x:c>
      <x:c r="O1070" s="13" t="n">
        <x:f>F1070/E1070</x:f>
        <x:v>0</x:v>
      </x:c>
      <x:c r="P1070" s="2" t="str">
        <x:f>IF(AND(E1070&gt;='Итоги'!$F$5,N1070&lt;='Итоги'!$B$5,O1070&gt;='Итоги'!$D$5),"Да","Нет")</x:f>
        <x:v>Нет</x:v>
      </x:c>
    </x:row>
    <x:row r="1071" ht="60" customHeight="1">
      <x:c r="A1071" s="14" t="str">
        <x:v>Обувь</x:v>
      </x:c>
      <x:c r="B1071" s="14" t="str">
        <x:v>Обувь женская</x:v>
      </x:c>
      <x:c r="C1071" s="14" t="str">
        <x:v>Обувь женская зимняя</x:v>
      </x:c>
      <x:c r="D1071" s="14" t="str">
        <x:v>Женские Сапоги зимние</x:v>
      </x:c>
      <x:c r="E1071" s="2" t="n">
        <x:v>153</x:v>
      </x:c>
      <x:c r="F1071" s="2" t="n">
        <x:v>0</x:v>
      </x:c>
      <x:c r="G1071" s="12" t="n">
        <x:v>7999163.7591</x:v>
      </x:c>
      <x:c r="H1071" s="12" t="n">
        <x:v>82672.43244327</x:v>
      </x:c>
      <x:c r="I1071" s="13" t="n">
        <x:v>0.0055385620915032</x:v>
      </x:c>
      <x:c r="J1071" s="2" t="n">
        <x:v>133</x:v>
      </x:c>
      <x:c r="K1071" s="2" t="n">
        <x:v>20</x:v>
      </x:c>
      <x:c r="L1071" s="12" t="n">
        <x:v>5169.8681</x:v>
      </x:c>
      <x:c r="M1071" s="13" t="n">
        <x:v>0.7022010077503378</x:v>
      </x:c>
      <x:c r="N1071" s="13" t="n">
        <x:f>H1071/G1071</x:f>
        <x:v>0.010335134388169047</x:v>
      </x:c>
      <x:c r="O1071" s="13" t="n">
        <x:f>F1071/E1071</x:f>
        <x:v>0</x:v>
      </x:c>
      <x:c r="P1071" s="2" t="str">
        <x:f>IF(AND(E1071&gt;='Итоги'!$F$5,N1071&lt;='Итоги'!$B$5,O1071&gt;='Итоги'!$D$5),"Да","Нет")</x:f>
        <x:v>Нет</x:v>
      </x:c>
    </x:row>
    <x:row r="1072" ht="60" customHeight="1">
      <x:c r="A1072" s="14" t="str">
        <x:v>Одежда</x:v>
      </x:c>
      <x:c r="B1072" s="14" t="str">
        <x:v>Основная одежда женская</x:v>
      </x:c>
      <x:c r="C1072" s="14" t="str">
        <x:v>Спортивная основная одежда женская верха</x:v>
      </x:c>
      <x:c r="D1072" s="14" t="str">
        <x:v>Спортивная толстовка флисовая женская</x:v>
      </x:c>
      <x:c r="E1072" s="2" t="n">
        <x:v>7</x:v>
      </x:c>
      <x:c r="F1072" s="2" t="n">
        <x:v>0</x:v>
      </x:c>
      <x:c r="G1072" s="12" t="n">
        <x:v>206849.75</x:v>
      </x:c>
      <x:c r="H1072" s="12" t="n">
        <x:v>2146.627875</x:v>
      </x:c>
      <x:c r="I1072" s="13" t="n">
        <x:v>0.0125571428571428</x:v>
      </x:c>
      <x:c r="J1072" s="2" t="n">
        <x:v>6</x:v>
      </x:c>
      <x:c r="K1072" s="2" t="n">
        <x:v>3</x:v>
      </x:c>
      <x:c r="L1072" s="12" t="n">
        <x:v>1591</x:v>
      </x:c>
      <x:c r="M1072" s="13" t="n">
        <x:v>0.5255904346028941</x:v>
      </x:c>
      <x:c r="N1072" s="13" t="n">
        <x:f>H1072/G1072</x:f>
        <x:v>0.010377715588247025</x:v>
      </x:c>
      <x:c r="O1072" s="13" t="n">
        <x:f>F1072/E1072</x:f>
        <x:v>0</x:v>
      </x:c>
      <x:c r="P1072" s="2" t="str">
        <x:f>IF(AND(E1072&gt;='Итоги'!$F$5,N1072&lt;='Итоги'!$B$5,O1072&gt;='Итоги'!$D$5),"Да","Нет")</x:f>
        <x:v>Нет</x:v>
      </x:c>
    </x:row>
    <x:row r="1073" ht="60" customHeight="1">
      <x:c r="A1073" s="14" t="str">
        <x:v>Строительство и ремонт (DIY)</x:v>
      </x:c>
      <x:c r="B1073" s="14" t="str">
        <x:v>Сад и огород</x:v>
      </x:c>
      <x:c r="C1073" s="14" t="str">
        <x:v>Аксессуары для садовых растений</x:v>
      </x:c>
      <x:c r="D1073" s="14" t="str">
        <x:v>Проращиватель семян</x:v>
      </x:c>
      <x:c r="E1073" s="2" t="n">
        <x:v>1</x:v>
      </x:c>
      <x:c r="F1073" s="2" t="n">
        <x:v>0</x:v>
      </x:c>
      <x:c r="G1073" s="12" t="n">
        <x:v>236058.3311</x:v>
      </x:c>
      <x:c r="H1073" s="12" t="n">
        <x:v>2455.00664344</x:v>
      </x:c>
      <x:c r="I1073" s="13" t="n">
        <x:v>0.0104</x:v>
      </x:c>
      <x:c r="J1073" s="2" t="n">
        <x:v>0</x:v>
      </x:c>
      <x:c r="K1073" s="2" t="n">
        <x:v>1</x:v>
      </x:c>
      <x:c r="L1073" s="12" t="n">
        <x:v>3807.3924</x:v>
      </x:c>
      <x:c r="M1073" s="13" t="n">
        <x:v>1</x:v>
      </x:c>
      <x:c r="N1073" s="13" t="n">
        <x:f>H1073/G1073</x:f>
        <x:v>0.0104</x:v>
      </x:c>
      <x:c r="O1073" s="13" t="n">
        <x:f>F1073/E1073</x:f>
        <x:v>0</x:v>
      </x:c>
      <x:c r="P1073" s="2" t="str">
        <x:f>IF(AND(E1073&gt;='Итоги'!$F$5,N1073&lt;='Итоги'!$B$5,O1073&gt;='Итоги'!$D$5),"Да","Нет")</x:f>
        <x:v>Нет</x:v>
      </x:c>
    </x:row>
    <x:row r="1074" ht="60" customHeight="1">
      <x:c r="A1074" s="14" t="str">
        <x:v>Аптека</x:v>
      </x:c>
      <x:c r="B1074" s="14" t="str">
        <x:v>Средства реабилитации</x:v>
      </x:c>
      <x:c r="C1074" s="14" t="str">
        <x:v>Средства реабилитации</x:v>
      </x:c>
      <x:c r="D1074" s="14" t="str">
        <x:v>Аксессуары для трости, ходунков, костылей</x:v>
      </x:c>
      <x:c r="E1074" s="2" t="n">
        <x:v>2</x:v>
      </x:c>
      <x:c r="F1074" s="2" t="n">
        <x:v>0</x:v>
      </x:c>
      <x:c r="G1074" s="12" t="n">
        <x:v>563568</x:v>
      </x:c>
      <x:c r="H1074" s="12" t="n">
        <x:v>5870.1792</x:v>
      </x:c>
      <x:c r="I1074" s="13" t="n">
        <x:v>0.0098</x:v>
      </x:c>
      <x:c r="J1074" s="2" t="n">
        <x:v>0</x:v>
      </x:c>
      <x:c r="K1074" s="2" t="n">
        <x:v>2</x:v>
      </x:c>
      <x:c r="L1074" s="12" t="n">
        <x:v>6450.85715</x:v>
      </x:c>
      <x:c r="M1074" s="13" t="n">
        <x:v>0.5641768162848139</x:v>
      </x:c>
      <x:c r="N1074" s="13" t="n">
        <x:f>H1074/G1074</x:f>
        <x:v>0.010416097436334213</x:v>
      </x:c>
      <x:c r="O1074" s="13" t="n">
        <x:f>F1074/E1074</x:f>
        <x:v>0</x:v>
      </x:c>
      <x:c r="P1074" s="2" t="str">
        <x:f>IF(AND(E1074&gt;='Итоги'!$F$5,N1074&lt;='Итоги'!$B$5,O1074&gt;='Итоги'!$D$5),"Да","Нет")</x:f>
        <x:v>Нет</x:v>
      </x:c>
    </x:row>
    <x:row r="1075" ht="60" customHeight="1">
      <x:c r="A1075" s="14" t="str">
        <x:v>Аптека</x:v>
      </x:c>
      <x:c r="B1075" s="14" t="str">
        <x:v>Витамины и БАДы</x:v>
      </x:c>
      <x:c r="C1075" s="14" t="str">
        <x:v>Венозная недостаточность</x:v>
      </x:c>
      <x:c r="D1075" s="14" t="str">
        <x:v>БАД для поддержания здоровья вен</x:v>
      </x:c>
      <x:c r="E1075" s="2" t="n">
        <x:v>4</x:v>
      </x:c>
      <x:c r="F1075" s="2" t="n">
        <x:v>0</x:v>
      </x:c>
      <x:c r="G1075" s="12" t="n">
        <x:v>755180.2447</x:v>
      </x:c>
      <x:c r="H1075" s="12" t="n">
        <x:v>7894.1959541</x:v>
      </x:c>
      <x:c r="I1075" s="13" t="n">
        <x:v>0.018625</x:v>
      </x:c>
      <x:c r="J1075" s="2" t="n">
        <x:v>3</x:v>
      </x:c>
      <x:c r="K1075" s="2" t="n">
        <x:v>2</x:v>
      </x:c>
      <x:c r="L1075" s="12" t="n">
        <x:v>1053.5341</x:v>
      </x:c>
      <x:c r="M1075" s="13" t="n">
        <x:v>0.5365586186129214</x:v>
      </x:c>
      <x:c r="N1075" s="13" t="n">
        <x:f>H1075/G1075</x:f>
        <x:v>0.010453393093242285</x:v>
      </x:c>
      <x:c r="O1075" s="13" t="n">
        <x:f>F1075/E1075</x:f>
        <x:v>0</x:v>
      </x:c>
      <x:c r="P1075" s="2" t="str">
        <x:f>IF(AND(E1075&gt;='Итоги'!$F$5,N1075&lt;='Итоги'!$B$5,O1075&gt;='Итоги'!$D$5),"Да","Нет")</x:f>
        <x:v>Нет</x:v>
      </x:c>
    </x:row>
    <x:row r="1076" ht="60" customHeight="1">
      <x:c r="A1076" s="14" t="str">
        <x:v>Товары для дома</x:v>
      </x:c>
      <x:c r="B1076" s="14" t="str">
        <x:v>Кухня</x:v>
      </x:c>
      <x:c r="C1076" s="14" t="str">
        <x:v>Посуда для приготовления пищи</x:v>
      </x:c>
      <x:c r="D1076" s="14" t="str">
        <x:v>Посуда из жаропрочного стекла</x:v>
      </x:c>
      <x:c r="E1076" s="2" t="n">
        <x:v>3</x:v>
      </x:c>
      <x:c r="F1076" s="2" t="n">
        <x:v>0</x:v>
      </x:c>
      <x:c r="G1076" s="12" t="n">
        <x:v>402591.6808</x:v>
      </x:c>
      <x:c r="H1076" s="12" t="n">
        <x:v>4225.77064549</x:v>
      </x:c>
      <x:c r="I1076" s="13" t="n">
        <x:v>0.0104333333333333</x:v>
      </x:c>
      <x:c r="J1076" s="2" t="n">
        <x:v>0</x:v>
      </x:c>
      <x:c r="K1076" s="2" t="n">
        <x:v>1</x:v>
      </x:c>
      <x:c r="L1076" s="12" t="n">
        <x:v>1199.4338</x:v>
      </x:c>
      <x:c r="M1076" s="13" t="n">
        <x:v>1</x:v>
      </x:c>
      <x:c r="N1076" s="13" t="n">
        <x:f>H1076/G1076</x:f>
        <x:v>0.01049641819993117</x:v>
      </x:c>
      <x:c r="O1076" s="13" t="n">
        <x:f>F1076/E1076</x:f>
        <x:v>0</x:v>
      </x:c>
      <x:c r="P1076" s="2" t="str">
        <x:f>IF(AND(E1076&gt;='Итоги'!$F$5,N1076&lt;='Итоги'!$B$5,O1076&gt;='Итоги'!$D$5),"Да","Нет")</x:f>
        <x:v>Нет</x:v>
      </x:c>
    </x:row>
    <x:row r="1077" ht="60" customHeight="1">
      <x:c r="A1077" s="14" t="str">
        <x:v>Товары для дома</x:v>
      </x:c>
      <x:c r="B1077" s="14" t="str">
        <x:v>Кухня</x:v>
      </x:c>
      <x:c r="C1077" s="14" t="str">
        <x:v>Банка, контейнер для хранения продуктов</x:v>
      </x:c>
      <x:c r="D1077" s="14" t="str">
        <x:v>Гастроемкость</x:v>
      </x:c>
      <x:c r="E1077" s="2" t="n">
        <x:v>1</x:v>
      </x:c>
      <x:c r="F1077" s="2" t="n">
        <x:v>0</x:v>
      </x:c>
      <x:c r="G1077" s="12" t="n">
        <x:v>128039.9922</x:v>
      </x:c>
      <x:c r="H1077" s="12" t="n">
        <x:v>1344.4199181</x:v>
      </x:c>
      <x:c r="I1077" s="13" t="n">
        <x:v>0.0105</x:v>
      </x:c>
      <x:c r="J1077" s="2" t="n">
        <x:v>0</x:v>
      </x:c>
      <x:c r="K1077" s="2" t="n">
        <x:v>1</x:v>
      </x:c>
      <x:c r="L1077" s="12" t="n">
        <x:v>969.9999</x:v>
      </x:c>
      <x:c r="M1077" s="13" t="n">
        <x:v>1</x:v>
      </x:c>
      <x:c r="N1077" s="13" t="n">
        <x:f>H1077/G1077</x:f>
        <x:v>0.0105</x:v>
      </x:c>
      <x:c r="O1077" s="13" t="n">
        <x:f>F1077/E1077</x:f>
        <x:v>0</x:v>
      </x:c>
      <x:c r="P1077" s="2" t="str">
        <x:f>IF(AND(E1077&gt;='Итоги'!$F$5,N1077&lt;='Итоги'!$B$5,O1077&gt;='Итоги'!$D$5),"Да","Нет")</x:f>
        <x:v>Нет</x:v>
      </x:c>
    </x:row>
    <x:row r="1078" ht="60" customHeight="1">
      <x:c r="A1078" s="14" t="str">
        <x:v>Аптека</x:v>
      </x:c>
      <x:c r="B1078" s="14" t="str">
        <x:v>Профессиональный уход за полостью рта</x:v>
      </x:c>
      <x:c r="C1078" s="14" t="str">
        <x:v>Профессиональный уход за полостью рта</x:v>
      </x:c>
      <x:c r="D1078" s="14" t="str">
        <x:v>Вестибулярная пластина, капа, трейнер</x:v>
      </x:c>
      <x:c r="E1078" s="2" t="n">
        <x:v>35</x:v>
      </x:c>
      <x:c r="F1078" s="2" t="n">
        <x:v>0</x:v>
      </x:c>
      <x:c r="G1078" s="12" t="n">
        <x:v>4639392.83</x:v>
      </x:c>
      <x:c r="H1078" s="12" t="n">
        <x:v>48894.380962</x:v>
      </x:c>
      <x:c r="I1078" s="13" t="n">
        <x:v>0.0160771428571428</x:v>
      </x:c>
      <x:c r="J1078" s="2" t="n">
        <x:v>32</x:v>
      </x:c>
      <x:c r="K1078" s="2" t="n">
        <x:v>6</x:v>
      </x:c>
      <x:c r="L1078" s="12" t="n">
        <x:v>6570.1429</x:v>
      </x:c>
      <x:c r="M1078" s="13" t="n">
        <x:v>0.8271463466481238</x:v>
      </x:c>
      <x:c r="N1078" s="13" t="n">
        <x:f>H1078/G1078</x:f>
        <x:v>0.010538961186005023</x:v>
      </x:c>
      <x:c r="O1078" s="13" t="n">
        <x:f>F1078/E1078</x:f>
        <x:v>0</x:v>
      </x:c>
      <x:c r="P1078" s="2" t="str">
        <x:f>IF(AND(E1078&gt;='Итоги'!$F$5,N1078&lt;='Итоги'!$B$5,O1078&gt;='Итоги'!$D$5),"Да","Нет")</x:f>
        <x:v>Нет</x:v>
      </x:c>
    </x:row>
    <x:row r="1079" ht="60" customHeight="1">
      <x:c r="A1079" s="14" t="str">
        <x:v>Детская одежда</x:v>
      </x:c>
      <x:c r="B1079" s="14" t="str">
        <x:v>Детская одежда</x:v>
      </x:c>
      <x:c r="C1079" s="14" t="str">
        <x:v>Одежда для девочки</x:v>
      </x:c>
      <x:c r="D1079" s="14" t="str">
        <x:v>Толстовка для девочки</x:v>
      </x:c>
      <x:c r="E1079" s="2" t="n">
        <x:v>12</x:v>
      </x:c>
      <x:c r="F1079" s="2" t="n">
        <x:v>0</x:v>
      </x:c>
      <x:c r="G1079" s="12" t="n">
        <x:v>891689.9171</x:v>
      </x:c>
      <x:c r="H1079" s="12" t="n">
        <x:v>9440.46570308</x:v>
      </x:c>
      <x:c r="I1079" s="13" t="n">
        <x:v>0.0083916666666666</x:v>
      </x:c>
      <x:c r="J1079" s="2" t="n">
        <x:v>8</x:v>
      </x:c>
      <x:c r="K1079" s="2" t="n">
        <x:v>5</x:v>
      </x:c>
      <x:c r="L1079" s="12" t="n">
        <x:v>1335.7833500000002</x:v>
      </x:c>
      <x:c r="M1079" s="13" t="n">
        <x:v>0.5652548720515301</x:v>
      </x:c>
      <x:c r="N1079" s="13" t="n">
        <x:f>H1079/G1079</x:f>
        <x:v>0.010587162108754994</x:v>
      </x:c>
      <x:c r="O1079" s="13" t="n">
        <x:f>F1079/E1079</x:f>
        <x:v>0</x:v>
      </x:c>
      <x:c r="P1079" s="2" t="str">
        <x:f>IF(AND(E1079&gt;='Итоги'!$F$5,N1079&lt;='Итоги'!$B$5,O1079&gt;='Итоги'!$D$5),"Да","Нет")</x:f>
        <x:v>Нет</x:v>
      </x:c>
    </x:row>
    <x:row r="1080" ht="60" customHeight="1">
      <x:c r="A1080" s="14" t="str">
        <x:v>Книги</x:v>
      </x:c>
      <x:c r="B1080" s="14" t="str">
        <x:v>Печатные книги: Художественная литература</x:v>
      </x:c>
      <x:c r="C1080" s="14" t="str">
        <x:v>Книги: Детективы</x:v>
      </x:c>
      <x:c r="D1080" s="14" t="str">
        <x:v>Печатная книга: Детективы</x:v>
      </x:c>
      <x:c r="E1080" s="2" t="n">
        <x:v>1</x:v>
      </x:c>
      <x:c r="F1080" s="2" t="n">
        <x:v>0</x:v>
      </x:c>
      <x:c r="G1080" s="12" t="n">
        <x:v>83101.2879</x:v>
      </x:c>
      <x:c r="H1080" s="12" t="n">
        <x:v>880.87365174</x:v>
      </x:c>
      <x:c r="I1080" s="13" t="n">
        <x:v>0.0106</x:v>
      </x:c>
      <x:c r="J1080" s="2" t="n">
        <x:v>0</x:v>
      </x:c>
      <x:c r="K1080" s="2" t="n">
        <x:v>1</x:v>
      </x:c>
      <x:c r="L1080" s="12" t="n">
        <x:v>1154.1846</x:v>
      </x:c>
      <x:c r="M1080" s="13" t="n">
        <x:v>1</x:v>
      </x:c>
      <x:c r="N1080" s="13" t="n">
        <x:f>H1080/G1080</x:f>
        <x:v>0.0106</x:v>
      </x:c>
      <x:c r="O1080" s="13" t="n">
        <x:f>F1080/E1080</x:f>
        <x:v>0</x:v>
      </x:c>
      <x:c r="P1080" s="2" t="str">
        <x:f>IF(AND(E1080&gt;='Итоги'!$F$5,N1080&lt;='Итоги'!$B$5,O1080&gt;='Итоги'!$D$5),"Да","Нет")</x:f>
        <x:v>Нет</x:v>
      </x:c>
    </x:row>
    <x:row r="1081" ht="60" customHeight="1">
      <x:c r="A1081" s="14" t="str">
        <x:v>Строительство и ремонт (DIY)</x:v>
      </x:c>
      <x:c r="B1081" s="14" t="str">
        <x:v>Сантехника</x:v>
      </x:c>
      <x:c r="C1081" s="14" t="str">
        <x:v>Системы отопления</x:v>
      </x:c>
      <x:c r="D1081" s="14" t="str">
        <x:v>Промывочный насос для системы отопления</x:v>
      </x:c>
      <x:c r="E1081" s="2" t="n">
        <x:v>1</x:v>
      </x:c>
      <x:c r="F1081" s="2" t="n">
        <x:v>0</x:v>
      </x:c>
      <x:c r="G1081" s="12" t="n">
        <x:v>130002</x:v>
      </x:c>
      <x:c r="H1081" s="12" t="n">
        <x:v>1378.0212</x:v>
      </x:c>
      <x:c r="I1081" s="13" t="n">
        <x:v>0.0106</x:v>
      </x:c>
      <x:c r="J1081" s="2" t="n">
        <x:v>0</x:v>
      </x:c>
      <x:c r="K1081" s="2" t="n">
        <x:v>1</x:v>
      </x:c>
      <x:c r="L1081" s="12" t="n">
        <x:v>1911.7941</x:v>
      </x:c>
      <x:c r="M1081" s="13" t="n">
        <x:v>1</x:v>
      </x:c>
      <x:c r="N1081" s="13" t="n">
        <x:f>H1081/G1081</x:f>
        <x:v>0.0106</x:v>
      </x:c>
      <x:c r="O1081" s="13" t="n">
        <x:f>F1081/E1081</x:f>
        <x:v>0</x:v>
      </x:c>
      <x:c r="P1081" s="2" t="str">
        <x:f>IF(AND(E1081&gt;='Итоги'!$F$5,N1081&lt;='Итоги'!$B$5,O1081&gt;='Итоги'!$D$5),"Да","Нет")</x:f>
        <x:v>Нет</x:v>
      </x:c>
    </x:row>
    <x:row r="1082" ht="60" customHeight="1">
      <x:c r="A1082" s="14" t="str">
        <x:v>Автотовары</x:v>
      </x:c>
      <x:c r="B1082" s="14" t="str">
        <x:v>Авто и мото запчасти</x:v>
      </x:c>
      <x:c r="C1082" s="14" t="str">
        <x:v>Кузовные детали</x:v>
      </x:c>
      <x:c r="D1082" s="14" t="str">
        <x:v>Зеркало автомобильное</x:v>
      </x:c>
      <x:c r="E1082" s="2" t="n">
        <x:v>25</x:v>
      </x:c>
      <x:c r="F1082" s="2" t="n">
        <x:v>0</x:v>
      </x:c>
      <x:c r="G1082" s="12" t="n">
        <x:v>4084870.0777</x:v>
      </x:c>
      <x:c r="H1082" s="12" t="n">
        <x:v>43454.57447368</x:v>
      </x:c>
      <x:c r="I1082" s="13" t="n">
        <x:v>0.020496</x:v>
      </x:c>
      <x:c r="J1082" s="2" t="n">
        <x:v>19</x:v>
      </x:c>
      <x:c r="K1082" s="2" t="n">
        <x:v>4</x:v>
      </x:c>
      <x:c r="L1082" s="12" t="n">
        <x:v>2622.9565</x:v>
      </x:c>
      <x:c r="M1082" s="13" t="n">
        <x:v>0.7776977032984864</x:v>
      </x:c>
      <x:c r="N1082" s="13" t="n">
        <x:f>H1082/G1082</x:f>
        <x:v>0.010637933066930552</x:v>
      </x:c>
      <x:c r="O1082" s="13" t="n">
        <x:f>F1082/E1082</x:f>
        <x:v>0</x:v>
      </x:c>
      <x:c r="P1082" s="2" t="str">
        <x:f>IF(AND(E1082&gt;='Итоги'!$F$5,N1082&lt;='Итоги'!$B$5,O1082&gt;='Итоги'!$D$5),"Да","Нет")</x:f>
        <x:v>Нет</x:v>
      </x:c>
    </x:row>
    <x:row r="1083" ht="60" customHeight="1">
      <x:c r="A1083" s="14" t="str">
        <x:v>Мебель</x:v>
      </x:c>
      <x:c r="B1083" s="14" t="str">
        <x:v>Корпусная мебель и мебель для хранения</x:v>
      </x:c>
      <x:c r="C1083" s="14" t="str">
        <x:v>Мебель для бизнеса</x:v>
      </x:c>
      <x:c r="D1083" s="14" t="str">
        <x:v>Ванна производственная</x:v>
      </x:c>
      <x:c r="E1083" s="2" t="n">
        <x:v>16</x:v>
      </x:c>
      <x:c r="F1083" s="2" t="n">
        <x:v>0</x:v>
      </x:c>
      <x:c r="G1083" s="12" t="n">
        <x:v>2012112</x:v>
      </x:c>
      <x:c r="H1083" s="12" t="n">
        <x:v>21439.5881</x:v>
      </x:c>
      <x:c r="I1083" s="13" t="n">
        <x:v>0.0228375</x:v>
      </x:c>
      <x:c r="J1083" s="2" t="n">
        <x:v>7</x:v>
      </x:c>
      <x:c r="K1083" s="2" t="n">
        <x:v>6</x:v>
      </x:c>
      <x:c r="L1083" s="12" t="n">
        <x:v>9906.7278</x:v>
      </x:c>
      <x:c r="M1083" s="13" t="n">
        <x:v>0.6792504592189699</x:v>
      </x:c>
      <x:c r="N1083" s="13" t="n">
        <x:f>H1083/G1083</x:f>
        <x:v>0.010655265760554086</x:v>
      </x:c>
      <x:c r="O1083" s="13" t="n">
        <x:f>F1083/E1083</x:f>
        <x:v>0</x:v>
      </x:c>
      <x:c r="P1083" s="2" t="str">
        <x:f>IF(AND(E1083&gt;='Итоги'!$F$5,N1083&lt;='Итоги'!$B$5,O1083&gt;='Итоги'!$D$5),"Да","Нет")</x:f>
        <x:v>Нет</x:v>
      </x:c>
    </x:row>
    <x:row r="1084" ht="60" customHeight="1">
      <x:c r="A1084" s="14" t="str">
        <x:v>Детская одежда</x:v>
      </x:c>
      <x:c r="B1084" s="14" t="str">
        <x:v>Детская обувь</x:v>
      </x:c>
      <x:c r="C1084" s="14" t="str">
        <x:v>Обувь для девочки</x:v>
      </x:c>
      <x:c r="D1084" s="14" t="str">
        <x:v>Полуботинки для девочки</x:v>
      </x:c>
      <x:c r="E1084" s="2" t="n">
        <x:v>7</x:v>
      </x:c>
      <x:c r="F1084" s="2" t="n">
        <x:v>0</x:v>
      </x:c>
      <x:c r="G1084" s="12" t="n">
        <x:v>612547.25</x:v>
      </x:c>
      <x:c r="H1084" s="12" t="n">
        <x:v>6543.392925</x:v>
      </x:c>
      <x:c r="I1084" s="13" t="n">
        <x:v>0.0336285714285714</x:v>
      </x:c>
      <x:c r="J1084" s="2" t="n">
        <x:v>4</x:v>
      </x:c>
      <x:c r="K1084" s="2" t="n">
        <x:v>3</x:v>
      </x:c>
      <x:c r="L1084" s="12" t="n">
        <x:v>5360.7875</x:v>
      </x:c>
      <x:c r="M1084" s="13" t="n">
        <x:v>0.9563429596655604</x:v>
      </x:c>
      <x:c r="N1084" s="13" t="n">
        <x:f>H1084/G1084</x:f>
        <x:v>0.010682266429242806</x:v>
      </x:c>
      <x:c r="O1084" s="13" t="n">
        <x:f>F1084/E1084</x:f>
        <x:v>0</x:v>
      </x:c>
      <x:c r="P1084" s="2" t="str">
        <x:f>IF(AND(E1084&gt;='Итоги'!$F$5,N1084&lt;='Итоги'!$B$5,O1084&gt;='Итоги'!$D$5),"Да","Нет")</x:f>
        <x:v>Нет</x:v>
      </x:c>
    </x:row>
    <x:row r="1085" ht="60" customHeight="1">
      <x:c r="A1085" s="14" t="str">
        <x:v>Спорт и отдых</x:v>
      </x:c>
      <x:c r="B1085" s="14" t="str">
        <x:v>Водные виды спорта</x:v>
      </x:c>
      <x:c r="C1085" s="14" t="str">
        <x:v>SUP-доска</x:v>
      </x:c>
      <x:c r="D1085" s="14" t="str">
        <x:v>Весло для Sup-доски</x:v>
      </x:c>
      <x:c r="E1085" s="2" t="n">
        <x:v>44</x:v>
      </x:c>
      <x:c r="F1085" s="2" t="n">
        <x:v>0</x:v>
      </x:c>
      <x:c r="G1085" s="12" t="n">
        <x:v>6856722.6777</x:v>
      </x:c>
      <x:c r="H1085" s="12" t="n">
        <x:v>73351.62323762</x:v>
      </x:c>
      <x:c r="I1085" s="13" t="n">
        <x:v>0.0054795454545454</x:v>
      </x:c>
      <x:c r="J1085" s="2" t="n">
        <x:v>25</x:v>
      </x:c>
      <x:c r="K1085" s="2" t="n">
        <x:v>20</x:v>
      </x:c>
      <x:c r="L1085" s="12" t="n">
        <x:v>2681.44255</x:v>
      </x:c>
      <x:c r="M1085" s="13" t="n">
        <x:v>0.1895771200470991</x:v>
      </x:c>
      <x:c r="N1085" s="13" t="n">
        <x:f>H1085/G1085</x:f>
        <x:v>0.010697767240343586</x:v>
      </x:c>
      <x:c r="O1085" s="13" t="n">
        <x:f>F1085/E1085</x:f>
        <x:v>0</x:v>
      </x:c>
      <x:c r="P1085" s="2" t="str">
        <x:f>IF(AND(E1085&gt;='Итоги'!$F$5,N1085&lt;='Итоги'!$B$5,O1085&gt;='Итоги'!$D$5),"Да","Нет")</x:f>
        <x:v>Нет</x:v>
      </x:c>
    </x:row>
    <x:row r="1086" ht="60" customHeight="1">
      <x:c r="A1086" s="14" t="str">
        <x:v>Аудио и видеотехника</x:v>
      </x:c>
      <x:c r="B1086" s="14" t="str">
        <x:v>Домашняя Аудио и Видеотехника TV&amp;Audio</x:v>
      </x:c>
      <x:c r="C1086" s="14" t="str">
        <x:v>Акустическая система TV&amp;Audio</x:v>
      </x:c>
      <x:c r="D1086" s="14" t="str">
        <x:v>Акустическая система с док-станцией</x:v>
      </x:c>
      <x:c r="E1086" s="2" t="n">
        <x:v>17</x:v>
      </x:c>
      <x:c r="F1086" s="2" t="n">
        <x:v>0</x:v>
      </x:c>
      <x:c r="G1086" s="12" t="n">
        <x:v>4485579.7794</x:v>
      </x:c>
      <x:c r="H1086" s="12" t="n">
        <x:v>47987.64306922</x:v>
      </x:c>
      <x:c r="I1086" s="13" t="n">
        <x:v>0.0061176470588235</x:v>
      </x:c>
      <x:c r="J1086" s="2" t="n">
        <x:v>12</x:v>
      </x:c>
      <x:c r="K1086" s="2" t="n">
        <x:v>3</x:v>
      </x:c>
      <x:c r="L1086" s="12" t="n">
        <x:v>17822.75</x:v>
      </x:c>
      <x:c r="M1086" s="13" t="n">
        <x:v>0.7831655077306192</x:v>
      </x:c>
      <x:c r="N1086" s="13" t="n">
        <x:f>H1086/G1086</x:f>
        <x:v>0.010698203003679253</x:v>
      </x:c>
      <x:c r="O1086" s="13" t="n">
        <x:f>F1086/E1086</x:f>
        <x:v>0</x:v>
      </x:c>
      <x:c r="P1086" s="2" t="str">
        <x:f>IF(AND(E1086&gt;='Итоги'!$F$5,N1086&lt;='Итоги'!$B$5,O1086&gt;='Итоги'!$D$5),"Да","Нет")</x:f>
        <x:v>Нет</x:v>
      </x:c>
    </x:row>
    <x:row r="1087" ht="60" customHeight="1">
      <x:c r="A1087" s="14" t="str">
        <x:v>Мебель</x:v>
      </x:c>
      <x:c r="B1087" s="14" t="str">
        <x:v>Мебель для сада</x:v>
      </x:c>
      <x:c r="C1087" s="14" t="str">
        <x:v>Садовые диван, кресло, стул</x:v>
      </x:c>
      <x:c r="D1087" s="14" t="str">
        <x:v>Диван для сада</x:v>
      </x:c>
      <x:c r="E1087" s="2" t="n">
        <x:v>2</x:v>
      </x:c>
      <x:c r="F1087" s="2" t="n">
        <x:v>0</x:v>
      </x:c>
      <x:c r="G1087" s="12" t="n">
        <x:v>131091</x:v>
      </x:c>
      <x:c r="H1087" s="12" t="n">
        <x:v>1409.2542</x:v>
      </x:c>
      <x:c r="I1087" s="13" t="n">
        <x:v>0.01605</x:v>
      </x:c>
      <x:c r="J1087" s="2" t="n">
        <x:v>1</x:v>
      </x:c>
      <x:c r="K1087" s="2" t="n">
        <x:v>1</x:v>
      </x:c>
      <x:c r="L1087" s="12" t="n">
        <x:v>12766.3125</x:v>
      </x:c>
      <x:c r="M1087" s="13" t="n">
        <x:v>1</x:v>
      </x:c>
      <x:c r="N1087" s="13" t="n">
        <x:f>H1087/G1087</x:f>
        <x:v>0.010750197954092959</x:v>
      </x:c>
      <x:c r="O1087" s="13" t="n">
        <x:f>F1087/E1087</x:f>
        <x:v>0</x:v>
      </x:c>
      <x:c r="P1087" s="2" t="str">
        <x:f>IF(AND(E1087&gt;='Итоги'!$F$5,N1087&lt;='Итоги'!$B$5,O1087&gt;='Итоги'!$D$5),"Да","Нет")</x:f>
        <x:v>Нет</x:v>
      </x:c>
    </x:row>
    <x:row r="1088" ht="60" customHeight="1">
      <x:c r="A1088" s="14" t="str">
        <x:v>Одежда</x:v>
      </x:c>
      <x:c r="B1088" s="14" t="str">
        <x:v>Верхняя одежда</x:v>
      </x:c>
      <x:c r="C1088" s="14" t="str">
        <x:v>Верхняя одежда женская</x:v>
      </x:c>
      <x:c r="D1088" s="14" t="str">
        <x:v>Шуба женская из искусственного меха</x:v>
      </x:c>
      <x:c r="E1088" s="2" t="n">
        <x:v>92</x:v>
      </x:c>
      <x:c r="F1088" s="2" t="n">
        <x:v>0</x:v>
      </x:c>
      <x:c r="G1088" s="12" t="n">
        <x:v>6167586.22</x:v>
      </x:c>
      <x:c r="H1088" s="12" t="n">
        <x:v>66399.254764</x:v>
      </x:c>
      <x:c r="I1088" s="13" t="n">
        <x:v>0.0118815217391304</x:v>
      </x:c>
      <x:c r="J1088" s="2" t="n">
        <x:v>64</x:v>
      </x:c>
      <x:c r="K1088" s="2" t="n">
        <x:v>15</x:v>
      </x:c>
      <x:c r="L1088" s="12" t="n">
        <x:v>12668.79165</x:v>
      </x:c>
      <x:c r="M1088" s="13" t="n">
        <x:v>0.4214896018105443</x:v>
      </x:c>
      <x:c r="N1088" s="13" t="n">
        <x:f>H1088/G1088</x:f>
        <x:v>0.010765841351140447</x:v>
      </x:c>
      <x:c r="O1088" s="13" t="n">
        <x:f>F1088/E1088</x:f>
        <x:v>0</x:v>
      </x:c>
      <x:c r="P1088" s="2" t="str">
        <x:f>IF(AND(E1088&gt;='Итоги'!$F$5,N1088&lt;='Итоги'!$B$5,O1088&gt;='Итоги'!$D$5),"Да","Нет")</x:f>
        <x:v>Нет</x:v>
      </x:c>
    </x:row>
    <x:row r="1089" ht="60" customHeight="1">
      <x:c r="A1089" s="14" t="str">
        <x:v>Аудио и видеотехника</x:v>
      </x:c>
      <x:c r="B1089" s="14" t="str">
        <x:v>Домашняя Аудио и Видеотехника TV&amp;Audio</x:v>
      </x:c>
      <x:c r="C1089" s="14" t="str">
        <x:v>Музыкальные инструменты TV&amp;Audio</x:v>
      </x:c>
      <x:c r="D1089" s="14" t="str">
        <x:v>Электро/электронный музыкальный инструмент</x:v>
      </x:c>
      <x:c r="E1089" s="2" t="n">
        <x:v>12</x:v>
      </x:c>
      <x:c r="F1089" s="2" t="n">
        <x:v>0</x:v>
      </x:c>
      <x:c r="G1089" s="12" t="n">
        <x:v>1370710.5048</x:v>
      </x:c>
      <x:c r="H1089" s="12" t="n">
        <x:v>14775.3938</x:v>
      </x:c>
      <x:c r="I1089" s="13" t="n">
        <x:v>0.0067583333333333</x:v>
      </x:c>
      <x:c r="J1089" s="2" t="n">
        <x:v>7</x:v>
      </x:c>
      <x:c r="K1089" s="2" t="n">
        <x:v>5</x:v>
      </x:c>
      <x:c r="L1089" s="12" t="n">
        <x:v>5567.88335</x:v>
      </x:c>
      <x:c r="M1089" s="13" t="n">
        <x:v>0.4796840745711924</x:v>
      </x:c>
      <x:c r="N1089" s="13" t="n">
        <x:f>H1089/G1089</x:f>
        <x:v>0.01077936861814295</x:v>
      </x:c>
      <x:c r="O1089" s="13" t="n">
        <x:f>F1089/E1089</x:f>
        <x:v>0</x:v>
      </x:c>
      <x:c r="P1089" s="2" t="str">
        <x:f>IF(AND(E1089&gt;='Итоги'!$F$5,N1089&lt;='Итоги'!$B$5,O1089&gt;='Итоги'!$D$5),"Да","Нет")</x:f>
        <x:v>Нет</x:v>
      </x:c>
    </x:row>
    <x:row r="1090" ht="60" customHeight="1">
      <x:c r="A1090" s="14" t="str">
        <x:v>Одежда</x:v>
      </x:c>
      <x:c r="B1090" s="14" t="str">
        <x:v>Основная одежда женская</x:v>
      </x:c>
      <x:c r="C1090" s="14" t="str">
        <x:v>Основная одежда женская верха</x:v>
      </x:c>
      <x:c r="D1090" s="14" t="str">
        <x:v>Жакет женский</x:v>
      </x:c>
      <x:c r="E1090" s="2" t="n">
        <x:v>927</x:v>
      </x:c>
      <x:c r="F1090" s="2" t="n">
        <x:v>0</x:v>
      </x:c>
      <x:c r="G1090" s="12" t="n">
        <x:v>61498787.7883</x:v>
      </x:c>
      <x:c r="H1090" s="12" t="n">
        <x:v>667880.4261270401</x:v>
      </x:c>
      <x:c r="I1090" s="13" t="n">
        <x:v>0.0087887810140237</x:v>
      </x:c>
      <x:c r="J1090" s="2" t="n">
        <x:v>766</x:v>
      </x:c>
      <x:c r="K1090" s="2" t="n">
        <x:v>41</x:v>
      </x:c>
      <x:c r="L1090" s="12" t="n">
        <x:v>3167.5</x:v>
      </x:c>
      <x:c r="M1090" s="13" t="n">
        <x:v>0.5252687003213686</x:v>
      </x:c>
      <x:c r="N1090" s="13" t="n">
        <x:f>H1090/G1090</x:f>
        <x:v>0.010860058387266338</x:v>
      </x:c>
      <x:c r="O1090" s="13" t="n">
        <x:f>F1090/E1090</x:f>
        <x:v>0</x:v>
      </x:c>
      <x:c r="P1090" s="2" t="str">
        <x:f>IF(AND(E1090&gt;='Итоги'!$F$5,N1090&lt;='Итоги'!$B$5,O1090&gt;='Итоги'!$D$5),"Да","Нет")</x:f>
        <x:v>Нет</x:v>
      </x:c>
    </x:row>
    <x:row r="1091" ht="60" customHeight="1">
      <x:c r="A1091" s="14" t="str">
        <x:v>Спорт и отдых</x:v>
      </x:c>
      <x:c r="B1091" s="14" t="str">
        <x:v>Товары для рыбалки</x:v>
      </x:c>
      <x:c r="C1091" s="14" t="str">
        <x:v>Ящик, коробка рыболовные</x:v>
      </x:c>
      <x:c r="D1091" s="14" t="str">
        <x:v>Ящик, коробка для летней рыбалки</x:v>
      </x:c>
      <x:c r="E1091" s="2" t="n">
        <x:v>20</x:v>
      </x:c>
      <x:c r="F1091" s="2" t="n">
        <x:v>0</x:v>
      </x:c>
      <x:c r="G1091" s="12" t="n">
        <x:v>3397679.0467</x:v>
      </x:c>
      <x:c r="H1091" s="12" t="n">
        <x:v>36934.909349</x:v>
      </x:c>
      <x:c r="I1091" s="13" t="n">
        <x:v>0.02584</x:v>
      </x:c>
      <x:c r="J1091" s="2" t="n">
        <x:v>14</x:v>
      </x:c>
      <x:c r="K1091" s="2" t="n">
        <x:v>8</x:v>
      </x:c>
      <x:c r="L1091" s="12" t="n">
        <x:v>971.65365</x:v>
      </x:c>
      <x:c r="M1091" s="13" t="n">
        <x:v>0.4897209501339096</x:v>
      </x:c>
      <x:c r="N1091" s="13" t="n">
        <x:f>H1091/G1091</x:f>
        <x:v>0.010870629285857086</x:v>
      </x:c>
      <x:c r="O1091" s="13" t="n">
        <x:f>F1091/E1091</x:f>
        <x:v>0</x:v>
      </x:c>
      <x:c r="P1091" s="2" t="str">
        <x:f>IF(AND(E1091&gt;='Итоги'!$F$5,N1091&lt;='Итоги'!$B$5,O1091&gt;='Итоги'!$D$5),"Да","Нет")</x:f>
        <x:v>Нет</x:v>
      </x:c>
    </x:row>
    <x:row r="1092" ht="60" customHeight="1">
      <x:c r="A1092" s="14" t="str">
        <x:v>Мебель</x:v>
      </x:c>
      <x:c r="B1092" s="14" t="str">
        <x:v>Корпусная мебель и мебель для хранения</x:v>
      </x:c>
      <x:c r="C1092" s="14" t="str">
        <x:v>Мебель для бизнеса</x:v>
      </x:c>
      <x:c r="D1092" s="14" t="str">
        <x:v>Тележка производственная</x:v>
      </x:c>
      <x:c r="E1092" s="2" t="n">
        <x:v>2</x:v>
      </x:c>
      <x:c r="F1092" s="2" t="n">
        <x:v>0</x:v>
      </x:c>
      <x:c r="G1092" s="12" t="n">
        <x:v>199023</x:v>
      </x:c>
      <x:c r="H1092" s="12" t="n">
        <x:v>2169.531</x:v>
      </x:c>
      <x:c r="I1092" s="13" t="n">
        <x:v>0.0883</x:v>
      </x:c>
      <x:c r="J1092" s="2" t="n">
        <x:v>1</x:v>
      </x:c>
      <x:c r="K1092" s="2" t="n">
        <x:v>2</x:v>
      </x:c>
      <x:c r="L1092" s="12" t="n">
        <x:v>13324.73075</x:v>
      </x:c>
      <x:c r="M1092" s="13" t="n">
        <x:v>0.9382734658808278</x:v>
      </x:c>
      <x:c r="N1092" s="13" t="n">
        <x:f>H1092/G1092</x:f>
        <x:v>0.010900905925445802</x:v>
      </x:c>
      <x:c r="O1092" s="13" t="n">
        <x:f>F1092/E1092</x:f>
        <x:v>0</x:v>
      </x:c>
      <x:c r="P1092" s="2" t="str">
        <x:f>IF(AND(E1092&gt;='Итоги'!$F$5,N1092&lt;='Итоги'!$B$5,O1092&gt;='Итоги'!$D$5),"Да","Нет")</x:f>
        <x:v>Нет</x:v>
      </x:c>
    </x:row>
    <x:row r="1093" ht="60" customHeight="1">
      <x:c r="A1093" s="14" t="str">
        <x:v>Товары для дома</x:v>
      </x:c>
      <x:c r="B1093" s="14" t="str">
        <x:v>Интерьер и декор</x:v>
      </x:c>
      <x:c r="C1093" s="14" t="str">
        <x:v>Принадлежности для праздника</x:v>
      </x:c>
      <x:c r="D1093" s="14" t="str">
        <x:v>Купюрница, шкатулка для денег подарочная</x:v>
      </x:c>
      <x:c r="E1093" s="2" t="n">
        <x:v>3</x:v>
      </x:c>
      <x:c r="F1093" s="2" t="n">
        <x:v>0</x:v>
      </x:c>
      <x:c r="G1093" s="12" t="n">
        <x:v>498343.9566</x:v>
      </x:c>
      <x:c r="H1093" s="12" t="n">
        <x:v>5437.850532359999</x:v>
      </x:c>
      <x:c r="I1093" s="13" t="n">
        <x:v>0.0098999999999999</x:v>
      </x:c>
      <x:c r="J1093" s="2" t="n">
        <x:v>0</x:v>
      </x:c>
      <x:c r="K1093" s="2" t="n">
        <x:v>2</x:v>
      </x:c>
      <x:c r="L1093" s="12" t="n">
        <x:v>1290.8382</x:v>
      </x:c>
      <x:c r="M1093" s="13" t="n">
        <x:v>0.6228168233795333</x:v>
      </x:c>
      <x:c r="N1093" s="13" t="n">
        <x:f>H1093/G1093</x:f>
        <x:v>0.010911842032680124</x:v>
      </x:c>
      <x:c r="O1093" s="13" t="n">
        <x:f>F1093/E1093</x:f>
        <x:v>0</x:v>
      </x:c>
      <x:c r="P1093" s="2" t="str">
        <x:f>IF(AND(E1093&gt;='Итоги'!$F$5,N1093&lt;='Итоги'!$B$5,O1093&gt;='Итоги'!$D$5),"Да","Нет")</x:f>
        <x:v>Нет</x:v>
      </x:c>
    </x:row>
    <x:row r="1094" ht="60" customHeight="1">
      <x:c r="A1094" s="14" t="str">
        <x:v>Автотовары</x:v>
      </x:c>
      <x:c r="B1094" s="14" t="str">
        <x:v>Универсальные авто и мото аксессуары</x:v>
      </x:c>
      <x:c r="C1094" s="14" t="str">
        <x:v>Аксессуары для шин и дисков</x:v>
      </x:c>
      <x:c r="D1094" s="14" t="str">
        <x:v>Камера колесная для авто и мото техники</x:v>
      </x:c>
      <x:c r="E1094" s="2" t="n">
        <x:v>8</x:v>
      </x:c>
      <x:c r="F1094" s="2" t="n">
        <x:v>0</x:v>
      </x:c>
      <x:c r="G1094" s="12" t="n">
        <x:v>1121043.8279</x:v>
      </x:c>
      <x:c r="H1094" s="12" t="n">
        <x:v>12260.19779549</x:v>
      </x:c>
      <x:c r="I1094" s="13" t="n">
        <x:v>0.0090375</x:v>
      </x:c>
      <x:c r="J1094" s="2" t="n">
        <x:v>6</x:v>
      </x:c>
      <x:c r="K1094" s="2" t="n">
        <x:v>4</x:v>
      </x:c>
      <x:c r="L1094" s="12" t="n">
        <x:v>1117.9483</x:v>
      </x:c>
      <x:c r="M1094" s="13" t="n">
        <x:v>0.3648352620308825</x:v>
      </x:c>
      <x:c r="N1094" s="13" t="n">
        <x:f>H1094/G1094</x:f>
        <x:v>0.010936412556194585</x:v>
      </x:c>
      <x:c r="O1094" s="13" t="n">
        <x:f>F1094/E1094</x:f>
        <x:v>0</x:v>
      </x:c>
      <x:c r="P1094" s="2" t="str">
        <x:f>IF(AND(E1094&gt;='Итоги'!$F$5,N1094&lt;='Итоги'!$B$5,O1094&gt;='Итоги'!$D$5),"Да","Нет")</x:f>
        <x:v>Нет</x:v>
      </x:c>
    </x:row>
    <x:row r="1095" ht="60" customHeight="1">
      <x:c r="A1095" s="14" t="str">
        <x:v>Аптека</x:v>
      </x:c>
      <x:c r="B1095" s="14" t="str">
        <x:v>Медицинские изделия</x:v>
      </x:c>
      <x:c r="C1095" s="14" t="str">
        <x:v>Урология</x:v>
      </x:c>
      <x:c r="D1095" s="14" t="str">
        <x:v>Урологические прокладки</x:v>
      </x:c>
      <x:c r="E1095" s="2" t="n">
        <x:v>27</x:v>
      </x:c>
      <x:c r="F1095" s="2" t="n">
        <x:v>0</x:v>
      </x:c>
      <x:c r="G1095" s="12" t="n">
        <x:v>4921150.8528</x:v>
      </x:c>
      <x:c r="H1095" s="12" t="n">
        <x:v>53946.75221812</x:v>
      </x:c>
      <x:c r="I1095" s="13" t="n">
        <x:v>0.0125111111111111</x:v>
      </x:c>
      <x:c r="J1095" s="2" t="n">
        <x:v>20</x:v>
      </x:c>
      <x:c r="K1095" s="2" t="n">
        <x:v>11</x:v>
      </x:c>
      <x:c r="L1095" s="12" t="n">
        <x:v>1140.3704</x:v>
      </x:c>
      <x:c r="M1095" s="13" t="n">
        <x:v>0.4076451167227669</x:v>
      </x:c>
      <x:c r="N1095" s="13" t="n">
        <x:f>H1095/G1095</x:f>
        <x:v>0.010962222827903307</x:v>
      </x:c>
      <x:c r="O1095" s="13" t="n">
        <x:f>F1095/E1095</x:f>
        <x:v>0</x:v>
      </x:c>
      <x:c r="P1095" s="2" t="str">
        <x:f>IF(AND(E1095&gt;='Итоги'!$F$5,N1095&lt;='Итоги'!$B$5,O1095&gt;='Итоги'!$D$5),"Да","Нет")</x:f>
        <x:v>Нет</x:v>
      </x:c>
    </x:row>
    <x:row r="1096" ht="60" customHeight="1">
      <x:c r="A1096" s="14" t="str">
        <x:v>Товары для животных</x:v>
      </x:c>
      <x:c r="B1096" s="14" t="str">
        <x:v>Фермерское хозяйство - Содержание, уход птицы и сельскохозяйственных животных</x:v>
      </x:c>
      <x:c r="C1096" s="14" t="str">
        <x:v>Клетки и комплектующие для сельскохозяйственных животных и птиц</x:v>
      </x:c>
      <x:c r="D1096" s="14" t="str">
        <x:v>Клетка для перепелов</x:v>
      </x:c>
      <x:c r="E1096" s="2" t="n">
        <x:v>6</x:v>
      </x:c>
      <x:c r="F1096" s="2" t="n">
        <x:v>0</x:v>
      </x:c>
      <x:c r="G1096" s="12" t="n">
        <x:v>510834</x:v>
      </x:c>
      <x:c r="H1096" s="12" t="n">
        <x:v>5616.6016</x:v>
      </x:c>
      <x:c r="I1096" s="13" t="n">
        <x:v>0.0348666666666666</x:v>
      </x:c>
      <x:c r="J1096" s="2" t="n">
        <x:v>5</x:v>
      </x:c>
      <x:c r="K1096" s="2" t="n">
        <x:v>1</x:v>
      </x:c>
      <x:c r="L1096" s="12" t="n">
        <x:v>3736.45715</x:v>
      </x:c>
      <x:c r="M1096" s="13" t="n">
        <x:v>1</x:v>
      </x:c>
      <x:c r="N1096" s="13" t="n">
        <x:f>H1096/G1096</x:f>
        <x:v>0.010994964313260277</x:v>
      </x:c>
      <x:c r="O1096" s="13" t="n">
        <x:f>F1096/E1096</x:f>
        <x:v>0</x:v>
      </x:c>
      <x:c r="P1096" s="2" t="str">
        <x:f>IF(AND(E1096&gt;='Итоги'!$F$5,N1096&lt;='Итоги'!$B$5,O1096&gt;='Итоги'!$D$5),"Да","Нет")</x:f>
        <x:v>Нет</x:v>
      </x:c>
    </x:row>
    <x:row r="1097" ht="60" customHeight="1">
      <x:c r="A1097" s="14" t="str">
        <x:v>Ноутбуки и компьютеры</x:v>
      </x:c>
      <x:c r="B1097" s="14" t="str">
        <x:v>Компьютерные комплектующие Lap&amp;Comp</x:v>
      </x:c>
      <x:c r="C1097" s="14" t="str">
        <x:v>Компьютерные комплектующие Lap&amp;Comp</x:v>
      </x:c>
      <x:c r="D1097" s="14" t="str">
        <x:v>SSD диск</x:v>
      </x:c>
      <x:c r="E1097" s="2" t="n">
        <x:v>261</x:v>
      </x:c>
      <x:c r="F1097" s="2" t="n">
        <x:v>0</x:v>
      </x:c>
      <x:c r="G1097" s="12" t="n">
        <x:v>58076341.4453</x:v>
      </x:c>
      <x:c r="H1097" s="12" t="n">
        <x:v>643273.512983</x:v>
      </x:c>
      <x:c r="I1097" s="13" t="n">
        <x:v>0.0119007662835249</x:v>
      </x:c>
      <x:c r="J1097" s="2" t="n">
        <x:v>163</x:v>
      </x:c>
      <x:c r="K1097" s="2" t="n">
        <x:v>28</x:v>
      </x:c>
      <x:c r="L1097" s="12" t="n">
        <x:v>4276.0345</x:v>
      </x:c>
      <x:c r="M1097" s="13" t="n">
        <x:v>0.4174289262493121</x:v>
      </x:c>
      <x:c r="N1097" s="13" t="n">
        <x:f>H1097/G1097</x:f>
        <x:v>0.011076343601789655</x:v>
      </x:c>
      <x:c r="O1097" s="13" t="n">
        <x:f>F1097/E1097</x:f>
        <x:v>0</x:v>
      </x:c>
      <x:c r="P1097" s="2" t="str">
        <x:f>IF(AND(E1097&gt;='Итоги'!$F$5,N1097&lt;='Итоги'!$B$5,O1097&gt;='Итоги'!$D$5),"Да","Нет")</x:f>
        <x:v>Нет</x:v>
      </x:c>
    </x:row>
    <x:row r="1098" ht="60" customHeight="1">
      <x:c r="A1098" s="14" t="str">
        <x:v>Товары для дома</x:v>
      </x:c>
      <x:c r="B1098" s="14" t="str">
        <x:v>Кухня</x:v>
      </x:c>
      <x:c r="C1098" s="14" t="str">
        <x:v>Столовые приборы</x:v>
      </x:c>
      <x:c r="D1098" s="14" t="str">
        <x:v>Набор столовых ножей</x:v>
      </x:c>
      <x:c r="E1098" s="2" t="n">
        <x:v>1</x:v>
      </x:c>
      <x:c r="F1098" s="2" t="n">
        <x:v>0</x:v>
      </x:c>
      <x:c r="G1098" s="12" t="n">
        <x:v>121267.29</x:v>
      </x:c>
      <x:c r="H1098" s="12" t="n">
        <x:v>1346.066919</x:v>
      </x:c>
      <x:c r="I1098" s="13" t="n">
        <x:v>0.0111</x:v>
      </x:c>
      <x:c r="J1098" s="2" t="n">
        <x:v>0</x:v>
      </x:c>
      <x:c r="K1098" s="2" t="n">
        <x:v>1</x:v>
      </x:c>
      <x:c r="L1098" s="12" t="n">
        <x:v>932.8253</x:v>
      </x:c>
      <x:c r="M1098" s="13" t="n">
        <x:v>1</x:v>
      </x:c>
      <x:c r="N1098" s="13" t="n">
        <x:f>H1098/G1098</x:f>
        <x:v>0.011100000000000002</x:v>
      </x:c>
      <x:c r="O1098" s="13" t="n">
        <x:f>F1098/E1098</x:f>
        <x:v>0</x:v>
      </x:c>
      <x:c r="P1098" s="2" t="str">
        <x:f>IF(AND(E1098&gt;='Итоги'!$F$5,N1098&lt;='Итоги'!$B$5,O1098&gt;='Итоги'!$D$5),"Да","Нет")</x:f>
        <x:v>Нет</x:v>
      </x:c>
    </x:row>
    <x:row r="1099" ht="60" customHeight="1">
      <x:c r="A1099" s="14" t="str">
        <x:v>Товары для животных</x:v>
      </x:c>
      <x:c r="B1099" s="14" t="str">
        <x:v>Гигиена и уход животных</x:v>
      </x:c>
      <x:c r="C1099" s="14" t="str">
        <x:v>Ветеринарные средства лечебные нелицензированные</x:v>
      </x:c>
      <x:c r="D1099" s="14" t="str">
        <x:v>Паста лечебная ветеринарная нелицензированная</x:v>
      </x:c>
      <x:c r="E1099" s="2" t="n">
        <x:v>4</x:v>
      </x:c>
      <x:c r="F1099" s="2" t="n">
        <x:v>0</x:v>
      </x:c>
      <x:c r="G1099" s="12" t="n">
        <x:v>1424960.1424</x:v>
      </x:c>
      <x:c r="H1099" s="12" t="n">
        <x:v>15845.0688</x:v>
      </x:c>
      <x:c r="I1099" s="13" t="n">
        <x:v>0.013025</x:v>
      </x:c>
      <x:c r="J1099" s="2" t="n">
        <x:v>3</x:v>
      </x:c>
      <x:c r="K1099" s="2" t="n">
        <x:v>3</x:v>
      </x:c>
      <x:c r="L1099" s="12" t="n">
        <x:v>1364.68985</x:v>
      </x:c>
      <x:c r="M1099" s="13" t="n">
        <x:v>0.5639330662586538</x:v>
      </x:c>
      <x:c r="N1099" s="13" t="n">
        <x:f>H1099/G1099</x:f>
        <x:v>0.01111965754586849</x:v>
      </x:c>
      <x:c r="O1099" s="13" t="n">
        <x:f>F1099/E1099</x:f>
        <x:v>0</x:v>
      </x:c>
      <x:c r="P1099" s="2" t="str">
        <x:f>IF(AND(E1099&gt;='Итоги'!$F$5,N1099&lt;='Итоги'!$B$5,O1099&gt;='Итоги'!$D$5),"Да","Нет")</x:f>
        <x:v>Нет</x:v>
      </x:c>
    </x:row>
    <x:row r="1100" ht="60" customHeight="1">
      <x:c r="A1100" s="14" t="str">
        <x:v>Спорт и отдых</x:v>
      </x:c>
      <x:c r="B1100" s="14" t="str">
        <x:v>Товары для охоты</x:v>
      </x:c>
      <x:c r="C1100" s="14" t="str">
        <x:v>Тактическая экипировка</x:v>
      </x:c>
      <x:c r="D1100" s="14" t="str">
        <x:v>Брюки тактические</x:v>
      </x:c>
      <x:c r="E1100" s="2" t="n">
        <x:v>2</x:v>
      </x:c>
      <x:c r="F1100" s="2" t="n">
        <x:v>0</x:v>
      </x:c>
      <x:c r="G1100" s="12" t="n">
        <x:v>58385.56</x:v>
      </x:c>
      <x:c r="H1100" s="12" t="n">
        <x:v>649.732896</x:v>
      </x:c>
      <x:c r="I1100" s="13" t="n">
        <x:v>0.01065</x:v>
      </x:c>
      <x:c r="J1100" s="2" t="n">
        <x:v>0</x:v>
      </x:c>
      <x:c r="K1100" s="2" t="n">
        <x:v>1</x:v>
      </x:c>
      <x:c r="L1100" s="12" t="n">
        <x:v>3669.76925</x:v>
      </x:c>
      <x:c r="M1100" s="13" t="n">
        <x:v>1</x:v>
      </x:c>
      <x:c r="N1100" s="13" t="n">
        <x:f>H1100/G1100</x:f>
        <x:v>0.011128314877856786</x:v>
      </x:c>
      <x:c r="O1100" s="13" t="n">
        <x:f>F1100/E1100</x:f>
        <x:v>0</x:v>
      </x:c>
      <x:c r="P1100" s="2" t="str">
        <x:f>IF(AND(E1100&gt;='Итоги'!$F$5,N1100&lt;='Итоги'!$B$5,O1100&gt;='Итоги'!$D$5),"Да","Нет")</x:f>
        <x:v>Нет</x:v>
      </x:c>
    </x:row>
    <x:row r="1101" ht="60" customHeight="1">
      <x:c r="A1101" s="14" t="str">
        <x:v>Товары для животных</x:v>
      </x:c>
      <x:c r="B1101" s="14" t="str">
        <x:v>Фермерское хозяйство - Товары для пчеловодства</x:v>
      </x:c>
      <x:c r="C1101" s="14" t="str">
        <x:v>Изготовление меда</x:v>
      </x:c>
      <x:c r="D1101" s="14" t="str">
        <x:v>Фильтр для меда</x:v>
      </x:c>
      <x:c r="E1101" s="2" t="n">
        <x:v>1</x:v>
      </x:c>
      <x:c r="F1101" s="2" t="n">
        <x:v>0</x:v>
      </x:c>
      <x:c r="G1101" s="12" t="n">
        <x:v>150732.9997</x:v>
      </x:c>
      <x:c r="H1101" s="12" t="n">
        <x:v>1688.2095966399995</x:v>
      </x:c>
      <x:c r="I1101" s="13" t="n">
        <x:v>0.0112</x:v>
      </x:c>
      <x:c r="J1101" s="2" t="n">
        <x:v>0</x:v>
      </x:c>
      <x:c r="K1101" s="2" t="n">
        <x:v>1</x:v>
      </x:c>
      <x:c r="L1101" s="12" t="n">
        <x:v>1288.3162</x:v>
      </x:c>
      <x:c r="M1101" s="13" t="n">
        <x:v>1</x:v>
      </x:c>
      <x:c r="N1101" s="13" t="n">
        <x:f>H1101/G1101</x:f>
        <x:v>0.011199999999999998</x:v>
      </x:c>
      <x:c r="O1101" s="13" t="n">
        <x:f>F1101/E1101</x:f>
        <x:v>0</x:v>
      </x:c>
      <x:c r="P1101" s="2" t="str">
        <x:f>IF(AND(E1101&gt;='Итоги'!$F$5,N1101&lt;='Итоги'!$B$5,O1101&gt;='Итоги'!$D$5),"Да","Нет")</x:f>
        <x:v>Нет</x:v>
      </x:c>
    </x:row>
    <x:row r="1102" ht="60" customHeight="1">
      <x:c r="A1102" s="14" t="str">
        <x:v>Ноутбуки и компьютеры</x:v>
      </x:c>
      <x:c r="B1102" s="14" t="str">
        <x:v>Компьютерная офисная техника Lap&amp;Comp</x:v>
      </x:c>
      <x:c r="C1102" s="14" t="str">
        <x:v>Кассовое и складское оборудование Lap&amp;Comp</x:v>
      </x:c>
      <x:c r="D1102" s="14" t="str">
        <x:v>Онлайн касса</x:v>
      </x:c>
      <x:c r="E1102" s="2" t="n">
        <x:v>7</x:v>
      </x:c>
      <x:c r="F1102" s="2" t="n">
        <x:v>0</x:v>
      </x:c>
      <x:c r="G1102" s="12" t="n">
        <x:v>2233367</x:v>
      </x:c>
      <x:c r="H1102" s="12" t="n">
        <x:v>25141.963</x:v>
      </x:c>
      <x:c r="I1102" s="13" t="n">
        <x:v>0.0269285714285714</x:v>
      </x:c>
      <x:c r="J1102" s="2" t="n">
        <x:v>1</x:v>
      </x:c>
      <x:c r="K1102" s="2" t="n">
        <x:v>2</x:v>
      </x:c>
      <x:c r="L1102" s="12" t="n">
        <x:v>18592.5455</x:v>
      </x:c>
      <x:c r="M1102" s="13" t="n">
        <x:v>0.9488189804899956</x:v>
      </x:c>
      <x:c r="N1102" s="13" t="n">
        <x:f>H1102/G1102</x:f>
        <x:v>0.01125742567164286</x:v>
      </x:c>
      <x:c r="O1102" s="13" t="n">
        <x:f>F1102/E1102</x:f>
        <x:v>0</x:v>
      </x:c>
      <x:c r="P1102" s="2" t="str">
        <x:f>IF(AND(E1102&gt;='Итоги'!$F$5,N1102&lt;='Итоги'!$B$5,O1102&gt;='Итоги'!$D$5),"Да","Нет")</x:f>
        <x:v>Нет</x:v>
      </x:c>
    </x:row>
    <x:row r="1103" ht="60" customHeight="1">
      <x:c r="A1103" s="14" t="str">
        <x:v>Аптека</x:v>
      </x:c>
      <x:c r="B1103" s="14" t="str">
        <x:v>Тату</x:v>
      </x:c>
      <x:c r="C1103" s="14" t="str">
        <x:v>Тату машинки</x:v>
      </x:c>
      <x:c r="D1103" s="14" t="str">
        <x:v>Тату машинка тип PEN (ручка)</x:v>
      </x:c>
      <x:c r="E1103" s="2" t="n">
        <x:v>13</x:v>
      </x:c>
      <x:c r="F1103" s="2" t="n">
        <x:v>0</x:v>
      </x:c>
      <x:c r="G1103" s="12" t="n">
        <x:v>2196589.1001</x:v>
      </x:c>
      <x:c r="H1103" s="12" t="n">
        <x:v>24844.55982876</x:v>
      </x:c>
      <x:c r="I1103" s="13" t="n">
        <x:v>0.0125692307692307</x:v>
      </x:c>
      <x:c r="J1103" s="2" t="n">
        <x:v>4</x:v>
      </x:c>
      <x:c r="K1103" s="2" t="n">
        <x:v>4</x:v>
      </x:c>
      <x:c r="L1103" s="12" t="n">
        <x:v>12848.0554</x:v>
      </x:c>
      <x:c r="M1103" s="13" t="n">
        <x:v>0.8267118287700367</x:v>
      </x:c>
      <x:c r="N1103" s="13" t="n">
        <x:f>H1103/G1103</x:f>
        <x:v>0.011310517669248631</x:v>
      </x:c>
      <x:c r="O1103" s="13" t="n">
        <x:f>F1103/E1103</x:f>
        <x:v>0</x:v>
      </x:c>
      <x:c r="P1103" s="2" t="str">
        <x:f>IF(AND(E1103&gt;='Итоги'!$F$5,N1103&lt;='Итоги'!$B$5,O1103&gt;='Итоги'!$D$5),"Да","Нет")</x:f>
        <x:v>Нет</x:v>
      </x:c>
    </x:row>
    <x:row r="1104" ht="60" customHeight="1">
      <x:c r="A1104" s="14" t="str">
        <x:v>Спорт и отдых</x:v>
      </x:c>
      <x:c r="B1104" s="14" t="str">
        <x:v>Тренажеры и фитнес</x:v>
      </x:c>
      <x:c r="C1104" s="14" t="str">
        <x:v>Фитнес</x:v>
      </x:c>
      <x:c r="D1104" s="14" t="str">
        <x:v>Полусфера для фитнеса</x:v>
      </x:c>
      <x:c r="E1104" s="2" t="n">
        <x:v>8</x:v>
      </x:c>
      <x:c r="F1104" s="2" t="n">
        <x:v>0</x:v>
      </x:c>
      <x:c r="G1104" s="12" t="n">
        <x:v>857693</x:v>
      </x:c>
      <x:c r="H1104" s="12" t="n">
        <x:v>9788.9088</x:v>
      </x:c>
      <x:c r="I1104" s="13" t="n">
        <x:v>0.01345</x:v>
      </x:c>
      <x:c r="J1104" s="2" t="n">
        <x:v>2</x:v>
      </x:c>
      <x:c r="K1104" s="2" t="n">
        <x:v>2</x:v>
      </x:c>
      <x:c r="L1104" s="12" t="n">
        <x:v>4354.21445</x:v>
      </x:c>
      <x:c r="M1104" s="13" t="n">
        <x:v>0.7957334384214398</x:v>
      </x:c>
      <x:c r="N1104" s="13" t="n">
        <x:f>H1104/G1104</x:f>
        <x:v>0.01141306831232154</x:v>
      </x:c>
      <x:c r="O1104" s="13" t="n">
        <x:f>F1104/E1104</x:f>
        <x:v>0</x:v>
      </x:c>
      <x:c r="P1104" s="2" t="str">
        <x:f>IF(AND(E1104&gt;='Итоги'!$F$5,N1104&lt;='Итоги'!$B$5,O1104&gt;='Итоги'!$D$5),"Да","Нет")</x:f>
        <x:v>Нет</x:v>
      </x:c>
    </x:row>
    <x:row r="1105" ht="60" customHeight="1">
      <x:c r="A1105" s="14" t="str">
        <x:v>Спорт и отдых</x:v>
      </x:c>
      <x:c r="B1105" s="14" t="str">
        <x:v>Страйкбол и пневматика</x:v>
      </x:c>
      <x:c r="C1105" s="14" t="str">
        <x:v>Оружие пневматическое</x:v>
      </x:c>
      <x:c r="D1105" s="14" t="str">
        <x:v>Пистолет пневматический</x:v>
      </x:c>
      <x:c r="E1105" s="2" t="n">
        <x:v>42</x:v>
      </x:c>
      <x:c r="F1105" s="2" t="n">
        <x:v>0</x:v>
      </x:c>
      <x:c r="G1105" s="12" t="n">
        <x:v>11216352.64</x:v>
      </x:c>
      <x:c r="H1105" s="12" t="n">
        <x:v>128311.56829</x:v>
      </x:c>
      <x:c r="I1105" s="13" t="n">
        <x:v>0.0107880952380952</x:v>
      </x:c>
      <x:c r="J1105" s="2" t="n">
        <x:v>29</x:v>
      </x:c>
      <x:c r="K1105" s="2" t="n">
        <x:v>3</x:v>
      </x:c>
      <x:c r="L1105" s="12" t="n">
        <x:v>6993.98275</x:v>
      </x:c>
      <x:c r="M1105" s="13" t="n">
        <x:v>0.9050216514947234</x:v>
      </x:c>
      <x:c r="N1105" s="13" t="n">
        <x:f>H1105/G1105</x:f>
        <x:v>0.011439687428550747</x:v>
      </x:c>
      <x:c r="O1105" s="13" t="n">
        <x:f>F1105/E1105</x:f>
        <x:v>0</x:v>
      </x:c>
      <x:c r="P1105" s="2" t="str">
        <x:f>IF(AND(E1105&gt;='Итоги'!$F$5,N1105&lt;='Итоги'!$B$5,O1105&gt;='Итоги'!$D$5),"Да","Нет")</x:f>
        <x:v>Нет</x:v>
      </x:c>
    </x:row>
    <x:row r="1106" ht="60" customHeight="1">
      <x:c r="A1106" s="14" t="str">
        <x:v>Товары для дома</x:v>
      </x:c>
      <x:c r="B1106" s="14" t="str">
        <x:v>Аксессуары для уборки и стирки</x:v>
      </x:c>
      <x:c r="C1106" s="14" t="str">
        <x:v>Аксессуар для стирки</x:v>
      </x:c>
      <x:c r="D1106" s="14" t="str">
        <x:v>Аксессуар для стирки</x:v>
      </x:c>
      <x:c r="E1106" s="2" t="n">
        <x:v>4</x:v>
      </x:c>
      <x:c r="F1106" s="2" t="n">
        <x:v>0</x:v>
      </x:c>
      <x:c r="G1106" s="12" t="n">
        <x:v>548522.6428</x:v>
      </x:c>
      <x:c r="H1106" s="12" t="n">
        <x:v>6289.547139019999</x:v>
      </x:c>
      <x:c r="I1106" s="13" t="n">
        <x:v>0.01765</x:v>
      </x:c>
      <x:c r="J1106" s="2" t="n">
        <x:v>1</x:v>
      </x:c>
      <x:c r="K1106" s="2" t="n">
        <x:v>3</x:v>
      </x:c>
      <x:c r="L1106" s="12" t="n">
        <x:v>1209.3625499999998</x:v>
      </x:c>
      <x:c r="M1106" s="13" t="n">
        <x:v>0.3779199393516814</x:v>
      </x:c>
      <x:c r="N1106" s="13" t="n">
        <x:f>H1106/G1106</x:f>
        <x:v>0.011466340034595922</x:v>
      </x:c>
      <x:c r="O1106" s="13" t="n">
        <x:f>F1106/E1106</x:f>
        <x:v>0</x:v>
      </x:c>
      <x:c r="P1106" s="2" t="str">
        <x:f>IF(AND(E1106&gt;='Итоги'!$F$5,N1106&lt;='Итоги'!$B$5,O1106&gt;='Итоги'!$D$5),"Да","Нет")</x:f>
        <x:v>Нет</x:v>
      </x:c>
    </x:row>
    <x:row r="1107" ht="60" customHeight="1">
      <x:c r="A1107" s="14" t="str">
        <x:v>Аксессуары</x:v>
      </x:c>
      <x:c r="B1107" s="14" t="str">
        <x:v>Ювелирные изделия</x:v>
      </x:c>
      <x:c r="C1107" s="14" t="str">
        <x:v>Кольцо ювелирное</x:v>
      </x:c>
      <x:c r="D1107" s="14" t="str">
        <x:v>Золото кольцо</x:v>
      </x:c>
      <x:c r="E1107" s="2" t="n">
        <x:v>640</x:v>
      </x:c>
      <x:c r="F1107" s="2" t="n">
        <x:v>0</x:v>
      </x:c>
      <x:c r="G1107" s="12" t="n">
        <x:v>57197280.43</x:v>
      </x:c>
      <x:c r="H1107" s="12" t="n">
        <x:v>658062.779202</x:v>
      </x:c>
      <x:c r="I1107" s="13" t="n">
        <x:v>0.0098396875</x:v>
      </x:c>
      <x:c r="J1107" s="2" t="n">
        <x:v>537</x:v>
      </x:c>
      <x:c r="K1107" s="2" t="n">
        <x:v>15</x:v>
      </x:c>
      <x:c r="L1107" s="12" t="n">
        <x:v>12868.8333</x:v>
      </x:c>
      <x:c r="M1107" s="13" t="n">
        <x:v>0.9159523758147324</x:v>
      </x:c>
      <x:c r="N1107" s="13" t="n">
        <x:f>H1107/G1107</x:f>
        <x:v>0.011505141053119823</x:v>
      </x:c>
      <x:c r="O1107" s="13" t="n">
        <x:f>F1107/E1107</x:f>
        <x:v>0</x:v>
      </x:c>
      <x:c r="P1107" s="2" t="str">
        <x:f>IF(AND(E1107&gt;='Итоги'!$F$5,N1107&lt;='Итоги'!$B$5,O1107&gt;='Итоги'!$D$5),"Да","Нет")</x:f>
        <x:v>Нет</x:v>
      </x:c>
    </x:row>
    <x:row r="1108" ht="60" customHeight="1">
      <x:c r="A1108" s="14" t="str">
        <x:v>Аптека</x:v>
      </x:c>
      <x:c r="B1108" s="14" t="str">
        <x:v>Медицинская техника</x:v>
      </x:c>
      <x:c r="C1108" s="14" t="str">
        <x:v>Приборы и средства диагностики</x:v>
      </x:c>
      <x:c r="D1108" s="14" t="str">
        <x:v>Манжета для тонометра</x:v>
      </x:c>
      <x:c r="E1108" s="2" t="n">
        <x:v>5</x:v>
      </x:c>
      <x:c r="F1108" s="2" t="n">
        <x:v>0</x:v>
      </x:c>
      <x:c r="G1108" s="12" t="n">
        <x:v>1476308.6271</x:v>
      </x:c>
      <x:c r="H1108" s="12" t="n">
        <x:v>17141.304362389998</x:v>
      </x:c>
      <x:c r="I1108" s="13" t="n">
        <x:v>0.01006</x:v>
      </x:c>
      <x:c r="J1108" s="2" t="n">
        <x:v>3</x:v>
      </x:c>
      <x:c r="K1108" s="2" t="n">
        <x:v>2</x:v>
      </x:c>
      <x:c r="L1108" s="12" t="n">
        <x:v>1010.0415</x:v>
      </x:c>
      <x:c r="M1108" s="13" t="n">
        <x:v>0.890140857390645</x:v>
      </x:c>
      <x:c r="N1108" s="13" t="n">
        <x:f>H1108/G1108</x:f>
        <x:v>0.011610922030620164</x:v>
      </x:c>
      <x:c r="O1108" s="13" t="n">
        <x:f>F1108/E1108</x:f>
        <x:v>0</x:v>
      </x:c>
      <x:c r="P1108" s="2" t="str">
        <x:f>IF(AND(E1108&gt;='Итоги'!$F$5,N1108&lt;='Итоги'!$B$5,O1108&gt;='Итоги'!$D$5),"Да","Нет")</x:f>
        <x:v>Нет</x:v>
      </x:c>
    </x:row>
    <x:row r="1109" ht="60" customHeight="1">
      <x:c r="A1109" s="14" t="str">
        <x:v>Детская одежда</x:v>
      </x:c>
      <x:c r="B1109" s="14" t="str">
        <x:v>Детская одежда</x:v>
      </x:c>
      <x:c r="C1109" s="14" t="str">
        <x:v>Одежда спортивная для мальчика</x:v>
      </x:c>
      <x:c r="D1109" s="14" t="str">
        <x:v>Шорты спортивные для мальчика</x:v>
      </x:c>
      <x:c r="E1109" s="2" t="n">
        <x:v>6</x:v>
      </x:c>
      <x:c r="F1109" s="2" t="n">
        <x:v>0</x:v>
      </x:c>
      <x:c r="G1109" s="12" t="n">
        <x:v>561235.17</x:v>
      </x:c>
      <x:c r="H1109" s="12" t="n">
        <x:v>6537.136217</x:v>
      </x:c>
      <x:c r="I1109" s="13" t="n">
        <x:v>0.01035</x:v>
      </x:c>
      <x:c r="J1109" s="2" t="n">
        <x:v>2</x:v>
      </x:c>
      <x:c r="K1109" s="2" t="n">
        <x:v>2</x:v>
      </x:c>
      <x:c r="L1109" s="12" t="n">
        <x:v>734.7728</x:v>
      </x:c>
      <x:c r="M1109" s="13" t="n">
        <x:v>0.7290710594633618</x:v>
      </x:c>
      <x:c r="N1109" s="13" t="n">
        <x:f>H1109/G1109</x:f>
        <x:v>0.011647766509358278</x:v>
      </x:c>
      <x:c r="O1109" s="13" t="n">
        <x:f>F1109/E1109</x:f>
        <x:v>0</x:v>
      </x:c>
      <x:c r="P1109" s="2" t="str">
        <x:f>IF(AND(E1109&gt;='Итоги'!$F$5,N1109&lt;='Итоги'!$B$5,O1109&gt;='Итоги'!$D$5),"Да","Нет")</x:f>
        <x:v>Нет</x:v>
      </x:c>
    </x:row>
    <x:row r="1110" ht="60" customHeight="1">
      <x:c r="A1110" s="14" t="str">
        <x:v>Обувь</x:v>
      </x:c>
      <x:c r="B1110" s="14" t="str">
        <x:v>Обувь женская</x:v>
      </x:c>
      <x:c r="C1110" s="14" t="str">
        <x:v>Спортивная обувь женская</x:v>
      </x:c>
      <x:c r="D1110" s="14" t="str">
        <x:v>Спортивные кроссовки женские</x:v>
      </x:c>
      <x:c r="E1110" s="2" t="n">
        <x:v>2198</x:v>
      </x:c>
      <x:c r="F1110" s="2" t="n">
        <x:v>0</x:v>
      </x:c>
      <x:c r="G1110" s="12" t="n">
        <x:v>184050851.0443</x:v>
      </x:c>
      <x:c r="H1110" s="12" t="n">
        <x:v>2148529.91357604</x:v>
      </x:c>
      <x:c r="I1110" s="13" t="n">
        <x:v>0.0094463603275705</x:v>
      </x:c>
      <x:c r="J1110" s="2" t="n">
        <x:v>1876</x:v>
      </x:c>
      <x:c r="K1110" s="2" t="n">
        <x:v>58</x:v>
      </x:c>
      <x:c r="L1110" s="12" t="n">
        <x:v>3976.78065</x:v>
      </x:c>
      <x:c r="M1110" s="13" t="n">
        <x:v>0.5356681675939108</x:v>
      </x:c>
      <x:c r="N1110" s="13" t="n">
        <x:f>H1110/G1110</x:f>
        <x:v>0.011673566850603157</x:v>
      </x:c>
      <x:c r="O1110" s="13" t="n">
        <x:f>F1110/E1110</x:f>
        <x:v>0</x:v>
      </x:c>
      <x:c r="P1110" s="2" t="str">
        <x:f>IF(AND(E1110&gt;='Итоги'!$F$5,N1110&lt;='Итоги'!$B$5,O1110&gt;='Итоги'!$D$5),"Да","Нет")</x:f>
        <x:v>Нет</x:v>
      </x:c>
    </x:row>
    <x:row r="1111" ht="60" customHeight="1">
      <x:c r="A1111" s="14" t="str">
        <x:v>Мелкая бытовая техника</x:v>
      </x:c>
      <x:c r="B1111" s="14" t="str">
        <x:v>SDA Климатическая техника</x:v>
      </x:c>
      <x:c r="C1111" s="14" t="str">
        <x:v>Климатическая техника SDA</x:v>
      </x:c>
      <x:c r="D1111" s="14" t="str">
        <x:v>Кондиционер мультисплит система</x:v>
      </x:c>
      <x:c r="E1111" s="2" t="n">
        <x:v>3</x:v>
      </x:c>
      <x:c r="F1111" s="2" t="n">
        <x:v>0</x:v>
      </x:c>
      <x:c r="G1111" s="12" t="n">
        <x:v>1240045.0437</x:v>
      </x:c>
      <x:c r="H1111" s="12" t="n">
        <x:v>14495.76657917</x:v>
      </x:c>
      <x:c r="I1111" s="13" t="n">
        <x:v>0.0184333333333333</x:v>
      </x:c>
      <x:c r="J1111" s="2" t="n">
        <x:v>1</x:v>
      </x:c>
      <x:c r="K1111" s="2" t="n">
        <x:v>2</x:v>
      </x:c>
      <x:c r="L1111" s="12" t="n">
        <x:v>37091</x:v>
      </x:c>
      <x:c r="M1111" s="13" t="n">
        <x:v>0.8063449378552603</x:v>
      </x:c>
      <x:c r="N1111" s="13" t="n">
        <x:f>H1111/G1111</x:f>
        <x:v>0.01168970970273634</x:v>
      </x:c>
      <x:c r="O1111" s="13" t="n">
        <x:f>F1111/E1111</x:f>
        <x:v>0</x:v>
      </x:c>
      <x:c r="P1111" s="2" t="str">
        <x:f>IF(AND(E1111&gt;='Итоги'!$F$5,N1111&lt;='Итоги'!$B$5,O1111&gt;='Итоги'!$D$5),"Да","Нет")</x:f>
        <x:v>Нет</x:v>
      </x:c>
    </x:row>
    <x:row r="1112" ht="60" customHeight="1">
      <x:c r="A1112" s="14" t="str">
        <x:v>Строительство и ремонт (DIY)</x:v>
      </x:c>
      <x:c r="B1112" s="14" t="str">
        <x:v>Ремонт и строительство</x:v>
      </x:c>
      <x:c r="C1112" s="14" t="str">
        <x:v>Спецодежда, средства защиты</x:v>
      </x:c>
      <x:c r="D1112" s="14" t="str">
        <x:v>Страховочный пояс строительный</x:v>
      </x:c>
      <x:c r="E1112" s="2" t="n">
        <x:v>6</x:v>
      </x:c>
      <x:c r="F1112" s="2" t="n">
        <x:v>0</x:v>
      </x:c>
      <x:c r="G1112" s="12" t="n">
        <x:v>632197.4765</x:v>
      </x:c>
      <x:c r="H1112" s="12" t="n">
        <x:v>7402.796600000001</x:v>
      </x:c>
      <x:c r="I1112" s="13" t="n">
        <x:v>0.0215999999999999</x:v>
      </x:c>
      <x:c r="J1112" s="2" t="n">
        <x:v>4</x:v>
      </x:c>
      <x:c r="K1112" s="2" t="n">
        <x:v>4</x:v>
      </x:c>
      <x:c r="L1112" s="12" t="n">
        <x:v>3413.42</x:v>
      </x:c>
      <x:c r="M1112" s="13" t="n">
        <x:v>0.7023319342528251</x:v>
      </x:c>
      <x:c r="N1112" s="13" t="n">
        <x:f>H1112/G1112</x:f>
        <x:v>0.011709626936481454</x:v>
      </x:c>
      <x:c r="O1112" s="13" t="n">
        <x:f>F1112/E1112</x:f>
        <x:v>0</x:v>
      </x:c>
      <x:c r="P1112" s="2" t="str">
        <x:f>IF(AND(E1112&gt;='Итоги'!$F$5,N1112&lt;='Итоги'!$B$5,O1112&gt;='Итоги'!$D$5),"Да","Нет")</x:f>
        <x:v>Нет</x:v>
      </x:c>
    </x:row>
    <x:row r="1113" ht="60" customHeight="1">
      <x:c r="A1113" s="14" t="str">
        <x:v>Мебель</x:v>
      </x:c>
      <x:c r="B1113" s="14" t="str">
        <x:v>Корпусная мебель и мебель для хранения</x:v>
      </x:c>
      <x:c r="C1113" s="14" t="str">
        <x:v>Мебель для бизнеса</x:v>
      </x:c>
      <x:c r="D1113" s="14" t="str">
        <x:v>Стол производственный</x:v>
      </x:c>
      <x:c r="E1113" s="2" t="n">
        <x:v>28</x:v>
      </x:c>
      <x:c r="F1113" s="2" t="n">
        <x:v>0</x:v>
      </x:c>
      <x:c r="G1113" s="12" t="n">
        <x:v>7582867.1363</x:v>
      </x:c>
      <x:c r="H1113" s="12" t="n">
        <x:v>89158.42253668</x:v>
      </x:c>
      <x:c r="I1113" s="13" t="n">
        <x:v>0.0176285714285714</x:v>
      </x:c>
      <x:c r="J1113" s="2" t="n">
        <x:v>11</x:v>
      </x:c>
      <x:c r="K1113" s="2" t="n">
        <x:v>4</x:v>
      </x:c>
      <x:c r="L1113" s="12" t="n">
        <x:v>6915.21715</x:v>
      </x:c>
      <x:c r="M1113" s="13" t="n">
        <x:v>0.7030494284647697</x:v>
      </x:c>
      <x:c r="N1113" s="13" t="n">
        <x:f>H1113/G1113</x:f>
        <x:v>0.011757877453749524</x:v>
      </x:c>
      <x:c r="O1113" s="13" t="n">
        <x:f>F1113/E1113</x:f>
        <x:v>0</x:v>
      </x:c>
      <x:c r="P1113" s="2" t="str">
        <x:f>IF(AND(E1113&gt;='Итоги'!$F$5,N1113&lt;='Итоги'!$B$5,O1113&gt;='Итоги'!$D$5),"Да","Нет")</x:f>
        <x:v>Нет</x:v>
      </x:c>
    </x:row>
    <x:row r="1114" ht="60" customHeight="1">
      <x:c r="A1114" s="14" t="str">
        <x:v>Строительство и ремонт (DIY)</x:v>
      </x:c>
      <x:c r="B1114" s="14" t="str">
        <x:v>Сантехника</x:v>
      </x:c>
      <x:c r="C1114" s="14" t="str">
        <x:v>Аксессуары для сантехники</x:v>
      </x:c>
      <x:c r="D1114" s="14" t="str">
        <x:v>Счетчик воды</x:v>
      </x:c>
      <x:c r="E1114" s="2" t="n">
        <x:v>29</x:v>
      </x:c>
      <x:c r="F1114" s="2" t="n">
        <x:v>0</x:v>
      </x:c>
      <x:c r="G1114" s="12" t="n">
        <x:v>5153645.3715</x:v>
      </x:c>
      <x:c r="H1114" s="12" t="n">
        <x:v>61365.08889502</x:v>
      </x:c>
      <x:c r="I1114" s="13" t="n">
        <x:v>0.010703448275862</x:v>
      </x:c>
      <x:c r="J1114" s="2" t="n">
        <x:v>16</x:v>
      </x:c>
      <x:c r="K1114" s="2" t="n">
        <x:v>11</x:v>
      </x:c>
      <x:c r="L1114" s="12" t="n">
        <x:v>1150.8218</x:v>
      </x:c>
      <x:c r="M1114" s="13" t="n">
        <x:v>0.2754351515627951</x:v>
      </x:c>
      <x:c r="N1114" s="13" t="n">
        <x:f>H1114/G1114</x:f>
        <x:v>0.0119071229142721</x:v>
      </x:c>
      <x:c r="O1114" s="13" t="n">
        <x:f>F1114/E1114</x:f>
        <x:v>0</x:v>
      </x:c>
      <x:c r="P1114" s="2" t="str">
        <x:f>IF(AND(E1114&gt;='Итоги'!$F$5,N1114&lt;='Итоги'!$B$5,O1114&gt;='Итоги'!$D$5),"Да","Нет")</x:f>
        <x:v>Нет</x:v>
      </x:c>
    </x:row>
    <x:row r="1115" ht="60" customHeight="1">
      <x:c r="A1115" s="14" t="str">
        <x:v>Товары для красоты и здоровья</x:v>
      </x:c>
      <x:c r="B1115" s="14" t="str">
        <x:v>Косметика для ухода за волосами</x:v>
      </x:c>
      <x:c r="C1115" s="14" t="str">
        <x:v>Стайлинг для женщин</x:v>
      </x:c>
      <x:c r="D1115" s="14" t="str">
        <x:v>Кератин для волос</x:v>
      </x:c>
      <x:c r="E1115" s="2" t="n">
        <x:v>37</x:v>
      </x:c>
      <x:c r="F1115" s="2" t="n">
        <x:v>0</x:v>
      </x:c>
      <x:c r="G1115" s="12" t="n">
        <x:v>3995962.9329</x:v>
      </x:c>
      <x:c r="H1115" s="12" t="n">
        <x:v>47846.579131720006</x:v>
      </x:c>
      <x:c r="I1115" s="13" t="n">
        <x:v>0.0138567567567567</x:v>
      </x:c>
      <x:c r="J1115" s="2" t="n">
        <x:v>31</x:v>
      </x:c>
      <x:c r="K1115" s="2" t="n">
        <x:v>10</x:v>
      </x:c>
      <x:c r="L1115" s="12" t="n">
        <x:v>4333</x:v>
      </x:c>
      <x:c r="M1115" s="13" t="n">
        <x:v>0.6269777129493452</x:v>
      </x:c>
      <x:c r="N1115" s="13" t="n">
        <x:f>H1115/G1115</x:f>
        <x:v>0.01197372947025717</x:v>
      </x:c>
      <x:c r="O1115" s="13" t="n">
        <x:f>F1115/E1115</x:f>
        <x:v>0</x:v>
      </x:c>
      <x:c r="P1115" s="2" t="str">
        <x:f>IF(AND(E1115&gt;='Итоги'!$F$5,N1115&lt;='Итоги'!$B$5,O1115&gt;='Итоги'!$D$5),"Да","Нет")</x:f>
        <x:v>Нет</x:v>
      </x:c>
    </x:row>
    <x:row r="1116" ht="60" customHeight="1">
      <x:c r="A1116" s="14" t="str">
        <x:v>Крупная бытовая техника</x:v>
      </x:c>
      <x:c r="B1116" s="14" t="str">
        <x:v>MDA Встраиваемая техника</x:v>
      </x:c>
      <x:c r="C1116" s="14" t="str">
        <x:v>MDA Встраиваемая техника прочее</x:v>
      </x:c>
      <x:c r="D1116" s="14" t="str">
        <x:v>Комплект встраиваемой бытовой техники</x:v>
      </x:c>
      <x:c r="E1116" s="2" t="n">
        <x:v>14</x:v>
      </x:c>
      <x:c r="F1116" s="2" t="n">
        <x:v>0</x:v>
      </x:c>
      <x:c r="G1116" s="12" t="n">
        <x:v>2894713.9221</x:v>
      </x:c>
      <x:c r="H1116" s="12" t="n">
        <x:v>34661.910526</x:v>
      </x:c>
      <x:c r="I1116" s="13" t="n">
        <x:v>0.01405</x:v>
      </x:c>
      <x:c r="J1116" s="2" t="n">
        <x:v>10</x:v>
      </x:c>
      <x:c r="K1116" s="2" t="n">
        <x:v>1</x:v>
      </x:c>
      <x:c r="L1116" s="12" t="n">
        <x:v>31902.0193</x:v>
      </x:c>
      <x:c r="M1116" s="13" t="n">
        <x:v>1</x:v>
      </x:c>
      <x:c r="N1116" s="13" t="n">
        <x:f>H1116/G1116</x:f>
        <x:v>0.011974209354979769</x:v>
      </x:c>
      <x:c r="O1116" s="13" t="n">
        <x:f>F1116/E1116</x:f>
        <x:v>0</x:v>
      </x:c>
      <x:c r="P1116" s="2" t="str">
        <x:f>IF(AND(E1116&gt;='Итоги'!$F$5,N1116&lt;='Итоги'!$B$5,O1116&gt;='Итоги'!$D$5),"Да","Нет")</x:f>
        <x:v>Нет</x:v>
      </x:c>
    </x:row>
    <x:row r="1117" ht="60" customHeight="1">
      <x:c r="A1117" s="14" t="str">
        <x:v>Аксессуары</x:v>
      </x:c>
      <x:c r="B1117" s="14" t="str">
        <x:v>Ювелирные изделия</x:v>
      </x:c>
      <x:c r="C1117" s="14" t="str">
        <x:v>Аксессуар ювелирный</x:v>
      </x:c>
      <x:c r="D1117" s="14" t="str">
        <x:v>Платина серьги</x:v>
      </x:c>
      <x:c r="E1117" s="2" t="n">
        <x:v>6</x:v>
      </x:c>
      <x:c r="F1117" s="2" t="n">
        <x:v>0</x:v>
      </x:c>
      <x:c r="G1117" s="12" t="n">
        <x:v>527448</x:v>
      </x:c>
      <x:c r="H1117" s="12" t="n">
        <x:v>6322.497299999999</x:v>
      </x:c>
      <x:c r="I1117" s="13" t="n">
        <x:v>0.01385</x:v>
      </x:c>
      <x:c r="J1117" s="2" t="n">
        <x:v>5</x:v>
      </x:c>
      <x:c r="K1117" s="2" t="n">
        <x:v>2</x:v>
      </x:c>
      <x:c r="L1117" s="12" t="n">
        <x:v>19913.2</x:v>
      </x:c>
      <x:c r="M1117" s="13" t="n">
        <x:v>0.9785514401419666</x:v>
      </x:c>
      <x:c r="N1117" s="13" t="n">
        <x:f>H1117/G1117</x:f>
        <x:v>0.011986958524821402</x:v>
      </x:c>
      <x:c r="O1117" s="13" t="n">
        <x:f>F1117/E1117</x:f>
        <x:v>0</x:v>
      </x:c>
      <x:c r="P1117" s="2" t="str">
        <x:f>IF(AND(E1117&gt;='Итоги'!$F$5,N1117&lt;='Итоги'!$B$5,O1117&gt;='Итоги'!$D$5),"Да","Нет")</x:f>
        <x:v>Нет</x:v>
      </x:c>
    </x:row>
    <x:row r="1118" ht="60" customHeight="1">
      <x:c r="A1118" s="14" t="str">
        <x:v>Строительство и ремонт (DIY)</x:v>
      </x:c>
      <x:c r="B1118" s="14" t="str">
        <x:v>Сад и огород</x:v>
      </x:c>
      <x:c r="C1118" s="14" t="str">
        <x:v>Полив</x:v>
      </x:c>
      <x:c r="D1118" s="14" t="str">
        <x:v>Бак для полива</x:v>
      </x:c>
      <x:c r="E1118" s="2" t="n">
        <x:v>2</x:v>
      </x:c>
      <x:c r="F1118" s="2" t="n">
        <x:v>0</x:v>
      </x:c>
      <x:c r="G1118" s="12" t="n">
        <x:v>368550.4</x:v>
      </x:c>
      <x:c r="H1118" s="12" t="n">
        <x:v>4426.395280000001</x:v>
      </x:c>
      <x:c r="I1118" s="13" t="n">
        <x:v>0.0107</x:v>
      </x:c>
      <x:c r="J1118" s="2" t="n">
        <x:v>0</x:v>
      </x:c>
      <x:c r="K1118" s="2" t="n">
        <x:v>1</x:v>
      </x:c>
      <x:c r="L1118" s="12" t="n">
        <x:v>5138.045700000001</x:v>
      </x:c>
      <x:c r="M1118" s="13" t="n">
        <x:v>1</x:v>
      </x:c>
      <x:c r="N1118" s="13" t="n">
        <x:f>H1118/G1118</x:f>
        <x:v>0.012010284834855695</x:v>
      </x:c>
      <x:c r="O1118" s="13" t="n">
        <x:f>F1118/E1118</x:f>
        <x:v>0</x:v>
      </x:c>
      <x:c r="P1118" s="2" t="str">
        <x:f>IF(AND(E1118&gt;='Итоги'!$F$5,N1118&lt;='Итоги'!$B$5,O1118&gt;='Итоги'!$D$5),"Да","Нет")</x:f>
        <x:v>Нет</x:v>
      </x:c>
    </x:row>
    <x:row r="1119" ht="60" customHeight="1">
      <x:c r="A1119" s="14" t="str">
        <x:v>Ноутбуки и компьютеры</x:v>
      </x:c>
      <x:c r="B1119" s="14" t="str">
        <x:v>Фото и видео Lap&amp;Comp</x:v>
      </x:c>
      <x:c r="C1119" s="14" t="str">
        <x:v>Аксессуар к фото и видео Lap&amp;Comp</x:v>
      </x:c>
      <x:c r="D1119" s="14" t="str">
        <x:v>Фотопленка</x:v>
      </x:c>
      <x:c r="E1119" s="2" t="n">
        <x:v>88</x:v>
      </x:c>
      <x:c r="F1119" s="2" t="n">
        <x:v>0</x:v>
      </x:c>
      <x:c r="G1119" s="12" t="n">
        <x:v>23609951.0441</x:v>
      </x:c>
      <x:c r="H1119" s="12" t="n">
        <x:v>284009.53256112</x:v>
      </x:c>
      <x:c r="I1119" s="13" t="n">
        <x:v>0.0161931818181818</x:v>
      </x:c>
      <x:c r="J1119" s="2" t="n">
        <x:v>36</x:v>
      </x:c>
      <x:c r="K1119" s="2" t="n">
        <x:v>26</x:v>
      </x:c>
      <x:c r="L1119" s="12" t="n">
        <x:v>2152.9722</x:v>
      </x:c>
      <x:c r="M1119" s="13" t="n">
        <x:v>0.3345766697713675</x:v>
      </x:c>
      <x:c r="N1119" s="13" t="n">
        <x:f>H1119/G1119</x:f>
        <x:v>0.012029230049254694</x:v>
      </x:c>
      <x:c r="O1119" s="13" t="n">
        <x:f>F1119/E1119</x:f>
        <x:v>0</x:v>
      </x:c>
      <x:c r="P1119" s="2" t="str">
        <x:f>IF(AND(E1119&gt;='Итоги'!$F$5,N1119&lt;='Итоги'!$B$5,O1119&gt;='Итоги'!$D$5),"Да","Нет")</x:f>
        <x:v>Нет</x:v>
      </x:c>
    </x:row>
    <x:row r="1120" ht="60" customHeight="1">
      <x:c r="A1120" s="14" t="str">
        <x:v>Бытовая химия и гигиена рта</x:v>
      </x:c>
      <x:c r="B1120" s="14" t="str">
        <x:v>Гигиена рта</x:v>
      </x:c>
      <x:c r="C1120" s="14" t="str">
        <x:v>Гигиена рта</x:v>
      </x:c>
      <x:c r="D1120" s="14" t="str">
        <x:v>Зубные ершики</x:v>
      </x:c>
      <x:c r="E1120" s="2" t="n">
        <x:v>12</x:v>
      </x:c>
      <x:c r="F1120" s="2" t="n">
        <x:v>0</x:v>
      </x:c>
      <x:c r="G1120" s="12" t="n">
        <x:v>2787252.4887</x:v>
      </x:c>
      <x:c r="H1120" s="12" t="n">
        <x:v>33556.00372992</x:v>
      </x:c>
      <x:c r="I1120" s="13" t="n">
        <x:v>0.0079166666666666</x:v>
      </x:c>
      <x:c r="J1120" s="2" t="n">
        <x:v>8</x:v>
      </x:c>
      <x:c r="K1120" s="2" t="n">
        <x:v>1</x:v>
      </x:c>
      <x:c r="L1120" s="12" t="n">
        <x:v>1452.2501</x:v>
      </x:c>
      <x:c r="M1120" s="13" t="n">
        <x:v>1</x:v>
      </x:c>
      <x:c r="N1120" s="13" t="n">
        <x:f>H1120/G1120</x:f>
        <x:v>0.012039097234987427</x:v>
      </x:c>
      <x:c r="O1120" s="13" t="n">
        <x:f>F1120/E1120</x:f>
        <x:v>0</x:v>
      </x:c>
      <x:c r="P1120" s="2" t="str">
        <x:f>IF(AND(E1120&gt;='Итоги'!$F$5,N1120&lt;='Итоги'!$B$5,O1120&gt;='Итоги'!$D$5),"Да","Нет")</x:f>
        <x:v>Нет</x:v>
      </x:c>
    </x:row>
    <x:row r="1121" ht="60" customHeight="1">
      <x:c r="A1121" s="14" t="str">
        <x:v>Ноутбуки и компьютеры</x:v>
      </x:c>
      <x:c r="B1121" s="14" t="str">
        <x:v>Компьютерная офисная техника Lap&amp;Comp</x:v>
      </x:c>
      <x:c r="C1121" s="14" t="str">
        <x:v>Кассовое и складское оборудование Lap&amp;Comp</x:v>
      </x:c>
      <x:c r="D1121" s="14" t="str">
        <x:v>Оборудование для принтеров наклеек</x:v>
      </x:c>
      <x:c r="E1121" s="2" t="n">
        <x:v>2</x:v>
      </x:c>
      <x:c r="F1121" s="2" t="n">
        <x:v>0</x:v>
      </x:c>
      <x:c r="G1121" s="12" t="n">
        <x:v>635684.5039</x:v>
      </x:c>
      <x:c r="H1121" s="12" t="n">
        <x:v>7699.78065663</x:v>
      </x:c>
      <x:c r="I1121" s="13" t="n">
        <x:v>0.0372</x:v>
      </x:c>
      <x:c r="J1121" s="2" t="n">
        <x:v>0</x:v>
      </x:c>
      <x:c r="K1121" s="2" t="n">
        <x:v>2</x:v>
      </x:c>
      <x:c r="L1121" s="12" t="n">
        <x:v>7627.9503</x:v>
      </x:c>
      <x:c r="M1121" s="13" t="n">
        <x:v>0.8533439160022915</x:v>
      </x:c>
      <x:c r="N1121" s="13" t="n">
        <x:f>H1121/G1121</x:f>
        <x:v>0.012112581963837297</x:v>
      </x:c>
      <x:c r="O1121" s="13" t="n">
        <x:f>F1121/E1121</x:f>
        <x:v>0</x:v>
      </x:c>
      <x:c r="P1121" s="2" t="str">
        <x:f>IF(AND(E1121&gt;='Итоги'!$F$5,N1121&lt;='Итоги'!$B$5,O1121&gt;='Итоги'!$D$5),"Да","Нет")</x:f>
        <x:v>Нет</x:v>
      </x:c>
    </x:row>
    <x:row r="1122" ht="60" customHeight="1">
      <x:c r="A1122" s="14" t="str">
        <x:v>Аксессуары</x:v>
      </x:c>
      <x:c r="B1122" s="14" t="str">
        <x:v>Сумки и рюкзаки</x:v>
      </x:c>
      <x:c r="C1122" s="14" t="str">
        <x:v>Сумка мужская</x:v>
      </x:c>
      <x:c r="D1122" s="14" t="str">
        <x:v>Мужской Саквояж дорожный</x:v>
      </x:c>
      <x:c r="E1122" s="2" t="n">
        <x:v>3</x:v>
      </x:c>
      <x:c r="F1122" s="2" t="n">
        <x:v>0</x:v>
      </x:c>
      <x:c r="G1122" s="12" t="n">
        <x:v>273425</x:v>
      </x:c>
      <x:c r="H1122" s="12" t="n">
        <x:v>3336.8089</x:v>
      </x:c>
      <x:c r="I1122" s="13" t="n">
        <x:v>0.0147666666666666</x:v>
      </x:c>
      <x:c r="J1122" s="2" t="n">
        <x:v>2</x:v>
      </x:c>
      <x:c r="K1122" s="2" t="n">
        <x:v>1</x:v>
      </x:c>
      <x:c r="L1122" s="12" t="n">
        <x:v>18830.75</x:v>
      </x:c>
      <x:c r="M1122" s="13" t="n">
        <x:v>1</x:v>
      </x:c>
      <x:c r="N1122" s="13" t="n">
        <x:f>H1122/G1122</x:f>
        <x:v>0.012203744719758618</x:v>
      </x:c>
      <x:c r="O1122" s="13" t="n">
        <x:f>F1122/E1122</x:f>
        <x:v>0</x:v>
      </x:c>
      <x:c r="P1122" s="2" t="str">
        <x:f>IF(AND(E1122&gt;='Итоги'!$F$5,N1122&lt;='Итоги'!$B$5,O1122&gt;='Итоги'!$D$5),"Да","Нет")</x:f>
        <x:v>Нет</x:v>
      </x:c>
    </x:row>
    <x:row r="1123" ht="60" customHeight="1">
      <x:c r="A1123" s="14" t="str">
        <x:v>Товары для красоты и здоровья</x:v>
      </x:c>
      <x:c r="B1123" s="14" t="str">
        <x:v>Косметическая техника</x:v>
      </x:c>
      <x:c r="C1123" s="14" t="str">
        <x:v>Оборудование для салона красоты</x:v>
      </x:c>
      <x:c r="D1123" s="14" t="str">
        <x:v>Стул мастера для салона красоты</x:v>
      </x:c>
      <x:c r="E1123" s="2" t="n">
        <x:v>42</x:v>
      </x:c>
      <x:c r="F1123" s="2" t="n">
        <x:v>0</x:v>
      </x:c>
      <x:c r="G1123" s="12" t="n">
        <x:v>6992390.965</x:v>
      </x:c>
      <x:c r="H1123" s="12" t="n">
        <x:v>85764.74045321</x:v>
      </x:c>
      <x:c r="I1123" s="13" t="n">
        <x:v>0.0069357142857142</x:v>
      </x:c>
      <x:c r="J1123" s="2" t="n">
        <x:v>35</x:v>
      </x:c>
      <x:c r="K1123" s="2" t="n">
        <x:v>7</x:v>
      </x:c>
      <x:c r="L1123" s="12" t="n">
        <x:v>4035.10905</x:v>
      </x:c>
      <x:c r="M1123" s="13" t="n">
        <x:v>0.8819675959723743</x:v>
      </x:c>
      <x:c r="N1123" s="13" t="n">
        <x:f>H1123/G1123</x:f>
        <x:v>0.012265438371867412</x:v>
      </x:c>
      <x:c r="O1123" s="13" t="n">
        <x:f>F1123/E1123</x:f>
        <x:v>0</x:v>
      </x:c>
      <x:c r="P1123" s="2" t="str">
        <x:f>IF(AND(E1123&gt;='Итоги'!$F$5,N1123&lt;='Итоги'!$B$5,O1123&gt;='Итоги'!$D$5),"Да","Нет")</x:f>
        <x:v>Нет</x:v>
      </x:c>
    </x:row>
    <x:row r="1124" ht="60" customHeight="1">
      <x:c r="A1124" s="14" t="str">
        <x:v>Обувь</x:v>
      </x:c>
      <x:c r="B1124" s="14" t="str">
        <x:v>Обувь мужская</x:v>
      </x:c>
      <x:c r="C1124" s="14" t="str">
        <x:v>Спортивная обувь мужская</x:v>
      </x:c>
      <x:c r="D1124" s="14" t="str">
        <x:v>Спортивные аквашуз мужские</x:v>
      </x:c>
      <x:c r="E1124" s="2" t="n">
        <x:v>91</x:v>
      </x:c>
      <x:c r="F1124" s="2" t="n">
        <x:v>0</x:v>
      </x:c>
      <x:c r="G1124" s="12" t="n">
        <x:v>5338703.86</x:v>
      </x:c>
      <x:c r="H1124" s="12" t="n">
        <x:v>65519.71837187</x:v>
      </x:c>
      <x:c r="I1124" s="13" t="n">
        <x:v>0.0252890109890109</x:v>
      </x:c>
      <x:c r="J1124" s="2" t="n">
        <x:v>42</x:v>
      </x:c>
      <x:c r="K1124" s="2" t="n">
        <x:v>11</x:v>
      </x:c>
      <x:c r="L1124" s="12" t="n">
        <x:v>1507.5</x:v>
      </x:c>
      <x:c r="M1124" s="13" t="n">
        <x:v>0.4423027155696176</x:v>
      </x:c>
      <x:c r="N1124" s="13" t="n">
        <x:f>H1124/G1124</x:f>
        <x:v>0.01227258901973821</x:v>
      </x:c>
      <x:c r="O1124" s="13" t="n">
        <x:f>F1124/E1124</x:f>
        <x:v>0</x:v>
      </x:c>
      <x:c r="P1124" s="2" t="str">
        <x:f>IF(AND(E1124&gt;='Итоги'!$F$5,N1124&lt;='Итоги'!$B$5,O1124&gt;='Итоги'!$D$5),"Да","Нет")</x:f>
        <x:v>Нет</x:v>
      </x:c>
    </x:row>
    <x:row r="1125" ht="60" customHeight="1">
      <x:c r="A1125" s="14" t="str">
        <x:v>Спорт и отдых</x:v>
      </x:c>
      <x:c r="B1125" s="14" t="str">
        <x:v>Товары для рыбалки</x:v>
      </x:c>
      <x:c r="C1125" s="14" t="str">
        <x:v>Лодки</x:v>
      </x:c>
      <x:c r="D1125" s="14" t="str">
        <x:v>Электрический лодочный мотор</x:v>
      </x:c>
      <x:c r="E1125" s="2" t="n">
        <x:v>7</x:v>
      </x:c>
      <x:c r="F1125" s="2" t="n">
        <x:v>0</x:v>
      </x:c>
      <x:c r="G1125" s="12" t="n">
        <x:v>936535.37</x:v>
      </x:c>
      <x:c r="H1125" s="12" t="n">
        <x:v>11519.1531</x:v>
      </x:c>
      <x:c r="I1125" s="13" t="n">
        <x:v>0.0141</x:v>
      </x:c>
      <x:c r="J1125" s="2" t="n">
        <x:v>5</x:v>
      </x:c>
      <x:c r="K1125" s="2" t="n">
        <x:v>5</x:v>
      </x:c>
      <x:c r="L1125" s="12" t="n">
        <x:v>16480</x:v>
      </x:c>
      <x:c r="M1125" s="13" t="n">
        <x:v>0.763507735965167</x:v>
      </x:c>
      <x:c r="N1125" s="13" t="n">
        <x:f>H1125/G1125</x:f>
        <x:v>0.012299752330763546</x:v>
      </x:c>
      <x:c r="O1125" s="13" t="n">
        <x:f>F1125/E1125</x:f>
        <x:v>0</x:v>
      </x:c>
      <x:c r="P1125" s="2" t="str">
        <x:f>IF(AND(E1125&gt;='Итоги'!$F$5,N1125&lt;='Итоги'!$B$5,O1125&gt;='Итоги'!$D$5),"Да","Нет")</x:f>
        <x:v>Нет</x:v>
      </x:c>
    </x:row>
    <x:row r="1126" ht="60" customHeight="1">
      <x:c r="A1126" s="14" t="str">
        <x:v>Товары для животных</x:v>
      </x:c>
      <x:c r="B1126" s="14" t="str">
        <x:v>Спальное место животного</x:v>
      </x:c>
      <x:c r="C1126" s="14" t="str">
        <x:v>Террариум Уход и аксессуары</x:v>
      </x:c>
      <x:c r="D1126" s="14" t="str">
        <x:v>Кормушки для террариума</x:v>
      </x:c>
      <x:c r="E1126" s="2" t="n">
        <x:v>1</x:v>
      </x:c>
      <x:c r="F1126" s="2" t="n">
        <x:v>0</x:v>
      </x:c>
      <x:c r="G1126" s="12" t="n">
        <x:v>515970.266</x:v>
      </x:c>
      <x:c r="H1126" s="12" t="n">
        <x:v>6346.4342718</x:v>
      </x:c>
      <x:c r="I1126" s="13" t="n">
        <x:v>0.0123</x:v>
      </x:c>
      <x:c r="J1126" s="2" t="n">
        <x:v>0</x:v>
      </x:c>
      <x:c r="K1126" s="2" t="n">
        <x:v>1</x:v>
      </x:c>
      <x:c r="L1126" s="12" t="n">
        <x:v>1323.0007</x:v>
      </x:c>
      <x:c r="M1126" s="13" t="n">
        <x:v>1</x:v>
      </x:c>
      <x:c r="N1126" s="13" t="n">
        <x:f>H1126/G1126</x:f>
        <x:v>0.0123</x:v>
      </x:c>
      <x:c r="O1126" s="13" t="n">
        <x:f>F1126/E1126</x:f>
        <x:v>0</x:v>
      </x:c>
      <x:c r="P1126" s="2" t="str">
        <x:f>IF(AND(E1126&gt;='Итоги'!$F$5,N1126&lt;='Итоги'!$B$5,O1126&gt;='Итоги'!$D$5),"Да","Нет")</x:f>
        <x:v>Нет</x:v>
      </x:c>
    </x:row>
    <x:row r="1127" ht="60" customHeight="1">
      <x:c r="A1127" s="14" t="str">
        <x:v>Бытовая химия и гигиена рта</x:v>
      </x:c>
      <x:c r="B1127" s="14" t="str">
        <x:v>Бытовая химия</x:v>
      </x:c>
      <x:c r="C1127" s="14" t="str">
        <x:v>Товары для защиты от насекомых и грызунов</x:v>
      </x:c>
      <x:c r="D1127" s="14" t="str">
        <x:v>Фумигатор</x:v>
      </x:c>
      <x:c r="E1127" s="2" t="n">
        <x:v>12</x:v>
      </x:c>
      <x:c r="F1127" s="2" t="n">
        <x:v>0</x:v>
      </x:c>
      <x:c r="G1127" s="12" t="n">
        <x:v>2544961.5417</x:v>
      </x:c>
      <x:c r="H1127" s="12" t="n">
        <x:v>31536.834874</x:v>
      </x:c>
      <x:c r="I1127" s="13" t="n">
        <x:v>0.0142583333333333</x:v>
      </x:c>
      <x:c r="J1127" s="2" t="n">
        <x:v>9</x:v>
      </x:c>
      <x:c r="K1127" s="2" t="n">
        <x:v>2</x:v>
      </x:c>
      <x:c r="L1127" s="12" t="n">
        <x:v>1569.64455</x:v>
      </x:c>
      <x:c r="M1127" s="13" t="n">
        <x:v>0.956404916859416</x:v>
      </x:c>
      <x:c r="N1127" s="13" t="n">
        <x:f>H1127/G1127</x:f>
        <x:v>0.01239187090148868</x:v>
      </x:c>
      <x:c r="O1127" s="13" t="n">
        <x:f>F1127/E1127</x:f>
        <x:v>0</x:v>
      </x:c>
      <x:c r="P1127" s="2" t="str">
        <x:f>IF(AND(E1127&gt;='Итоги'!$F$5,N1127&lt;='Итоги'!$B$5,O1127&gt;='Итоги'!$D$5),"Да","Нет")</x:f>
        <x:v>Нет</x:v>
      </x:c>
    </x:row>
    <x:row r="1128" ht="60" customHeight="1">
      <x:c r="A1128" s="14" t="str">
        <x:v>Аксессуары для электроники</x:v>
      </x:c>
      <x:c r="B1128" s="14" t="str">
        <x:v>Фото и видео Access</x:v>
      </x:c>
      <x:c r="C1128" s="14" t="str">
        <x:v>Аксессуар к фото и видео Access</x:v>
      </x:c>
      <x:c r="D1128" s="14" t="str">
        <x:v>Телесуфлер</x:v>
      </x:c>
      <x:c r="E1128" s="2" t="n">
        <x:v>1</x:v>
      </x:c>
      <x:c r="F1128" s="2" t="n">
        <x:v>0</x:v>
      </x:c>
      <x:c r="G1128" s="12" t="n">
        <x:v>130679.0907</x:v>
      </x:c>
      <x:c r="H1128" s="12" t="n">
        <x:v>1620.42072468</x:v>
      </x:c>
      <x:c r="I1128" s="13" t="n">
        <x:v>0.0124</x:v>
      </x:c>
      <x:c r="J1128" s="2" t="n">
        <x:v>0</x:v>
      </x:c>
      <x:c r="K1128" s="2" t="n">
        <x:v>1</x:v>
      </x:c>
      <x:c r="L1128" s="12" t="n">
        <x:v>2840.8498</x:v>
      </x:c>
      <x:c r="M1128" s="13" t="n">
        <x:v>1</x:v>
      </x:c>
      <x:c r="N1128" s="13" t="n">
        <x:f>H1128/G1128</x:f>
        <x:v>0.0124</x:v>
      </x:c>
      <x:c r="O1128" s="13" t="n">
        <x:f>F1128/E1128</x:f>
        <x:v>0</x:v>
      </x:c>
      <x:c r="P1128" s="2" t="str">
        <x:f>IF(AND(E1128&gt;='Итоги'!$F$5,N1128&lt;='Итоги'!$B$5,O1128&gt;='Итоги'!$D$5),"Да","Нет")</x:f>
        <x:v>Нет</x:v>
      </x:c>
    </x:row>
    <x:row r="1129" ht="60" customHeight="1">
      <x:c r="A1129" s="14" t="str">
        <x:v>Аптека</x:v>
      </x:c>
      <x:c r="B1129" s="14" t="str">
        <x:v>Витамины и БАДы</x:v>
      </x:c>
      <x:c r="C1129" s="14" t="str">
        <x:v>Для желудочно-кишечного тракта и печени</x:v>
      </x:c>
      <x:c r="D1129" s="14" t="str">
        <x:v>БАД при запорах</x:v>
      </x:c>
      <x:c r="E1129" s="2" t="n">
        <x:v>1</x:v>
      </x:c>
      <x:c r="F1129" s="2" t="n">
        <x:v>0</x:v>
      </x:c>
      <x:c r="G1129" s="12" t="n">
        <x:v>66731</x:v>
      </x:c>
      <x:c r="H1129" s="12" t="n">
        <x:v>827.4644</x:v>
      </x:c>
      <x:c r="I1129" s="13" t="n">
        <x:v>0.0124</x:v>
      </x:c>
      <x:c r="J1129" s="2" t="n">
        <x:v>0</x:v>
      </x:c>
      <x:c r="K1129" s="2" t="n">
        <x:v>1</x:v>
      </x:c>
      <x:c r="L1129" s="12" t="n">
        <x:v>1112.1833</x:v>
      </x:c>
      <x:c r="M1129" s="13" t="n">
        <x:v>1</x:v>
      </x:c>
      <x:c r="N1129" s="13" t="n">
        <x:f>H1129/G1129</x:f>
        <x:v>0.0124</x:v>
      </x:c>
      <x:c r="O1129" s="13" t="n">
        <x:f>F1129/E1129</x:f>
        <x:v>0</x:v>
      </x:c>
      <x:c r="P1129" s="2" t="str">
        <x:f>IF(AND(E1129&gt;='Итоги'!$F$5,N1129&lt;='Итоги'!$B$5,O1129&gt;='Итоги'!$D$5),"Да","Нет")</x:f>
        <x:v>Нет</x:v>
      </x:c>
    </x:row>
    <x:row r="1130" ht="60" customHeight="1">
      <x:c r="A1130" s="14" t="str">
        <x:v>Крупная бытовая техника</x:v>
      </x:c>
      <x:c r="B1130" s="14" t="str">
        <x:v>Оборудование для предприятий общественного питания MDA</x:v>
      </x:c>
      <x:c r="C1130" s="14" t="str">
        <x:v>Оборудование для бара MDA</x:v>
      </x:c>
      <x:c r="D1130" s="14" t="str">
        <x:v>Миксер профессиональный для предприятий общепита</x:v>
      </x:c>
      <x:c r="E1130" s="2" t="n">
        <x:v>4</x:v>
      </x:c>
      <x:c r="F1130" s="2" t="n">
        <x:v>0</x:v>
      </x:c>
      <x:c r="G1130" s="12" t="n">
        <x:v>318128</x:v>
      </x:c>
      <x:c r="H1130" s="12" t="n">
        <x:v>3952.3376</x:v>
      </x:c>
      <x:c r="I1130" s="13" t="n">
        <x:v>0.023225</x:v>
      </x:c>
      <x:c r="J1130" s="2" t="n">
        <x:v>1</x:v>
      </x:c>
      <x:c r="K1130" s="2" t="n">
        <x:v>3</x:v>
      </x:c>
      <x:c r="L1130" s="12" t="n">
        <x:v>15688.16665</x:v>
      </x:c>
      <x:c r="M1130" s="13" t="n">
        <x:v>0.6806065483075995</x:v>
      </x:c>
      <x:c r="N1130" s="13" t="n">
        <x:f>H1130/G1130</x:f>
        <x:v>0.012423733842981441</x:v>
      </x:c>
      <x:c r="O1130" s="13" t="n">
        <x:f>F1130/E1130</x:f>
        <x:v>0</x:v>
      </x:c>
      <x:c r="P1130" s="2" t="str">
        <x:f>IF(AND(E1130&gt;='Итоги'!$F$5,N1130&lt;='Итоги'!$B$5,O1130&gt;='Итоги'!$D$5),"Да","Нет")</x:f>
        <x:v>Нет</x:v>
      </x:c>
    </x:row>
    <x:row r="1131" ht="60" customHeight="1">
      <x:c r="A1131" s="14" t="str">
        <x:v>Аптека</x:v>
      </x:c>
      <x:c r="B1131" s="14" t="str">
        <x:v>Профессиональные стоматологические приборы и материалы</x:v>
      </x:c>
      <x:c r="C1131" s="14" t="str">
        <x:v>Профессиональные стоматологические материалы</x:v>
      </x:c>
      <x:c r="D1131" s="14" t="str">
        <x:v>Адгезив стоматологический</x:v>
      </x:c>
      <x:c r="E1131" s="2" t="n">
        <x:v>7</x:v>
      </x:c>
      <x:c r="F1131" s="2" t="n">
        <x:v>0</x:v>
      </x:c>
      <x:c r="G1131" s="12" t="n">
        <x:v>762879</x:v>
      </x:c>
      <x:c r="H1131" s="12" t="n">
        <x:v>9506.163100000002</x:v>
      </x:c>
      <x:c r="I1131" s="13" t="n">
        <x:v>0.0102714285714285</x:v>
      </x:c>
      <x:c r="J1131" s="2" t="n">
        <x:v>5</x:v>
      </x:c>
      <x:c r="K1131" s="2" t="n">
        <x:v>4</x:v>
      </x:c>
      <x:c r="L1131" s="12" t="n">
        <x:v>4306.5128</x:v>
      </x:c>
      <x:c r="M1131" s="13" t="n">
        <x:v>0.3827356631916725</x:v>
      </x:c>
      <x:c r="N1131" s="13" t="n">
        <x:f>H1131/G1131</x:f>
        <x:v>0.012460905464693616</x:v>
      </x:c>
      <x:c r="O1131" s="13" t="n">
        <x:f>F1131/E1131</x:f>
        <x:v>0</x:v>
      </x:c>
      <x:c r="P1131" s="2" t="str">
        <x:f>IF(AND(E1131&gt;='Итоги'!$F$5,N1131&lt;='Итоги'!$B$5,O1131&gt;='Итоги'!$D$5),"Да","Нет")</x:f>
        <x:v>Нет</x:v>
      </x:c>
    </x:row>
    <x:row r="1132" ht="60" customHeight="1">
      <x:c r="A1132" s="14" t="str">
        <x:v>Товары для животных</x:v>
      </x:c>
      <x:c r="B1132" s="14" t="str">
        <x:v>Гигиена и уход животных</x:v>
      </x:c>
      <x:c r="C1132" s="14" t="str">
        <x:v>Товары для груминга</x:v>
      </x:c>
      <x:c r="D1132" s="14" t="str">
        <x:v>Мебель для груминга</x:v>
      </x:c>
      <x:c r="E1132" s="2" t="n">
        <x:v>6</x:v>
      </x:c>
      <x:c r="F1132" s="2" t="n">
        <x:v>0</x:v>
      </x:c>
      <x:c r="G1132" s="12" t="n">
        <x:v>576324.0789</x:v>
      </x:c>
      <x:c r="H1132" s="12" t="n">
        <x:v>7182.53925764</x:v>
      </x:c>
      <x:c r="I1132" s="13" t="n">
        <x:v>0.0122666666666666</x:v>
      </x:c>
      <x:c r="J1132" s="2" t="n">
        <x:v>0</x:v>
      </x:c>
      <x:c r="K1132" s="2" t="n">
        <x:v>2</x:v>
      </x:c>
      <x:c r="L1132" s="12" t="n">
        <x:v>11753.41335</x:v>
      </x:c>
      <x:c r="M1132" s="13" t="n">
        <x:v>0.5102235871547237</x:v>
      </x:c>
      <x:c r="N1132" s="13" t="n">
        <x:f>H1132/G1132</x:f>
        <x:v>0.012462674249788317</x:v>
      </x:c>
      <x:c r="O1132" s="13" t="n">
        <x:f>F1132/E1132</x:f>
        <x:v>0</x:v>
      </x:c>
      <x:c r="P1132" s="2" t="str">
        <x:f>IF(AND(E1132&gt;='Итоги'!$F$5,N1132&lt;='Итоги'!$B$5,O1132&gt;='Итоги'!$D$5),"Да","Нет")</x:f>
        <x:v>Нет</x:v>
      </x:c>
    </x:row>
    <x:row r="1133" ht="60" customHeight="1">
      <x:c r="A1133" s="14" t="str">
        <x:v>Строительство и ремонт (DIY)</x:v>
      </x:c>
      <x:c r="B1133" s="14" t="str">
        <x:v>Ремонт и строительство</x:v>
      </x:c>
      <x:c r="C1133" s="14" t="str">
        <x:v>Электротовары</x:v>
      </x:c>
      <x:c r="D1133" s="14" t="str">
        <x:v>Счетчик электроэнергии</x:v>
      </x:c>
      <x:c r="E1133" s="2" t="n">
        <x:v>20</x:v>
      </x:c>
      <x:c r="F1133" s="2" t="n">
        <x:v>0</x:v>
      </x:c>
      <x:c r="G1133" s="12" t="n">
        <x:v>4205305.4989</x:v>
      </x:c>
      <x:c r="H1133" s="12" t="n">
        <x:v>52585.05556074</x:v>
      </x:c>
      <x:c r="I1133" s="13" t="n">
        <x:v>0.01065</x:v>
      </x:c>
      <x:c r="J1133" s="2" t="n">
        <x:v>17</x:v>
      </x:c>
      <x:c r="K1133" s="2" t="n">
        <x:v>7</x:v>
      </x:c>
      <x:c r="L1133" s="12" t="n">
        <x:v>1691.6248</x:v>
      </x:c>
      <x:c r="M1133" s="13" t="n">
        <x:v>0.6239636893648653</x:v>
      </x:c>
      <x:c r="N1133" s="13" t="n">
        <x:f>H1133/G1133</x:f>
        <x:v>0.012504455520412228</x:v>
      </x:c>
      <x:c r="O1133" s="13" t="n">
        <x:f>F1133/E1133</x:f>
        <x:v>0</x:v>
      </x:c>
      <x:c r="P1133" s="2" t="str">
        <x:f>IF(AND(E1133&gt;='Итоги'!$F$5,N1133&lt;='Итоги'!$B$5,O1133&gt;='Итоги'!$D$5),"Да","Нет")</x:f>
        <x:v>Нет</x:v>
      </x:c>
    </x:row>
    <x:row r="1134" ht="60" customHeight="1">
      <x:c r="A1134" s="14" t="str">
        <x:v>Детская одежда</x:v>
      </x:c>
      <x:c r="B1134" s="14" t="str">
        <x:v>Детская одежда</x:v>
      </x:c>
      <x:c r="C1134" s="14" t="str">
        <x:v>Школьная одежда для девочки</x:v>
      </x:c>
      <x:c r="D1134" s="14" t="str">
        <x:v>Школьный костюм для девочки</x:v>
      </x:c>
      <x:c r="E1134" s="2" t="n">
        <x:v>76</x:v>
      </x:c>
      <x:c r="F1134" s="2" t="n">
        <x:v>0</x:v>
      </x:c>
      <x:c r="G1134" s="12" t="n">
        <x:v>5992841.3891</x:v>
      </x:c>
      <x:c r="H1134" s="12" t="n">
        <x:v>75444.2829343</x:v>
      </x:c>
      <x:c r="I1134" s="13" t="n">
        <x:v>0.0163828947368421</x:v>
      </x:c>
      <x:c r="J1134" s="2" t="n">
        <x:v>40</x:v>
      </x:c>
      <x:c r="K1134" s="2" t="n">
        <x:v>11</x:v>
      </x:c>
      <x:c r="L1134" s="12" t="n">
        <x:v>2309.50205</x:v>
      </x:c>
      <x:c r="M1134" s="13" t="n">
        <x:v>0.3738262957325562</x:v>
      </x:c>
      <x:c r="N1134" s="13" t="n">
        <x:f>H1134/G1134</x:f>
        <x:v>0.012589067194656751</x:v>
      </x:c>
      <x:c r="O1134" s="13" t="n">
        <x:f>F1134/E1134</x:f>
        <x:v>0</x:v>
      </x:c>
      <x:c r="P1134" s="2" t="str">
        <x:f>IF(AND(E1134&gt;='Итоги'!$F$5,N1134&lt;='Итоги'!$B$5,O1134&gt;='Итоги'!$D$5),"Да","Нет")</x:f>
        <x:v>Нет</x:v>
      </x:c>
    </x:row>
    <x:row r="1135" ht="60" customHeight="1">
      <x:c r="A1135" s="14" t="str">
        <x:v>Обувь</x:v>
      </x:c>
      <x:c r="B1135" s="14" t="str">
        <x:v>Обувь мужская</x:v>
      </x:c>
      <x:c r="C1135" s="14" t="str">
        <x:v>Обувь мужская повседневная</x:v>
      </x:c>
      <x:c r="D1135" s="14" t="str">
        <x:v>Мужские Эспадрильи</x:v>
      </x:c>
      <x:c r="E1135" s="2" t="n">
        <x:v>25</x:v>
      </x:c>
      <x:c r="F1135" s="2" t="n">
        <x:v>0</x:v>
      </x:c>
      <x:c r="G1135" s="12" t="n">
        <x:v>1326065.98</x:v>
      </x:c>
      <x:c r="H1135" s="12" t="n">
        <x:v>16830.556166</x:v>
      </x:c>
      <x:c r="I1135" s="13" t="n">
        <x:v>0.0221999999999999</x:v>
      </x:c>
      <x:c r="J1135" s="2" t="n">
        <x:v>19</x:v>
      </x:c>
      <x:c r="K1135" s="2" t="n">
        <x:v>4</x:v>
      </x:c>
      <x:c r="L1135" s="12" t="n">
        <x:v>1824.5833</x:v>
      </x:c>
      <x:c r="M1135" s="13" t="n">
        <x:v>0.9024026692849778</x:v>
      </x:c>
      <x:c r="N1135" s="13" t="n">
        <x:f>H1135/G1135</x:f>
        <x:v>0.012692095581850308</x:v>
      </x:c>
      <x:c r="O1135" s="13" t="n">
        <x:f>F1135/E1135</x:f>
        <x:v>0</x:v>
      </x:c>
      <x:c r="P1135" s="2" t="str">
        <x:f>IF(AND(E1135&gt;='Итоги'!$F$5,N1135&lt;='Итоги'!$B$5,O1135&gt;='Итоги'!$D$5),"Да","Нет")</x:f>
        <x:v>Нет</x:v>
      </x:c>
    </x:row>
    <x:row r="1136" ht="60" customHeight="1">
      <x:c r="A1136" s="14" t="str">
        <x:v>Строительство и ремонт (DIY)</x:v>
      </x:c>
      <x:c r="B1136" s="14" t="str">
        <x:v>Инструменты</x:v>
      </x:c>
      <x:c r="C1136" s="14" t="str">
        <x:v>Оснастка для инструмента</x:v>
      </x:c>
      <x:c r="D1136" s="14" t="str">
        <x:v>Патрон для дрели</x:v>
      </x:c>
      <x:c r="E1136" s="2" t="n">
        <x:v>2</x:v>
      </x:c>
      <x:c r="F1136" s="2" t="n">
        <x:v>0</x:v>
      </x:c>
      <x:c r="G1136" s="12" t="n">
        <x:v>41682.9301</x:v>
      </x:c>
      <x:c r="H1136" s="12" t="n">
        <x:v>531.88382996</x:v>
      </x:c>
      <x:c r="I1136" s="13" t="n">
        <x:v>0.0098</x:v>
      </x:c>
      <x:c r="J1136" s="2" t="n">
        <x:v>1</x:v>
      </x:c>
      <x:c r="K1136" s="2" t="n">
        <x:v>2</x:v>
      </x:c>
      <x:c r="L1136" s="12" t="n">
        <x:v>1320.2906</x:v>
      </x:c>
      <x:c r="M1136" s="13" t="n">
        <x:v>0.651032209945337</x:v>
      </x:c>
      <x:c r="N1136" s="13" t="n">
        <x:f>H1136/G1136</x:f>
        <x:v>0.012760231314928601</x:v>
      </x:c>
      <x:c r="O1136" s="13" t="n">
        <x:f>F1136/E1136</x:f>
        <x:v>0</x:v>
      </x:c>
      <x:c r="P1136" s="2" t="str">
        <x:f>IF(AND(E1136&gt;='Итоги'!$F$5,N1136&lt;='Итоги'!$B$5,O1136&gt;='Итоги'!$D$5),"Да","Нет")</x:f>
        <x:v>Нет</x:v>
      </x:c>
    </x:row>
    <x:row r="1137" ht="60" customHeight="1">
      <x:c r="A1137" s="14" t="str">
        <x:v>Мелкая бытовая техника</x:v>
      </x:c>
      <x:c r="B1137" s="14" t="str">
        <x:v>Мелкая бытовая техника SDA</x:v>
      </x:c>
      <x:c r="C1137" s="14" t="str">
        <x:v>Электронная кухонная техника SDA</x:v>
      </x:c>
      <x:c r="D1137" s="14" t="str">
        <x:v>Плита комбинированная настольная</x:v>
      </x:c>
      <x:c r="E1137" s="2" t="n">
        <x:v>4</x:v>
      </x:c>
      <x:c r="F1137" s="2" t="n">
        <x:v>0</x:v>
      </x:c>
      <x:c r="G1137" s="12" t="n">
        <x:v>447986</x:v>
      </x:c>
      <x:c r="H1137" s="12" t="n">
        <x:v>5719.421899999999</x:v>
      </x:c>
      <x:c r="I1137" s="13" t="n">
        <x:v>0.0260999999999999</x:v>
      </x:c>
      <x:c r="J1137" s="2" t="n">
        <x:v>0</x:v>
      </x:c>
      <x:c r="K1137" s="2" t="n">
        <x:v>2</x:v>
      </x:c>
      <x:c r="L1137" s="12" t="n">
        <x:v>7619.81535</x:v>
      </x:c>
      <x:c r="M1137" s="13" t="n">
        <x:v>0.8264655591915819</x:v>
      </x:c>
      <x:c r="N1137" s="13" t="n">
        <x:f>H1137/G1137</x:f>
        <x:v>0.012766965708749826</x:v>
      </x:c>
      <x:c r="O1137" s="13" t="n">
        <x:f>F1137/E1137</x:f>
        <x:v>0</x:v>
      </x:c>
      <x:c r="P1137" s="2" t="str">
        <x:f>IF(AND(E1137&gt;='Итоги'!$F$5,N1137&lt;='Итоги'!$B$5,O1137&gt;='Итоги'!$D$5),"Да","Нет")</x:f>
        <x:v>Нет</x:v>
      </x:c>
    </x:row>
    <x:row r="1138" ht="60" customHeight="1">
      <x:c r="A1138" s="14" t="str">
        <x:v>Спорт и отдых</x:v>
      </x:c>
      <x:c r="B1138" s="14" t="str">
        <x:v>Товары для охоты</x:v>
      </x:c>
      <x:c r="C1138" s="14" t="str">
        <x:v>Аксессуары для охоты</x:v>
      </x:c>
      <x:c r="D1138" s="14" t="str">
        <x:v>Сейф оружейный</x:v>
      </x:c>
      <x:c r="E1138" s="2" t="n">
        <x:v>34</x:v>
      </x:c>
      <x:c r="F1138" s="2" t="n">
        <x:v>0</x:v>
      </x:c>
      <x:c r="G1138" s="12" t="n">
        <x:v>6482910.6964</x:v>
      </x:c>
      <x:c r="H1138" s="12" t="n">
        <x:v>83316.50882461</x:v>
      </x:c>
      <x:c r="I1138" s="13" t="n">
        <x:v>0.0140411764705882</x:v>
      </x:c>
      <x:c r="J1138" s="2" t="n">
        <x:v>15</x:v>
      </x:c>
      <x:c r="K1138" s="2" t="n">
        <x:v>4</x:v>
      </x:c>
      <x:c r="L1138" s="12" t="n">
        <x:v>6055.735549999999</x:v>
      </x:c>
      <x:c r="M1138" s="13" t="n">
        <x:v>0.4860620466127697</x:v>
      </x:c>
      <x:c r="N1138" s="13" t="n">
        <x:f>H1138/G1138</x:f>
        <x:v>0.012851713177365868</x:v>
      </x:c>
      <x:c r="O1138" s="13" t="n">
        <x:f>F1138/E1138</x:f>
        <x:v>0</x:v>
      </x:c>
      <x:c r="P1138" s="2" t="str">
        <x:f>IF(AND(E1138&gt;='Итоги'!$F$5,N1138&lt;='Итоги'!$B$5,O1138&gt;='Итоги'!$D$5),"Да","Нет")</x:f>
        <x:v>Нет</x:v>
      </x:c>
    </x:row>
    <x:row r="1139" ht="60" customHeight="1">
      <x:c r="A1139" s="14" t="str">
        <x:v>Обувь</x:v>
      </x:c>
      <x:c r="B1139" s="14" t="str">
        <x:v>Обувь мужская</x:v>
      </x:c>
      <x:c r="C1139" s="14" t="str">
        <x:v>Обувь мужская летняя</x:v>
      </x:c>
      <x:c r="D1139" s="14" t="str">
        <x:v>Мужские Сандалии</x:v>
      </x:c>
      <x:c r="E1139" s="2" t="n">
        <x:v>743</x:v>
      </x:c>
      <x:c r="F1139" s="2" t="n">
        <x:v>0</x:v>
      </x:c>
      <x:c r="G1139" s="12" t="n">
        <x:v>50574666.0826</x:v>
      </x:c>
      <x:c r="H1139" s="12" t="n">
        <x:v>652070.3820107899</x:v>
      </x:c>
      <x:c r="I1139" s="13" t="n">
        <x:v>0.0092279946164199</x:v>
      </x:c>
      <x:c r="J1139" s="2" t="n">
        <x:v>593</x:v>
      </x:c>
      <x:c r="K1139" s="2" t="n">
        <x:v>34</x:v>
      </x:c>
      <x:c r="L1139" s="12" t="n">
        <x:v>2240.5</x:v>
      </x:c>
      <x:c r="M1139" s="13" t="n">
        <x:v>0.8450244550206418</x:v>
      </x:c>
      <x:c r="N1139" s="13" t="n">
        <x:f>H1139/G1139</x:f>
        <x:v>0.012893221696131614</x:v>
      </x:c>
      <x:c r="O1139" s="13" t="n">
        <x:f>F1139/E1139</x:f>
        <x:v>0</x:v>
      </x:c>
      <x:c r="P1139" s="2" t="str">
        <x:f>IF(AND(E1139&gt;='Итоги'!$F$5,N1139&lt;='Итоги'!$B$5,O1139&gt;='Итоги'!$D$5),"Да","Нет")</x:f>
        <x:v>Нет</x:v>
      </x:c>
    </x:row>
    <x:row r="1140" ht="60" customHeight="1">
      <x:c r="A1140" s="14" t="str">
        <x:v>Мебель</x:v>
      </x:c>
      <x:c r="B1140" s="14" t="str">
        <x:v>Мягкая мебель</x:v>
      </x:c>
      <x:c r="C1140" s="14" t="str">
        <x:v>Кресло</x:v>
      </x:c>
      <x:c r="D1140" s="14" t="str">
        <x:v>Кресло-кровать</x:v>
      </x:c>
      <x:c r="E1140" s="2" t="n">
        <x:v>108</x:v>
      </x:c>
      <x:c r="F1140" s="2" t="n">
        <x:v>0</x:v>
      </x:c>
      <x:c r="G1140" s="12" t="n">
        <x:v>33818216.7061</x:v>
      </x:c>
      <x:c r="H1140" s="12" t="n">
        <x:v>437646.32750604</x:v>
      </x:c>
      <x:c r="I1140" s="13" t="n">
        <x:v>0.0157611111111111</x:v>
      </x:c>
      <x:c r="J1140" s="2" t="n">
        <x:v>48</x:v>
      </x:c>
      <x:c r="K1140" s="2" t="n">
        <x:v>6</x:v>
      </x:c>
      <x:c r="L1140" s="12" t="n">
        <x:v>15185.4188</x:v>
      </x:c>
      <x:c r="M1140" s="13" t="n">
        <x:v>0.7127523329475918</x:v>
      </x:c>
      <x:c r="N1140" s="13" t="n">
        <x:f>H1140/G1140</x:f>
        <x:v>0.012941141495113165</x:v>
      </x:c>
      <x:c r="O1140" s="13" t="n">
        <x:f>F1140/E1140</x:f>
        <x:v>0</x:v>
      </x:c>
      <x:c r="P1140" s="2" t="str">
        <x:f>IF(AND(E1140&gt;='Итоги'!$F$5,N1140&lt;='Итоги'!$B$5,O1140&gt;='Итоги'!$D$5),"Да","Нет")</x:f>
        <x:v>Нет</x:v>
      </x:c>
    </x:row>
    <x:row r="1141" ht="60" customHeight="1">
      <x:c r="A1141" s="14" t="str">
        <x:v>Мелкая бытовая техника</x:v>
      </x:c>
      <x:c r="B1141" s="14" t="str">
        <x:v>Мелкая бытовая техника SDA</x:v>
      </x:c>
      <x:c r="C1141" s="14" t="str">
        <x:v>Электронная кухонная техника SDA</x:v>
      </x:c>
      <x:c r="D1141" s="14" t="str">
        <x:v>Мороженица</x:v>
      </x:c>
      <x:c r="E1141" s="2" t="n">
        <x:v>11</x:v>
      </x:c>
      <x:c r="F1141" s="2" t="n">
        <x:v>0</x:v>
      </x:c>
      <x:c r="G1141" s="12" t="n">
        <x:v>2817104.1082</x:v>
      </x:c>
      <x:c r="H1141" s="12" t="n">
        <x:v>36535.54721087</x:v>
      </x:c>
      <x:c r="I1141" s="13" t="n">
        <x:v>0.0186818181818181</x:v>
      </x:c>
      <x:c r="J1141" s="2" t="n">
        <x:v>2</x:v>
      </x:c>
      <x:c r="K1141" s="2" t="n">
        <x:v>4</x:v>
      </x:c>
      <x:c r="L1141" s="12" t="n">
        <x:v>3913.1302</x:v>
      </x:c>
      <x:c r="M1141" s="13" t="n">
        <x:v>0.4816545630139946</x:v>
      </x:c>
      <x:c r="N1141" s="13" t="n">
        <x:f>H1141/G1141</x:f>
        <x:v>0.012969186017841042</x:v>
      </x:c>
      <x:c r="O1141" s="13" t="n">
        <x:f>F1141/E1141</x:f>
        <x:v>0</x:v>
      </x:c>
      <x:c r="P1141" s="2" t="str">
        <x:f>IF(AND(E1141&gt;='Итоги'!$F$5,N1141&lt;='Итоги'!$B$5,O1141&gt;='Итоги'!$D$5),"Да","Нет")</x:f>
        <x:v>Нет</x:v>
      </x:c>
    </x:row>
    <x:row r="1142" ht="60" customHeight="1">
      <x:c r="A1142" s="14" t="str">
        <x:v>Спорт и отдых</x:v>
      </x:c>
      <x:c r="B1142" s="14" t="str">
        <x:v>Туризм</x:v>
      </x:c>
      <x:c r="C1142" s="14" t="str">
        <x:v>Туристическая мебель</x:v>
      </x:c>
      <x:c r="D1142" s="14" t="str">
        <x:v>Кресло фидерное</x:v>
      </x:c>
      <x:c r="E1142" s="2" t="n">
        <x:v>12</x:v>
      </x:c>
      <x:c r="F1142" s="2" t="n">
        <x:v>0</x:v>
      </x:c>
      <x:c r="G1142" s="12" t="n">
        <x:v>1982248.09</x:v>
      </x:c>
      <x:c r="H1142" s="12" t="n">
        <x:v>25814.658898</x:v>
      </x:c>
      <x:c r="I1142" s="13" t="n">
        <x:v>0.0152666666666666</x:v>
      </x:c>
      <x:c r="J1142" s="2" t="n">
        <x:v>10</x:v>
      </x:c>
      <x:c r="K1142" s="2" t="n">
        <x:v>3</x:v>
      </x:c>
      <x:c r="L1142" s="12" t="n">
        <x:v>7228.07475</x:v>
      </x:c>
      <x:c r="M1142" s="13" t="n">
        <x:v>0.7179362448017291</x:v>
      </x:c>
      <x:c r="N1142" s="13" t="n">
        <x:f>H1142/G1142</x:f>
        <x:v>0.01302292030358319</x:v>
      </x:c>
      <x:c r="O1142" s="13" t="n">
        <x:f>F1142/E1142</x:f>
        <x:v>0</x:v>
      </x:c>
      <x:c r="P1142" s="2" t="str">
        <x:f>IF(AND(E1142&gt;='Итоги'!$F$5,N1142&lt;='Итоги'!$B$5,O1142&gt;='Итоги'!$D$5),"Да","Нет")</x:f>
        <x:v>Нет</x:v>
      </x:c>
    </x:row>
    <x:row r="1143" ht="60" customHeight="1">
      <x:c r="A1143" s="14" t="str">
        <x:v>Детская одежда</x:v>
      </x:c>
      <x:c r="B1143" s="14" t="str">
        <x:v>Детская одежда</x:v>
      </x:c>
      <x:c r="C1143" s="14" t="str">
        <x:v>Верхняя одежда для девочки</x:v>
      </x:c>
      <x:c r="D1143" s="14" t="str">
        <x:v>Комбинезон зимний для девочки</x:v>
      </x:c>
      <x:c r="E1143" s="2" t="n">
        <x:v>69</x:v>
      </x:c>
      <x:c r="F1143" s="2" t="n">
        <x:v>0</x:v>
      </x:c>
      <x:c r="G1143" s="12" t="n">
        <x:v>2376812.8688</x:v>
      </x:c>
      <x:c r="H1143" s="12" t="n">
        <x:v>30994.347963</x:v>
      </x:c>
      <x:c r="I1143" s="13" t="n">
        <x:v>0.0245695652173913</x:v>
      </x:c>
      <x:c r="J1143" s="2" t="n">
        <x:v>49</x:v>
      </x:c>
      <x:c r="K1143" s="2" t="n">
        <x:v>22</x:v>
      </x:c>
      <x:c r="L1143" s="12" t="n">
        <x:v>4924.3333</x:v>
      </x:c>
      <x:c r="M1143" s="13" t="n">
        <x:v>0.2419461105452258</x:v>
      </x:c>
      <x:c r="N1143" s="13" t="n">
        <x:f>H1143/G1143</x:f>
        <x:v>0.013040297942617738</x:v>
      </x:c>
      <x:c r="O1143" s="13" t="n">
        <x:f>F1143/E1143</x:f>
        <x:v>0</x:v>
      </x:c>
      <x:c r="P1143" s="2" t="str">
        <x:f>IF(AND(E1143&gt;='Итоги'!$F$5,N1143&lt;='Итоги'!$B$5,O1143&gt;='Итоги'!$D$5),"Да","Нет")</x:f>
        <x:v>Нет</x:v>
      </x:c>
    </x:row>
    <x:row r="1144" ht="60" customHeight="1">
      <x:c r="A1144" s="14" t="str">
        <x:v>Обувь</x:v>
      </x:c>
      <x:c r="B1144" s="14" t="str">
        <x:v>Обувь женская</x:v>
      </x:c>
      <x:c r="C1144" s="14" t="str">
        <x:v>Обувь женская повседневная</x:v>
      </x:c>
      <x:c r="D1144" s="14" t="str">
        <x:v>Женское Сабо</x:v>
      </x:c>
      <x:c r="E1144" s="2" t="n">
        <x:v>1375</x:v>
      </x:c>
      <x:c r="F1144" s="2" t="n">
        <x:v>0</x:v>
      </x:c>
      <x:c r="G1144" s="12" t="n">
        <x:v>110000543.9629</x:v>
      </x:c>
      <x:c r="H1144" s="12" t="n">
        <x:v>1435610.84839421</x:v>
      </x:c>
      <x:c r="I1144" s="13" t="n">
        <x:v>0.0124512727272727</x:v>
      </x:c>
      <x:c r="J1144" s="2" t="n">
        <x:v>1068</x:v>
      </x:c>
      <x:c r="K1144" s="2" t="n">
        <x:v>57</x:v>
      </x:c>
      <x:c r="L1144" s="12" t="n">
        <x:v>2560.3598</x:v>
      </x:c>
      <x:c r="M1144" s="13" t="n">
        <x:v>0.4495648595081389</x:v>
      </x:c>
      <x:c r="N1144" s="13" t="n">
        <x:f>H1144/G1144</x:f>
        <x:v>0.01305094317423012</x:v>
      </x:c>
      <x:c r="O1144" s="13" t="n">
        <x:f>F1144/E1144</x:f>
        <x:v>0</x:v>
      </x:c>
      <x:c r="P1144" s="2" t="str">
        <x:f>IF(AND(E1144&gt;='Итоги'!$F$5,N1144&lt;='Итоги'!$B$5,O1144&gt;='Итоги'!$D$5),"Да","Нет")</x:f>
        <x:v>Нет</x:v>
      </x:c>
    </x:row>
    <x:row r="1145" ht="60" customHeight="1">
      <x:c r="A1145" s="14" t="str">
        <x:v>Товары для дома</x:v>
      </x:c>
      <x:c r="B1145" s="14" t="str">
        <x:v>Домашний текстиль</x:v>
      </x:c>
      <x:c r="C1145" s="14" t="str">
        <x:v>Коврики, покрытия</x:v>
      </x:c>
      <x:c r="D1145" s="14" t="str">
        <x:v>Грязезащитный коврик, решетка</x:v>
      </x:c>
      <x:c r="E1145" s="2" t="n">
        <x:v>2</x:v>
      </x:c>
      <x:c r="F1145" s="2" t="n">
        <x:v>0</x:v>
      </x:c>
      <x:c r="G1145" s="12" t="n">
        <x:v>422430.547</x:v>
      </x:c>
      <x:c r="H1145" s="12" t="n">
        <x:v>5514.986999999999</x:v>
      </x:c>
      <x:c r="I1145" s="13" t="n">
        <x:v>0.07225</x:v>
      </x:c>
      <x:c r="J1145" s="2" t="n">
        <x:v>1</x:v>
      </x:c>
      <x:c r="K1145" s="2" t="n">
        <x:v>2</x:v>
      </x:c>
      <x:c r="L1145" s="12" t="n">
        <x:v>1206.57245</x:v>
      </x:c>
      <x:c r="M1145" s="13" t="n">
        <x:v>0.9096514201658812</x:v>
      </x:c>
      <x:c r="N1145" s="13" t="n">
        <x:f>H1145/G1145</x:f>
        <x:v>0.013055369786030172</x:v>
      </x:c>
      <x:c r="O1145" s="13" t="n">
        <x:f>F1145/E1145</x:f>
        <x:v>0</x:v>
      </x:c>
      <x:c r="P1145" s="2" t="str">
        <x:f>IF(AND(E1145&gt;='Итоги'!$F$5,N1145&lt;='Итоги'!$B$5,O1145&gt;='Итоги'!$D$5),"Да","Нет")</x:f>
        <x:v>Нет</x:v>
      </x:c>
    </x:row>
    <x:row r="1146" ht="60" customHeight="1">
      <x:c r="A1146" s="14" t="str">
        <x:v>Аксессуары</x:v>
      </x:c>
      <x:c r="B1146" s="14" t="str">
        <x:v>Сумки и рюкзаки</x:v>
      </x:c>
      <x:c r="C1146" s="14" t="str">
        <x:v>Спортивные сумки</x:v>
      </x:c>
      <x:c r="D1146" s="14" t="str">
        <x:v>Сумка на пояс спортивная</x:v>
      </x:c>
      <x:c r="E1146" s="2" t="n">
        <x:v>21</x:v>
      </x:c>
      <x:c r="F1146" s="2" t="n">
        <x:v>0</x:v>
      </x:c>
      <x:c r="G1146" s="12" t="n">
        <x:v>2490906.5428</x:v>
      </x:c>
      <x:c r="H1146" s="12" t="n">
        <x:v>32780.419752</x:v>
      </x:c>
      <x:c r="I1146" s="13" t="n">
        <x:v>0.0145999999999999</x:v>
      </x:c>
      <x:c r="J1146" s="2" t="n">
        <x:v>18</x:v>
      </x:c>
      <x:c r="K1146" s="2" t="n">
        <x:v>4</x:v>
      </x:c>
      <x:c r="L1146" s="12" t="n">
        <x:v>2099.2899</x:v>
      </x:c>
      <x:c r="M1146" s="13" t="n">
        <x:v>0.7880232875351216</x:v>
      </x:c>
      <x:c r="N1146" s="13" t="n">
        <x:f>H1146/G1146</x:f>
        <x:v>0.013160035990411708</x:v>
      </x:c>
      <x:c r="O1146" s="13" t="n">
        <x:f>F1146/E1146</x:f>
        <x:v>0</x:v>
      </x:c>
      <x:c r="P1146" s="2" t="str">
        <x:f>IF(AND(E1146&gt;='Итоги'!$F$5,N1146&lt;='Итоги'!$B$5,O1146&gt;='Итоги'!$D$5),"Да","Нет")</x:f>
        <x:v>Нет</x:v>
      </x:c>
    </x:row>
    <x:row r="1147" ht="60" customHeight="1">
      <x:c r="A1147" s="14" t="str">
        <x:v>Школьные принадлежности и канцелярия</x:v>
      </x:c>
      <x:c r="B1147" s="14" t="str">
        <x:v>Товары для школы, канцелярия, оборудование</x:v>
      </x:c>
      <x:c r="C1147" s="14" t="str">
        <x:v>Письменные принадлежности</x:v>
      </x:c>
      <x:c r="D1147" s="14" t="str">
        <x:v>Набор письменных принадлежностей</x:v>
      </x:c>
      <x:c r="E1147" s="2" t="n">
        <x:v>1</x:v>
      </x:c>
      <x:c r="F1147" s="2" t="n">
        <x:v>0</x:v>
      </x:c>
      <x:c r="G1147" s="12" t="n">
        <x:v>85245</x:v>
      </x:c>
      <x:c r="H1147" s="12" t="n">
        <x:v>1125.234</x:v>
      </x:c>
      <x:c r="I1147" s="13" t="n">
        <x:v>0.0132</x:v>
      </x:c>
      <x:c r="J1147" s="2" t="n">
        <x:v>0</x:v>
      </x:c>
      <x:c r="K1147" s="2" t="n">
        <x:v>1</x:v>
      </x:c>
      <x:c r="L1147" s="12" t="n">
        <x:v>12177.8571</x:v>
      </x:c>
      <x:c r="M1147" s="13" t="n">
        <x:v>1</x:v>
      </x:c>
      <x:c r="N1147" s="13" t="n">
        <x:f>H1147/G1147</x:f>
        <x:v>0.0132</x:v>
      </x:c>
      <x:c r="O1147" s="13" t="n">
        <x:f>F1147/E1147</x:f>
        <x:v>0</x:v>
      </x:c>
      <x:c r="P1147" s="2" t="str">
        <x:f>IF(AND(E1147&gt;='Итоги'!$F$5,N1147&lt;='Итоги'!$B$5,O1147&gt;='Итоги'!$D$5),"Да","Нет")</x:f>
        <x:v>Нет</x:v>
      </x:c>
    </x:row>
    <x:row r="1148" ht="60" customHeight="1">
      <x:c r="A1148" s="14" t="str">
        <x:v>Товары для дома</x:v>
      </x:c>
      <x:c r="B1148" s="14" t="str">
        <x:v>Кухня</x:v>
      </x:c>
      <x:c r="C1148" s="14" t="str">
        <x:v>Питьевое стекло, аксессуар для бара, сосуд для жидкости</x:v>
      </x:c>
      <x:c r="D1148" s="14" t="str">
        <x:v>Трубочки для коктейлей</x:v>
      </x:c>
      <x:c r="E1148" s="2" t="n">
        <x:v>3</x:v>
      </x:c>
      <x:c r="F1148" s="2" t="n">
        <x:v>0</x:v>
      </x:c>
      <x:c r="G1148" s="12" t="n">
        <x:v>622661.3430999999</x:v>
      </x:c>
      <x:c r="H1148" s="12" t="n">
        <x:v>8225.496</x:v>
      </x:c>
      <x:c r="I1148" s="13" t="n">
        <x:v>0.0150666666666666</x:v>
      </x:c>
      <x:c r="J1148" s="2" t="n">
        <x:v>2</x:v>
      </x:c>
      <x:c r="K1148" s="2" t="n">
        <x:v>3</x:v>
      </x:c>
      <x:c r="L1148" s="12" t="n">
        <x:v>910.5585</x:v>
      </x:c>
      <x:c r="M1148" s="13" t="n">
        <x:v>0.4460214949547588</x:v>
      </x:c>
      <x:c r="N1148" s="13" t="n">
        <x:f>H1148/G1148</x:f>
        <x:v>0.013210224291503796</x:v>
      </x:c>
      <x:c r="O1148" s="13" t="n">
        <x:f>F1148/E1148</x:f>
        <x:v>0</x:v>
      </x:c>
      <x:c r="P1148" s="2" t="str">
        <x:f>IF(AND(E1148&gt;='Итоги'!$F$5,N1148&lt;='Итоги'!$B$5,O1148&gt;='Итоги'!$D$5),"Да","Нет")</x:f>
        <x:v>Нет</x:v>
      </x:c>
    </x:row>
    <x:row r="1149" ht="60" customHeight="1">
      <x:c r="A1149" s="14" t="str">
        <x:v>Мелкая бытовая техника</x:v>
      </x:c>
      <x:c r="B1149" s="14" t="str">
        <x:v>SDA Климатическая техника</x:v>
      </x:c>
      <x:c r="C1149" s="14" t="str">
        <x:v>Климатическая техника SDA</x:v>
      </x:c>
      <x:c r="D1149" s="14" t="str">
        <x:v>Тепловая завеса</x:v>
      </x:c>
      <x:c r="E1149" s="2" t="n">
        <x:v>5</x:v>
      </x:c>
      <x:c r="F1149" s="2" t="n">
        <x:v>0</x:v>
      </x:c>
      <x:c r="G1149" s="12" t="n">
        <x:v>464480</x:v>
      </x:c>
      <x:c r="H1149" s="12" t="n">
        <x:v>6141.8692</x:v>
      </x:c>
      <x:c r="I1149" s="13" t="n">
        <x:v>0.015</x:v>
      </x:c>
      <x:c r="J1149" s="2" t="n">
        <x:v>0</x:v>
      </x:c>
      <x:c r="K1149" s="2" t="n">
        <x:v>1</x:v>
      </x:c>
      <x:c r="L1149" s="12" t="n">
        <x:v>8350.5</x:v>
      </x:c>
      <x:c r="M1149" s="13" t="n">
        <x:v>1</x:v>
      </x:c>
      <x:c r="N1149" s="13" t="n">
        <x:f>H1149/G1149</x:f>
        <x:v>0.01322310799173269</x:v>
      </x:c>
      <x:c r="O1149" s="13" t="n">
        <x:f>F1149/E1149</x:f>
        <x:v>0</x:v>
      </x:c>
      <x:c r="P1149" s="2" t="str">
        <x:f>IF(AND(E1149&gt;='Итоги'!$F$5,N1149&lt;='Итоги'!$B$5,O1149&gt;='Итоги'!$D$5),"Да","Нет")</x:f>
        <x:v>Нет</x:v>
      </x:c>
    </x:row>
    <x:row r="1150" ht="60" customHeight="1">
      <x:c r="A1150" s="14" t="str">
        <x:v>Товары для детей и спорта</x:v>
      </x:c>
      <x:c r="B1150" s="14" t="str">
        <x:v>КГТ и аксессуары для детей</x:v>
      </x:c>
      <x:c r="C1150" s="14" t="str">
        <x:v>Детская мебель и аксессуары в дом</x:v>
      </x:c>
      <x:c r="D1150" s="14" t="str">
        <x:v>Колыбель</x:v>
      </x:c>
      <x:c r="E1150" s="2" t="n">
        <x:v>11</x:v>
      </x:c>
      <x:c r="F1150" s="2" t="n">
        <x:v>0</x:v>
      </x:c>
      <x:c r="G1150" s="12" t="n">
        <x:v>1755075.3638</x:v>
      </x:c>
      <x:c r="H1150" s="12" t="n">
        <x:v>23255.76942242</x:v>
      </x:c>
      <x:c r="I1150" s="13" t="n">
        <x:v>0.0114636363636363</x:v>
      </x:c>
      <x:c r="J1150" s="2" t="n">
        <x:v>5</x:v>
      </x:c>
      <x:c r="K1150" s="2" t="n">
        <x:v>2</x:v>
      </x:c>
      <x:c r="L1150" s="12" t="n">
        <x:v>16436.5</x:v>
      </x:c>
      <x:c r="M1150" s="13" t="n">
        <x:v>0.934982279192312</x:v>
      </x:c>
      <x:c r="N1150" s="13" t="n">
        <x:f>H1150/G1150</x:f>
        <x:v>0.013250581657113453</x:v>
      </x:c>
      <x:c r="O1150" s="13" t="n">
        <x:f>F1150/E1150</x:f>
        <x:v>0</x:v>
      </x:c>
      <x:c r="P1150" s="2" t="str">
        <x:f>IF(AND(E1150&gt;='Итоги'!$F$5,N1150&lt;='Итоги'!$B$5,O1150&gt;='Итоги'!$D$5),"Да","Нет")</x:f>
        <x:v>Нет</x:v>
      </x:c>
    </x:row>
    <x:row r="1151" ht="60" customHeight="1">
      <x:c r="A1151" s="14" t="str">
        <x:v>Спорт и отдых</x:v>
      </x:c>
      <x:c r="B1151" s="14" t="str">
        <x:v>Туризм</x:v>
      </x:c>
      <x:c r="C1151" s="14" t="str">
        <x:v>Снаряжение для альпинизма и скалолазания</x:v>
      </x:c>
      <x:c r="D1151" s="14" t="str">
        <x:v>Снегоступы, ледоступы для альпинизма</x:v>
      </x:c>
      <x:c r="E1151" s="2" t="n">
        <x:v>1</x:v>
      </x:c>
      <x:c r="F1151" s="2" t="n">
        <x:v>0</x:v>
      </x:c>
      <x:c r="G1151" s="12" t="n">
        <x:v>91120.46</x:v>
      </x:c>
      <x:c r="H1151" s="12" t="n">
        <x:v>1211.902118</x:v>
      </x:c>
      <x:c r="I1151" s="13" t="n">
        <x:v>0.0133</x:v>
      </x:c>
      <x:c r="J1151" s="2" t="n">
        <x:v>0</x:v>
      </x:c>
      <x:c r="K1151" s="2" t="n">
        <x:v>1</x:v>
      </x:c>
      <x:c r="L1151" s="12" t="n">
        <x:v>2761.2261</x:v>
      </x:c>
      <x:c r="M1151" s="13" t="n">
        <x:v>1</x:v>
      </x:c>
      <x:c r="N1151" s="13" t="n">
        <x:f>H1151/G1151</x:f>
        <x:v>0.0133</x:v>
      </x:c>
      <x:c r="O1151" s="13" t="n">
        <x:f>F1151/E1151</x:f>
        <x:v>0</x:v>
      </x:c>
      <x:c r="P1151" s="2" t="str">
        <x:f>IF(AND(E1151&gt;='Итоги'!$F$5,N1151&lt;='Итоги'!$B$5,O1151&gt;='Итоги'!$D$5),"Да","Нет")</x:f>
        <x:v>Нет</x:v>
      </x:c>
    </x:row>
    <x:row r="1152" ht="60" customHeight="1">
      <x:c r="A1152" s="14" t="str">
        <x:v>Товары для животных</x:v>
      </x:c>
      <x:c r="B1152" s="14" t="str">
        <x:v>Гигиена и уход животных</x:v>
      </x:c>
      <x:c r="C1152" s="14" t="str">
        <x:v>Ветеринарные изделия</x:v>
      </x:c>
      <x:c r="D1152" s="14" t="str">
        <x:v>Инструмент медицинский для животных</x:v>
      </x:c>
      <x:c r="E1152" s="2" t="n">
        <x:v>9</x:v>
      </x:c>
      <x:c r="F1152" s="2" t="n">
        <x:v>0</x:v>
      </x:c>
      <x:c r="G1152" s="12" t="n">
        <x:v>995992</x:v>
      </x:c>
      <x:c r="H1152" s="12" t="n">
        <x:v>13271.7632</x:v>
      </x:c>
      <x:c r="I1152" s="13" t="n">
        <x:v>0.0165111111111111</x:v>
      </x:c>
      <x:c r="J1152" s="2" t="n">
        <x:v>8</x:v>
      </x:c>
      <x:c r="K1152" s="2" t="n">
        <x:v>6</x:v>
      </x:c>
      <x:c r="L1152" s="12" t="n">
        <x:v>1569.5467</x:v>
      </x:c>
      <x:c r="M1152" s="13" t="n">
        <x:v>0.2297930103856255</x:v>
      </x:c>
      <x:c r="N1152" s="13" t="n">
        <x:f>H1152/G1152</x:f>
        <x:v>0.013325170483297054</x:v>
      </x:c>
      <x:c r="O1152" s="13" t="n">
        <x:f>F1152/E1152</x:f>
        <x:v>0</x:v>
      </x:c>
      <x:c r="P1152" s="2" t="str">
        <x:f>IF(AND(E1152&gt;='Итоги'!$F$5,N1152&lt;='Итоги'!$B$5,O1152&gt;='Итоги'!$D$5),"Да","Нет")</x:f>
        <x:v>Нет</x:v>
      </x:c>
    </x:row>
    <x:row r="1153" ht="60" customHeight="1">
      <x:c r="A1153" s="14" t="str">
        <x:v>Спорт и отдых</x:v>
      </x:c>
      <x:c r="B1153" s="14" t="str">
        <x:v>Товары для рыбалки</x:v>
      </x:c>
      <x:c r="C1153" s="14" t="str">
        <x:v>Оснастка рыболовная</x:v>
      </x:c>
      <x:c r="D1153" s="14" t="str">
        <x:v>Кружок рыболовный</x:v>
      </x:c>
      <x:c r="E1153" s="2" t="n">
        <x:v>3</x:v>
      </x:c>
      <x:c r="F1153" s="2" t="n">
        <x:v>0</x:v>
      </x:c>
      <x:c r="G1153" s="12" t="n">
        <x:v>224376.2416</x:v>
      </x:c>
      <x:c r="H1153" s="12" t="n">
        <x:v>3025.47290304</x:v>
      </x:c>
      <x:c r="I1153" s="13" t="n">
        <x:v>0.0098</x:v>
      </x:c>
      <x:c r="J1153" s="2" t="n">
        <x:v>2</x:v>
      </x:c>
      <x:c r="K1153" s="2" t="n">
        <x:v>3</x:v>
      </x:c>
      <x:c r="L1153" s="12" t="n">
        <x:v>1210.6734</x:v>
      </x:c>
      <x:c r="M1153" s="13" t="n">
        <x:v>0.458636978969702</x:v>
      </x:c>
      <x:c r="N1153" s="13" t="n">
        <x:f>H1153/G1153</x:f>
        <x:v>0.013483927181709241</x:v>
      </x:c>
      <x:c r="O1153" s="13" t="n">
        <x:f>F1153/E1153</x:f>
        <x:v>0</x:v>
      </x:c>
      <x:c r="P1153" s="2" t="str">
        <x:f>IF(AND(E1153&gt;='Итоги'!$F$5,N1153&lt;='Итоги'!$B$5,O1153&gt;='Итоги'!$D$5),"Да","Нет")</x:f>
        <x:v>Нет</x:v>
      </x:c>
    </x:row>
    <x:row r="1154" ht="60" customHeight="1">
      <x:c r="A1154" s="14" t="str">
        <x:v>Товары для красоты и здоровья</x:v>
      </x:c>
      <x:c r="B1154" s="14" t="str">
        <x:v>Уход и гигиена</x:v>
      </x:c>
      <x:c r="C1154" s="14" t="str">
        <x:v>Гигиена тела</x:v>
      </x:c>
      <x:c r="D1154" s="14" t="str">
        <x:v>Дезодорант мужской</x:v>
      </x:c>
      <x:c r="E1154" s="2" t="n">
        <x:v>30</x:v>
      </x:c>
      <x:c r="F1154" s="2" t="n">
        <x:v>0</x:v>
      </x:c>
      <x:c r="G1154" s="12" t="n">
        <x:v>4473415.525</x:v>
      </x:c>
      <x:c r="H1154" s="12" t="n">
        <x:v>60369.15538081</x:v>
      </x:c>
      <x:c r="I1154" s="13" t="n">
        <x:v>0.0173933333333333</x:v>
      </x:c>
      <x:c r="J1154" s="2" t="n">
        <x:v>23</x:v>
      </x:c>
      <x:c r="K1154" s="2" t="n">
        <x:v>6</x:v>
      </x:c>
      <x:c r="L1154" s="12" t="n">
        <x:v>1154.27235</x:v>
      </x:c>
      <x:c r="M1154" s="13" t="n">
        <x:v>0.8322912466755477</x:v>
      </x:c>
      <x:c r="N1154" s="13" t="n">
        <x:f>H1154/G1154</x:f>
        <x:v>0.013495092294340351</x:v>
      </x:c>
      <x:c r="O1154" s="13" t="n">
        <x:f>F1154/E1154</x:f>
        <x:v>0</x:v>
      </x:c>
      <x:c r="P1154" s="2" t="str">
        <x:f>IF(AND(E1154&gt;='Итоги'!$F$5,N1154&lt;='Итоги'!$B$5,O1154&gt;='Итоги'!$D$5),"Да","Нет")</x:f>
        <x:v>Нет</x:v>
      </x:c>
    </x:row>
    <x:row r="1155" ht="60" customHeight="1">
      <x:c r="A1155" s="14" t="str">
        <x:v>Товары для животных</x:v>
      </x:c>
      <x:c r="B1155" s="14" t="str">
        <x:v>Гигиена и уход животных</x:v>
      </x:c>
      <x:c r="C1155" s="14" t="str">
        <x:v>Товары для груминга</x:v>
      </x:c>
      <x:c r="D1155" s="14" t="str">
        <x:v>Полотенце для животных</x:v>
      </x:c>
      <x:c r="E1155" s="2" t="n">
        <x:v>1</x:v>
      </x:c>
      <x:c r="F1155" s="2" t="n">
        <x:v>0</x:v>
      </x:c>
      <x:c r="G1155" s="12" t="n">
        <x:v>313134.8759</x:v>
      </x:c>
      <x:c r="H1155" s="12" t="n">
        <x:v>4227.32082465</x:v>
      </x:c>
      <x:c r="I1155" s="13" t="n">
        <x:v>0.0135</x:v>
      </x:c>
      <x:c r="J1155" s="2" t="n">
        <x:v>0</x:v>
      </x:c>
      <x:c r="K1155" s="2" t="n">
        <x:v>1</x:v>
      </x:c>
      <x:c r="L1155" s="12" t="n">
        <x:v>828.3991</x:v>
      </x:c>
      <x:c r="M1155" s="13" t="n">
        <x:v>1</x:v>
      </x:c>
      <x:c r="N1155" s="13" t="n">
        <x:f>H1155/G1155</x:f>
        <x:v>0.0135</x:v>
      </x:c>
      <x:c r="O1155" s="13" t="n">
        <x:f>F1155/E1155</x:f>
        <x:v>0</x:v>
      </x:c>
      <x:c r="P1155" s="2" t="str">
        <x:f>IF(AND(E1155&gt;='Итоги'!$F$5,N1155&lt;='Итоги'!$B$5,O1155&gt;='Итоги'!$D$5),"Да","Нет")</x:f>
        <x:v>Нет</x:v>
      </x:c>
    </x:row>
    <x:row r="1156" ht="60" customHeight="1">
      <x:c r="A1156" s="14" t="str">
        <x:v>Детская одежда</x:v>
      </x:c>
      <x:c r="B1156" s="14" t="str">
        <x:v>Детская одежда</x:v>
      </x:c>
      <x:c r="C1156" s="14" t="str">
        <x:v>Белье и ЧНИ для мальчиков</x:v>
      </x:c>
      <x:c r="D1156" s="14" t="str">
        <x:v>Термокомплект для мальчика</x:v>
      </x:c>
      <x:c r="E1156" s="2" t="n">
        <x:v>5</x:v>
      </x:c>
      <x:c r="F1156" s="2" t="n">
        <x:v>0</x:v>
      </x:c>
      <x:c r="G1156" s="12" t="n">
        <x:v>444283.6671</x:v>
      </x:c>
      <x:c r="H1156" s="12" t="n">
        <x:v>6048.70908109</x:v>
      </x:c>
      <x:c r="I1156" s="13" t="n">
        <x:v>0.01286</x:v>
      </x:c>
      <x:c r="J1156" s="2" t="n">
        <x:v>0</x:v>
      </x:c>
      <x:c r="K1156" s="2" t="n">
        <x:v>1</x:v>
      </x:c>
      <x:c r="L1156" s="12" t="n">
        <x:v>1104.9307</x:v>
      </x:c>
      <x:c r="M1156" s="13" t="n">
        <x:v>1</x:v>
      </x:c>
      <x:c r="N1156" s="13" t="n">
        <x:f>H1156/G1156</x:f>
        <x:v>0.013614520471959072</x:v>
      </x:c>
      <x:c r="O1156" s="13" t="n">
        <x:f>F1156/E1156</x:f>
        <x:v>0</x:v>
      </x:c>
      <x:c r="P1156" s="2" t="str">
        <x:f>IF(AND(E1156&gt;='Итоги'!$F$5,N1156&lt;='Итоги'!$B$5,O1156&gt;='Итоги'!$D$5),"Да","Нет")</x:f>
        <x:v>Нет</x:v>
      </x:c>
    </x:row>
    <x:row r="1157" ht="60" customHeight="1">
      <x:c r="A1157" s="14" t="str">
        <x:v>Школьные принадлежности и канцелярия</x:v>
      </x:c>
      <x:c r="B1157" s="14" t="str">
        <x:v>Товары для школы, канцелярия, оборудование</x:v>
      </x:c>
      <x:c r="C1157" s="14" t="str">
        <x:v>Чертежные принадлежности</x:v>
      </x:c>
      <x:c r="D1157" s="14" t="str">
        <x:v>Точилка для карандашей</x:v>
      </x:c>
      <x:c r="E1157" s="2" t="n">
        <x:v>2</x:v>
      </x:c>
      <x:c r="F1157" s="2" t="n">
        <x:v>0</x:v>
      </x:c>
      <x:c r="G1157" s="12" t="n">
        <x:v>220190.95</x:v>
      </x:c>
      <x:c r="H1157" s="12" t="n">
        <x:v>2999.179325</x:v>
      </x:c>
      <x:c r="I1157" s="13" t="n">
        <x:v>0.0121999999999999</x:v>
      </x:c>
      <x:c r="J1157" s="2" t="n">
        <x:v>0</x:v>
      </x:c>
      <x:c r="K1157" s="2" t="n">
        <x:v>2</x:v>
      </x:c>
      <x:c r="L1157" s="12" t="n">
        <x:v>1197.37025</x:v>
      </x:c>
      <x:c r="M1157" s="13" t="n">
        <x:v>0.5587112004376201</x:v>
      </x:c>
      <x:c r="N1157" s="13" t="n">
        <x:f>H1157/G1157</x:f>
        <x:v>0.013620811050590407</x:v>
      </x:c>
      <x:c r="O1157" s="13" t="n">
        <x:f>F1157/E1157</x:f>
        <x:v>0</x:v>
      </x:c>
      <x:c r="P1157" s="2" t="str">
        <x:f>IF(AND(E1157&gt;='Итоги'!$F$5,N1157&lt;='Итоги'!$B$5,O1157&gt;='Итоги'!$D$5),"Да","Нет")</x:f>
        <x:v>Нет</x:v>
      </x:c>
    </x:row>
    <x:row r="1158" ht="60" customHeight="1">
      <x:c r="A1158" s="14" t="str">
        <x:v>Детская одежда</x:v>
      </x:c>
      <x:c r="B1158" s="14" t="str">
        <x:v>Детская обувь</x:v>
      </x:c>
      <x:c r="C1158" s="14" t="str">
        <x:v>Обувь для мальчика</x:v>
      </x:c>
      <x:c r="D1158" s="14" t="str">
        <x:v>Кеды для мальчика</x:v>
      </x:c>
      <x:c r="E1158" s="2" t="n">
        <x:v>20</x:v>
      </x:c>
      <x:c r="F1158" s="2" t="n">
        <x:v>0</x:v>
      </x:c>
      <x:c r="G1158" s="12" t="n">
        <x:v>1236306.27</x:v>
      </x:c>
      <x:c r="H1158" s="12" t="n">
        <x:v>16897.858355</x:v>
      </x:c>
      <x:c r="I1158" s="13" t="n">
        <x:v>0.0095199999999999</x:v>
      </x:c>
      <x:c r="J1158" s="2" t="n">
        <x:v>9</x:v>
      </x:c>
      <x:c r="K1158" s="2" t="n">
        <x:v>2</x:v>
      </x:c>
      <x:c r="L1158" s="12" t="n">
        <x:v>1866.2625</x:v>
      </x:c>
      <x:c r="M1158" s="13" t="n">
        <x:v>0.985780222565724</x:v>
      </x:c>
      <x:c r="N1158" s="13" t="n">
        <x:f>H1158/G1158</x:f>
        <x:v>0.013668019620251541</x:v>
      </x:c>
      <x:c r="O1158" s="13" t="n">
        <x:f>F1158/E1158</x:f>
        <x:v>0</x:v>
      </x:c>
      <x:c r="P1158" s="2" t="str">
        <x:f>IF(AND(E1158&gt;='Итоги'!$F$5,N1158&lt;='Итоги'!$B$5,O1158&gt;='Итоги'!$D$5),"Да","Нет")</x:f>
        <x:v>Нет</x:v>
      </x:c>
    </x:row>
    <x:row r="1159" ht="60" customHeight="1">
      <x:c r="A1159" s="14" t="str">
        <x:v>Товары для детей и спорта</x:v>
      </x:c>
      <x:c r="B1159" s="14" t="str">
        <x:v>КГТ и аксессуары для детей</x:v>
      </x:c>
      <x:c r="C1159" s="14" t="str">
        <x:v>Коляска детская</x:v>
      </x:c>
      <x:c r="D1159" s="14" t="str">
        <x:v>Коляска 2 в 1 </x:v>
      </x:c>
      <x:c r="E1159" s="2" t="n">
        <x:v>32</x:v>
      </x:c>
      <x:c r="F1159" s="2" t="n">
        <x:v>0</x:v>
      </x:c>
      <x:c r="G1159" s="12" t="n">
        <x:v>3775606.2011</x:v>
      </x:c>
      <x:c r="H1159" s="12" t="n">
        <x:v>51770.82790871</x:v>
      </x:c>
      <x:c r="I1159" s="13" t="n">
        <x:v>0.013909375</x:v>
      </x:c>
      <x:c r="J1159" s="2" t="n">
        <x:v>17</x:v>
      </x:c>
      <x:c r="K1159" s="2" t="n">
        <x:v>5</x:v>
      </x:c>
      <x:c r="L1159" s="12" t="n">
        <x:v>15399.5</x:v>
      </x:c>
      <x:c r="M1159" s="13" t="n">
        <x:v>0.7663505794002071</x:v>
      </x:c>
      <x:c r="N1159" s="13" t="n">
        <x:f>H1159/G1159</x:f>
        <x:v>0.013711924695331543</x:v>
      </x:c>
      <x:c r="O1159" s="13" t="n">
        <x:f>F1159/E1159</x:f>
        <x:v>0</x:v>
      </x:c>
      <x:c r="P1159" s="2" t="str">
        <x:f>IF(AND(E1159&gt;='Итоги'!$F$5,N1159&lt;='Итоги'!$B$5,O1159&gt;='Итоги'!$D$5),"Да","Нет")</x:f>
        <x:v>Нет</x:v>
      </x:c>
    </x:row>
    <x:row r="1160" ht="60" customHeight="1">
      <x:c r="A1160" s="14" t="str">
        <x:v>Товары для животных</x:v>
      </x:c>
      <x:c r="B1160" s="14" t="str">
        <x:v>Товары для прогулки и дрессировки животных</x:v>
      </x:c>
      <x:c r="C1160" s="14" t="str">
        <x:v>Аксессуары для прогулки и дрессировки животных</x:v>
      </x:c>
      <x:c r="D1160" s="14" t="str">
        <x:v>Светящийся шнурок</x:v>
      </x:c>
      <x:c r="E1160" s="2" t="n">
        <x:v>1</x:v>
      </x:c>
      <x:c r="F1160" s="2" t="n">
        <x:v>0</x:v>
      </x:c>
      <x:c r="G1160" s="12" t="n">
        <x:v>32405.4043</x:v>
      </x:c>
      <x:c r="H1160" s="12" t="n">
        <x:v>450.43511977</x:v>
      </x:c>
      <x:c r="I1160" s="13" t="n">
        <x:v>0.0139</x:v>
      </x:c>
      <x:c r="J1160" s="2" t="n">
        <x:v>0</x:v>
      </x:c>
      <x:c r="K1160" s="2" t="n">
        <x:v>1</x:v>
      </x:c>
      <x:c r="L1160" s="12" t="n">
        <x:v>1080.1801</x:v>
      </x:c>
      <x:c r="M1160" s="13" t="n">
        <x:v>1</x:v>
      </x:c>
      <x:c r="N1160" s="13" t="n">
        <x:f>H1160/G1160</x:f>
        <x:v>0.0139</x:v>
      </x:c>
      <x:c r="O1160" s="13" t="n">
        <x:f>F1160/E1160</x:f>
        <x:v>0</x:v>
      </x:c>
      <x:c r="P1160" s="2" t="str">
        <x:f>IF(AND(E1160&gt;='Итоги'!$F$5,N1160&lt;='Итоги'!$B$5,O1160&gt;='Итоги'!$D$5),"Да","Нет")</x:f>
        <x:v>Нет</x:v>
      </x:c>
    </x:row>
    <x:row r="1161" ht="60" customHeight="1">
      <x:c r="A1161" s="14" t="str">
        <x:v>Строительство и ремонт (DIY)</x:v>
      </x:c>
      <x:c r="B1161" s="14" t="str">
        <x:v>Сад и огород</x:v>
      </x:c>
      <x:c r="C1161" s="14" t="str">
        <x:v>Садовый инструмент</x:v>
      </x:c>
      <x:c r="D1161" s="14" t="str">
        <x:v>Серп, коса</x:v>
      </x:c>
      <x:c r="E1161" s="2" t="n">
        <x:v>4</x:v>
      </x:c>
      <x:c r="F1161" s="2" t="n">
        <x:v>0</x:v>
      </x:c>
      <x:c r="G1161" s="12" t="n">
        <x:v>440411.5922</x:v>
      </x:c>
      <x:c r="H1161" s="12" t="n">
        <x:v>6155.310676</x:v>
      </x:c>
      <x:c r="I1161" s="13" t="n">
        <x:v>0.00535</x:v>
      </x:c>
      <x:c r="J1161" s="2" t="n">
        <x:v>3</x:v>
      </x:c>
      <x:c r="K1161" s="2" t="n">
        <x:v>3</x:v>
      </x:c>
      <x:c r="L1161" s="12" t="n">
        <x:v>1440.6751</x:v>
      </x:c>
      <x:c r="M1161" s="13" t="n">
        <x:v>0.8220687162012444</x:v>
      </x:c>
      <x:c r="N1161" s="13" t="n">
        <x:f>H1161/G1161</x:f>
        <x:v>0.01397626852929145</x:v>
      </x:c>
      <x:c r="O1161" s="13" t="n">
        <x:f>F1161/E1161</x:f>
        <x:v>0</x:v>
      </x:c>
      <x:c r="P1161" s="2" t="str">
        <x:f>IF(AND(E1161&gt;='Итоги'!$F$5,N1161&lt;='Итоги'!$B$5,O1161&gt;='Итоги'!$D$5),"Да","Нет")</x:f>
        <x:v>Нет</x:v>
      </x:c>
    </x:row>
    <x:row r="1162" ht="60" customHeight="1">
      <x:c r="A1162" s="14" t="str">
        <x:v>Товары для дома</x:v>
      </x:c>
      <x:c r="B1162" s="14" t="str">
        <x:v>Интерьер и декор</x:v>
      </x:c>
      <x:c r="C1162" s="14" t="str">
        <x:v>Принадлежности для праздника</x:v>
      </x:c>
      <x:c r="D1162" s="14" t="str">
        <x:v>Воздушный шар цифра</x:v>
      </x:c>
      <x:c r="E1162" s="2" t="n">
        <x:v>1</x:v>
      </x:c>
      <x:c r="F1162" s="2" t="n">
        <x:v>0</x:v>
      </x:c>
      <x:c r="G1162" s="12" t="n">
        <x:v>137404.6198</x:v>
      </x:c>
      <x:c r="H1162" s="12" t="n">
        <x:v>1923.6646772</x:v>
      </x:c>
      <x:c r="I1162" s="13" t="n">
        <x:v>0.014</x:v>
      </x:c>
      <x:c r="J1162" s="2" t="n">
        <x:v>0</x:v>
      </x:c>
      <x:c r="K1162" s="2" t="n">
        <x:v>1</x:v>
      </x:c>
      <x:c r="L1162" s="12" t="n">
        <x:v>898.0694</x:v>
      </x:c>
      <x:c r="M1162" s="13" t="n">
        <x:v>1</x:v>
      </x:c>
      <x:c r="N1162" s="13" t="n">
        <x:f>H1162/G1162</x:f>
        <x:v>0.014</x:v>
      </x:c>
      <x:c r="O1162" s="13" t="n">
        <x:f>F1162/E1162</x:f>
        <x:v>0</x:v>
      </x:c>
      <x:c r="P1162" s="2" t="str">
        <x:f>IF(AND(E1162&gt;='Итоги'!$F$5,N1162&lt;='Итоги'!$B$5,O1162&gt;='Итоги'!$D$5),"Да","Нет")</x:f>
        <x:v>Нет</x:v>
      </x:c>
    </x:row>
    <x:row r="1163" ht="60" customHeight="1">
      <x:c r="A1163" s="14" t="str">
        <x:v>Товары для дома</x:v>
      </x:c>
      <x:c r="B1163" s="14" t="str">
        <x:v>Кухня</x:v>
      </x:c>
      <x:c r="C1163" s="14" t="str">
        <x:v>Питьевое стекло, аксессуар для бара, сосуд для жидкости</x:v>
      </x:c>
      <x:c r="D1163" s="14" t="str">
        <x:v>Ведерко для льда</x:v>
      </x:c>
      <x:c r="E1163" s="2" t="n">
        <x:v>4</x:v>
      </x:c>
      <x:c r="F1163" s="2" t="n">
        <x:v>0</x:v>
      </x:c>
      <x:c r="G1163" s="12" t="n">
        <x:v>432281.39</x:v>
      </x:c>
      <x:c r="H1163" s="12" t="n">
        <x:v>6086.562822</x:v>
      </x:c>
      <x:c r="I1163" s="13" t="n">
        <x:v>0.014025</x:v>
      </x:c>
      <x:c r="J1163" s="2" t="n">
        <x:v>1</x:v>
      </x:c>
      <x:c r="K1163" s="2" t="n">
        <x:v>2</x:v>
      </x:c>
      <x:c r="L1163" s="12" t="n">
        <x:v>1951.28285</x:v>
      </x:c>
      <x:c r="M1163" s="13" t="n">
        <x:v>0.7256347306554187</x:v>
      </x:c>
      <x:c r="N1163" s="13" t="n">
        <x:f>H1163/G1163</x:f>
        <x:v>0.01408009450048266</x:v>
      </x:c>
      <x:c r="O1163" s="13" t="n">
        <x:f>F1163/E1163</x:f>
        <x:v>0</x:v>
      </x:c>
      <x:c r="P1163" s="2" t="str">
        <x:f>IF(AND(E1163&gt;='Итоги'!$F$5,N1163&lt;='Итоги'!$B$5,O1163&gt;='Итоги'!$D$5),"Да","Нет")</x:f>
        <x:v>Нет</x:v>
      </x:c>
    </x:row>
    <x:row r="1164" ht="60" customHeight="1">
      <x:c r="A1164" s="14" t="str">
        <x:v>Строительство и ремонт (DIY)</x:v>
      </x:c>
      <x:c r="B1164" s="14" t="str">
        <x:v>Сад и огород</x:v>
      </x:c>
      <x:c r="C1164" s="14" t="str">
        <x:v>Садовый инструмент</x:v>
      </x:c>
      <x:c r="D1164" s="14" t="str">
        <x:v>Снегоуборщик</x:v>
      </x:c>
      <x:c r="E1164" s="2" t="n">
        <x:v>111</x:v>
      </x:c>
      <x:c r="F1164" s="2" t="n">
        <x:v>0</x:v>
      </x:c>
      <x:c r="G1164" s="12" t="n">
        <x:v>33423153.9895</x:v>
      </x:c>
      <x:c r="H1164" s="12" t="n">
        <x:v>471691.79062016</x:v>
      </x:c>
      <x:c r="I1164" s="13" t="n">
        <x:v>0.019045045045045</x:v>
      </x:c>
      <x:c r="J1164" s="2" t="n">
        <x:v>43</x:v>
      </x:c>
      <x:c r="K1164" s="2" t="n">
        <x:v>4</x:v>
      </x:c>
      <x:c r="L1164" s="12" t="n">
        <x:v>39484.4</x:v>
      </x:c>
      <x:c r="M1164" s="13" t="n">
        <x:v>0.971685641328245</x:v>
      </x:c>
      <x:c r="N1164" s="13" t="n">
        <x:f>H1164/G1164</x:f>
        <x:v>0.014112725291226064</x:v>
      </x:c>
      <x:c r="O1164" s="13" t="n">
        <x:f>F1164/E1164</x:f>
        <x:v>0</x:v>
      </x:c>
      <x:c r="P1164" s="2" t="str">
        <x:f>IF(AND(E1164&gt;='Итоги'!$F$5,N1164&lt;='Итоги'!$B$5,O1164&gt;='Итоги'!$D$5),"Да","Нет")</x:f>
        <x:v>Нет</x:v>
      </x:c>
    </x:row>
    <x:row r="1165" ht="60" customHeight="1">
      <x:c r="A1165" s="14" t="str">
        <x:v>Автотовары</x:v>
      </x:c>
      <x:c r="B1165" s="14" t="str">
        <x:v>Дополнительное оборудование для авто и мото техники</x:v>
      </x:c>
      <x:c r="C1165" s="14" t="str">
        <x:v>Оборудование для перевозки багажа</x:v>
      </x:c>
      <x:c r="D1165" s="14" t="str">
        <x:v>Багажные системы и крепления</x:v>
      </x:c>
      <x:c r="E1165" s="2" t="n">
        <x:v>64</x:v>
      </x:c>
      <x:c r="F1165" s="2" t="n">
        <x:v>0</x:v>
      </x:c>
      <x:c r="G1165" s="12" t="n">
        <x:v>10996790.9341</x:v>
      </x:c>
      <x:c r="H1165" s="12" t="n">
        <x:v>155398.21504536</x:v>
      </x:c>
      <x:c r="I1165" s="13" t="n">
        <x:v>0.0158203125</x:v>
      </x:c>
      <x:c r="J1165" s="2" t="n">
        <x:v>43</x:v>
      </x:c>
      <x:c r="K1165" s="2" t="n">
        <x:v>19</x:v>
      </x:c>
      <x:c r="L1165" s="12" t="n">
        <x:v>3397.95</x:v>
      </x:c>
      <x:c r="M1165" s="13" t="n">
        <x:v>0.4703506083543922</x:v>
      </x:c>
      <x:c r="N1165" s="13" t="n">
        <x:f>H1165/G1165</x:f>
        <x:v>0.014131233009394128</x:v>
      </x:c>
      <x:c r="O1165" s="13" t="n">
        <x:f>F1165/E1165</x:f>
        <x:v>0</x:v>
      </x:c>
      <x:c r="P1165" s="2" t="str">
        <x:f>IF(AND(E1165&gt;='Итоги'!$F$5,N1165&lt;='Итоги'!$B$5,O1165&gt;='Итоги'!$D$5),"Да","Нет")</x:f>
        <x:v>Нет</x:v>
      </x:c>
    </x:row>
    <x:row r="1166" ht="60" customHeight="1">
      <x:c r="A1166" s="14" t="str">
        <x:v>Бытовая химия и гигиена рта</x:v>
      </x:c>
      <x:c r="B1166" s="14" t="str">
        <x:v>Бытовая химия</x:v>
      </x:c>
      <x:c r="C1166" s="14" t="str">
        <x:v>Освежитель воздуха</x:v>
      </x:c>
      <x:c r="D1166" s="14" t="str">
        <x:v>Освежитель для холодильника</x:v>
      </x:c>
      <x:c r="E1166" s="2" t="n">
        <x:v>2</x:v>
      </x:c>
      <x:c r="F1166" s="2" t="n">
        <x:v>0</x:v>
      </x:c>
      <x:c r="G1166" s="12" t="n">
        <x:v>211896</x:v>
      </x:c>
      <x:c r="H1166" s="12" t="n">
        <x:v>3019.4548</x:v>
      </x:c>
      <x:c r="I1166" s="13" t="n">
        <x:v>0.0118</x:v>
      </x:c>
      <x:c r="J1166" s="2" t="n">
        <x:v>1</x:v>
      </x:c>
      <x:c r="K1166" s="2" t="n">
        <x:v>1</x:v>
      </x:c>
      <x:c r="L1166" s="12" t="n">
        <x:v>1695.7334500000002</x:v>
      </x:c>
      <x:c r="M1166" s="13" t="n">
        <x:v>1</x:v>
      </x:c>
      <x:c r="N1166" s="13" t="n">
        <x:f>H1166/G1166</x:f>
        <x:v>0.01424970174047646</x:v>
      </x:c>
      <x:c r="O1166" s="13" t="n">
        <x:f>F1166/E1166</x:f>
        <x:v>0</x:v>
      </x:c>
      <x:c r="P1166" s="2" t="str">
        <x:f>IF(AND(E1166&gt;='Итоги'!$F$5,N1166&lt;='Итоги'!$B$5,O1166&gt;='Итоги'!$D$5),"Да","Нет")</x:f>
        <x:v>Нет</x:v>
      </x:c>
    </x:row>
    <x:row r="1167" ht="60" customHeight="1">
      <x:c r="A1167" s="14" t="str">
        <x:v>Ноутбуки и компьютеры</x:v>
      </x:c>
      <x:c r="B1167" s="14" t="str">
        <x:v>Игровые приставки и аксессуары Lap&amp;Comp</x:v>
      </x:c>
      <x:c r="C1167" s="14" t="str">
        <x:v>Видеоигры Lap&amp;Comp</x:v>
      </x:c>
      <x:c r="D1167" s="14" t="str">
        <x:v>Видеоигра Sony</x:v>
      </x:c>
      <x:c r="E1167" s="2" t="n">
        <x:v>112</x:v>
      </x:c>
      <x:c r="F1167" s="2" t="n">
        <x:v>0</x:v>
      </x:c>
      <x:c r="G1167" s="12" t="n">
        <x:v>21073589.1461</x:v>
      </x:c>
      <x:c r="H1167" s="12" t="n">
        <x:v>300488.47645481</x:v>
      </x:c>
      <x:c r="I1167" s="13" t="n">
        <x:v>0.0128491071428571</x:v>
      </x:c>
      <x:c r="J1167" s="2" t="n">
        <x:v>32</x:v>
      </x:c>
      <x:c r="K1167" s="2" t="n">
        <x:v>6</x:v>
      </x:c>
      <x:c r="L1167" s="12" t="n">
        <x:v>3095.7748</x:v>
      </x:c>
      <x:c r="M1167" s="13" t="n">
        <x:v>0.9483938169022686</x:v>
      </x:c>
      <x:c r="N1167" s="13" t="n">
        <x:f>H1167/G1167</x:f>
        <x:v>0.014259008011002253</x:v>
      </x:c>
      <x:c r="O1167" s="13" t="n">
        <x:f>F1167/E1167</x:f>
        <x:v>0</x:v>
      </x:c>
      <x:c r="P1167" s="2" t="str">
        <x:f>IF(AND(E1167&gt;='Итоги'!$F$5,N1167&lt;='Итоги'!$B$5,O1167&gt;='Итоги'!$D$5),"Да","Нет")</x:f>
        <x:v>Нет</x:v>
      </x:c>
    </x:row>
    <x:row r="1168" ht="60" customHeight="1">
      <x:c r="A1168" s="14" t="str">
        <x:v>Хобби и творчество</x:v>
      </x:c>
      <x:c r="B1168" s="14" t="str">
        <x:v>Детское творчество и хобби</x:v>
      </x:c>
      <x:c r="C1168" s="14" t="str">
        <x:v>Лепка для детей</x:v>
      </x:c>
      <x:c r="D1168" s="14" t="str">
        <x:v>Лепка из гипса для детей</x:v>
      </x:c>
      <x:c r="E1168" s="2" t="n">
        <x:v>3</x:v>
      </x:c>
      <x:c r="F1168" s="2" t="n">
        <x:v>0</x:v>
      </x:c>
      <x:c r="G1168" s="12" t="n">
        <x:v>317333</x:v>
      </x:c>
      <x:c r="H1168" s="12" t="n">
        <x:v>4534.8486</x:v>
      </x:c>
      <x:c r="I1168" s="13" t="n">
        <x:v>0.0140333333333333</x:v>
      </x:c>
      <x:c r="J1168" s="2" t="n">
        <x:v>1</x:v>
      </x:c>
      <x:c r="K1168" s="2" t="n">
        <x:v>2</x:v>
      </x:c>
      <x:c r="L1168" s="12" t="n">
        <x:v>885.5906</x:v>
      </x:c>
      <x:c r="M1168" s="13" t="n">
        <x:v>0.6769923077650292</x:v>
      </x:c>
      <x:c r="N1168" s="13" t="n">
        <x:f>H1168/G1168</x:f>
        <x:v>0.014290504296748212</x:v>
      </x:c>
      <x:c r="O1168" s="13" t="n">
        <x:f>F1168/E1168</x:f>
        <x:v>0</x:v>
      </x:c>
      <x:c r="P1168" s="2" t="str">
        <x:f>IF(AND(E1168&gt;='Итоги'!$F$5,N1168&lt;='Итоги'!$B$5,O1168&gt;='Итоги'!$D$5),"Да","Нет")</x:f>
        <x:v>Нет</x:v>
      </x:c>
    </x:row>
    <x:row r="1169" ht="60" customHeight="1">
      <x:c r="A1169" s="14" t="str">
        <x:v>Аптека</x:v>
      </x:c>
      <x:c r="B1169" s="14" t="str">
        <x:v>Оптика</x:v>
      </x:c>
      <x:c r="C1169" s="14" t="str">
        <x:v>Контактные линзы</x:v>
      </x:c>
      <x:c r="D1169" s="14" t="str">
        <x:v>Контактные линзы плановой замены</x:v>
      </x:c>
      <x:c r="E1169" s="2" t="n">
        <x:v>453</x:v>
      </x:c>
      <x:c r="F1169" s="2" t="n">
        <x:v>0</x:v>
      </x:c>
      <x:c r="G1169" s="12" t="n">
        <x:v>76354485.9924</x:v>
      </x:c>
      <x:c r="H1169" s="12" t="n">
        <x:v>1099491.55866424</x:v>
      </x:c>
      <x:c r="I1169" s="13" t="n">
        <x:v>0.0184710816777041</x:v>
      </x:c>
      <x:c r="J1169" s="2" t="n">
        <x:v>294</x:v>
      </x:c>
      <x:c r="K1169" s="2" t="n">
        <x:v>6</x:v>
      </x:c>
      <x:c r="L1169" s="12" t="n">
        <x:v>1468.3905</x:v>
      </x:c>
      <x:c r="M1169" s="13" t="n">
        <x:v>0.6180472534147785</x:v>
      </x:c>
      <x:c r="N1169" s="13" t="n">
        <x:f>H1169/G1169</x:f>
        <x:v>0.014399829222525034</x:v>
      </x:c>
      <x:c r="O1169" s="13" t="n">
        <x:f>F1169/E1169</x:f>
        <x:v>0</x:v>
      </x:c>
      <x:c r="P1169" s="2" t="str">
        <x:f>IF(AND(E1169&gt;='Итоги'!$F$5,N1169&lt;='Итоги'!$B$5,O1169&gt;='Итоги'!$D$5),"Да","Нет")</x:f>
        <x:v>Нет</x:v>
      </x:c>
    </x:row>
    <x:row r="1170" ht="60" customHeight="1">
      <x:c r="A1170" s="14" t="str">
        <x:v>Строительство и ремонт (DIY)</x:v>
      </x:c>
      <x:c r="B1170" s="14" t="str">
        <x:v>Ремонт и строительство</x:v>
      </x:c>
      <x:c r="C1170" s="14" t="str">
        <x:v>Столярные изделия</x:v>
      </x:c>
      <x:c r="D1170" s="14" t="str">
        <x:v>Козырек дверной</x:v>
      </x:c>
      <x:c r="E1170" s="2" t="n">
        <x:v>28</x:v>
      </x:c>
      <x:c r="F1170" s="2" t="n">
        <x:v>0</x:v>
      </x:c>
      <x:c r="G1170" s="12" t="n">
        <x:v>5282378.7603</x:v>
      </x:c>
      <x:c r="H1170" s="12" t="n">
        <x:v>76176.63333356</x:v>
      </x:c>
      <x:c r="I1170" s="13" t="n">
        <x:v>0.0183214285714285</x:v>
      </x:c>
      <x:c r="J1170" s="2" t="n">
        <x:v>2</x:v>
      </x:c>
      <x:c r="K1170" s="2" t="n">
        <x:v>2</x:v>
      </x:c>
      <x:c r="L1170" s="12" t="n">
        <x:v>6290.6098</x:v>
      </x:c>
      <x:c r="M1170" s="13" t="n">
        <x:v>0.861591555968153</x:v>
      </x:c>
      <x:c r="N1170" s="13" t="n">
        <x:f>H1170/G1170</x:f>
        <x:v>0.014420895734715118</x:v>
      </x:c>
      <x:c r="O1170" s="13" t="n">
        <x:f>F1170/E1170</x:f>
        <x:v>0</x:v>
      </x:c>
      <x:c r="P1170" s="2" t="str">
        <x:f>IF(AND(E1170&gt;='Итоги'!$F$5,N1170&lt;='Итоги'!$B$5,O1170&gt;='Итоги'!$D$5),"Да","Нет")</x:f>
        <x:v>Нет</x:v>
      </x:c>
    </x:row>
    <x:row r="1171" ht="60" customHeight="1">
      <x:c r="A1171" s="14" t="str">
        <x:v>Обувь</x:v>
      </x:c>
      <x:c r="B1171" s="14" t="str">
        <x:v>Обувь мужская</x:v>
      </x:c>
      <x:c r="C1171" s="14" t="str">
        <x:v>Обувь мужская демисезон</x:v>
      </x:c>
      <x:c r="D1171" s="14" t="str">
        <x:v>Мужские Резиновые сапоги</x:v>
      </x:c>
      <x:c r="E1171" s="2" t="n">
        <x:v>43</x:v>
      </x:c>
      <x:c r="F1171" s="2" t="n">
        <x:v>0</x:v>
      </x:c>
      <x:c r="G1171" s="12" t="n">
        <x:v>3746044.9881</x:v>
      </x:c>
      <x:c r="H1171" s="12" t="n">
        <x:v>54313.218645</x:v>
      </x:c>
      <x:c r="I1171" s="13" t="n">
        <x:v>0.0236790697674418</x:v>
      </x:c>
      <x:c r="J1171" s="2" t="n">
        <x:v>26</x:v>
      </x:c>
      <x:c r="K1171" s="2" t="n">
        <x:v>6</x:v>
      </x:c>
      <x:c r="L1171" s="12" t="n">
        <x:v>1242.5913</x:v>
      </x:c>
      <x:c r="M1171" s="13" t="n">
        <x:v>0.6850545516276897</x:v>
      </x:c>
      <x:c r="N1171" s="13" t="n">
        <x:f>H1171/G1171</x:f>
        <x:v>0.01449881643641118</x:v>
      </x:c>
      <x:c r="O1171" s="13" t="n">
        <x:f>F1171/E1171</x:f>
        <x:v>0</x:v>
      </x:c>
      <x:c r="P1171" s="2" t="str">
        <x:f>IF(AND(E1171&gt;='Итоги'!$F$5,N1171&lt;='Итоги'!$B$5,O1171&gt;='Итоги'!$D$5),"Да","Нет")</x:f>
        <x:v>Нет</x:v>
      </x:c>
    </x:row>
    <x:row r="1172" ht="60" customHeight="1">
      <x:c r="A1172" s="14" t="str">
        <x:v>Автотовары</x:v>
      </x:c>
      <x:c r="B1172" s="14" t="str">
        <x:v>Авто и мото запчасти</x:v>
      </x:c>
      <x:c r="C1172" s="14" t="str">
        <x:v>Электрооборудование автомобиля</x:v>
      </x:c>
      <x:c r="D1172" s="14" t="str">
        <x:v>Предохранители и реле</x:v>
      </x:c>
      <x:c r="E1172" s="2" t="n">
        <x:v>10</x:v>
      </x:c>
      <x:c r="F1172" s="2" t="n">
        <x:v>0</x:v>
      </x:c>
      <x:c r="G1172" s="12" t="n">
        <x:v>640331.1754</x:v>
      </x:c>
      <x:c r="H1172" s="12" t="n">
        <x:v>9299.66370181</x:v>
      </x:c>
      <x:c r="I1172" s="13" t="n">
        <x:v>0.0071499999999999</x:v>
      </x:c>
      <x:c r="J1172" s="2" t="n">
        <x:v>7</x:v>
      </x:c>
      <x:c r="K1172" s="2" t="n">
        <x:v>7</x:v>
      </x:c>
      <x:c r="L1172" s="12" t="n">
        <x:v>1299.59775</x:v>
      </x:c>
      <x:c r="M1172" s="13" t="n">
        <x:v>0.3031211238133948</x:v>
      </x:c>
      <x:c r="N1172" s="13" t="n">
        <x:f>H1172/G1172</x:f>
        <x:v>0.01452320933148494</x:v>
      </x:c>
      <x:c r="O1172" s="13" t="n">
        <x:f>F1172/E1172</x:f>
        <x:v>0</x:v>
      </x:c>
      <x:c r="P1172" s="2" t="str">
        <x:f>IF(AND(E1172&gt;='Итоги'!$F$5,N1172&lt;='Итоги'!$B$5,O1172&gt;='Итоги'!$D$5),"Да","Нет")</x:f>
        <x:v>Нет</x:v>
      </x:c>
    </x:row>
    <x:row r="1173" ht="60" customHeight="1">
      <x:c r="A1173" s="14" t="str">
        <x:v>Товары для дома</x:v>
      </x:c>
      <x:c r="B1173" s="14" t="str">
        <x:v>Аксессуары для уборки и стирки</x:v>
      </x:c>
      <x:c r="C1173" s="14" t="str">
        <x:v>HoReCa</x:v>
      </x:c>
      <x:c r="D1173" s="14" t="str">
        <x:v>Термоусадочный пакет для упаковки</x:v>
      </x:c>
      <x:c r="E1173" s="2" t="n">
        <x:v>5</x:v>
      </x:c>
      <x:c r="F1173" s="2" t="n">
        <x:v>0</x:v>
      </x:c>
      <x:c r="G1173" s="12" t="n">
        <x:v>691882.13</x:v>
      </x:c>
      <x:c r="H1173" s="12" t="n">
        <x:v>10048.517054</x:v>
      </x:c>
      <x:c r="I1173" s="13" t="n">
        <x:v>0.01464</x:v>
      </x:c>
      <x:c r="J1173" s="2" t="n">
        <x:v>0</x:v>
      </x:c>
      <x:c r="K1173" s="2" t="n">
        <x:v>2</x:v>
      </x:c>
      <x:c r="L1173" s="12" t="n">
        <x:v>3159.1622</x:v>
      </x:c>
      <x:c r="M1173" s="13" t="n">
        <x:v>0.8366730471850747</x:v>
      </x:c>
      <x:c r="N1173" s="13" t="n">
        <x:f>H1173/G1173</x:f>
        <x:v>0.014523452215769759</x:v>
      </x:c>
      <x:c r="O1173" s="13" t="n">
        <x:f>F1173/E1173</x:f>
        <x:v>0</x:v>
      </x:c>
      <x:c r="P1173" s="2" t="str">
        <x:f>IF(AND(E1173&gt;='Итоги'!$F$5,N1173&lt;='Итоги'!$B$5,O1173&gt;='Итоги'!$D$5),"Да","Нет")</x:f>
        <x:v>Нет</x:v>
      </x:c>
    </x:row>
    <x:row r="1174" ht="60" customHeight="1">
      <x:c r="A1174" s="14" t="str">
        <x:v>Детская одежда</x:v>
      </x:c>
      <x:c r="B1174" s="14" t="str">
        <x:v>Детская одежда</x:v>
      </x:c>
      <x:c r="C1174" s="14" t="str">
        <x:v>Школьная одежда для мальчика</x:v>
      </x:c>
      <x:c r="D1174" s="14" t="str">
        <x:v>Школьный костюм для мальчика</x:v>
      </x:c>
      <x:c r="E1174" s="2" t="n">
        <x:v>331</x:v>
      </x:c>
      <x:c r="F1174" s="2" t="n">
        <x:v>0</x:v>
      </x:c>
      <x:c r="G1174" s="12" t="n">
        <x:v>25879165.36</x:v>
      </x:c>
      <x:c r="H1174" s="12" t="n">
        <x:v>376274.69886536</x:v>
      </x:c>
      <x:c r="I1174" s="13" t="n">
        <x:v>0.0104589123867069</x:v>
      </x:c>
      <x:c r="J1174" s="2" t="n">
        <x:v>228</x:v>
      </x:c>
      <x:c r="K1174" s="2" t="n">
        <x:v>25</x:v>
      </x:c>
      <x:c r="L1174" s="12" t="n">
        <x:v>3461.9688</x:v>
      </x:c>
      <x:c r="M1174" s="13" t="n">
        <x:v>0.289239478119707</x:v>
      </x:c>
      <x:c r="N1174" s="13" t="n">
        <x:f>H1174/G1174</x:f>
        <x:v>0.014539676748885691</x:v>
      </x:c>
      <x:c r="O1174" s="13" t="n">
        <x:f>F1174/E1174</x:f>
        <x:v>0</x:v>
      </x:c>
      <x:c r="P1174" s="2" t="str">
        <x:f>IF(AND(E1174&gt;='Итоги'!$F$5,N1174&lt;='Итоги'!$B$5,O1174&gt;='Итоги'!$D$5),"Да","Нет")</x:f>
        <x:v>Нет</x:v>
      </x:c>
    </x:row>
    <x:row r="1175" ht="60" customHeight="1">
      <x:c r="A1175" s="14" t="str">
        <x:v>Детская одежда</x:v>
      </x:c>
      <x:c r="B1175" s="14" t="str">
        <x:v>Детская обувь</x:v>
      </x:c>
      <x:c r="C1175" s="14" t="str">
        <x:v>Обувь для девочки</x:v>
      </x:c>
      <x:c r="D1175" s="14" t="str">
        <x:v>Кеды для девочки</x:v>
      </x:c>
      <x:c r="E1175" s="2" t="n">
        <x:v>67</x:v>
      </x:c>
      <x:c r="F1175" s="2" t="n">
        <x:v>0</x:v>
      </x:c>
      <x:c r="G1175" s="12" t="n">
        <x:v>5029351.5813</x:v>
      </x:c>
      <x:c r="H1175" s="12" t="n">
        <x:v>73136.71969155</x:v>
      </x:c>
      <x:c r="I1175" s="13" t="n">
        <x:v>0.0110477611940298</x:v>
      </x:c>
      <x:c r="J1175" s="2" t="n">
        <x:v>33</x:v>
      </x:c>
      <x:c r="K1175" s="2" t="n">
        <x:v>8</x:v>
      </x:c>
      <x:c r="L1175" s="12" t="n">
        <x:v>2829.7323</x:v>
      </x:c>
      <x:c r="M1175" s="13" t="n">
        <x:v>0.4905389671251218</x:v>
      </x:c>
      <x:c r="N1175" s="13" t="n">
        <x:f>H1175/G1175</x:f>
        <x:v>0.014541977928821876</x:v>
      </x:c>
      <x:c r="O1175" s="13" t="n">
        <x:f>F1175/E1175</x:f>
        <x:v>0</x:v>
      </x:c>
      <x:c r="P1175" s="2" t="str">
        <x:f>IF(AND(E1175&gt;='Итоги'!$F$5,N1175&lt;='Итоги'!$B$5,O1175&gt;='Итоги'!$D$5),"Да","Нет")</x:f>
        <x:v>Нет</x:v>
      </x:c>
    </x:row>
    <x:row r="1176" ht="60" customHeight="1">
      <x:c r="A1176" s="14" t="str">
        <x:v>Аксессуары для электроники</x:v>
      </x:c>
      <x:c r="B1176" s="14" t="str">
        <x:v>Аксессуары для МБТ (кухня) Access</x:v>
      </x:c>
      <x:c r="C1176" s="14" t="str">
        <x:v>Аксессуары для кофемашины, кофеварки Access</x:v>
      </x:c>
      <x:c r="D1176" s="14" t="str">
        <x:v>Фильтр для кофемашин</x:v>
      </x:c>
      <x:c r="E1176" s="2" t="n">
        <x:v>4</x:v>
      </x:c>
      <x:c r="F1176" s="2" t="n">
        <x:v>0</x:v>
      </x:c>
      <x:c r="G1176" s="12" t="n">
        <x:v>494754.3963</x:v>
      </x:c>
      <x:c r="H1176" s="12" t="n">
        <x:v>7213.472779350001</x:v>
      </x:c>
      <x:c r="I1176" s="13" t="n">
        <x:v>0.013</x:v>
      </x:c>
      <x:c r="J1176" s="2" t="n">
        <x:v>2</x:v>
      </x:c>
      <x:c r="K1176" s="2" t="n">
        <x:v>4</x:v>
      </x:c>
      <x:c r="L1176" s="12" t="n">
        <x:v>1380.67375</x:v>
      </x:c>
      <x:c r="M1176" s="13" t="n">
        <x:v>0.3761846309843492</x:v>
      </x:c>
      <x:c r="N1176" s="13" t="n">
        <x:f>H1176/G1176</x:f>
        <x:v>0.01457990638040946</x:v>
      </x:c>
      <x:c r="O1176" s="13" t="n">
        <x:f>F1176/E1176</x:f>
        <x:v>0</x:v>
      </x:c>
      <x:c r="P1176" s="2" t="str">
        <x:f>IF(AND(E1176&gt;='Итоги'!$F$5,N1176&lt;='Итоги'!$B$5,O1176&gt;='Итоги'!$D$5),"Да","Нет")</x:f>
        <x:v>Нет</x:v>
      </x:c>
    </x:row>
    <x:row r="1177" ht="60" customHeight="1">
      <x:c r="A1177" s="14" t="str">
        <x:v>Строительство и ремонт (DIY)</x:v>
      </x:c>
      <x:c r="B1177" s="14" t="str">
        <x:v>Ремонт и строительство</x:v>
      </x:c>
      <x:c r="C1177" s="14" t="str">
        <x:v>Отделка пола</x:v>
      </x:c>
      <x:c r="D1177" s="14" t="str">
        <x:v>Подложка</x:v>
      </x:c>
      <x:c r="E1177" s="2" t="n">
        <x:v>28</x:v>
      </x:c>
      <x:c r="F1177" s="2" t="n">
        <x:v>0</x:v>
      </x:c>
      <x:c r="G1177" s="12" t="n">
        <x:v>9185030.6763</x:v>
      </x:c>
      <x:c r="H1177" s="12" t="n">
        <x:v>133984.54942036</x:v>
      </x:c>
      <x:c r="I1177" s="13" t="n">
        <x:v>0.0181</x:v>
      </x:c>
      <x:c r="J1177" s="2" t="n">
        <x:v>13</x:v>
      </x:c>
      <x:c r="K1177" s="2" t="n">
        <x:v>14</x:v>
      </x:c>
      <x:c r="L1177" s="12" t="n">
        <x:v>1755.55515</x:v>
      </x:c>
      <x:c r="M1177" s="13" t="n">
        <x:v>0.1947205529879042</x:v>
      </x:c>
      <x:c r="N1177" s="13" t="n">
        <x:f>H1177/G1177</x:f>
        <x:v>0.014587272938138178</x:v>
      </x:c>
      <x:c r="O1177" s="13" t="n">
        <x:f>F1177/E1177</x:f>
        <x:v>0</x:v>
      </x:c>
      <x:c r="P1177" s="2" t="str">
        <x:f>IF(AND(E1177&gt;='Итоги'!$F$5,N1177&lt;='Итоги'!$B$5,O1177&gt;='Итоги'!$D$5),"Да","Нет")</x:f>
        <x:v>Нет</x:v>
      </x:c>
    </x:row>
    <x:row r="1178" ht="60" customHeight="1">
      <x:c r="A1178" s="14" t="str">
        <x:v>Спорт и отдых</x:v>
      </x:c>
      <x:c r="B1178" s="14" t="str">
        <x:v>Колесный транспорт</x:v>
      </x:c>
      <x:c r="C1178" s="14" t="str">
        <x:v>Велосипед</x:v>
      </x:c>
      <x:c r="D1178" s="14" t="str">
        <x:v>Велосипед шоссейный</x:v>
      </x:c>
      <x:c r="E1178" s="2" t="n">
        <x:v>8</x:v>
      </x:c>
      <x:c r="F1178" s="2" t="n">
        <x:v>0</x:v>
      </x:c>
      <x:c r="G1178" s="12" t="n">
        <x:v>1818768</x:v>
      </x:c>
      <x:c r="H1178" s="12" t="n">
        <x:v>26669.8541</x:v>
      </x:c>
      <x:c r="I1178" s="13" t="n">
        <x:v>0.0059125</x:v>
      </x:c>
      <x:c r="J1178" s="2" t="n">
        <x:v>6</x:v>
      </x:c>
      <x:c r="K1178" s="2" t="n">
        <x:v>2</x:v>
      </x:c>
      <x:c r="L1178" s="12" t="n">
        <x:v>24379.39285</x:v>
      </x:c>
      <x:c r="M1178" s="13" t="n">
        <x:v>0.6334953111116975</x:v>
      </x:c>
      <x:c r="N1178" s="13" t="n">
        <x:f>H1178/G1178</x:f>
        <x:v>0.014663692180640961</x:v>
      </x:c>
      <x:c r="O1178" s="13" t="n">
        <x:f>F1178/E1178</x:f>
        <x:v>0</x:v>
      </x:c>
      <x:c r="P1178" s="2" t="str">
        <x:f>IF(AND(E1178&gt;='Итоги'!$F$5,N1178&lt;='Итоги'!$B$5,O1178&gt;='Итоги'!$D$5),"Да","Нет")</x:f>
        <x:v>Нет</x:v>
      </x:c>
    </x:row>
    <x:row r="1179" ht="60" customHeight="1">
      <x:c r="A1179" s="14" t="str">
        <x:v>Строительство и ремонт (DIY)</x:v>
      </x:c>
      <x:c r="B1179" s="14" t="str">
        <x:v>Сад и огород</x:v>
      </x:c>
      <x:c r="C1179" s="14" t="str">
        <x:v>Садовый инструмент</x:v>
      </x:c>
      <x:c r="D1179" s="14" t="str">
        <x:v>Дровокол ручной</x:v>
      </x:c>
      <x:c r="E1179" s="2" t="n">
        <x:v>9</x:v>
      </x:c>
      <x:c r="F1179" s="2" t="n">
        <x:v>0</x:v>
      </x:c>
      <x:c r="G1179" s="12" t="n">
        <x:v>1096709.4069</x:v>
      </x:c>
      <x:c r="H1179" s="12" t="n">
        <x:v>16083.8872</x:v>
      </x:c>
      <x:c r="I1179" s="13" t="n">
        <x:v>0.0169111111111111</x:v>
      </x:c>
      <x:c r="J1179" s="2" t="n">
        <x:v>8</x:v>
      </x:c>
      <x:c r="K1179" s="2" t="n">
        <x:v>5</x:v>
      </x:c>
      <x:c r="L1179" s="12" t="n">
        <x:v>3817.4477</x:v>
      </x:c>
      <x:c r="M1179" s="13" t="n">
        <x:v>0.2678111431816879</x:v>
      </x:c>
      <x:c r="N1179" s="13" t="n">
        <x:f>H1179/G1179</x:f>
        <x:v>0.014665586981207098</x:v>
      </x:c>
      <x:c r="O1179" s="13" t="n">
        <x:f>F1179/E1179</x:f>
        <x:v>0</x:v>
      </x:c>
      <x:c r="P1179" s="2" t="str">
        <x:f>IF(AND(E1179&gt;='Итоги'!$F$5,N1179&lt;='Итоги'!$B$5,O1179&gt;='Итоги'!$D$5),"Да","Нет")</x:f>
        <x:v>Нет</x:v>
      </x:c>
    </x:row>
    <x:row r="1180" ht="60" customHeight="1">
      <x:c r="A1180" s="14" t="str">
        <x:v>Обувь</x:v>
      </x:c>
      <x:c r="B1180" s="14" t="str">
        <x:v>Специальная обувь</x:v>
      </x:c>
      <x:c r="C1180" s="14" t="str">
        <x:v>Спецобувь женская</x:v>
      </x:c>
      <x:c r="D1180" s="14" t="str">
        <x:v>Рабочее сабо женское</x:v>
      </x:c>
      <x:c r="E1180" s="2" t="n">
        <x:v>2</x:v>
      </x:c>
      <x:c r="F1180" s="2" t="n">
        <x:v>0</x:v>
      </x:c>
      <x:c r="G1180" s="12" t="n">
        <x:v>173709.13</x:v>
      </x:c>
      <x:c r="H1180" s="12" t="n">
        <x:v>2556.400085</x:v>
      </x:c>
      <x:c r="I1180" s="13" t="n">
        <x:v>0.01475</x:v>
      </x:c>
      <x:c r="J1180" s="2" t="n">
        <x:v>1</x:v>
      </x:c>
      <x:c r="K1180" s="2" t="n">
        <x:v>2</x:v>
      </x:c>
      <x:c r="L1180" s="12" t="n">
        <x:v>1563.26825</x:v>
      </x:c>
      <x:c r="M1180" s="13" t="n">
        <x:v>0.5011337055225594</x:v>
      </x:c>
      <x:c r="N1180" s="13" t="n">
        <x:f>H1180/G1180</x:f>
        <x:v>0.014716555687084496</x:v>
      </x:c>
      <x:c r="O1180" s="13" t="n">
        <x:f>F1180/E1180</x:f>
        <x:v>0</x:v>
      </x:c>
      <x:c r="P1180" s="2" t="str">
        <x:f>IF(AND(E1180&gt;='Итоги'!$F$5,N1180&lt;='Итоги'!$B$5,O1180&gt;='Итоги'!$D$5),"Да","Нет")</x:f>
        <x:v>Нет</x:v>
      </x:c>
    </x:row>
    <x:row r="1181" ht="60" customHeight="1">
      <x:c r="A1181" s="14" t="str">
        <x:v>Одежда</x:v>
      </x:c>
      <x:c r="B1181" s="14" t="str">
        <x:v>Основная одежда мужская</x:v>
      </x:c>
      <x:c r="C1181" s="14" t="str">
        <x:v>Спортивная основная одежда мужская верха</x:v>
      </x:c>
      <x:c r="D1181" s="14" t="str">
        <x:v>Спортивная олимпийка мужская</x:v>
      </x:c>
      <x:c r="E1181" s="2" t="n">
        <x:v>39</x:v>
      </x:c>
      <x:c r="F1181" s="2" t="n">
        <x:v>0</x:v>
      </x:c>
      <x:c r="G1181" s="12" t="n">
        <x:v>2610838.8185</x:v>
      </x:c>
      <x:c r="H1181" s="12" t="n">
        <x:v>38625.7579057</x:v>
      </x:c>
      <x:c r="I1181" s="13" t="n">
        <x:v>0.0139025641025641</x:v>
      </x:c>
      <x:c r="J1181" s="2" t="n">
        <x:v>30</x:v>
      </x:c>
      <x:c r="K1181" s="2" t="n">
        <x:v>6</x:v>
      </x:c>
      <x:c r="L1181" s="12" t="n">
        <x:v>3290.875</x:v>
      </x:c>
      <x:c r="M1181" s="13" t="n">
        <x:v>0.7154502420693957</x:v>
      </x:c>
      <x:c r="N1181" s="13" t="n">
        <x:f>H1181/G1181</x:f>
        <x:v>0.014794386245525327</x:v>
      </x:c>
      <x:c r="O1181" s="13" t="n">
        <x:f>F1181/E1181</x:f>
        <x:v>0</x:v>
      </x:c>
      <x:c r="P1181" s="2" t="str">
        <x:f>IF(AND(E1181&gt;='Итоги'!$F$5,N1181&lt;='Итоги'!$B$5,O1181&gt;='Итоги'!$D$5),"Да","Нет")</x:f>
        <x:v>Нет</x:v>
      </x:c>
    </x:row>
    <x:row r="1182" ht="60" customHeight="1">
      <x:c r="A1182" s="14" t="str">
        <x:v>Спорт и отдых</x:v>
      </x:c>
      <x:c r="B1182" s="14" t="str">
        <x:v>Колесный транспорт</x:v>
      </x:c>
      <x:c r="C1182" s="14" t="str">
        <x:v>Запчасти для велосипеда</x:v>
      </x:c>
      <x:c r="D1182" s="14" t="str">
        <x:v>Колесо для велосипеда</x:v>
      </x:c>
      <x:c r="E1182" s="2" t="n">
        <x:v>18</x:v>
      </x:c>
      <x:c r="F1182" s="2" t="n">
        <x:v>0</x:v>
      </x:c>
      <x:c r="G1182" s="12" t="n">
        <x:v>1647714.3536</x:v>
      </x:c>
      <x:c r="H1182" s="12" t="n">
        <x:v>24448.18214712</x:v>
      </x:c>
      <x:c r="I1182" s="13" t="n">
        <x:v>0.02145</x:v>
      </x:c>
      <x:c r="J1182" s="2" t="n">
        <x:v>9</x:v>
      </x:c>
      <x:c r="K1182" s="2" t="n">
        <x:v>2</x:v>
      </x:c>
      <x:c r="L1182" s="12" t="n">
        <x:v>6765.66665</x:v>
      </x:c>
      <x:c r="M1182" s="13" t="n">
        <x:v>0.935581674233708</x:v>
      </x:c>
      <x:c r="N1182" s="13" t="n">
        <x:f>H1182/G1182</x:f>
        <x:v>0.014837633776573298</x:v>
      </x:c>
      <x:c r="O1182" s="13" t="n">
        <x:f>F1182/E1182</x:f>
        <x:v>0</x:v>
      </x:c>
      <x:c r="P1182" s="2" t="str">
        <x:f>IF(AND(E1182&gt;='Итоги'!$F$5,N1182&lt;='Итоги'!$B$5,O1182&gt;='Итоги'!$D$5),"Да","Нет")</x:f>
        <x:v>Нет</x:v>
      </x:c>
    </x:row>
    <x:row r="1183" ht="60" customHeight="1">
      <x:c r="A1183" s="14" t="str">
        <x:v>Строительство и ремонт (DIY)</x:v>
      </x:c>
      <x:c r="B1183" s="14" t="str">
        <x:v>Фильтры для воды</x:v>
      </x:c>
      <x:c r="C1183" s="14" t="str">
        <x:v>Фильтры для воды</x:v>
      </x:c>
      <x:c r="D1183" s="14" t="str">
        <x:v>Сопутствующее оборудование для фильтрации воды</x:v>
      </x:c>
      <x:c r="E1183" s="2" t="n">
        <x:v>45</x:v>
      </x:c>
      <x:c r="F1183" s="2" t="n">
        <x:v>0</x:v>
      </x:c>
      <x:c r="G1183" s="12" t="n">
        <x:v>10266468.777</x:v>
      </x:c>
      <x:c r="H1183" s="12" t="n">
        <x:v>153112.00389657</x:v>
      </x:c>
      <x:c r="I1183" s="13" t="n">
        <x:v>0.01606</x:v>
      </x:c>
      <x:c r="J1183" s="2" t="n">
        <x:v>26</x:v>
      </x:c>
      <x:c r="K1183" s="2" t="n">
        <x:v>14</x:v>
      </x:c>
      <x:c r="L1183" s="12" t="n">
        <x:v>2645.1946</x:v>
      </x:c>
      <x:c r="M1183" s="13" t="n">
        <x:v>0.5364138272292336</x:v>
      </x:c>
      <x:c r="N1183" s="13" t="n">
        <x:f>H1183/G1183</x:f>
        <x:v>0.014913794335944143</x:v>
      </x:c>
      <x:c r="O1183" s="13" t="n">
        <x:f>F1183/E1183</x:f>
        <x:v>0</x:v>
      </x:c>
      <x:c r="P1183" s="2" t="str">
        <x:f>IF(AND(E1183&gt;='Итоги'!$F$5,N1183&lt;='Итоги'!$B$5,O1183&gt;='Итоги'!$D$5),"Да","Нет")</x:f>
        <x:v>Нет</x:v>
      </x:c>
    </x:row>
    <x:row r="1184" ht="60" customHeight="1">
      <x:c r="A1184" s="14" t="str">
        <x:v>Товары для детей и спорта</x:v>
      </x:c>
      <x:c r="B1184" s="14" t="str">
        <x:v>КГТ и аксессуары для детей</x:v>
      </x:c>
      <x:c r="C1184" s="14" t="str">
        <x:v>Автокресла и аксессуары</x:v>
      </x:c>
      <x:c r="D1184" s="14" t="str">
        <x:v>Детское автокресло группы 1-2-3 (9-36 кг)</x:v>
      </x:c>
      <x:c r="E1184" s="2" t="n">
        <x:v>32</x:v>
      </x:c>
      <x:c r="F1184" s="2" t="n">
        <x:v>0</x:v>
      </x:c>
      <x:c r="G1184" s="12" t="n">
        <x:v>4036153.1993</x:v>
      </x:c>
      <x:c r="H1184" s="12" t="n">
        <x:v>60398.366891</x:v>
      </x:c>
      <x:c r="I1184" s="13" t="n">
        <x:v>0.01638125</x:v>
      </x:c>
      <x:c r="J1184" s="2" t="n">
        <x:v>20</x:v>
      </x:c>
      <x:c r="K1184" s="2" t="n">
        <x:v>1</x:v>
      </x:c>
      <x:c r="L1184" s="12" t="n">
        <x:v>6408.6435</x:v>
      </x:c>
      <x:c r="M1184" s="13" t="n">
        <x:v>1</x:v>
      </x:c>
      <x:c r="N1184" s="13" t="n">
        <x:f>H1184/G1184</x:f>
        <x:v>0.014964339535346437</x:v>
      </x:c>
      <x:c r="O1184" s="13" t="n">
        <x:f>F1184/E1184</x:f>
        <x:v>0</x:v>
      </x:c>
      <x:c r="P1184" s="2" t="str">
        <x:f>IF(AND(E1184&gt;='Итоги'!$F$5,N1184&lt;='Итоги'!$B$5,O1184&gt;='Итоги'!$D$5),"Да","Нет")</x:f>
        <x:v>Нет</x:v>
      </x:c>
    </x:row>
    <x:row r="1185" ht="60" customHeight="1">
      <x:c r="A1185" s="14" t="str">
        <x:v>Мелкая бытовая техника</x:v>
      </x:c>
      <x:c r="B1185" s="14" t="str">
        <x:v>Мелкая бытовая техника SDA</x:v>
      </x:c>
      <x:c r="C1185" s="14" t="str">
        <x:v>Электронная техника для дома SDA</x:v>
      </x:c>
      <x:c r="D1185" s="14" t="str">
        <x:v>Пылесос вертикальный Dyson</x:v>
      </x:c>
      <x:c r="E1185" s="2" t="n">
        <x:v>21</x:v>
      </x:c>
      <x:c r="F1185" s="2" t="n">
        <x:v>0</x:v>
      </x:c>
      <x:c r="G1185" s="12" t="n">
        <x:v>7990961.8014</x:v>
      </x:c>
      <x:c r="H1185" s="12" t="n">
        <x:v>119801.37271158</x:v>
      </x:c>
      <x:c r="I1185" s="13" t="n">
        <x:v>0.010695238095238</x:v>
      </x:c>
      <x:c r="J1185" s="2" t="n">
        <x:v>14</x:v>
      </x:c>
      <x:c r="K1185" s="2" t="n">
        <x:v>7</x:v>
      </x:c>
      <x:c r="L1185" s="12" t="n">
        <x:v>65744</x:v>
      </x:c>
      <x:c r="M1185" s="13" t="n">
        <x:v>0.4916057650671978</x:v>
      </x:c>
      <x:c r="N1185" s="13" t="n">
        <x:f>H1185/G1185</x:f>
        <x:v>0.014992109296604451</x:v>
      </x:c>
      <x:c r="O1185" s="13" t="n">
        <x:f>F1185/E1185</x:f>
        <x:v>0</x:v>
      </x:c>
      <x:c r="P1185" s="2" t="str">
        <x:f>IF(AND(E1185&gt;='Итоги'!$F$5,N1185&lt;='Итоги'!$B$5,O1185&gt;='Итоги'!$D$5),"Да","Нет")</x:f>
        <x:v>Нет</x:v>
      </x:c>
    </x:row>
    <x:row r="1186" ht="60" customHeight="1">
      <x:c r="A1186" s="14" t="str">
        <x:v>Аптека</x:v>
      </x:c>
      <x:c r="B1186" s="14" t="str">
        <x:v>Ортопедия и компрессионный трикотаж</x:v>
      </x:c>
      <x:c r="C1186" s="14" t="str">
        <x:v>Матрасы медицинские и аксессуары</x:v>
      </x:c>
      <x:c r="D1186" s="14" t="str">
        <x:v>Медицинские матрасы</x:v>
      </x:c>
      <x:c r="E1186" s="2" t="n">
        <x:v>4</x:v>
      </x:c>
      <x:c r="F1186" s="2" t="n">
        <x:v>0</x:v>
      </x:c>
      <x:c r="G1186" s="12" t="n">
        <x:v>456918.5523</x:v>
      </x:c>
      <x:c r="H1186" s="12" t="n">
        <x:v>6895.41008491</x:v>
      </x:c>
      <x:c r="I1186" s="13" t="n">
        <x:v>0.014775</x:v>
      </x:c>
      <x:c r="J1186" s="2" t="n">
        <x:v>1</x:v>
      </x:c>
      <x:c r="K1186" s="2" t="n">
        <x:v>1</x:v>
      </x:c>
      <x:c r="L1186" s="12" t="n">
        <x:v>11656.6212</x:v>
      </x:c>
      <x:c r="M1186" s="13" t="n">
        <x:v>1</x:v>
      </x:c>
      <x:c r="N1186" s="13" t="n">
        <x:f>H1186/G1186</x:f>
        <x:v>0.01509111427014823</x:v>
      </x:c>
      <x:c r="O1186" s="13" t="n">
        <x:f>F1186/E1186</x:f>
        <x:v>0</x:v>
      </x:c>
      <x:c r="P1186" s="2" t="str">
        <x:f>IF(AND(E1186&gt;='Итоги'!$F$5,N1186&lt;='Итоги'!$B$5,O1186&gt;='Итоги'!$D$5),"Да","Нет")</x:f>
        <x:v>Нет</x:v>
      </x:c>
    </x:row>
    <x:row r="1187" ht="60" customHeight="1">
      <x:c r="A1187" s="14" t="str">
        <x:v>Товары для дома</x:v>
      </x:c>
      <x:c r="B1187" s="14" t="str">
        <x:v>Интерьер и декор</x:v>
      </x:c>
      <x:c r="C1187" s="14" t="str">
        <x:v>Принадлежности для праздника</x:v>
      </x:c>
      <x:c r="D1187" s="14" t="str">
        <x:v>Гирлянды, растяжки бумажные для праздника</x:v>
      </x:c>
      <x:c r="E1187" s="2" t="n">
        <x:v>2</x:v>
      </x:c>
      <x:c r="F1187" s="2" t="n">
        <x:v>0</x:v>
      </x:c>
      <x:c r="G1187" s="12" t="n">
        <x:v>86928</x:v>
      </x:c>
      <x:c r="H1187" s="12" t="n">
        <x:v>1314.2124</x:v>
      </x:c>
      <x:c r="I1187" s="13" t="n">
        <x:v>0.0079</x:v>
      </x:c>
      <x:c r="J1187" s="2" t="n">
        <x:v>1</x:v>
      </x:c>
      <x:c r="K1187" s="2" t="n">
        <x:v>2</x:v>
      </x:c>
      <x:c r="L1187" s="12" t="n">
        <x:v>2376.0723</x:v>
      </x:c>
      <x:c r="M1187" s="13" t="n">
        <x:v>0.9568608503589178</x:v>
      </x:c>
      <x:c r="N1187" s="13" t="n">
        <x:f>H1187/G1187</x:f>
        <x:v>0.015118401435670899</x:v>
      </x:c>
      <x:c r="O1187" s="13" t="n">
        <x:f>F1187/E1187</x:f>
        <x:v>0</x:v>
      </x:c>
      <x:c r="P1187" s="2" t="str">
        <x:f>IF(AND(E1187&gt;='Итоги'!$F$5,N1187&lt;='Итоги'!$B$5,O1187&gt;='Итоги'!$D$5),"Да","Нет")</x:f>
        <x:v>Нет</x:v>
      </x:c>
    </x:row>
    <x:row r="1188" ht="60" customHeight="1">
      <x:c r="A1188" s="14" t="str">
        <x:v>Обувь</x:v>
      </x:c>
      <x:c r="B1188" s="14" t="str">
        <x:v>Обувь женская</x:v>
      </x:c>
      <x:c r="C1188" s="14" t="str">
        <x:v>Обувь женская демисезон</x:v>
      </x:c>
      <x:c r="D1188" s="14" t="str">
        <x:v>Женские Резиновые сапоги</x:v>
      </x:c>
      <x:c r="E1188" s="2" t="n">
        <x:v>72</x:v>
      </x:c>
      <x:c r="F1188" s="2" t="n">
        <x:v>0</x:v>
      </x:c>
      <x:c r="G1188" s="12" t="n">
        <x:v>8732644.9775</x:v>
      </x:c>
      <x:c r="H1188" s="12" t="n">
        <x:v>132169.08639525</x:v>
      </x:c>
      <x:c r="I1188" s="13" t="n">
        <x:v>0.0190625</x:v>
      </x:c>
      <x:c r="J1188" s="2" t="n">
        <x:v>51</x:v>
      </x:c>
      <x:c r="K1188" s="2" t="n">
        <x:v>5</x:v>
      </x:c>
      <x:c r="L1188" s="12" t="n">
        <x:v>1600.6475</x:v>
      </x:c>
      <x:c r="M1188" s="13" t="n">
        <x:v>0.5167704902955904</x:v>
      </x:c>
      <x:c r="N1188" s="13" t="n">
        <x:f>H1188/G1188</x:f>
        <x:v>0.015135057790141338</x:v>
      </x:c>
      <x:c r="O1188" s="13" t="n">
        <x:f>F1188/E1188</x:f>
        <x:v>0</x:v>
      </x:c>
      <x:c r="P1188" s="2" t="str">
        <x:f>IF(AND(E1188&gt;='Итоги'!$F$5,N1188&lt;='Итоги'!$B$5,O1188&gt;='Итоги'!$D$5),"Да","Нет")</x:f>
        <x:v>Нет</x:v>
      </x:c>
    </x:row>
    <x:row r="1189" ht="60" customHeight="1">
      <x:c r="A1189" s="14" t="str">
        <x:v>Обувь</x:v>
      </x:c>
      <x:c r="B1189" s="14" t="str">
        <x:v>Обувь мужская</x:v>
      </x:c>
      <x:c r="C1189" s="14" t="str">
        <x:v>Обувь мужская зимняя</x:v>
      </x:c>
      <x:c r="D1189" s="14" t="str">
        <x:v>Мужские Ботинки зимние</x:v>
      </x:c>
      <x:c r="E1189" s="2" t="n">
        <x:v>65</x:v>
      </x:c>
      <x:c r="F1189" s="2" t="n">
        <x:v>0</x:v>
      </x:c>
      <x:c r="G1189" s="12" t="n">
        <x:v>4453885.193</x:v>
      </x:c>
      <x:c r="H1189" s="12" t="n">
        <x:v>67515.849877</x:v>
      </x:c>
      <x:c r="I1189" s="13" t="n">
        <x:v>0.0237876923076923</x:v>
      </x:c>
      <x:c r="J1189" s="2" t="n">
        <x:v>51</x:v>
      </x:c>
      <x:c r="K1189" s="2" t="n">
        <x:v>9</x:v>
      </x:c>
      <x:c r="L1189" s="12" t="n">
        <x:v>4134.7917</x:v>
      </x:c>
      <x:c r="M1189" s="13" t="n">
        <x:v>0.8401793963798743</x:v>
      </x:c>
      <x:c r="N1189" s="13" t="n">
        <x:f>H1189/G1189</x:f>
        <x:v>0.015158866237304919</x:v>
      </x:c>
      <x:c r="O1189" s="13" t="n">
        <x:f>F1189/E1189</x:f>
        <x:v>0</x:v>
      </x:c>
      <x:c r="P1189" s="2" t="str">
        <x:f>IF(AND(E1189&gt;='Итоги'!$F$5,N1189&lt;='Итоги'!$B$5,O1189&gt;='Итоги'!$D$5),"Да","Нет")</x:f>
        <x:v>Нет</x:v>
      </x:c>
    </x:row>
    <x:row r="1190" ht="60" customHeight="1">
      <x:c r="A1190" s="14" t="str">
        <x:v>Автотовары</x:v>
      </x:c>
      <x:c r="B1190" s="14" t="str">
        <x:v>Авто и мото запчасти</x:v>
      </x:c>
      <x:c r="C1190" s="14" t="str">
        <x:v>Кузовные детали</x:v>
      </x:c>
      <x:c r="D1190" s="14" t="str">
        <x:v>Решетка радиатора авто</x:v>
      </x:c>
      <x:c r="E1190" s="2" t="n">
        <x:v>6</x:v>
      </x:c>
      <x:c r="F1190" s="2" t="n">
        <x:v>0</x:v>
      </x:c>
      <x:c r="G1190" s="12" t="n">
        <x:v>428258.6156</x:v>
      </x:c>
      <x:c r="H1190" s="12" t="n">
        <x:v>6494.5908</x:v>
      </x:c>
      <x:c r="I1190" s="13" t="n">
        <x:v>0.0231333333333333</x:v>
      </x:c>
      <x:c r="J1190" s="2" t="n">
        <x:v>5</x:v>
      </x:c>
      <x:c r="K1190" s="2" t="n">
        <x:v>4</x:v>
      </x:c>
      <x:c r="L1190" s="12" t="n">
        <x:v>1862.2649</x:v>
      </x:c>
      <x:c r="M1190" s="13" t="n">
        <x:v>0.4640894834574344</x:v>
      </x:c>
      <x:c r="N1190" s="13" t="n">
        <x:f>H1190/G1190</x:f>
        <x:v>0.015165114170326571</x:v>
      </x:c>
      <x:c r="O1190" s="13" t="n">
        <x:f>F1190/E1190</x:f>
        <x:v>0</x:v>
      </x:c>
      <x:c r="P1190" s="2" t="str">
        <x:f>IF(AND(E1190&gt;='Итоги'!$F$5,N1190&lt;='Итоги'!$B$5,O1190&gt;='Итоги'!$D$5),"Да","Нет")</x:f>
        <x:v>Нет</x:v>
      </x:c>
    </x:row>
    <x:row r="1191" ht="60" customHeight="1">
      <x:c r="A1191" s="14" t="str">
        <x:v>Спорт и отдых</x:v>
      </x:c>
      <x:c r="B1191" s="14" t="str">
        <x:v>Колесный транспорт</x:v>
      </x:c>
      <x:c r="C1191" s="14" t="str">
        <x:v>Скейтборд</x:v>
      </x:c>
      <x:c r="D1191" s="14" t="str">
        <x:v>Лонгборд</x:v>
      </x:c>
      <x:c r="E1191" s="2" t="n">
        <x:v>11</x:v>
      </x:c>
      <x:c r="F1191" s="2" t="n">
        <x:v>0</x:v>
      </x:c>
      <x:c r="G1191" s="12" t="n">
        <x:v>1416054.8414</x:v>
      </x:c>
      <x:c r="H1191" s="12" t="n">
        <x:v>21477.12679394</x:v>
      </x:c>
      <x:c r="I1191" s="13" t="n">
        <x:v>0.0100545454545454</x:v>
      </x:c>
      <x:c r="J1191" s="2" t="n">
        <x:v>7</x:v>
      </x:c>
      <x:c r="K1191" s="2" t="n">
        <x:v>3</x:v>
      </x:c>
      <x:c r="L1191" s="12" t="n">
        <x:v>5246.1875</x:v>
      </x:c>
      <x:c r="M1191" s="13" t="n">
        <x:v>0.7264755299893147</x:v>
      </x:c>
      <x:c r="N1191" s="13" t="n">
        <x:f>H1191/G1191</x:f>
        <x:v>0.015166875015028636</x:v>
      </x:c>
      <x:c r="O1191" s="13" t="n">
        <x:f>F1191/E1191</x:f>
        <x:v>0</x:v>
      </x:c>
      <x:c r="P1191" s="2" t="str">
        <x:f>IF(AND(E1191&gt;='Итоги'!$F$5,N1191&lt;='Итоги'!$B$5,O1191&gt;='Итоги'!$D$5),"Да","Нет")</x:f>
        <x:v>Нет</x:v>
      </x:c>
    </x:row>
    <x:row r="1192" ht="60" customHeight="1">
      <x:c r="A1192" s="14" t="str">
        <x:v>Одежда</x:v>
      </x:c>
      <x:c r="B1192" s="14" t="str">
        <x:v>Основная одежда женская</x:v>
      </x:c>
      <x:c r="C1192" s="14" t="str">
        <x:v>Пляжная одежда женская</x:v>
      </x:c>
      <x:c r="D1192" s="14" t="str">
        <x:v>Купальный верх</x:v>
      </x:c>
      <x:c r="E1192" s="2" t="n">
        <x:v>310</x:v>
      </x:c>
      <x:c r="F1192" s="2" t="n">
        <x:v>0</x:v>
      </x:c>
      <x:c r="G1192" s="12" t="n">
        <x:v>27834929.1191</x:v>
      </x:c>
      <x:c r="H1192" s="12" t="n">
        <x:v>422279.56593795</x:v>
      </x:c>
      <x:c r="I1192" s="13" t="n">
        <x:v>0.0156919354838709</x:v>
      </x:c>
      <x:c r="J1192" s="2" t="n">
        <x:v>223</x:v>
      </x:c>
      <x:c r="K1192" s="2" t="n">
        <x:v>17</x:v>
      </x:c>
      <x:c r="L1192" s="12" t="n">
        <x:v>1372.56095</x:v>
      </x:c>
      <x:c r="M1192" s="13" t="n">
        <x:v>0.7177551902796431</x:v>
      </x:c>
      <x:c r="N1192" s="13" t="n">
        <x:f>H1192/G1192</x:f>
        <x:v>0.01517085113208306</x:v>
      </x:c>
      <x:c r="O1192" s="13" t="n">
        <x:f>F1192/E1192</x:f>
        <x:v>0</x:v>
      </x:c>
      <x:c r="P1192" s="2" t="str">
        <x:f>IF(AND(E1192&gt;='Итоги'!$F$5,N1192&lt;='Итоги'!$B$5,O1192&gt;='Итоги'!$D$5),"Да","Нет")</x:f>
        <x:v>Нет</x:v>
      </x:c>
    </x:row>
    <x:row r="1193" ht="60" customHeight="1">
      <x:c r="A1193" s="14" t="str">
        <x:v>Игрушки</x:v>
      </x:c>
      <x:c r="B1193" s="14" t="str">
        <x:v>Игрушки</x:v>
      </x:c>
      <x:c r="C1193" s="14" t="str">
        <x:v>Конструктор</x:v>
      </x:c>
      <x:c r="D1193" s="14" t="str">
        <x:v>Керамический конструктор</x:v>
      </x:c>
      <x:c r="E1193" s="2" t="n">
        <x:v>2</x:v>
      </x:c>
      <x:c r="F1193" s="2" t="n">
        <x:v>0</x:v>
      </x:c>
      <x:c r="G1193" s="12" t="n">
        <x:v>89500.809</x:v>
      </x:c>
      <x:c r="H1193" s="12" t="n">
        <x:v>1359.883371</x:v>
      </x:c>
      <x:c r="I1193" s="13" t="n">
        <x:v>0.0095</x:v>
      </x:c>
      <x:c r="J1193" s="2" t="n">
        <x:v>1</x:v>
      </x:c>
      <x:c r="K1193" s="2" t="n">
        <x:v>1</x:v>
      </x:c>
      <x:c r="L1193" s="12" t="n">
        <x:v>5227.5501</x:v>
      </x:c>
      <x:c r="M1193" s="13" t="n">
        <x:v>1</x:v>
      </x:c>
      <x:c r="N1193" s="13" t="n">
        <x:f>H1193/G1193</x:f>
        <x:v>0.015194090267943834</x:v>
      </x:c>
      <x:c r="O1193" s="13" t="n">
        <x:f>F1193/E1193</x:f>
        <x:v>0</x:v>
      </x:c>
      <x:c r="P1193" s="2" t="str">
        <x:f>IF(AND(E1193&gt;='Итоги'!$F$5,N1193&lt;='Итоги'!$B$5,O1193&gt;='Итоги'!$D$5),"Да","Нет")</x:f>
        <x:v>Нет</x:v>
      </x:c>
    </x:row>
    <x:row r="1194" ht="60" customHeight="1">
      <x:c r="A1194" s="14" t="str">
        <x:v>Детская одежда</x:v>
      </x:c>
      <x:c r="B1194" s="14" t="str">
        <x:v>Детская обувь</x:v>
      </x:c>
      <x:c r="C1194" s="14" t="str">
        <x:v>Обувь для девочки</x:v>
      </x:c>
      <x:c r="D1194" s="14" t="str">
        <x:v>Шлепанцы, сланцы для девочки</x:v>
      </x:c>
      <x:c r="E1194" s="2" t="n">
        <x:v>5</x:v>
      </x:c>
      <x:c r="F1194" s="2" t="n">
        <x:v>0</x:v>
      </x:c>
      <x:c r="G1194" s="12" t="n">
        <x:v>162100.99</x:v>
      </x:c>
      <x:c r="H1194" s="12" t="n">
        <x:v>2467.768</x:v>
      </x:c>
      <x:c r="I1194" s="13" t="n">
        <x:v>0.00746</x:v>
      </x:c>
      <x:c r="J1194" s="2" t="n">
        <x:v>4</x:v>
      </x:c>
      <x:c r="K1194" s="2" t="n">
        <x:v>3</x:v>
      </x:c>
      <x:c r="L1194" s="12" t="n">
        <x:v>1450.2865</x:v>
      </x:c>
      <x:c r="M1194" s="13" t="n">
        <x:v>0.5520076712671527</x:v>
      </x:c>
      <x:c r="N1194" s="13" t="n">
        <x:f>H1194/G1194</x:f>
        <x:v>0.015223645457069696</x:v>
      </x:c>
      <x:c r="O1194" s="13" t="n">
        <x:f>F1194/E1194</x:f>
        <x:v>0</x:v>
      </x:c>
      <x:c r="P1194" s="2" t="str">
        <x:f>IF(AND(E1194&gt;='Итоги'!$F$5,N1194&lt;='Итоги'!$B$5,O1194&gt;='Итоги'!$D$5),"Да","Нет")</x:f>
        <x:v>Нет</x:v>
      </x:c>
    </x:row>
    <x:row r="1195" ht="60" customHeight="1">
      <x:c r="A1195" s="14" t="str">
        <x:v>Мелкая бытовая техника</x:v>
      </x:c>
      <x:c r="B1195" s="14" t="str">
        <x:v>Мелкая бытовая техника SDA</x:v>
      </x:c>
      <x:c r="C1195" s="14" t="str">
        <x:v>Электронная кухонная техника SDA</x:v>
      </x:c>
      <x:c r="D1195" s="14" t="str">
        <x:v>Йогуртница</x:v>
      </x:c>
      <x:c r="E1195" s="2" t="n">
        <x:v>15</x:v>
      </x:c>
      <x:c r="F1195" s="2" t="n">
        <x:v>0</x:v>
      </x:c>
      <x:c r="G1195" s="12" t="n">
        <x:v>2876202.2046</x:v>
      </x:c>
      <x:c r="H1195" s="12" t="n">
        <x:v>43787.92522667</x:v>
      </x:c>
      <x:c r="I1195" s="13" t="n">
        <x:v>0.0154333333333333</x:v>
      </x:c>
      <x:c r="J1195" s="2" t="n">
        <x:v>5</x:v>
      </x:c>
      <x:c r="K1195" s="2" t="n">
        <x:v>2</x:v>
      </x:c>
      <x:c r="L1195" s="12" t="n">
        <x:v>1913.9498</x:v>
      </x:c>
      <x:c r="M1195" s="13" t="n">
        <x:v>0.698300453767756</x:v>
      </x:c>
      <x:c r="N1195" s="13" t="n">
        <x:f>H1195/G1195</x:f>
        <x:v>0.01522421655773666</x:v>
      </x:c>
      <x:c r="O1195" s="13" t="n">
        <x:f>F1195/E1195</x:f>
        <x:v>0</x:v>
      </x:c>
      <x:c r="P1195" s="2" t="str">
        <x:f>IF(AND(E1195&gt;='Итоги'!$F$5,N1195&lt;='Итоги'!$B$5,O1195&gt;='Итоги'!$D$5),"Да","Нет")</x:f>
        <x:v>Нет</x:v>
      </x:c>
    </x:row>
    <x:row r="1196" ht="60" customHeight="1">
      <x:c r="A1196" s="14" t="str">
        <x:v>Автотовары</x:v>
      </x:c>
      <x:c r="B1196" s="14" t="str">
        <x:v>Авто и мото запчасти</x:v>
      </x:c>
      <x:c r="C1196" s="14" t="str">
        <x:v>Запчасти для спецтехники</x:v>
      </x:c>
      <x:c r="D1196" s="14" t="str">
        <x:v>Гидравлическая система для спецтехники</x:v>
      </x:c>
      <x:c r="E1196" s="2" t="n">
        <x:v>10</x:v>
      </x:c>
      <x:c r="F1196" s="2" t="n">
        <x:v>0</x:v>
      </x:c>
      <x:c r="G1196" s="12" t="n">
        <x:v>1441025.3362</x:v>
      </x:c>
      <x:c r="H1196" s="12" t="n">
        <x:v>21944.610500000003</x:v>
      </x:c>
      <x:c r="I1196" s="13" t="n">
        <x:v>0.01499</x:v>
      </x:c>
      <x:c r="J1196" s="2" t="n">
        <x:v>9</x:v>
      </x:c>
      <x:c r="K1196" s="2" t="n">
        <x:v>3</x:v>
      </x:c>
      <x:c r="L1196" s="12" t="n">
        <x:v>4666.8049</x:v>
      </x:c>
      <x:c r="M1196" s="13" t="n">
        <x:v>0.5235752108214736</x:v>
      </x:c>
      <x:c r="N1196" s="13" t="n">
        <x:f>H1196/G1196</x:f>
        <x:v>0.015228469582546124</x:v>
      </x:c>
      <x:c r="O1196" s="13" t="n">
        <x:f>F1196/E1196</x:f>
        <x:v>0</x:v>
      </x:c>
      <x:c r="P1196" s="2" t="str">
        <x:f>IF(AND(E1196&gt;='Итоги'!$F$5,N1196&lt;='Итоги'!$B$5,O1196&gt;='Итоги'!$D$5),"Да","Нет")</x:f>
        <x:v>Нет</x:v>
      </x:c>
    </x:row>
    <x:row r="1197" ht="60" customHeight="1">
      <x:c r="A1197" s="14" t="str">
        <x:v>Спорт и отдых</x:v>
      </x:c>
      <x:c r="B1197" s="14" t="str">
        <x:v>Колесный транспорт</x:v>
      </x:c>
      <x:c r="C1197" s="14" t="str">
        <x:v>Велосипед</x:v>
      </x:c>
      <x:c r="D1197" s="14" t="str">
        <x:v>Велосипед туристический</x:v>
      </x:c>
      <x:c r="E1197" s="2" t="n">
        <x:v>5</x:v>
      </x:c>
      <x:c r="F1197" s="2" t="n">
        <x:v>0</x:v>
      </x:c>
      <x:c r="G1197" s="12" t="n">
        <x:v>2510635</x:v>
      </x:c>
      <x:c r="H1197" s="12" t="n">
        <x:v>38341.114</x:v>
      </x:c>
      <x:c r="I1197" s="13" t="n">
        <x:v>0.0241199999999999</x:v>
      </x:c>
      <x:c r="J1197" s="2" t="n">
        <x:v>0</x:v>
      </x:c>
      <x:c r="K1197" s="2" t="n">
        <x:v>2</x:v>
      </x:c>
      <x:c r="L1197" s="12" t="n">
        <x:v>88928.5</x:v>
      </x:c>
      <x:c r="M1197" s="13" t="n">
        <x:v>0.954707076098278</x:v>
      </x:c>
      <x:c r="N1197" s="13" t="n">
        <x:f>H1197/G1197</x:f>
        <x:v>0.015271480721012812</x:v>
      </x:c>
      <x:c r="O1197" s="13" t="n">
        <x:f>F1197/E1197</x:f>
        <x:v>0</x:v>
      </x:c>
      <x:c r="P1197" s="2" t="str">
        <x:f>IF(AND(E1197&gt;='Итоги'!$F$5,N1197&lt;='Итоги'!$B$5,O1197&gt;='Итоги'!$D$5),"Да","Нет")</x:f>
        <x:v>Нет</x:v>
      </x:c>
    </x:row>
    <x:row r="1198" ht="60" customHeight="1">
      <x:c r="A1198" s="14" t="str">
        <x:v>Товары для животных</x:v>
      </x:c>
      <x:c r="B1198" s="14" t="str">
        <x:v>Зоокорм, витамины</x:v>
      </x:c>
      <x:c r="C1198" s="14" t="str">
        <x:v>Зоокорм, витамины для мелких животных</x:v>
      </x:c>
      <x:c r="D1198" s="14" t="str">
        <x:v>Корм для птиц</x:v>
      </x:c>
      <x:c r="E1198" s="2" t="n">
        <x:v>8</x:v>
      </x:c>
      <x:c r="F1198" s="2" t="n">
        <x:v>0</x:v>
      </x:c>
      <x:c r="G1198" s="12" t="n">
        <x:v>1677813.87</x:v>
      </x:c>
      <x:c r="H1198" s="12" t="n">
        <x:v>25664.619336</x:v>
      </x:c>
      <x:c r="I1198" s="13" t="n">
        <x:v>0.0329</x:v>
      </x:c>
      <x:c r="J1198" s="2" t="n">
        <x:v>3</x:v>
      </x:c>
      <x:c r="K1198" s="2" t="n">
        <x:v>5</x:v>
      </x:c>
      <x:c r="L1198" s="12" t="n">
        <x:v>1345.05855</x:v>
      </x:c>
      <x:c r="M1198" s="13" t="n">
        <x:v>0.606192151695587</x:v>
      </x:c>
      <x:c r="N1198" s="13" t="n">
        <x:f>H1198/G1198</x:f>
        <x:v>0.015296463925405504</x:v>
      </x:c>
      <x:c r="O1198" s="13" t="n">
        <x:f>F1198/E1198</x:f>
        <x:v>0</x:v>
      </x:c>
      <x:c r="P1198" s="2" t="str">
        <x:f>IF(AND(E1198&gt;='Итоги'!$F$5,N1198&lt;='Итоги'!$B$5,O1198&gt;='Итоги'!$D$5),"Да","Нет")</x:f>
        <x:v>Нет</x:v>
      </x:c>
    </x:row>
    <x:row r="1199" ht="60" customHeight="1">
      <x:c r="A1199" s="14" t="str">
        <x:v>Спорт и отдых</x:v>
      </x:c>
      <x:c r="B1199" s="14" t="str">
        <x:v>Туризм</x:v>
      </x:c>
      <x:c r="C1199" s="14" t="str">
        <x:v>Снаряжение для альпинизма и скалолазания</x:v>
      </x:c>
      <x:c r="D1199" s="14" t="str">
        <x:v>Оттяжки, петли, самостраховки</x:v>
      </x:c>
      <x:c r="E1199" s="2" t="n">
        <x:v>2</x:v>
      </x:c>
      <x:c r="F1199" s="2" t="n">
        <x:v>0</x:v>
      </x:c>
      <x:c r="G1199" s="12" t="n">
        <x:v>106326.1329</x:v>
      </x:c>
      <x:c r="H1199" s="12" t="n">
        <x:v>1626.4908</x:v>
      </x:c>
      <x:c r="I1199" s="13" t="n">
        <x:v>0.0099</x:v>
      </x:c>
      <x:c r="J1199" s="2" t="n">
        <x:v>1</x:v>
      </x:c>
      <x:c r="K1199" s="2" t="n">
        <x:v>2</x:v>
      </x:c>
      <x:c r="L1199" s="12" t="n">
        <x:v>5238.05155</x:v>
      </x:c>
      <x:c r="M1199" s="13" t="n">
        <x:v>0.7725852314901599</x:v>
      </x:c>
      <x:c r="N1199" s="13" t="n">
        <x:f>H1199/G1199</x:f>
        <x:v>0.015297187583505166</x:v>
      </x:c>
      <x:c r="O1199" s="13" t="n">
        <x:f>F1199/E1199</x:f>
        <x:v>0</x:v>
      </x:c>
      <x:c r="P1199" s="2" t="str">
        <x:f>IF(AND(E1199&gt;='Итоги'!$F$5,N1199&lt;='Итоги'!$B$5,O1199&gt;='Итоги'!$D$5),"Да","Нет")</x:f>
        <x:v>Нет</x:v>
      </x:c>
    </x:row>
    <x:row r="1200" ht="60" customHeight="1">
      <x:c r="A1200" s="14" t="str">
        <x:v>Спорт и отдых</x:v>
      </x:c>
      <x:c r="B1200" s="14" t="str">
        <x:v>Активный отдых</x:v>
      </x:c>
      <x:c r="C1200" s="14" t="str">
        <x:v>Бассейны</x:v>
      </x:c>
      <x:c r="D1200" s="14" t="str">
        <x:v>Тент, подстилка для бассейна</x:v>
      </x:c>
      <x:c r="E1200" s="2" t="n">
        <x:v>59</x:v>
      </x:c>
      <x:c r="F1200" s="2" t="n">
        <x:v>0</x:v>
      </x:c>
      <x:c r="G1200" s="12" t="n">
        <x:v>8734480.4112</x:v>
      </x:c>
      <x:c r="H1200" s="12" t="n">
        <x:v>134294.10534683</x:v>
      </x:c>
      <x:c r="I1200" s="13" t="n">
        <x:v>0.0095508474576271</x:v>
      </x:c>
      <x:c r="J1200" s="2" t="n">
        <x:v>33</x:v>
      </x:c>
      <x:c r="K1200" s="2" t="n">
        <x:v>20</x:v>
      </x:c>
      <x:c r="L1200" s="12" t="n">
        <x:v>1554.1429</x:v>
      </x:c>
      <x:c r="M1200" s="13" t="n">
        <x:v>0.4269721254189215</x:v>
      </x:c>
      <x:c r="N1200" s="13" t="n">
        <x:f>H1200/G1200</x:f>
        <x:v>0.015375168186836635</x:v>
      </x:c>
      <x:c r="O1200" s="13" t="n">
        <x:f>F1200/E1200</x:f>
        <x:v>0</x:v>
      </x:c>
      <x:c r="P1200" s="2" t="str">
        <x:f>IF(AND(E1200&gt;='Итоги'!$F$5,N1200&lt;='Итоги'!$B$5,O1200&gt;='Итоги'!$D$5),"Да","Нет")</x:f>
        <x:v>Нет</x:v>
      </x:c>
    </x:row>
    <x:row r="1201" ht="60" customHeight="1">
      <x:c r="A1201" s="14" t="str">
        <x:v>Аксессуары для электроники</x:v>
      </x:c>
      <x:c r="B1201" s="14" t="str">
        <x:v>Электронные товары хобби и отдых Access</x:v>
      </x:c>
      <x:c r="C1201" s="14" t="str">
        <x:v>Летающие электронные устройства Access</x:v>
      </x:c>
      <x:c r="D1201" s="14" t="str">
        <x:v>Запчасти для квадрокоптера</x:v>
      </x:c>
      <x:c r="E1201" s="2" t="n">
        <x:v>55</x:v>
      </x:c>
      <x:c r="F1201" s="2" t="n">
        <x:v>0</x:v>
      </x:c>
      <x:c r="G1201" s="12" t="n">
        <x:v>6455600.3111</x:v>
      </x:c>
      <x:c r="H1201" s="12" t="n">
        <x:v>99356.6536</x:v>
      </x:c>
      <x:c r="I1201" s="13" t="n">
        <x:v>0.0165745454545454</x:v>
      </x:c>
      <x:c r="J1201" s="2" t="n">
        <x:v>39</x:v>
      </x:c>
      <x:c r="K1201" s="2" t="n">
        <x:v>17</x:v>
      </x:c>
      <x:c r="L1201" s="12" t="n">
        <x:v>5511</x:v>
      </x:c>
      <x:c r="M1201" s="13" t="n">
        <x:v>0.3569718264988638</x:v>
      </x:c>
      <x:c r="N1201" s="13" t="n">
        <x:f>H1201/G1201</x:f>
        <x:v>0.015390769070563814</x:v>
      </x:c>
      <x:c r="O1201" s="13" t="n">
        <x:f>F1201/E1201</x:f>
        <x:v>0</x:v>
      </x:c>
      <x:c r="P1201" s="2" t="str">
        <x:f>IF(AND(E1201&gt;='Итоги'!$F$5,N1201&lt;='Итоги'!$B$5,O1201&gt;='Итоги'!$D$5),"Да","Нет")</x:f>
        <x:v>Нет</x:v>
      </x:c>
    </x:row>
    <x:row r="1202" ht="60" customHeight="1">
      <x:c r="A1202" s="14" t="str">
        <x:v>Аксессуары для электроники</x:v>
      </x:c>
      <x:c r="B1202" s="14" t="str">
        <x:v>Компьютеры Access</x:v>
      </x:c>
      <x:c r="C1202" s="14" t="str">
        <x:v>Аксессуар к компьютерной технике Access</x:v>
      </x:c>
      <x:c r="D1202" s="14" t="str">
        <x:v>Накладка для планшета</x:v>
      </x:c>
      <x:c r="E1202" s="2" t="n">
        <x:v>1</x:v>
      </x:c>
      <x:c r="F1202" s="2" t="n">
        <x:v>0</x:v>
      </x:c>
      <x:c r="G1202" s="12" t="n">
        <x:v>131669</x:v>
      </x:c>
      <x:c r="H1202" s="12" t="n">
        <x:v>2027.7026</x:v>
      </x:c>
      <x:c r="I1202" s="13" t="n">
        <x:v>0.0154</x:v>
      </x:c>
      <x:c r="J1202" s="2" t="n">
        <x:v>0</x:v>
      </x:c>
      <x:c r="K1202" s="2" t="n">
        <x:v>1</x:v>
      </x:c>
      <x:c r="L1202" s="12" t="n">
        <x:v>3134.9762</x:v>
      </x:c>
      <x:c r="M1202" s="13" t="n">
        <x:v>1</x:v>
      </x:c>
      <x:c r="N1202" s="13" t="n">
        <x:f>H1202/G1202</x:f>
        <x:v>0.0154</x:v>
      </x:c>
      <x:c r="O1202" s="13" t="n">
        <x:f>F1202/E1202</x:f>
        <x:v>0</x:v>
      </x:c>
      <x:c r="P1202" s="2" t="str">
        <x:f>IF(AND(E1202&gt;='Итоги'!$F$5,N1202&lt;='Итоги'!$B$5,O1202&gt;='Итоги'!$D$5),"Да","Нет")</x:f>
        <x:v>Нет</x:v>
      </x:c>
    </x:row>
    <x:row r="1203" ht="60" customHeight="1">
      <x:c r="A1203" s="14" t="str">
        <x:v>Бытовая химия и гигиена рта</x:v>
      </x:c>
      <x:c r="B1203" s="14" t="str">
        <x:v>Бытовая химия</x:v>
      </x:c>
      <x:c r="C1203" s="14" t="str">
        <x:v>Чистящее и моющее средство</x:v>
      </x:c>
      <x:c r="D1203" s="14" t="str">
        <x:v>Средство чистящее для кухни</x:v>
      </x:c>
      <x:c r="E1203" s="2" t="n">
        <x:v>12</x:v>
      </x:c>
      <x:c r="F1203" s="2" t="n">
        <x:v>0</x:v>
      </x:c>
      <x:c r="G1203" s="12" t="n">
        <x:v>4298392.6214</x:v>
      </x:c>
      <x:c r="H1203" s="12" t="n">
        <x:v>66413.28635121</x:v>
      </x:c>
      <x:c r="I1203" s="13" t="n">
        <x:v>0.02005</x:v>
      </x:c>
      <x:c r="J1203" s="2" t="n">
        <x:v>4</x:v>
      </x:c>
      <x:c r="K1203" s="2" t="n">
        <x:v>4</x:v>
      </x:c>
      <x:c r="L1203" s="12" t="n">
        <x:v>1195.7647</x:v>
      </x:c>
      <x:c r="M1203" s="13" t="n">
        <x:v>0.7538985222910005</x:v>
      </x:c>
      <x:c r="N1203" s="13" t="n">
        <x:f>H1203/G1203</x:f>
        <x:v>0.015450725934286336</x:v>
      </x:c>
      <x:c r="O1203" s="13" t="n">
        <x:f>F1203/E1203</x:f>
        <x:v>0</x:v>
      </x:c>
      <x:c r="P1203" s="2" t="str">
        <x:f>IF(AND(E1203&gt;='Итоги'!$F$5,N1203&lt;='Итоги'!$B$5,O1203&gt;='Итоги'!$D$5),"Да","Нет")</x:f>
        <x:v>Нет</x:v>
      </x:c>
    </x:row>
    <x:row r="1204" ht="60" customHeight="1">
      <x:c r="A1204" s="14" t="str">
        <x:v>Детская одежда</x:v>
      </x:c>
      <x:c r="B1204" s="14" t="str">
        <x:v>Детская обувь</x:v>
      </x:c>
      <x:c r="C1204" s="14" t="str">
        <x:v>Обувь для девочки</x:v>
      </x:c>
      <x:c r="D1204" s="14" t="str">
        <x:v>Слипоны для девочки</x:v>
      </x:c>
      <x:c r="E1204" s="2" t="n">
        <x:v>6</x:v>
      </x:c>
      <x:c r="F1204" s="2" t="n">
        <x:v>0</x:v>
      </x:c>
      <x:c r="G1204" s="12" t="n">
        <x:v>499221.32</x:v>
      </x:c>
      <x:c r="H1204" s="12" t="n">
        <x:v>7729.5856</x:v>
      </x:c>
      <x:c r="I1204" s="13" t="n">
        <x:v>0.0188166666666666</x:v>
      </x:c>
      <x:c r="J1204" s="2" t="n">
        <x:v>5</x:v>
      </x:c>
      <x:c r="K1204" s="2" t="n">
        <x:v>1</x:v>
      </x:c>
      <x:c r="L1204" s="12" t="n">
        <x:v>2835.6391</x:v>
      </x:c>
      <x:c r="M1204" s="13" t="n">
        <x:v>1</x:v>
      </x:c>
      <x:c r="N1204" s="13" t="n">
        <x:f>H1204/G1204</x:f>
        <x:v>0.015483284247555774</x:v>
      </x:c>
      <x:c r="O1204" s="13" t="n">
        <x:f>F1204/E1204</x:f>
        <x:v>0</x:v>
      </x:c>
      <x:c r="P1204" s="2" t="str">
        <x:f>IF(AND(E1204&gt;='Итоги'!$F$5,N1204&lt;='Итоги'!$B$5,O1204&gt;='Итоги'!$D$5),"Да","Нет")</x:f>
        <x:v>Нет</x:v>
      </x:c>
    </x:row>
    <x:row r="1205" ht="60" customHeight="1">
      <x:c r="A1205" s="14" t="str">
        <x:v>Спорт и отдых</x:v>
      </x:c>
      <x:c r="B1205" s="14" t="str">
        <x:v>Тренажеры и фитнес</x:v>
      </x:c>
      <x:c r="C1205" s="14" t="str">
        <x:v>Художественная гимнастика</x:v>
      </x:c>
      <x:c r="D1205" s="14" t="str">
        <x:v>Булава для гимнастики</x:v>
      </x:c>
      <x:c r="E1205" s="2" t="n">
        <x:v>1</x:v>
      </x:c>
      <x:c r="F1205" s="2" t="n">
        <x:v>0</x:v>
      </x:c>
      <x:c r="G1205" s="12" t="n">
        <x:v>45966</x:v>
      </x:c>
      <x:c r="H1205" s="12" t="n">
        <x:v>712.473</x:v>
      </x:c>
      <x:c r="I1205" s="13" t="n">
        <x:v>0.0155</x:v>
      </x:c>
      <x:c r="J1205" s="2" t="n">
        <x:v>0</x:v>
      </x:c>
      <x:c r="K1205" s="2" t="n">
        <x:v>1</x:v>
      </x:c>
      <x:c r="L1205" s="12" t="n">
        <x:v>7661</x:v>
      </x:c>
      <x:c r="M1205" s="13" t="n">
        <x:v>1</x:v>
      </x:c>
      <x:c r="N1205" s="13" t="n">
        <x:f>H1205/G1205</x:f>
        <x:v>0.0155</x:v>
      </x:c>
      <x:c r="O1205" s="13" t="n">
        <x:f>F1205/E1205</x:f>
        <x:v>0</x:v>
      </x:c>
      <x:c r="P1205" s="2" t="str">
        <x:f>IF(AND(E1205&gt;='Итоги'!$F$5,N1205&lt;='Итоги'!$B$5,O1205&gt;='Итоги'!$D$5),"Да","Нет")</x:f>
        <x:v>Нет</x:v>
      </x:c>
    </x:row>
    <x:row r="1206" ht="60" customHeight="1">
      <x:c r="A1206" s="14" t="str">
        <x:v>Товары для дома</x:v>
      </x:c>
      <x:c r="B1206" s="14" t="str">
        <x:v>Интерьер и декор</x:v>
      </x:c>
      <x:c r="C1206" s="14" t="str">
        <x:v>Принадлежности для праздника</x:v>
      </x:c>
      <x:c r="D1206" s="14" t="str">
        <x:v>Свадебные аксессуары, сувениры</x:v>
      </x:c>
      <x:c r="E1206" s="2" t="n">
        <x:v>11</x:v>
      </x:c>
      <x:c r="F1206" s="2" t="n">
        <x:v>0</x:v>
      </x:c>
      <x:c r="G1206" s="12" t="n">
        <x:v>952863.1362</x:v>
      </x:c>
      <x:c r="H1206" s="12" t="n">
        <x:v>14824.22958416</x:v>
      </x:c>
      <x:c r="I1206" s="13" t="n">
        <x:v>0.0106727272727272</x:v>
      </x:c>
      <x:c r="J1206" s="2" t="n">
        <x:v>8</x:v>
      </x:c>
      <x:c r="K1206" s="2" t="n">
        <x:v>9</x:v>
      </x:c>
      <x:c r="L1206" s="12" t="n">
        <x:v>1705.9149</x:v>
      </x:c>
      <x:c r="M1206" s="13" t="n">
        <x:v>0.4109014139862996</x:v>
      </x:c>
      <x:c r="N1206" s="13" t="n">
        <x:f>H1206/G1206</x:f>
        <x:v>0.015557564377271163</x:v>
      </x:c>
      <x:c r="O1206" s="13" t="n">
        <x:f>F1206/E1206</x:f>
        <x:v>0</x:v>
      </x:c>
      <x:c r="P1206" s="2" t="str">
        <x:f>IF(AND(E1206&gt;='Итоги'!$F$5,N1206&lt;='Итоги'!$B$5,O1206&gt;='Итоги'!$D$5),"Да","Нет")</x:f>
        <x:v>Нет</x:v>
      </x:c>
    </x:row>
    <x:row r="1207" ht="60" customHeight="1">
      <x:c r="A1207" s="14" t="str">
        <x:v>Спорт и отдых</x:v>
      </x:c>
      <x:c r="B1207" s="14" t="str">
        <x:v>Страйкбол и пневматика</x:v>
      </x:c>
      <x:c r="C1207" s="14" t="str">
        <x:v>Принадлежности для страйкбола и пневматики</x:v>
      </x:c>
      <x:c r="D1207" s="14" t="str">
        <x:v>Аксессуары для страйкбола и пневматики</x:v>
      </x:c>
      <x:c r="E1207" s="2" t="n">
        <x:v>24</x:v>
      </x:c>
      <x:c r="F1207" s="2" t="n">
        <x:v>0</x:v>
      </x:c>
      <x:c r="G1207" s="12" t="n">
        <x:v>4226821</x:v>
      </x:c>
      <x:c r="H1207" s="12" t="n">
        <x:v>66378.269606</x:v>
      </x:c>
      <x:c r="I1207" s="13" t="n">
        <x:v>0.0168</x:v>
      </x:c>
      <x:c r="J1207" s="2" t="n">
        <x:v>14</x:v>
      </x:c>
      <x:c r="K1207" s="2" t="n">
        <x:v>12</x:v>
      </x:c>
      <x:c r="L1207" s="12" t="n">
        <x:v>3257.0868</x:v>
      </x:c>
      <x:c r="M1207" s="13" t="n">
        <x:v>0.2575364464215541</x:v>
      </x:c>
      <x:c r="N1207" s="13" t="n">
        <x:f>H1207/G1207</x:f>
        <x:v>0.01570406449811809</x:v>
      </x:c>
      <x:c r="O1207" s="13" t="n">
        <x:f>F1207/E1207</x:f>
        <x:v>0</x:v>
      </x:c>
      <x:c r="P1207" s="2" t="str">
        <x:f>IF(AND(E1207&gt;='Итоги'!$F$5,N1207&lt;='Итоги'!$B$5,O1207&gt;='Итоги'!$D$5),"Да","Нет")</x:f>
        <x:v>Нет</x:v>
      </x:c>
    </x:row>
    <x:row r="1208" ht="60" customHeight="1">
      <x:c r="A1208" s="14" t="str">
        <x:v>Обувь</x:v>
      </x:c>
      <x:c r="B1208" s="14" t="str">
        <x:v>Обувь мужская</x:v>
      </x:c>
      <x:c r="C1208" s="14" t="str">
        <x:v>Обувь мужская летняя</x:v>
      </x:c>
      <x:c r="D1208" s="14" t="str">
        <x:v>Мужские Сланцы</x:v>
      </x:c>
      <x:c r="E1208" s="2" t="n">
        <x:v>76</x:v>
      </x:c>
      <x:c r="F1208" s="2" t="n">
        <x:v>0</x:v>
      </x:c>
      <x:c r="G1208" s="12" t="n">
        <x:v>5372107.9545</x:v>
      </x:c>
      <x:c r="H1208" s="12" t="n">
        <x:v>84476.81012708</x:v>
      </x:c>
      <x:c r="I1208" s="13" t="n">
        <x:v>0.0093552631578947</x:v>
      </x:c>
      <x:c r="J1208" s="2" t="n">
        <x:v>57</x:v>
      </x:c>
      <x:c r="K1208" s="2" t="n">
        <x:v>6</x:v>
      </x:c>
      <x:c r="L1208" s="12" t="n">
        <x:v>1714.9376499999998</x:v>
      </x:c>
      <x:c r="M1208" s="13" t="n">
        <x:v>0.4534266884863287</x:v>
      </x:c>
      <x:c r="N1208" s="13" t="n">
        <x:f>H1208/G1208</x:f>
        <x:v>0.015725076793424664</x:v>
      </x:c>
      <x:c r="O1208" s="13" t="n">
        <x:f>F1208/E1208</x:f>
        <x:v>0</x:v>
      </x:c>
      <x:c r="P1208" s="2" t="str">
        <x:f>IF(AND(E1208&gt;='Итоги'!$F$5,N1208&lt;='Итоги'!$B$5,O1208&gt;='Итоги'!$D$5),"Да","Нет")</x:f>
        <x:v>Нет</x:v>
      </x:c>
    </x:row>
    <x:row r="1209" ht="60" customHeight="1">
      <x:c r="A1209" s="14" t="str">
        <x:v>Одежда</x:v>
      </x:c>
      <x:c r="B1209" s="14" t="str">
        <x:v>Верхняя одежда</x:v>
      </x:c>
      <x:c r="C1209" s="14" t="str">
        <x:v>Верхняя одежда женская</x:v>
      </x:c>
      <x:c r="D1209" s="14" t="str">
        <x:v>Пальто женское</x:v>
      </x:c>
      <x:c r="E1209" s="2" t="n">
        <x:v>580</x:v>
      </x:c>
      <x:c r="F1209" s="2" t="n">
        <x:v>0</x:v>
      </x:c>
      <x:c r="G1209" s="12" t="n">
        <x:v>30610785.7625</x:v>
      </x:c>
      <x:c r="H1209" s="12" t="n">
        <x:v>483285.4911498</x:v>
      </x:c>
      <x:c r="I1209" s="13" t="n">
        <x:v>0.0080939655172413</x:v>
      </x:c>
      <x:c r="J1209" s="2" t="n">
        <x:v>478</x:v>
      </x:c>
      <x:c r="K1209" s="2" t="n">
        <x:v>49</x:v>
      </x:c>
      <x:c r="L1209" s="12" t="n">
        <x:v>5424.2773</x:v>
      </x:c>
      <x:c r="M1209" s="13" t="n">
        <x:v>0.346508586470004</x:v>
      </x:c>
      <x:c r="N1209" s="13" t="n">
        <x:f>H1209/G1209</x:f>
        <x:v>0.015788078584439768</x:v>
      </x:c>
      <x:c r="O1209" s="13" t="n">
        <x:f>F1209/E1209</x:f>
        <x:v>0</x:v>
      </x:c>
      <x:c r="P1209" s="2" t="str">
        <x:f>IF(AND(E1209&gt;='Итоги'!$F$5,N1209&lt;='Итоги'!$B$5,O1209&gt;='Итоги'!$D$5),"Да","Нет")</x:f>
        <x:v>Нет</x:v>
      </x:c>
    </x:row>
    <x:row r="1210" ht="60" customHeight="1">
      <x:c r="A1210" s="14" t="str">
        <x:v>Книги</x:v>
      </x:c>
      <x:c r="B1210" s="14" t="str">
        <x:v>Печатные книги: Нехудожественная литература</x:v>
      </x:c>
      <x:c r="C1210" s="14" t="str">
        <x:v>Печатная книга: Эзотерика и спиритизм</x:v>
      </x:c>
      <x:c r="D1210" s="14" t="str">
        <x:v>Печатная книга: Эзотерика и духовность</x:v>
      </x:c>
      <x:c r="E1210" s="2" t="n">
        <x:v>11</x:v>
      </x:c>
      <x:c r="F1210" s="2" t="n">
        <x:v>0</x:v>
      </x:c>
      <x:c r="G1210" s="12" t="n">
        <x:v>834006.9957</x:v>
      </x:c>
      <x:c r="H1210" s="12" t="n">
        <x:v>13190.730906009998</x:v>
      </x:c>
      <x:c r="I1210" s="13" t="n">
        <x:v>0.0173090909090909</x:v>
      </x:c>
      <x:c r="J1210" s="2" t="n">
        <x:v>7</x:v>
      </x:c>
      <x:c r="K1210" s="2" t="n">
        <x:v>5</x:v>
      </x:c>
      <x:c r="L1210" s="12" t="n">
        <x:v>1320.5739</x:v>
      </x:c>
      <x:c r="M1210" s="13" t="n">
        <x:v>0.4852292357096352</x:v>
      </x:c>
      <x:c r="N1210" s="13" t="n">
        <x:f>H1210/G1210</x:f>
        <x:v>0.015816091440502528</x:v>
      </x:c>
      <x:c r="O1210" s="13" t="n">
        <x:f>F1210/E1210</x:f>
        <x:v>0</x:v>
      </x:c>
      <x:c r="P1210" s="2" t="str">
        <x:f>IF(AND(E1210&gt;='Итоги'!$F$5,N1210&lt;='Итоги'!$B$5,O1210&gt;='Итоги'!$D$5),"Да","Нет")</x:f>
        <x:v>Нет</x:v>
      </x:c>
    </x:row>
    <x:row r="1211" ht="60" customHeight="1">
      <x:c r="A1211" s="14" t="str">
        <x:v>Бакалея и кондитерские изделия</x:v>
      </x:c>
      <x:c r="B1211" s="14" t="str">
        <x:v>Бакалея</x:v>
      </x:c>
      <x:c r="C1211" s="14" t="str">
        <x:v>Снэки, чипсы, готовые завтраки</x:v>
      </x:c>
      <x:c r="D1211" s="14" t="str">
        <x:v>Хлебцы (взрослые)</x:v>
      </x:c>
      <x:c r="E1211" s="2" t="n">
        <x:v>15</x:v>
      </x:c>
      <x:c r="F1211" s="2" t="n">
        <x:v>0</x:v>
      </x:c>
      <x:c r="G1211" s="12" t="n">
        <x:v>2128539.4335</x:v>
      </x:c>
      <x:c r="H1211" s="12" t="n">
        <x:v>33673.78587101</x:v>
      </x:c>
      <x:c r="I1211" s="13" t="n">
        <x:v>0.0156933333333333</x:v>
      </x:c>
      <x:c r="J1211" s="2" t="n">
        <x:v>6</x:v>
      </x:c>
      <x:c r="K1211" s="2" t="n">
        <x:v>4</x:v>
      </x:c>
      <x:c r="L1211" s="12" t="n">
        <x:v>1505.988</x:v>
      </x:c>
      <x:c r="M1211" s="13" t="n">
        <x:v>0.7529665065047056</x:v>
      </x:c>
      <x:c r="N1211" s="13" t="n">
        <x:f>H1211/G1211</x:f>
        <x:v>0.01582013719879247</x:v>
      </x:c>
      <x:c r="O1211" s="13" t="n">
        <x:f>F1211/E1211</x:f>
        <x:v>0</x:v>
      </x:c>
      <x:c r="P1211" s="2" t="str">
        <x:f>IF(AND(E1211&gt;='Итоги'!$F$5,N1211&lt;='Итоги'!$B$5,O1211&gt;='Итоги'!$D$5),"Да","Нет")</x:f>
        <x:v>Нет</x:v>
      </x:c>
    </x:row>
    <x:row r="1212" ht="60" customHeight="1">
      <x:c r="A1212" s="14" t="str">
        <x:v>Детская одежда</x:v>
      </x:c>
      <x:c r="B1212" s="14" t="str">
        <x:v>Детская обувь</x:v>
      </x:c>
      <x:c r="C1212" s="14" t="str">
        <x:v>Обувь для девочки</x:v>
      </x:c>
      <x:c r="D1212" s="14" t="str">
        <x:v>Аквасоки (тапочки для плавания) для девочки</x:v>
      </x:c>
      <x:c r="E1212" s="2" t="n">
        <x:v>16</x:v>
      </x:c>
      <x:c r="F1212" s="2" t="n">
        <x:v>0</x:v>
      </x:c>
      <x:c r="G1212" s="12" t="n">
        <x:v>417791.82</x:v>
      </x:c>
      <x:c r="H1212" s="12" t="n">
        <x:v>6614.567185</x:v>
      </x:c>
      <x:c r="I1212" s="13" t="n">
        <x:v>0.031475</x:v>
      </x:c>
      <x:c r="J1212" s="2" t="n">
        <x:v>8</x:v>
      </x:c>
      <x:c r="K1212" s="2" t="n">
        <x:v>4</x:v>
      </x:c>
      <x:c r="L1212" s="12" t="n">
        <x:v>1210.32555</x:v>
      </x:c>
      <x:c r="M1212" s="13" t="n">
        <x:v>0.4391784405927335</x:v>
      </x:c>
      <x:c r="N1212" s="13" t="n">
        <x:f>H1212/G1212</x:f>
        <x:v>0.015832208454919006</x:v>
      </x:c>
      <x:c r="O1212" s="13" t="n">
        <x:f>F1212/E1212</x:f>
        <x:v>0</x:v>
      </x:c>
      <x:c r="P1212" s="2" t="str">
        <x:f>IF(AND(E1212&gt;='Итоги'!$F$5,N1212&lt;='Итоги'!$B$5,O1212&gt;='Итоги'!$D$5),"Да","Нет")</x:f>
        <x:v>Нет</x:v>
      </x:c>
    </x:row>
    <x:row r="1213" ht="60" customHeight="1">
      <x:c r="A1213" s="14" t="str">
        <x:v>Книги</x:v>
      </x:c>
      <x:c r="B1213" s="14" t="str">
        <x:v>Печатные книги: Художественная литература</x:v>
      </x:c>
      <x:c r="C1213" s="14" t="str">
        <x:v>Книги: Проза</x:v>
      </x:c>
      <x:c r="D1213" s="14" t="str">
        <x:v>Печатная книга: Проза других жанров</x:v>
      </x:c>
      <x:c r="E1213" s="2" t="n">
        <x:v>31</x:v>
      </x:c>
      <x:c r="F1213" s="2" t="n">
        <x:v>0</x:v>
      </x:c>
      <x:c r="G1213" s="12" t="n">
        <x:v>1765613.7598</x:v>
      </x:c>
      <x:c r="H1213" s="12" t="n">
        <x:v>27983.07592036</x:v>
      </x:c>
      <x:c r="I1213" s="13" t="n">
        <x:v>0.0194483870967741</x:v>
      </x:c>
      <x:c r="J1213" s="2" t="n">
        <x:v>12</x:v>
      </x:c>
      <x:c r="K1213" s="2" t="n">
        <x:v>11</x:v>
      </x:c>
      <x:c r="L1213" s="12" t="n">
        <x:v>1181.5468</x:v>
      </x:c>
      <x:c r="M1213" s="13" t="n">
        <x:v>0.8078479679845549</x:v>
      </x:c>
      <x:c r="N1213" s="13" t="n">
        <x:f>H1213/G1213</x:f>
        <x:v>0.01584892265652131</x:v>
      </x:c>
      <x:c r="O1213" s="13" t="n">
        <x:f>F1213/E1213</x:f>
        <x:v>0</x:v>
      </x:c>
      <x:c r="P1213" s="2" t="str">
        <x:f>IF(AND(E1213&gt;='Итоги'!$F$5,N1213&lt;='Итоги'!$B$5,O1213&gt;='Итоги'!$D$5),"Да","Нет")</x:f>
        <x:v>Нет</x:v>
      </x:c>
    </x:row>
    <x:row r="1214" ht="60" customHeight="1">
      <x:c r="A1214" s="14" t="str">
        <x:v>Аптека</x:v>
      </x:c>
      <x:c r="B1214" s="14" t="str">
        <x:v>Средства реабилитации</x:v>
      </x:c>
      <x:c r="C1214" s="14" t="str">
        <x:v>Товары по уходу за стомой</x:v>
      </x:c>
      <x:c r="D1214" s="14" t="str">
        <x:v>Уход за стомой</x:v>
      </x:c>
      <x:c r="E1214" s="2" t="n">
        <x:v>2</x:v>
      </x:c>
      <x:c r="F1214" s="2" t="n">
        <x:v>0</x:v>
      </x:c>
      <x:c r="G1214" s="12" t="n">
        <x:v>145893.9</x:v>
      </x:c>
      <x:c r="H1214" s="12" t="n">
        <x:v>2312.368</x:v>
      </x:c>
      <x:c r="I1214" s="13" t="n">
        <x:v>0.0172</x:v>
      </x:c>
      <x:c r="J1214" s="2" t="n">
        <x:v>1</x:v>
      </x:c>
      <x:c r="K1214" s="2" t="n">
        <x:v>2</x:v>
      </x:c>
      <x:c r="L1214" s="12" t="n">
        <x:v>2137.9064</x:v>
      </x:c>
      <x:c r="M1214" s="13" t="n">
        <x:v>0.5392542114509242</x:v>
      </x:c>
      <x:c r="N1214" s="13" t="n">
        <x:f>H1214/G1214</x:f>
        <x:v>0.015849655126088207</x:v>
      </x:c>
      <x:c r="O1214" s="13" t="n">
        <x:f>F1214/E1214</x:f>
        <x:v>0</x:v>
      </x:c>
      <x:c r="P1214" s="2" t="str">
        <x:f>IF(AND(E1214&gt;='Итоги'!$F$5,N1214&lt;='Итоги'!$B$5,O1214&gt;='Итоги'!$D$5),"Да","Нет")</x:f>
        <x:v>Нет</x:v>
      </x:c>
    </x:row>
    <x:row r="1215" ht="60" customHeight="1">
      <x:c r="A1215" s="14" t="str">
        <x:v>Одежда</x:v>
      </x:c>
      <x:c r="B1215" s="14" t="str">
        <x:v>Основная одежда женская</x:v>
      </x:c>
      <x:c r="C1215" s="14" t="str">
        <x:v>Основная одежда для беременных и кормящих</x:v>
      </x:c>
      <x:c r="D1215" s="14" t="str">
        <x:v>Комбинезон для беременных и кормящих</x:v>
      </x:c>
      <x:c r="E1215" s="2" t="n">
        <x:v>75</x:v>
      </x:c>
      <x:c r="F1215" s="2" t="n">
        <x:v>0</x:v>
      </x:c>
      <x:c r="G1215" s="12" t="n">
        <x:v>9889641.5245</x:v>
      </x:c>
      <x:c r="H1215" s="12" t="n">
        <x:v>156928.84508762</x:v>
      </x:c>
      <x:c r="I1215" s="13" t="n">
        <x:v>0.0104746666666666</x:v>
      </x:c>
      <x:c r="J1215" s="2" t="n">
        <x:v>57</x:v>
      </x:c>
      <x:c r="K1215" s="2" t="n">
        <x:v>9</x:v>
      </x:c>
      <x:c r="L1215" s="12" t="n">
        <x:v>2741.5485</x:v>
      </x:c>
      <x:c r="M1215" s="13" t="n">
        <x:v>0.3846664938234284</x:v>
      </x:c>
      <x:c r="N1215" s="13" t="n">
        <x:f>H1215/G1215</x:f>
        <x:v>0.015868001352612626</x:v>
      </x:c>
      <x:c r="O1215" s="13" t="n">
        <x:f>F1215/E1215</x:f>
        <x:v>0</x:v>
      </x:c>
      <x:c r="P1215" s="2" t="str">
        <x:f>IF(AND(E1215&gt;='Итоги'!$F$5,N1215&lt;='Итоги'!$B$5,O1215&gt;='Итоги'!$D$5),"Да","Нет")</x:f>
        <x:v>Нет</x:v>
      </x:c>
    </x:row>
    <x:row r="1216" ht="60" customHeight="1">
      <x:c r="A1216" s="14" t="str">
        <x:v>Хобби и творчество</x:v>
      </x:c>
      <x:c r="B1216" s="14" t="str">
        <x:v>Взрослое творчество и хобби</x:v>
      </x:c>
      <x:c r="C1216" s="14" t="str">
        <x:v>Мыловарение, свечеварение</x:v>
      </x:c>
      <x:c r="D1216" s="14" t="str">
        <x:v>Аксессуары для мыловарения</x:v>
      </x:c>
      <x:c r="E1216" s="2" t="n">
        <x:v>2</x:v>
      </x:c>
      <x:c r="F1216" s="2" t="n">
        <x:v>0</x:v>
      </x:c>
      <x:c r="G1216" s="12" t="n">
        <x:v>193926.2765</x:v>
      </x:c>
      <x:c r="H1216" s="12" t="n">
        <x:v>3079.75112105</x:v>
      </x:c>
      <x:c r="I1216" s="13" t="n">
        <x:v>0.0158999999999999</x:v>
      </x:c>
      <x:c r="J1216" s="2" t="n">
        <x:v>0</x:v>
      </x:c>
      <x:c r="K1216" s="2" t="n">
        <x:v>1</x:v>
      </x:c>
      <x:c r="L1216" s="12" t="n">
        <x:v>1325.01295</x:v>
      </x:c>
      <x:c r="M1216" s="13" t="n">
        <x:v>1</x:v>
      </x:c>
      <x:c r="N1216" s="13" t="n">
        <x:f>H1216/G1216</x:f>
        <x:v>0.01588104086064892</x:v>
      </x:c>
      <x:c r="O1216" s="13" t="n">
        <x:f>F1216/E1216</x:f>
        <x:v>0</x:v>
      </x:c>
      <x:c r="P1216" s="2" t="str">
        <x:f>IF(AND(E1216&gt;='Итоги'!$F$5,N1216&lt;='Итоги'!$B$5,O1216&gt;='Итоги'!$D$5),"Да","Нет")</x:f>
        <x:v>Нет</x:v>
      </x:c>
    </x:row>
    <x:row r="1217" ht="60" customHeight="1">
      <x:c r="A1217" s="14" t="str">
        <x:v>Аудио и видеотехника</x:v>
      </x:c>
      <x:c r="B1217" s="14" t="str">
        <x:v>Система безопасности TV&amp;Audio</x:v>
      </x:c>
      <x:c r="C1217" s="14" t="str">
        <x:v>Безопасность дома TV&amp;Audio</x:v>
      </x:c>
      <x:c r="D1217" s="14" t="str">
        <x:v>Вызывная панель, звонок</x:v>
      </x:c>
      <x:c r="E1217" s="2" t="n">
        <x:v>13</x:v>
      </x:c>
      <x:c r="F1217" s="2" t="n">
        <x:v>0</x:v>
      </x:c>
      <x:c r="G1217" s="12" t="n">
        <x:v>1251483.8905</x:v>
      </x:c>
      <x:c r="H1217" s="12" t="n">
        <x:v>19876.4447</x:v>
      </x:c>
      <x:c r="I1217" s="13" t="n">
        <x:v>0.0189153846153846</x:v>
      </x:c>
      <x:c r="J1217" s="2" t="n">
        <x:v>9</x:v>
      </x:c>
      <x:c r="K1217" s="2" t="n">
        <x:v>7</x:v>
      </x:c>
      <x:c r="L1217" s="12" t="n">
        <x:v>3425.1622</x:v>
      </x:c>
      <x:c r="M1217" s="13" t="n">
        <x:v>0.2929370702914373</x:v>
      </x:c>
      <x:c r="N1217" s="13" t="n">
        <x:f>H1217/G1217</x:f>
        <x:v>0.01588230168273189</x:v>
      </x:c>
      <x:c r="O1217" s="13" t="n">
        <x:f>F1217/E1217</x:f>
        <x:v>0</x:v>
      </x:c>
      <x:c r="P1217" s="2" t="str">
        <x:f>IF(AND(E1217&gt;='Итоги'!$F$5,N1217&lt;='Итоги'!$B$5,O1217&gt;='Итоги'!$D$5),"Да","Нет")</x:f>
        <x:v>Нет</x:v>
      </x:c>
    </x:row>
    <x:row r="1218" ht="60" customHeight="1">
      <x:c r="A1218" s="14" t="str">
        <x:v>Спорт и отдых</x:v>
      </x:c>
      <x:c r="B1218" s="14" t="str">
        <x:v>Тренажеры и фитнес</x:v>
      </x:c>
      <x:c r="C1218" s="14" t="str">
        <x:v>Кардиотренажеры</x:v>
      </x:c>
      <x:c r="D1218" s="14" t="str">
        <x:v>Аксессуары для кардиотренажеров</x:v>
      </x:c>
      <x:c r="E1218" s="2" t="n">
        <x:v>1</x:v>
      </x:c>
      <x:c r="F1218" s="2" t="n">
        <x:v>0</x:v>
      </x:c>
      <x:c r="G1218" s="12" t="n">
        <x:v>45242.5492</x:v>
      </x:c>
      <x:c r="H1218" s="12" t="n">
        <x:v>719.35653228</x:v>
      </x:c>
      <x:c r="I1218" s="13" t="n">
        <x:v>0.0159</x:v>
      </x:c>
      <x:c r="J1218" s="2" t="n">
        <x:v>0</x:v>
      </x:c>
      <x:c r="K1218" s="2" t="n">
        <x:v>1</x:v>
      </x:c>
      <x:c r="L1218" s="12" t="n">
        <x:v>904.851</x:v>
      </x:c>
      <x:c r="M1218" s="13" t="n">
        <x:v>1</x:v>
      </x:c>
      <x:c r="N1218" s="13" t="n">
        <x:f>H1218/G1218</x:f>
        <x:v>0.0159</x:v>
      </x:c>
      <x:c r="O1218" s="13" t="n">
        <x:f>F1218/E1218</x:f>
        <x:v>0</x:v>
      </x:c>
      <x:c r="P1218" s="2" t="str">
        <x:f>IF(AND(E1218&gt;='Итоги'!$F$5,N1218&lt;='Итоги'!$B$5,O1218&gt;='Итоги'!$D$5),"Да","Нет")</x:f>
        <x:v>Нет</x:v>
      </x:c>
    </x:row>
    <x:row r="1219" ht="60" customHeight="1">
      <x:c r="A1219" s="14" t="str">
        <x:v>Детская одежда</x:v>
      </x:c>
      <x:c r="B1219" s="14" t="str">
        <x:v>Детская обувь</x:v>
      </x:c>
      <x:c r="C1219" s="14" t="str">
        <x:v>Обувь спортивная для девочки</x:v>
      </x:c>
      <x:c r="D1219" s="14" t="str">
        <x:v>Балетки спортивные, гимнастические тапочки для девочки</x:v>
      </x:c>
      <x:c r="E1219" s="2" t="n">
        <x:v>5</x:v>
      </x:c>
      <x:c r="F1219" s="2" t="n">
        <x:v>0</x:v>
      </x:c>
      <x:c r="G1219" s="12" t="n">
        <x:v>409368</x:v>
      </x:c>
      <x:c r="H1219" s="12" t="n">
        <x:v>6523.6785</x:v>
      </x:c>
      <x:c r="I1219" s="13" t="n">
        <x:v>0.01532</x:v>
      </x:c>
      <x:c r="J1219" s="2" t="n">
        <x:v>0</x:v>
      </x:c>
      <x:c r="K1219" s="2" t="n">
        <x:v>1</x:v>
      </x:c>
      <x:c r="L1219" s="12" t="n">
        <x:v>3521.56</x:v>
      </x:c>
      <x:c r="M1219" s="13" t="n">
        <x:v>1</x:v>
      </x:c>
      <x:c r="N1219" s="13" t="n">
        <x:f>H1219/G1219</x:f>
        <x:v>0.01593597569912646</x:v>
      </x:c>
      <x:c r="O1219" s="13" t="n">
        <x:f>F1219/E1219</x:f>
        <x:v>0</x:v>
      </x:c>
      <x:c r="P1219" s="2" t="str">
        <x:f>IF(AND(E1219&gt;='Итоги'!$F$5,N1219&lt;='Итоги'!$B$5,O1219&gt;='Итоги'!$D$5),"Да","Нет")</x:f>
        <x:v>Нет</x:v>
      </x:c>
    </x:row>
    <x:row r="1220" ht="60" customHeight="1">
      <x:c r="A1220" s="14" t="str">
        <x:v>Мелкая бытовая техника</x:v>
      </x:c>
      <x:c r="B1220" s="14" t="str">
        <x:v>SDA Климатическая техника</x:v>
      </x:c>
      <x:c r="C1220" s="14" t="str">
        <x:v>Климатическая техника SDA</x:v>
      </x:c>
      <x:c r="D1220" s="14" t="str">
        <x:v>Водонагреватель газовый</x:v>
      </x:c>
      <x:c r="E1220" s="2" t="n">
        <x:v>47</x:v>
      </x:c>
      <x:c r="F1220" s="2" t="n">
        <x:v>0</x:v>
      </x:c>
      <x:c r="G1220" s="12" t="n">
        <x:v>9808330.5378</x:v>
      </x:c>
      <x:c r="H1220" s="12" t="n">
        <x:v>158031.48726177998</x:v>
      </x:c>
      <x:c r="I1220" s="13" t="n">
        <x:v>0.0130553191489361</x:v>
      </x:c>
      <x:c r="J1220" s="2" t="n">
        <x:v>11</x:v>
      </x:c>
      <x:c r="K1220" s="2" t="n">
        <x:v>7</x:v>
      </x:c>
      <x:c r="L1220" s="12" t="n">
        <x:v>10720.1333</x:v>
      </x:c>
      <x:c r="M1220" s="13" t="n">
        <x:v>0.852710020422697</x:v>
      </x:c>
      <x:c r="N1220" s="13" t="n">
        <x:f>H1220/G1220</x:f>
        <x:v>0.016111965910278785</x:v>
      </x:c>
      <x:c r="O1220" s="13" t="n">
        <x:f>F1220/E1220</x:f>
        <x:v>0</x:v>
      </x:c>
      <x:c r="P1220" s="2" t="str">
        <x:f>IF(AND(E1220&gt;='Итоги'!$F$5,N1220&lt;='Итоги'!$B$5,O1220&gt;='Итоги'!$D$5),"Да","Нет")</x:f>
        <x:v>Нет</x:v>
      </x:c>
    </x:row>
    <x:row r="1221" ht="60" customHeight="1">
      <x:c r="A1221" s="14" t="str">
        <x:v>Напитки</x:v>
      </x:c>
      <x:c r="B1221" s="14" t="str">
        <x:v>Напитки холодные</x:v>
      </x:c>
      <x:c r="C1221" s="14" t="str">
        <x:v>Газированные напитки</x:v>
      </x:c>
      <x:c r="D1221" s="14" t="str">
        <x:v>Тоник питьевой</x:v>
      </x:c>
      <x:c r="E1221" s="2" t="n">
        <x:v>10</x:v>
      </x:c>
      <x:c r="F1221" s="2" t="n">
        <x:v>0</x:v>
      </x:c>
      <x:c r="G1221" s="12" t="n">
        <x:v>1383843.5478</x:v>
      </x:c>
      <x:c r="H1221" s="12" t="n">
        <x:v>22399.609819</x:v>
      </x:c>
      <x:c r="I1221" s="13" t="n">
        <x:v>0.0303099999999999</x:v>
      </x:c>
      <x:c r="J1221" s="2" t="n">
        <x:v>7</x:v>
      </x:c>
      <x:c r="K1221" s="2" t="n">
        <x:v>4</x:v>
      </x:c>
      <x:c r="L1221" s="12" t="n">
        <x:v>1128.9393</x:v>
      </x:c>
      <x:c r="M1221" s="13" t="n">
        <x:v>0.5627865246314371</x:v>
      </x:c>
      <x:c r="N1221" s="13" t="n">
        <x:f>H1221/G1221</x:f>
        <x:v>0.016186518956286887</x:v>
      </x:c>
      <x:c r="O1221" s="13" t="n">
        <x:f>F1221/E1221</x:f>
        <x:v>0</x:v>
      </x:c>
      <x:c r="P1221" s="2" t="str">
        <x:f>IF(AND(E1221&gt;='Итоги'!$F$5,N1221&lt;='Итоги'!$B$5,O1221&gt;='Итоги'!$D$5),"Да","Нет")</x:f>
        <x:v>Нет</x:v>
      </x:c>
    </x:row>
    <x:row r="1222" ht="60" customHeight="1">
      <x:c r="A1222" s="14" t="str">
        <x:v>Детская одежда</x:v>
      </x:c>
      <x:c r="B1222" s="14" t="str">
        <x:v>Детская одежда</x:v>
      </x:c>
      <x:c r="C1222" s="14" t="str">
        <x:v>Верхняя одежда для девочки</x:v>
      </x:c>
      <x:c r="D1222" s="14" t="str">
        <x:v>Брюки утепленные для девочки</x:v>
      </x:c>
      <x:c r="E1222" s="2" t="n">
        <x:v>3</x:v>
      </x:c>
      <x:c r="F1222" s="2" t="n">
        <x:v>0</x:v>
      </x:c>
      <x:c r="G1222" s="12" t="n">
        <x:v>24597.25</x:v>
      </x:c>
      <x:c r="H1222" s="12" t="n">
        <x:v>398.772</x:v>
      </x:c>
      <x:c r="I1222" s="13" t="n">
        <x:v>0.0335666666666666</x:v>
      </x:c>
      <x:c r="J1222" s="2" t="n">
        <x:v>2</x:v>
      </x:c>
      <x:c r="K1222" s="2" t="n">
        <x:v>2</x:v>
      </x:c>
      <x:c r="L1222" s="12" t="n">
        <x:v>1320</x:v>
      </x:c>
      <x:c r="M1222" s="13" t="n">
        <x:v>0.5418593541960992</x:v>
      </x:c>
      <x:c r="N1222" s="13" t="n">
        <x:f>H1222/G1222</x:f>
        <x:v>0.0162120562257976</x:v>
      </x:c>
      <x:c r="O1222" s="13" t="n">
        <x:f>F1222/E1222</x:f>
        <x:v>0</x:v>
      </x:c>
      <x:c r="P1222" s="2" t="str">
        <x:f>IF(AND(E1222&gt;='Итоги'!$F$5,N1222&lt;='Итоги'!$B$5,O1222&gt;='Итоги'!$D$5),"Да","Нет")</x:f>
        <x:v>Нет</x:v>
      </x:c>
    </x:row>
    <x:row r="1223" ht="60" customHeight="1">
      <x:c r="A1223" s="14" t="str">
        <x:v>Обувь</x:v>
      </x:c>
      <x:c r="B1223" s="14" t="str">
        <x:v>Обувь женская</x:v>
      </x:c>
      <x:c r="C1223" s="14" t="str">
        <x:v>Обувь женская летняя</x:v>
      </x:c>
      <x:c r="D1223" s="14" t="str">
        <x:v>Женские Шлепанцы</x:v>
      </x:c>
      <x:c r="E1223" s="2" t="n">
        <x:v>756</x:v>
      </x:c>
      <x:c r="F1223" s="2" t="n">
        <x:v>0</x:v>
      </x:c>
      <x:c r="G1223" s="12" t="n">
        <x:v>61224370.5164</x:v>
      </x:c>
      <x:c r="H1223" s="12" t="n">
        <x:v>992613.20490287</x:v>
      </x:c>
      <x:c r="I1223" s="13" t="n">
        <x:v>0.0124853174603174</x:v>
      </x:c>
      <x:c r="J1223" s="2" t="n">
        <x:v>618</x:v>
      </x:c>
      <x:c r="K1223" s="2" t="n">
        <x:v>41</x:v>
      </x:c>
      <x:c r="L1223" s="12" t="n">
        <x:v>1982.4463</x:v>
      </x:c>
      <x:c r="M1223" s="13" t="n">
        <x:v>0.4401640174508827</x:v>
      </x:c>
      <x:c r="N1223" s="13" t="n">
        <x:f>H1223/G1223</x:f>
        <x:v>0.01621271393287713</x:v>
      </x:c>
      <x:c r="O1223" s="13" t="n">
        <x:f>F1223/E1223</x:f>
        <x:v>0</x:v>
      </x:c>
      <x:c r="P1223" s="2" t="str">
        <x:f>IF(AND(E1223&gt;='Итоги'!$F$5,N1223&lt;='Итоги'!$B$5,O1223&gt;='Итоги'!$D$5),"Да","Нет")</x:f>
        <x:v>Нет</x:v>
      </x:c>
    </x:row>
    <x:row r="1224" ht="60" customHeight="1">
      <x:c r="A1224" s="14" t="str">
        <x:v>Строительство и ремонт (DIY)</x:v>
      </x:c>
      <x:c r="B1224" s="14" t="str">
        <x:v>Инструменты</x:v>
      </x:c>
      <x:c r="C1224" s="14" t="str">
        <x:v>Техника для строительства, ремонта</x:v>
      </x:c>
      <x:c r="D1224" s="14" t="str">
        <x:v>Бетоносмеситель</x:v>
      </x:c>
      <x:c r="E1224" s="2" t="n">
        <x:v>18</x:v>
      </x:c>
      <x:c r="F1224" s="2" t="n">
        <x:v>0</x:v>
      </x:c>
      <x:c r="G1224" s="12" t="n">
        <x:v>2973515.28</x:v>
      </x:c>
      <x:c r="H1224" s="12" t="n">
        <x:v>48473.31976</x:v>
      </x:c>
      <x:c r="I1224" s="13" t="n">
        <x:v>0.0171611111111111</x:v>
      </x:c>
      <x:c r="J1224" s="2" t="n">
        <x:v>10</x:v>
      </x:c>
      <x:c r="K1224" s="2" t="n">
        <x:v>3</x:v>
      </x:c>
      <x:c r="L1224" s="12" t="n">
        <x:v>16127.6875</x:v>
      </x:c>
      <x:c r="M1224" s="13" t="n">
        <x:v>0.838035007508016</x:v>
      </x:c>
      <x:c r="N1224" s="13" t="n">
        <x:f>H1224/G1224</x:f>
        <x:v>0.01630168847156555</x:v>
      </x:c>
      <x:c r="O1224" s="13" t="n">
        <x:f>F1224/E1224</x:f>
        <x:v>0</x:v>
      </x:c>
      <x:c r="P1224" s="2" t="str">
        <x:f>IF(AND(E1224&gt;='Итоги'!$F$5,N1224&lt;='Итоги'!$B$5,O1224&gt;='Итоги'!$D$5),"Да","Нет")</x:f>
        <x:v>Нет</x:v>
      </x:c>
    </x:row>
    <x:row r="1225" ht="60" customHeight="1">
      <x:c r="A1225" s="14" t="str">
        <x:v>Книги</x:v>
      </x:c>
      <x:c r="B1225" s="14" t="str">
        <x:v>Печатные книги: Нехудожественная литература</x:v>
      </x:c>
      <x:c r="C1225" s="14" t="str">
        <x:v>Печатная книга: Научная и научно-популярная литература</x:v>
      </x:c>
      <x:c r="D1225" s="14" t="str">
        <x:v>Печатная книга: Научная и научно-популярная литература</x:v>
      </x:c>
      <x:c r="E1225" s="2" t="n">
        <x:v>47</x:v>
      </x:c>
      <x:c r="F1225" s="2" t="n">
        <x:v>0</x:v>
      </x:c>
      <x:c r="G1225" s="12" t="n">
        <x:v>2932369.5499</x:v>
      </x:c>
      <x:c r="H1225" s="12" t="n">
        <x:v>47983.54482189</x:v>
      </x:c>
      <x:c r="I1225" s="13" t="n">
        <x:v>0.0128404255319148</x:v>
      </x:c>
      <x:c r="J1225" s="2" t="n">
        <x:v>29</x:v>
      </x:c>
      <x:c r="K1225" s="2" t="n">
        <x:v>19</x:v>
      </x:c>
      <x:c r="L1225" s="12" t="n">
        <x:v>1319.619</x:v>
      </x:c>
      <x:c r="M1225" s="13" t="n">
        <x:v>0.5717749682188513</x:v>
      </x:c>
      <x:c r="N1225" s="13" t="n">
        <x:f>H1225/G1225</x:f>
        <x:v>0.016363403044996953</x:v>
      </x:c>
      <x:c r="O1225" s="13" t="n">
        <x:f>F1225/E1225</x:f>
        <x:v>0</x:v>
      </x:c>
      <x:c r="P1225" s="2" t="str">
        <x:f>IF(AND(E1225&gt;='Итоги'!$F$5,N1225&lt;='Итоги'!$B$5,O1225&gt;='Итоги'!$D$5),"Да","Нет")</x:f>
        <x:v>Нет</x:v>
      </x:c>
    </x:row>
    <x:row r="1226" ht="60" customHeight="1">
      <x:c r="A1226" s="14" t="str">
        <x:v>Спорт и отдых</x:v>
      </x:c>
      <x:c r="B1226" s="14" t="str">
        <x:v>Всесезонные виды спорта</x:v>
      </x:c>
      <x:c r="C1226" s="14" t="str">
        <x:v>Теннис</x:v>
      </x:c>
      <x:c r="D1226" s="14" t="str">
        <x:v>Ракетка для большого тенниса</x:v>
      </x:c>
      <x:c r="E1226" s="2" t="n">
        <x:v>12</x:v>
      </x:c>
      <x:c r="F1226" s="2" t="n">
        <x:v>0</x:v>
      </x:c>
      <x:c r="G1226" s="12" t="n">
        <x:v>1735310.1975</x:v>
      </x:c>
      <x:c r="H1226" s="12" t="n">
        <x:v>28431.5604</x:v>
      </x:c>
      <x:c r="I1226" s="13" t="n">
        <x:v>0.0071083333333333</x:v>
      </x:c>
      <x:c r="J1226" s="2" t="n">
        <x:v>9</x:v>
      </x:c>
      <x:c r="K1226" s="2" t="n">
        <x:v>6</x:v>
      </x:c>
      <x:c r="L1226" s="12" t="n">
        <x:v>4087.70645</x:v>
      </x:c>
      <x:c r="M1226" s="13" t="n">
        <x:v>0.613804909482185</x:v>
      </x:c>
      <x:c r="N1226" s="13" t="n">
        <x:f>H1226/G1226</x:f>
        <x:v>0.016384137222820647</x:v>
      </x:c>
      <x:c r="O1226" s="13" t="n">
        <x:f>F1226/E1226</x:f>
        <x:v>0</x:v>
      </x:c>
      <x:c r="P1226" s="2" t="str">
        <x:f>IF(AND(E1226&gt;='Итоги'!$F$5,N1226&lt;='Итоги'!$B$5,O1226&gt;='Итоги'!$D$5),"Да","Нет")</x:f>
        <x:v>Нет</x:v>
      </x:c>
    </x:row>
    <x:row r="1227" ht="60" customHeight="1">
      <x:c r="A1227" s="14" t="str">
        <x:v>Товары для дома</x:v>
      </x:c>
      <x:c r="B1227" s="14" t="str">
        <x:v>Антиквариат Хоум Декор</x:v>
      </x:c>
      <x:c r="C1227" s="14" t="str">
        <x:v>Авторская работа Хоум Декор</x:v>
      </x:c>
      <x:c r="D1227" s="14" t="str">
        <x:v>Ободок, повязка для волос авторские</x:v>
      </x:c>
      <x:c r="E1227" s="2" t="n">
        <x:v>1</x:v>
      </x:c>
      <x:c r="F1227" s="2" t="n">
        <x:v>0</x:v>
      </x:c>
      <x:c r="G1227" s="12" t="n">
        <x:v>18908.71</x:v>
      </x:c>
      <x:c r="H1227" s="12" t="n">
        <x:v>310.102844</x:v>
      </x:c>
      <x:c r="I1227" s="13" t="n">
        <x:v>0.0164</x:v>
      </x:c>
      <x:c r="J1227" s="2" t="n">
        <x:v>0</x:v>
      </x:c>
      <x:c r="K1227" s="2" t="n">
        <x:v>1</x:v>
      </x:c>
      <x:c r="L1227" s="12" t="n">
        <x:v>1181.7944</x:v>
      </x:c>
      <x:c r="M1227" s="13" t="n">
        <x:v>1</x:v>
      </x:c>
      <x:c r="N1227" s="13" t="n">
        <x:f>H1227/G1227</x:f>
        <x:v>0.0164</x:v>
      </x:c>
      <x:c r="O1227" s="13" t="n">
        <x:f>F1227/E1227</x:f>
        <x:v>0</x:v>
      </x:c>
      <x:c r="P1227" s="2" t="str">
        <x:f>IF(AND(E1227&gt;='Итоги'!$F$5,N1227&lt;='Итоги'!$B$5,O1227&gt;='Итоги'!$D$5),"Да","Нет")</x:f>
        <x:v>Нет</x:v>
      </x:c>
    </x:row>
    <x:row r="1228" ht="60" customHeight="1">
      <x:c r="A1228" s="14" t="str">
        <x:v>Детская одежда</x:v>
      </x:c>
      <x:c r="B1228" s="14" t="str">
        <x:v>Детская одежда</x:v>
      </x:c>
      <x:c r="C1228" s="14" t="str">
        <x:v>Одежда спортивная для мальчика</x:v>
      </x:c>
      <x:c r="D1228" s="14" t="str">
        <x:v>Брюки спортивные для мальчика</x:v>
      </x:c>
      <x:c r="E1228" s="2" t="n">
        <x:v>31</x:v>
      </x:c>
      <x:c r="F1228" s="2" t="n">
        <x:v>0</x:v>
      </x:c>
      <x:c r="G1228" s="12" t="n">
        <x:v>2529018.4584</x:v>
      </x:c>
      <x:c r="H1228" s="12" t="n">
        <x:v>41580.09236905</x:v>
      </x:c>
      <x:c r="I1228" s="13" t="n">
        <x:v>0.0163419354838709</x:v>
      </x:c>
      <x:c r="J1228" s="2" t="n">
        <x:v>15</x:v>
      </x:c>
      <x:c r="K1228" s="2" t="n">
        <x:v>4</x:v>
      </x:c>
      <x:c r="L1228" s="12" t="n">
        <x:v>957.1979</x:v>
      </x:c>
      <x:c r="M1228" s="13" t="n">
        <x:v>0.8788601684647949</x:v>
      </x:c>
      <x:c r="N1228" s="13" t="n">
        <x:f>H1228/G1228</x:f>
        <x:v>0.01644119766344288</x:v>
      </x:c>
      <x:c r="O1228" s="13" t="n">
        <x:f>F1228/E1228</x:f>
        <x:v>0</x:v>
      </x:c>
      <x:c r="P1228" s="2" t="str">
        <x:f>IF(AND(E1228&gt;='Итоги'!$F$5,N1228&lt;='Итоги'!$B$5,O1228&gt;='Итоги'!$D$5),"Да","Нет")</x:f>
        <x:v>Нет</x:v>
      </x:c>
    </x:row>
    <x:row r="1229" ht="60" customHeight="1">
      <x:c r="A1229" s="14" t="str">
        <x:v>Товары для детей и спорта</x:v>
      </x:c>
      <x:c r="B1229" s="14" t="str">
        <x:v>Спорт детский</x:v>
      </x:c>
      <x:c r="C1229" s="14" t="str">
        <x:v>Детский транспорт и аксессуары</x:v>
      </x:c>
      <x:c r="D1229" s="14" t="str">
        <x:v>Аккумуляторные батареи и ЗУ для детского транспорта</x:v>
      </x:c>
      <x:c r="E1229" s="2" t="n">
        <x:v>7</x:v>
      </x:c>
      <x:c r="F1229" s="2" t="n">
        <x:v>0</x:v>
      </x:c>
      <x:c r="G1229" s="12" t="n">
        <x:v>654452.6579</x:v>
      </x:c>
      <x:c r="H1229" s="12" t="n">
        <x:v>10767.23305008</x:v>
      </x:c>
      <x:c r="I1229" s="13" t="n">
        <x:v>0.0193714285714285</x:v>
      </x:c>
      <x:c r="J1229" s="2" t="n">
        <x:v>3</x:v>
      </x:c>
      <x:c r="K1229" s="2" t="n">
        <x:v>5</x:v>
      </x:c>
      <x:c r="L1229" s="12" t="n">
        <x:v>1001.3453</x:v>
      </x:c>
      <x:c r="M1229" s="13" t="n">
        <x:v>0.6009160527545624</x:v>
      </x:c>
      <x:c r="N1229" s="13" t="n">
        <x:f>H1229/G1229</x:f>
        <x:v>0.01645227186429309</x:v>
      </x:c>
      <x:c r="O1229" s="13" t="n">
        <x:f>F1229/E1229</x:f>
        <x:v>0</x:v>
      </x:c>
      <x:c r="P1229" s="2" t="str">
        <x:f>IF(AND(E1229&gt;='Итоги'!$F$5,N1229&lt;='Итоги'!$B$5,O1229&gt;='Итоги'!$D$5),"Да","Нет")</x:f>
        <x:v>Нет</x:v>
      </x:c>
    </x:row>
    <x:row r="1230" ht="60" customHeight="1">
      <x:c r="A1230" s="14" t="str">
        <x:v>Спорт и отдых</x:v>
      </x:c>
      <x:c r="B1230" s="14" t="str">
        <x:v>Активный отдых</x:v>
      </x:c>
      <x:c r="C1230" s="14" t="str">
        <x:v>Бассейны</x:v>
      </x:c>
      <x:c r="D1230" s="14" t="str">
        <x:v>Бассейн</x:v>
      </x:c>
      <x:c r="E1230" s="2" t="n">
        <x:v>300</x:v>
      </x:c>
      <x:c r="F1230" s="2" t="n">
        <x:v>0</x:v>
      </x:c>
      <x:c r="G1230" s="12" t="n">
        <x:v>52682251.5854</x:v>
      </x:c>
      <x:c r="H1230" s="12" t="n">
        <x:v>870300.45644436</x:v>
      </x:c>
      <x:c r="I1230" s="13" t="n">
        <x:v>0.0132979999999999</x:v>
      </x:c>
      <x:c r="J1230" s="2" t="n">
        <x:v>214</x:v>
      </x:c>
      <x:c r="K1230" s="2" t="n">
        <x:v>45</x:v>
      </x:c>
      <x:c r="L1230" s="12" t="n">
        <x:v>9329.3739</x:v>
      </x:c>
      <x:c r="M1230" s="13" t="n">
        <x:v>0.4084492322697794</x:v>
      </x:c>
      <x:c r="N1230" s="13" t="n">
        <x:f>H1230/G1230</x:f>
        <x:v>0.016519803733778704</x:v>
      </x:c>
      <x:c r="O1230" s="13" t="n">
        <x:f>F1230/E1230</x:f>
        <x:v>0</x:v>
      </x:c>
      <x:c r="P1230" s="2" t="str">
        <x:f>IF(AND(E1230&gt;='Итоги'!$F$5,N1230&lt;='Итоги'!$B$5,O1230&gt;='Итоги'!$D$5),"Да","Нет")</x:f>
        <x:v>Нет</x:v>
      </x:c>
    </x:row>
    <x:row r="1231" ht="60" customHeight="1">
      <x:c r="A1231" s="14" t="str">
        <x:v>Товары для красоты и здоровья</x:v>
      </x:c>
      <x:c r="B1231" s="14" t="str">
        <x:v>Косметическая техника</x:v>
      </x:c>
      <x:c r="C1231" s="14" t="str">
        <x:v>Оборудование для салона красоты</x:v>
      </x:c>
      <x:c r="D1231" s="14" t="str">
        <x:v>Валик, подушка для массажного стола, кушетки для салона красоты</x:v>
      </x:c>
      <x:c r="E1231" s="2" t="n">
        <x:v>3</x:v>
      </x:c>
      <x:c r="F1231" s="2" t="n">
        <x:v>0</x:v>
      </x:c>
      <x:c r="G1231" s="12" t="n">
        <x:v>233603.322</x:v>
      </x:c>
      <x:c r="H1231" s="12" t="n">
        <x:v>3868.234029</x:v>
      </x:c>
      <x:c r="I1231" s="13" t="n">
        <x:v>0.0229</x:v>
      </x:c>
      <x:c r="J1231" s="2" t="n">
        <x:v>0</x:v>
      </x:c>
      <x:c r="K1231" s="2" t="n">
        <x:v>2</x:v>
      </x:c>
      <x:c r="L1231" s="12" t="n">
        <x:v>842.8903</x:v>
      </x:c>
      <x:c r="M1231" s="13" t="n">
        <x:v>0.8322982273342842</x:v>
      </x:c>
      <x:c r="N1231" s="13" t="n">
        <x:f>H1231/G1231</x:f>
        <x:v>0.016558985531036245</x:v>
      </x:c>
      <x:c r="O1231" s="13" t="n">
        <x:f>F1231/E1231</x:f>
        <x:v>0</x:v>
      </x:c>
      <x:c r="P1231" s="2" t="str">
        <x:f>IF(AND(E1231&gt;='Итоги'!$F$5,N1231&lt;='Итоги'!$B$5,O1231&gt;='Итоги'!$D$5),"Да","Нет")</x:f>
        <x:v>Нет</x:v>
      </x:c>
    </x:row>
    <x:row r="1232" ht="60" customHeight="1">
      <x:c r="A1232" s="14" t="str">
        <x:v>Товары для дома</x:v>
      </x:c>
      <x:c r="B1232" s="14" t="str">
        <x:v>Кухня</x:v>
      </x:c>
      <x:c r="C1232" s="14" t="str">
        <x:v>Столовая посуда</x:v>
      </x:c>
      <x:c r="D1232" s="14" t="str">
        <x:v>Блюдо</x:v>
      </x:c>
      <x:c r="E1232" s="2" t="n">
        <x:v>14</x:v>
      </x:c>
      <x:c r="F1232" s="2" t="n">
        <x:v>0</x:v>
      </x:c>
      <x:c r="G1232" s="12" t="n">
        <x:v>1567617.9062</x:v>
      </x:c>
      <x:c r="H1232" s="12" t="n">
        <x:v>25974.13600212</x:v>
      </x:c>
      <x:c r="I1232" s="13" t="n">
        <x:v>0.0182071428571428</x:v>
      </x:c>
      <x:c r="J1232" s="2" t="n">
        <x:v>10</x:v>
      </x:c>
      <x:c r="K1232" s="2" t="n">
        <x:v>4</x:v>
      </x:c>
      <x:c r="L1232" s="12" t="n">
        <x:v>1214.2652</x:v>
      </x:c>
      <x:c r="M1232" s="13" t="n">
        <x:v>0.708487818050161</x:v>
      </x:c>
      <x:c r="N1232" s="13" t="n">
        <x:f>H1232/G1232</x:f>
        <x:v>0.01656917537072721</x:v>
      </x:c>
      <x:c r="O1232" s="13" t="n">
        <x:f>F1232/E1232</x:f>
        <x:v>0</x:v>
      </x:c>
      <x:c r="P1232" s="2" t="str">
        <x:f>IF(AND(E1232&gt;='Итоги'!$F$5,N1232&lt;='Итоги'!$B$5,O1232&gt;='Итоги'!$D$5),"Да","Нет")</x:f>
        <x:v>Нет</x:v>
      </x:c>
    </x:row>
    <x:row r="1233" ht="60" customHeight="1">
      <x:c r="A1233" s="14" t="str">
        <x:v>Ноутбуки и компьютеры</x:v>
      </x:c>
      <x:c r="B1233" s="14" t="str">
        <x:v>Компьютерные комплектующие Lap&amp;Comp</x:v>
      </x:c>
      <x:c r="C1233" s="14" t="str">
        <x:v>Компьютерные комплектующие Lap&amp;Comp</x:v>
      </x:c>
      <x:c r="D1233" s="14" t="str">
        <x:v>Модуль памяти</x:v>
      </x:c>
      <x:c r="E1233" s="2" t="n">
        <x:v>352</x:v>
      </x:c>
      <x:c r="F1233" s="2" t="n">
        <x:v>0</x:v>
      </x:c>
      <x:c r="G1233" s="12" t="n">
        <x:v>65561838.9241</x:v>
      </x:c>
      <x:c r="H1233" s="12" t="n">
        <x:v>1088270.40684336</x:v>
      </x:c>
      <x:c r="I1233" s="13" t="n">
        <x:v>0.0177562499999999</x:v>
      </x:c>
      <x:c r="J1233" s="2" t="n">
        <x:v>247</x:v>
      </x:c>
      <x:c r="K1233" s="2" t="n">
        <x:v>28</x:v>
      </x:c>
      <x:c r="L1233" s="12" t="n">
        <x:v>6473.62905</x:v>
      </x:c>
      <x:c r="M1233" s="13" t="n">
        <x:v>0.5709495185138884</x:v>
      </x:c>
      <x:c r="N1233" s="13" t="n">
        <x:f>H1233/G1233</x:f>
        <x:v>0.016599144024975185</x:v>
      </x:c>
      <x:c r="O1233" s="13" t="n">
        <x:f>F1233/E1233</x:f>
        <x:v>0</x:v>
      </x:c>
      <x:c r="P1233" s="2" t="str">
        <x:f>IF(AND(E1233&gt;='Итоги'!$F$5,N1233&lt;='Итоги'!$B$5,O1233&gt;='Итоги'!$D$5),"Да","Нет")</x:f>
        <x:v>Нет</x:v>
      </x:c>
    </x:row>
    <x:row r="1234" ht="60" customHeight="1">
      <x:c r="A1234" s="14" t="str">
        <x:v>Спорт и отдых</x:v>
      </x:c>
      <x:c r="B1234" s="14" t="str">
        <x:v>Всесезонные виды спорта</x:v>
      </x:c>
      <x:c r="C1234" s="14" t="str">
        <x:v>Дартс</x:v>
      </x:c>
      <x:c r="D1234" s="14" t="str">
        <x:v>Набор для игры в дартс</x:v>
      </x:c>
      <x:c r="E1234" s="2" t="n">
        <x:v>13</x:v>
      </x:c>
      <x:c r="F1234" s="2" t="n">
        <x:v>0</x:v>
      </x:c>
      <x:c r="G1234" s="12" t="n">
        <x:v>1661015.913</x:v>
      </x:c>
      <x:c r="H1234" s="12" t="n">
        <x:v>27615.65231691</x:v>
      </x:c>
      <x:c r="I1234" s="13" t="n">
        <x:v>0.0235153846153846</x:v>
      </x:c>
      <x:c r="J1234" s="2" t="n">
        <x:v>5</x:v>
      </x:c>
      <x:c r="K1234" s="2" t="n">
        <x:v>4</x:v>
      </x:c>
      <x:c r="L1234" s="12" t="n">
        <x:v>3083.8621</x:v>
      </x:c>
      <x:c r="M1234" s="13" t="n">
        <x:v>0.8130350497731806</x:v>
      </x:c>
      <x:c r="N1234" s="13" t="n">
        <x:f>H1234/G1234</x:f>
        <x:v>0.016625760235513168</x:v>
      </x:c>
      <x:c r="O1234" s="13" t="n">
        <x:f>F1234/E1234</x:f>
        <x:v>0</x:v>
      </x:c>
      <x:c r="P1234" s="2" t="str">
        <x:f>IF(AND(E1234&gt;='Итоги'!$F$5,N1234&lt;='Итоги'!$B$5,O1234&gt;='Итоги'!$D$5),"Да","Нет")</x:f>
        <x:v>Нет</x:v>
      </x:c>
    </x:row>
    <x:row r="1235" ht="60" customHeight="1">
      <x:c r="A1235" s="14" t="str">
        <x:v>Ноутбуки и компьютеры</x:v>
      </x:c>
      <x:c r="B1235" s="14" t="str">
        <x:v>Игровые приставки и аксессуары Lap&amp;Comp</x:v>
      </x:c>
      <x:c r="C1235" s="14" t="str">
        <x:v>Видеоигры Lap&amp;Comp</x:v>
      </x:c>
      <x:c r="D1235" s="14" t="str">
        <x:v>Видеоигра</x:v>
      </x:c>
      <x:c r="E1235" s="2" t="n">
        <x:v>120</x:v>
      </x:c>
      <x:c r="F1235" s="2" t="n">
        <x:v>0</x:v>
      </x:c>
      <x:c r="G1235" s="12" t="n">
        <x:v>24896740.3466</x:v>
      </x:c>
      <x:c r="H1235" s="12" t="n">
        <x:v>414294.81055646</x:v>
      </x:c>
      <x:c r="I1235" s="13" t="n">
        <x:v>0.0131991666666666</x:v>
      </x:c>
      <x:c r="J1235" s="2" t="n">
        <x:v>45</x:v>
      </x:c>
      <x:c r="K1235" s="2" t="n">
        <x:v>11</x:v>
      </x:c>
      <x:c r="L1235" s="12" t="n">
        <x:v>2730.6901500000004</x:v>
      </x:c>
      <x:c r="M1235" s="13" t="n">
        <x:v>0.8315375388219136</x:v>
      </x:c>
      <x:c r="N1235" s="13" t="n">
        <x:f>H1235/G1235</x:f>
        <x:v>0.01664052421276257</x:v>
      </x:c>
      <x:c r="O1235" s="13" t="n">
        <x:f>F1235/E1235</x:f>
        <x:v>0</x:v>
      </x:c>
      <x:c r="P1235" s="2" t="str">
        <x:f>IF(AND(E1235&gt;='Итоги'!$F$5,N1235&lt;='Итоги'!$B$5,O1235&gt;='Итоги'!$D$5),"Да","Нет")</x:f>
        <x:v>Нет</x:v>
      </x:c>
    </x:row>
    <x:row r="1236" ht="60" customHeight="1">
      <x:c r="A1236" s="14" t="str">
        <x:v>Одежда</x:v>
      </x:c>
      <x:c r="B1236" s="14" t="str">
        <x:v>Верхняя одежда</x:v>
      </x:c>
      <x:c r="C1236" s="14" t="str">
        <x:v>Верхняя одежда для беременных и кормящих</x:v>
      </x:c>
      <x:c r="D1236" s="14" t="str">
        <x:v>Куртка, плащ для беременных</x:v>
      </x:c>
      <x:c r="E1236" s="2" t="n">
        <x:v>116</x:v>
      </x:c>
      <x:c r="F1236" s="2" t="n">
        <x:v>0</x:v>
      </x:c>
      <x:c r="G1236" s="12" t="n">
        <x:v>7599119.5808</x:v>
      </x:c>
      <x:c r="H1236" s="12" t="n">
        <x:v>127113.29916964</x:v>
      </x:c>
      <x:c r="I1236" s="13" t="n">
        <x:v>0.0166956896551724</x:v>
      </x:c>
      <x:c r="J1236" s="2" t="n">
        <x:v>83</x:v>
      </x:c>
      <x:c r="K1236" s="2" t="n">
        <x:v>22</x:v>
      </x:c>
      <x:c r="L1236" s="12" t="n">
        <x:v>2810.72895</x:v>
      </x:c>
      <x:c r="M1236" s="13" t="n">
        <x:v>0.5081203928223359</x:v>
      </x:c>
      <x:c r="N1236" s="13" t="n">
        <x:f>H1236/G1236</x:f>
        <x:v>0.016727371877500855</x:v>
      </x:c>
      <x:c r="O1236" s="13" t="n">
        <x:f>F1236/E1236</x:f>
        <x:v>0</x:v>
      </x:c>
      <x:c r="P1236" s="2" t="str">
        <x:f>IF(AND(E1236&gt;='Итоги'!$F$5,N1236&lt;='Итоги'!$B$5,O1236&gt;='Итоги'!$D$5),"Да","Нет")</x:f>
        <x:v>Нет</x:v>
      </x:c>
    </x:row>
    <x:row r="1237" ht="60" customHeight="1">
      <x:c r="A1237" s="14" t="str">
        <x:v>Спорт и отдых</x:v>
      </x:c>
      <x:c r="B1237" s="14" t="str">
        <x:v>Водные виды спорта</x:v>
      </x:c>
      <x:c r="C1237" s="14" t="str">
        <x:v>Дайвинг</x:v>
      </x:c>
      <x:c r="D1237" s="14" t="str">
        <x:v>Маска для дайвинга</x:v>
      </x:c>
      <x:c r="E1237" s="2" t="n">
        <x:v>46</x:v>
      </x:c>
      <x:c r="F1237" s="2" t="n">
        <x:v>0</x:v>
      </x:c>
      <x:c r="G1237" s="12" t="n">
        <x:v>9234556.7001</x:v>
      </x:c>
      <x:c r="H1237" s="12" t="n">
        <x:v>155249.68357483</x:v>
      </x:c>
      <x:c r="I1237" s="13" t="n">
        <x:v>0.0216434782608695</x:v>
      </x:c>
      <x:c r="J1237" s="2" t="n">
        <x:v>10</x:v>
      </x:c>
      <x:c r="K1237" s="2" t="n">
        <x:v>9</x:v>
      </x:c>
      <x:c r="L1237" s="12" t="n">
        <x:v>1028.8054</x:v>
      </x:c>
      <x:c r="M1237" s="13" t="n">
        <x:v>0.5110732091502446</x:v>
      </x:c>
      <x:c r="N1237" s="13" t="n">
        <x:f>H1237/G1237</x:f>
        <x:v>0.01681181767752304</x:v>
      </x:c>
      <x:c r="O1237" s="13" t="n">
        <x:f>F1237/E1237</x:f>
        <x:v>0</x:v>
      </x:c>
      <x:c r="P1237" s="2" t="str">
        <x:f>IF(AND(E1237&gt;='Итоги'!$F$5,N1237&lt;='Итоги'!$B$5,O1237&gt;='Итоги'!$D$5),"Да","Нет")</x:f>
        <x:v>Нет</x:v>
      </x:c>
    </x:row>
    <x:row r="1238" ht="60" customHeight="1">
      <x:c r="A1238" s="14" t="str">
        <x:v>Автотовары</x:v>
      </x:c>
      <x:c r="B1238" s="14" t="str">
        <x:v>Авто и мото запчасти</x:v>
      </x:c>
      <x:c r="C1238" s="14" t="str">
        <x:v>Двигатель</x:v>
      </x:c>
      <x:c r="D1238" s="14" t="str">
        <x:v>Ремни приводные и ГРМ</x:v>
      </x:c>
      <x:c r="E1238" s="2" t="n">
        <x:v>13</x:v>
      </x:c>
      <x:c r="F1238" s="2" t="n">
        <x:v>0</x:v>
      </x:c>
      <x:c r="G1238" s="12" t="n">
        <x:v>777178.2553</x:v>
      </x:c>
      <x:c r="H1238" s="12" t="n">
        <x:v>13118.19903036</x:v>
      </x:c>
      <x:c r="I1238" s="13" t="n">
        <x:v>0.0114230769230769</x:v>
      </x:c>
      <x:c r="J1238" s="2" t="n">
        <x:v>10</x:v>
      </x:c>
      <x:c r="K1238" s="2" t="n">
        <x:v>5</x:v>
      </x:c>
      <x:c r="L1238" s="12" t="n">
        <x:v>7350</x:v>
      </x:c>
      <x:c r="M1238" s="13" t="n">
        <x:v>0.5191399431836369</x:v>
      </x:c>
      <x:c r="N1238" s="13" t="n">
        <x:f>H1238/G1238</x:f>
        <x:v>0.016879266681613755</x:v>
      </x:c>
      <x:c r="O1238" s="13" t="n">
        <x:f>F1238/E1238</x:f>
        <x:v>0</x:v>
      </x:c>
      <x:c r="P1238" s="2" t="str">
        <x:f>IF(AND(E1238&gt;='Итоги'!$F$5,N1238&lt;='Итоги'!$B$5,O1238&gt;='Итоги'!$D$5),"Да","Нет")</x:f>
        <x:v>Нет</x:v>
      </x:c>
    </x:row>
    <x:row r="1239" ht="60" customHeight="1">
      <x:c r="A1239" s="14" t="str">
        <x:v>Строительство и ремонт (DIY)</x:v>
      </x:c>
      <x:c r="B1239" s="14" t="str">
        <x:v>Сад и огород</x:v>
      </x:c>
      <x:c r="C1239" s="14" t="str">
        <x:v>Ландшафт и садовый декор</x:v>
      </x:c>
      <x:c r="D1239" s="14" t="str">
        <x:v>Пруд садовый, аксессуары</x:v>
      </x:c>
      <x:c r="E1239" s="2" t="n">
        <x:v>17</x:v>
      </x:c>
      <x:c r="F1239" s="2" t="n">
        <x:v>0</x:v>
      </x:c>
      <x:c r="G1239" s="12" t="n">
        <x:v>3132443.1046</x:v>
      </x:c>
      <x:c r="H1239" s="12" t="n">
        <x:v>52894.25893</x:v>
      </x:c>
      <x:c r="I1239" s="13" t="n">
        <x:v>0.0188411764705882</x:v>
      </x:c>
      <x:c r="J1239" s="2" t="n">
        <x:v>15</x:v>
      </x:c>
      <x:c r="K1239" s="2" t="n">
        <x:v>10</x:v>
      </x:c>
      <x:c r="L1239" s="12" t="n">
        <x:v>8743.0455</x:v>
      </x:c>
      <x:c r="M1239" s="13" t="n">
        <x:v>0.2845389270410437</x:v>
      </x:c>
      <x:c r="N1239" s="13" t="n">
        <x:f>H1239/G1239</x:f>
        <x:v>0.016885944026349485</x:v>
      </x:c>
      <x:c r="O1239" s="13" t="n">
        <x:f>F1239/E1239</x:f>
        <x:v>0</x:v>
      </x:c>
      <x:c r="P1239" s="2" t="str">
        <x:f>IF(AND(E1239&gt;='Итоги'!$F$5,N1239&lt;='Итоги'!$B$5,O1239&gt;='Итоги'!$D$5),"Да","Нет")</x:f>
        <x:v>Нет</x:v>
      </x:c>
    </x:row>
    <x:row r="1240" ht="60" customHeight="1">
      <x:c r="A1240" s="14" t="str">
        <x:v>Товары для животных</x:v>
      </x:c>
      <x:c r="B1240" s="14" t="str">
        <x:v>Фермерское хозяйство - Оборудование для птицеводства и животноводства</x:v>
      </x:c>
      <x:c r="C1240" s="14" t="str">
        <x:v>Изготовление кормов для сельскохозяйственных животных и птиц</x:v>
      </x:c>
      <x:c r="D1240" s="14" t="str">
        <x:v>Режущий аппарат для жаток, комбайнов</x:v>
      </x:c>
      <x:c r="E1240" s="2" t="n">
        <x:v>1</x:v>
      </x:c>
      <x:c r="F1240" s="2" t="n">
        <x:v>0</x:v>
      </x:c>
      <x:c r="G1240" s="12" t="n">
        <x:v>378787.5254</x:v>
      </x:c>
      <x:c r="H1240" s="12" t="n">
        <x:v>6439.3879318</x:v>
      </x:c>
      <x:c r="I1240" s="13" t="n">
        <x:v>0.017</x:v>
      </x:c>
      <x:c r="J1240" s="2" t="n">
        <x:v>0</x:v>
      </x:c>
      <x:c r="K1240" s="2" t="n">
        <x:v>1</x:v>
      </x:c>
      <x:c r="L1240" s="12" t="n">
        <x:v>1357.6614</x:v>
      </x:c>
      <x:c r="M1240" s="13" t="n">
        <x:v>1</x:v>
      </x:c>
      <x:c r="N1240" s="13" t="n">
        <x:f>H1240/G1240</x:f>
        <x:v>0.017</x:v>
      </x:c>
      <x:c r="O1240" s="13" t="n">
        <x:f>F1240/E1240</x:f>
        <x:v>0</x:v>
      </x:c>
      <x:c r="P1240" s="2" t="str">
        <x:f>IF(AND(E1240&gt;='Итоги'!$F$5,N1240&lt;='Итоги'!$B$5,O1240&gt;='Итоги'!$D$5),"Да","Нет")</x:f>
        <x:v>Нет</x:v>
      </x:c>
    </x:row>
    <x:row r="1241" ht="60" customHeight="1">
      <x:c r="A1241" s="14" t="str">
        <x:v>Товары для красоты и здоровья</x:v>
      </x:c>
      <x:c r="B1241" s="14" t="str">
        <x:v>Косметические средства для детей и беременных</x:v>
      </x:c>
      <x:c r="C1241" s="14" t="str">
        <x:v>Детская гигиена Health&amp;Beauty</x:v>
      </x:c>
      <x:c r="D1241" s="14" t="str">
        <x:v>Набор косметики для гигиены детский</x:v>
      </x:c>
      <x:c r="E1241" s="2" t="n">
        <x:v>2</x:v>
      </x:c>
      <x:c r="F1241" s="2" t="n">
        <x:v>0</x:v>
      </x:c>
      <x:c r="G1241" s="12" t="n">
        <x:v>236293.0079</x:v>
      </x:c>
      <x:c r="H1241" s="12" t="n">
        <x:v>4026.86417696</x:v>
      </x:c>
      <x:c r="I1241" s="13" t="n">
        <x:v>0.01555</x:v>
      </x:c>
      <x:c r="J1241" s="2" t="n">
        <x:v>0</x:v>
      </x:c>
      <x:c r="K1241" s="2" t="n">
        <x:v>1</x:v>
      </x:c>
      <x:c r="L1241" s="12" t="n">
        <x:v>1167.39895</x:v>
      </x:c>
      <x:c r="M1241" s="13" t="n">
        <x:v>1</x:v>
      </x:c>
      <x:c r="N1241" s="13" t="n">
        <x:f>H1241/G1241</x:f>
        <x:v>0.017041825370745556</x:v>
      </x:c>
      <x:c r="O1241" s="13" t="n">
        <x:f>F1241/E1241</x:f>
        <x:v>0</x:v>
      </x:c>
      <x:c r="P1241" s="2" t="str">
        <x:f>IF(AND(E1241&gt;='Итоги'!$F$5,N1241&lt;='Итоги'!$B$5,O1241&gt;='Итоги'!$D$5),"Да","Нет")</x:f>
        <x:v>Нет</x:v>
      </x:c>
    </x:row>
    <x:row r="1242" ht="60" customHeight="1">
      <x:c r="A1242" s="14" t="str">
        <x:v>Строительство и ремонт (DIY)</x:v>
      </x:c>
      <x:c r="B1242" s="14" t="str">
        <x:v>Сад и огород</x:v>
      </x:c>
      <x:c r="C1242" s="14" t="str">
        <x:v>Загородный отдых</x:v>
      </x:c>
      <x:c r="D1242" s="14" t="str">
        <x:v>Рукомойник, умывальник дачные, душ садовый</x:v>
      </x:c>
      <x:c r="E1242" s="2" t="n">
        <x:v>28</x:v>
      </x:c>
      <x:c r="F1242" s="2" t="n">
        <x:v>0</x:v>
      </x:c>
      <x:c r="G1242" s="12" t="n">
        <x:v>5400360.3521</x:v>
      </x:c>
      <x:c r="H1242" s="12" t="n">
        <x:v>92468.75442982</x:v>
      </x:c>
      <x:c r="I1242" s="13" t="n">
        <x:v>0.0212642857142857</x:v>
      </x:c>
      <x:c r="J1242" s="2" t="n">
        <x:v>16</x:v>
      </x:c>
      <x:c r="K1242" s="2" t="n">
        <x:v>13</x:v>
      </x:c>
      <x:c r="L1242" s="12" t="n">
        <x:v>3221.75</x:v>
      </x:c>
      <x:c r="M1242" s="13" t="n">
        <x:v>0.4001064270757</x:v>
      </x:c>
      <x:c r="N1242" s="13" t="n">
        <x:f>H1242/G1242</x:f>
        <x:v>0.01712270078308058</x:v>
      </x:c>
      <x:c r="O1242" s="13" t="n">
        <x:f>F1242/E1242</x:f>
        <x:v>0</x:v>
      </x:c>
      <x:c r="P1242" s="2" t="str">
        <x:f>IF(AND(E1242&gt;='Итоги'!$F$5,N1242&lt;='Итоги'!$B$5,O1242&gt;='Итоги'!$D$5),"Да","Нет")</x:f>
        <x:v>Нет</x:v>
      </x:c>
    </x:row>
    <x:row r="1243" ht="60" customHeight="1">
      <x:c r="A1243" s="14" t="str">
        <x:v>Товары для животных</x:v>
      </x:c>
      <x:c r="B1243" s="14" t="str">
        <x:v>Спальное место животного</x:v>
      </x:c>
      <x:c r="C1243" s="14" t="str">
        <x:v>Террариум Уход и аксессуары</x:v>
      </x:c>
      <x:c r="D1243" s="14" t="str">
        <x:v>Перчатки защитные для животных</x:v>
      </x:c>
      <x:c r="E1243" s="2" t="n">
        <x:v>1</x:v>
      </x:c>
      <x:c r="F1243" s="2" t="n">
        <x:v>0</x:v>
      </x:c>
      <x:c r="G1243" s="12" t="n">
        <x:v>106711.1704</x:v>
      </x:c>
      <x:c r="H1243" s="12" t="n">
        <x:v>1835.43213088</x:v>
      </x:c>
      <x:c r="I1243" s="13" t="n">
        <x:v>0.0172</x:v>
      </x:c>
      <x:c r="J1243" s="2" t="n">
        <x:v>0</x:v>
      </x:c>
      <x:c r="K1243" s="2" t="n">
        <x:v>1</x:v>
      </x:c>
      <x:c r="L1243" s="12" t="n">
        <x:v>1333.8896</x:v>
      </x:c>
      <x:c r="M1243" s="13" t="n">
        <x:v>1</x:v>
      </x:c>
      <x:c r="N1243" s="13" t="n">
        <x:f>H1243/G1243</x:f>
        <x:v>0.0172</x:v>
      </x:c>
      <x:c r="O1243" s="13" t="n">
        <x:f>F1243/E1243</x:f>
        <x:v>0</x:v>
      </x:c>
      <x:c r="P1243" s="2" t="str">
        <x:f>IF(AND(E1243&gt;='Итоги'!$F$5,N1243&lt;='Итоги'!$B$5,O1243&gt;='Итоги'!$D$5),"Да","Нет")</x:f>
        <x:v>Нет</x:v>
      </x:c>
    </x:row>
    <x:row r="1244" ht="60" customHeight="1">
      <x:c r="A1244" s="14" t="str">
        <x:v>Мебель</x:v>
      </x:c>
      <x:c r="B1244" s="14" t="str">
        <x:v>Мягкая мебель</x:v>
      </x:c>
      <x:c r="C1244" s="14" t="str">
        <x:v>Диван</x:v>
      </x:c>
      <x:c r="D1244" s="14" t="str">
        <x:v>Угловой диван</x:v>
      </x:c>
      <x:c r="E1244" s="2" t="n">
        <x:v>22</x:v>
      </x:c>
      <x:c r="F1244" s="2" t="n">
        <x:v>0</x:v>
      </x:c>
      <x:c r="G1244" s="12" t="n">
        <x:v>6590632.56</x:v>
      </x:c>
      <x:c r="H1244" s="12" t="n">
        <x:v>113420.317908</x:v>
      </x:c>
      <x:c r="I1244" s="13" t="n">
        <x:v>0.0327181818181818</x:v>
      </x:c>
      <x:c r="J1244" s="2" t="n">
        <x:v>10</x:v>
      </x:c>
      <x:c r="K1244" s="2" t="n">
        <x:v>1</x:v>
      </x:c>
      <x:c r="L1244" s="12" t="n">
        <x:v>24771.6143</x:v>
      </x:c>
      <x:c r="M1244" s="13" t="n">
        <x:v>1</x:v>
      </x:c>
      <x:c r="N1244" s="13" t="n">
        <x:f>H1244/G1244</x:f>
        <x:v>0.0172093219998901</x:v>
      </x:c>
      <x:c r="O1244" s="13" t="n">
        <x:f>F1244/E1244</x:f>
        <x:v>0</x:v>
      </x:c>
      <x:c r="P1244" s="2" t="str">
        <x:f>IF(AND(E1244&gt;='Итоги'!$F$5,N1244&lt;='Итоги'!$B$5,O1244&gt;='Итоги'!$D$5),"Да","Нет")</x:f>
        <x:v>Нет</x:v>
      </x:c>
    </x:row>
    <x:row r="1245" ht="60" customHeight="1">
      <x:c r="A1245" s="14" t="str">
        <x:v>Автотовары</x:v>
      </x:c>
      <x:c r="B1245" s="14" t="str">
        <x:v>Авто и мото запчасти</x:v>
      </x:c>
      <x:c r="C1245" s="14" t="str">
        <x:v>Мотозапчасти</x:v>
      </x:c>
      <x:c r="D1245" s="14" t="str">
        <x:v>Двигатель для мототехники</x:v>
      </x:c>
      <x:c r="E1245" s="2" t="n">
        <x:v>26</x:v>
      </x:c>
      <x:c r="F1245" s="2" t="n">
        <x:v>0</x:v>
      </x:c>
      <x:c r="G1245" s="12" t="n">
        <x:v>5511195.6232</x:v>
      </x:c>
      <x:c r="H1245" s="12" t="n">
        <x:v>94896.30281768</x:v>
      </x:c>
      <x:c r="I1245" s="13" t="n">
        <x:v>0.0106653846153846</x:v>
      </x:c>
      <x:c r="J1245" s="2" t="n">
        <x:v>19</x:v>
      </x:c>
      <x:c r="K1245" s="2" t="n">
        <x:v>6</x:v>
      </x:c>
      <x:c r="L1245" s="12" t="n">
        <x:v>8291.64745</x:v>
      </x:c>
      <x:c r="M1245" s="13" t="n">
        <x:v>0.4532669830633857</x:v>
      </x:c>
      <x:c r="N1245" s="13" t="n">
        <x:f>H1245/G1245</x:f>
        <x:v>0.017218823156667364</x:v>
      </x:c>
      <x:c r="O1245" s="13" t="n">
        <x:f>F1245/E1245</x:f>
        <x:v>0</x:v>
      </x:c>
      <x:c r="P1245" s="2" t="str">
        <x:f>IF(AND(E1245&gt;='Итоги'!$F$5,N1245&lt;='Итоги'!$B$5,O1245&gt;='Итоги'!$D$5),"Да","Нет")</x:f>
        <x:v>Нет</x:v>
      </x:c>
    </x:row>
    <x:row r="1246" ht="60" customHeight="1">
      <x:c r="A1246" s="14" t="str">
        <x:v>Аксессуары для электроники</x:v>
      </x:c>
      <x:c r="B1246" s="14" t="str">
        <x:v>Аксессуары для МБТ (кухня) Access</x:v>
      </x:c>
      <x:c r="C1246" s="14" t="str">
        <x:v>Аксессуары для кофемашины, кофеварки Access</x:v>
      </x:c>
      <x:c r="D1246" s="14" t="str">
        <x:v>Фильтр для кофеварок</x:v>
      </x:c>
      <x:c r="E1246" s="2" t="n">
        <x:v>5</x:v>
      </x:c>
      <x:c r="F1246" s="2" t="n">
        <x:v>0</x:v>
      </x:c>
      <x:c r="G1246" s="12" t="n">
        <x:v>661293.09</x:v>
      </x:c>
      <x:c r="H1246" s="12" t="n">
        <x:v>11393.257275</x:v>
      </x:c>
      <x:c r="I1246" s="13" t="n">
        <x:v>0.01794</x:v>
      </x:c>
      <x:c r="J1246" s="2" t="n">
        <x:v>3</x:v>
      </x:c>
      <x:c r="K1246" s="2" t="n">
        <x:v>4</x:v>
      </x:c>
      <x:c r="L1246" s="12" t="n">
        <x:v>904.6322</x:v>
      </x:c>
      <x:c r="M1246" s="13" t="n">
        <x:v>0.3829030634510335</x:v>
      </x:c>
      <x:c r="N1246" s="13" t="n">
        <x:f>H1246/G1246</x:f>
        <x:v>0.01722875597414756</x:v>
      </x:c>
      <x:c r="O1246" s="13" t="n">
        <x:f>F1246/E1246</x:f>
        <x:v>0</x:v>
      </x:c>
      <x:c r="P1246" s="2" t="str">
        <x:f>IF(AND(E1246&gt;='Итоги'!$F$5,N1246&lt;='Итоги'!$B$5,O1246&gt;='Итоги'!$D$5),"Да","Нет")</x:f>
        <x:v>Нет</x:v>
      </x:c>
    </x:row>
    <x:row r="1247" ht="60" customHeight="1">
      <x:c r="A1247" s="14" t="str">
        <x:v>Мебель</x:v>
      </x:c>
      <x:c r="B1247" s="14" t="str">
        <x:v>Мебель для сада</x:v>
      </x:c>
      <x:c r="C1247" s="14" t="str">
        <x:v>Уличные шкафы и тумбы</x:v>
      </x:c>
      <x:c r="D1247" s="14" t="str">
        <x:v>Уличный шкаф</x:v>
      </x:c>
      <x:c r="E1247" s="2" t="n">
        <x:v>17</x:v>
      </x:c>
      <x:c r="F1247" s="2" t="n">
        <x:v>0</x:v>
      </x:c>
      <x:c r="G1247" s="12" t="n">
        <x:v>2475089.77</x:v>
      </x:c>
      <x:c r="H1247" s="12" t="n">
        <x:v>42649.317084</x:v>
      </x:c>
      <x:c r="I1247" s="13" t="n">
        <x:v>0.0146529411764705</x:v>
      </x:c>
      <x:c r="J1247" s="2" t="n">
        <x:v>2</x:v>
      </x:c>
      <x:c r="K1247" s="2" t="n">
        <x:v>2</x:v>
      </x:c>
      <x:c r="L1247" s="12" t="n">
        <x:v>13380.7143</x:v>
      </x:c>
      <x:c r="M1247" s="13" t="n">
        <x:v>0.8622445924456308</x:v>
      </x:c>
      <x:c r="N1247" s="13" t="n">
        <x:f>H1247/G1247</x:f>
        <x:v>0.01723142231079562</x:v>
      </x:c>
      <x:c r="O1247" s="13" t="n">
        <x:f>F1247/E1247</x:f>
        <x:v>0</x:v>
      </x:c>
      <x:c r="P1247" s="2" t="str">
        <x:f>IF(AND(E1247&gt;='Итоги'!$F$5,N1247&lt;='Итоги'!$B$5,O1247&gt;='Итоги'!$D$5),"Да","Нет")</x:f>
        <x:v>Нет</x:v>
      </x:c>
    </x:row>
    <x:row r="1248" ht="60" customHeight="1">
      <x:c r="A1248" s="14" t="str">
        <x:v>Детская одежда</x:v>
      </x:c>
      <x:c r="B1248" s="14" t="str">
        <x:v>Детская обувь</x:v>
      </x:c>
      <x:c r="C1248" s="14" t="str">
        <x:v>Обувь для девочки</x:v>
      </x:c>
      <x:c r="D1248" s="14" t="str">
        <x:v>Ортопедические туфли для девочки</x:v>
      </x:c>
      <x:c r="E1248" s="2" t="n">
        <x:v>19</x:v>
      </x:c>
      <x:c r="F1248" s="2" t="n">
        <x:v>0</x:v>
      </x:c>
      <x:c r="G1248" s="12" t="n">
        <x:v>1816607.9599</x:v>
      </x:c>
      <x:c r="H1248" s="12" t="n">
        <x:v>31454.70593825</x:v>
      </x:c>
      <x:c r="I1248" s="13" t="n">
        <x:v>0.011778947368421</x:v>
      </x:c>
      <x:c r="J1248" s="2" t="n">
        <x:v>11</x:v>
      </x:c>
      <x:c r="K1248" s="2" t="n">
        <x:v>3</x:v>
      </x:c>
      <x:c r="L1248" s="12" t="n">
        <x:v>1925</x:v>
      </x:c>
      <x:c r="M1248" s="13" t="n">
        <x:v>0.510613010883791</x:v>
      </x:c>
      <x:c r="N1248" s="13" t="n">
        <x:f>H1248/G1248</x:f>
        <x:v>0.017315076578207612</x:v>
      </x:c>
      <x:c r="O1248" s="13" t="n">
        <x:f>F1248/E1248</x:f>
        <x:v>0</x:v>
      </x:c>
      <x:c r="P1248" s="2" t="str">
        <x:f>IF(AND(E1248&gt;='Итоги'!$F$5,N1248&lt;='Итоги'!$B$5,O1248&gt;='Итоги'!$D$5),"Да","Нет")</x:f>
        <x:v>Нет</x:v>
      </x:c>
    </x:row>
    <x:row r="1249" ht="60" customHeight="1">
      <x:c r="A1249" s="14" t="str">
        <x:v>Одежда</x:v>
      </x:c>
      <x:c r="B1249" s="14" t="str">
        <x:v>Верхняя одежда</x:v>
      </x:c>
      <x:c r="C1249" s="14" t="str">
        <x:v>Верхняя одежда мужская</x:v>
      </x:c>
      <x:c r="D1249" s="14" t="str">
        <x:v>Жилет утепленный мужской</x:v>
      </x:c>
      <x:c r="E1249" s="2" t="n">
        <x:v>29</x:v>
      </x:c>
      <x:c r="F1249" s="2" t="n">
        <x:v>0</x:v>
      </x:c>
      <x:c r="G1249" s="12" t="n">
        <x:v>2027322.4808</x:v>
      </x:c>
      <x:c r="H1249" s="12" t="n">
        <x:v>35267.235895490005</x:v>
      </x:c>
      <x:c r="I1249" s="13" t="n">
        <x:v>0.013503448275862</x:v>
      </x:c>
      <x:c r="J1249" s="2" t="n">
        <x:v>20</x:v>
      </x:c>
      <x:c r="K1249" s="2" t="n">
        <x:v>6</x:v>
      </x:c>
      <x:c r="L1249" s="12" t="n">
        <x:v>1810.393</x:v>
      </x:c>
      <x:c r="M1249" s="13" t="n">
        <x:v>0.5121259901336955</x:v>
      </x:c>
      <x:c r="N1249" s="13" t="n">
        <x:f>H1249/G1249</x:f>
        <x:v>0.01739596745436041</x:v>
      </x:c>
      <x:c r="O1249" s="13" t="n">
        <x:f>F1249/E1249</x:f>
        <x:v>0</x:v>
      </x:c>
      <x:c r="P1249" s="2" t="str">
        <x:f>IF(AND(E1249&gt;='Итоги'!$F$5,N1249&lt;='Итоги'!$B$5,O1249&gt;='Итоги'!$D$5),"Да","Нет")</x:f>
        <x:v>Нет</x:v>
      </x:c>
    </x:row>
    <x:row r="1250" ht="60" customHeight="1">
      <x:c r="A1250" s="14" t="str">
        <x:v>Строительство и ремонт (DIY)</x:v>
      </x:c>
      <x:c r="B1250" s="14" t="str">
        <x:v>Инструменты</x:v>
      </x:c>
      <x:c r="C1250" s="14" t="str">
        <x:v>Измерительный инструмент</x:v>
      </x:c>
      <x:c r="D1250" s="14" t="str">
        <x:v>Тепловизор, температурный сканер</x:v>
      </x:c>
      <x:c r="E1250" s="2" t="n">
        <x:v>15</x:v>
      </x:c>
      <x:c r="F1250" s="2" t="n">
        <x:v>0</x:v>
      </x:c>
      <x:c r="G1250" s="12" t="n">
        <x:v>4653292.0936</x:v>
      </x:c>
      <x:c r="H1250" s="12" t="n">
        <x:v>81029.37181424</x:v>
      </x:c>
      <x:c r="I1250" s="13" t="n">
        <x:v>0.0485466666666666</x:v>
      </x:c>
      <x:c r="J1250" s="2" t="n">
        <x:v>10</x:v>
      </x:c>
      <x:c r="K1250" s="2" t="n">
        <x:v>3</x:v>
      </x:c>
      <x:c r="L1250" s="12" t="n">
        <x:v>26494.7339</x:v>
      </x:c>
      <x:c r="M1250" s="13" t="n">
        <x:v>0.962317216183104</x:v>
      </x:c>
      <x:c r="N1250" s="13" t="n">
        <x:f>H1250/G1250</x:f>
        <x:v>0.01741334310942685</x:v>
      </x:c>
      <x:c r="O1250" s="13" t="n">
        <x:f>F1250/E1250</x:f>
        <x:v>0</x:v>
      </x:c>
      <x:c r="P1250" s="2" t="str">
        <x:f>IF(AND(E1250&gt;='Итоги'!$F$5,N1250&lt;='Итоги'!$B$5,O1250&gt;='Итоги'!$D$5),"Да","Нет")</x:f>
        <x:v>Нет</x:v>
      </x:c>
    </x:row>
    <x:row r="1251" ht="60" customHeight="1">
      <x:c r="A1251" s="14" t="str">
        <x:v>Обувь</x:v>
      </x:c>
      <x:c r="B1251" s="14" t="str">
        <x:v>Обувь женская</x:v>
      </x:c>
      <x:c r="C1251" s="14" t="str">
        <x:v>Обувь женская летняя</x:v>
      </x:c>
      <x:c r="D1251" s="14" t="str">
        <x:v>Женские Сланцы</x:v>
      </x:c>
      <x:c r="E1251" s="2" t="n">
        <x:v>149</x:v>
      </x:c>
      <x:c r="F1251" s="2" t="n">
        <x:v>0</x:v>
      </x:c>
      <x:c r="G1251" s="12" t="n">
        <x:v>11421407.7325</x:v>
      </x:c>
      <x:c r="H1251" s="12" t="n">
        <x:v>199163.6766048</x:v>
      </x:c>
      <x:c r="I1251" s="13" t="n">
        <x:v>0.0169906040268456</x:v>
      </x:c>
      <x:c r="J1251" s="2" t="n">
        <x:v>119</x:v>
      </x:c>
      <x:c r="K1251" s="2" t="n">
        <x:v>11</x:v>
      </x:c>
      <x:c r="L1251" s="12" t="n">
        <x:v>2043.3513</x:v>
      </x:c>
      <x:c r="M1251" s="13" t="n">
        <x:v>0.7576047215596592</x:v>
      </x:c>
      <x:c r="N1251" s="13" t="n">
        <x:f>H1251/G1251</x:f>
        <x:v>0.01743775209408496</x:v>
      </x:c>
      <x:c r="O1251" s="13" t="n">
        <x:f>F1251/E1251</x:f>
        <x:v>0</x:v>
      </x:c>
      <x:c r="P1251" s="2" t="str">
        <x:f>IF(AND(E1251&gt;='Итоги'!$F$5,N1251&lt;='Итоги'!$B$5,O1251&gt;='Итоги'!$D$5),"Да","Нет")</x:f>
        <x:v>Нет</x:v>
      </x:c>
    </x:row>
    <x:row r="1252" ht="60" customHeight="1">
      <x:c r="A1252" s="14" t="str">
        <x:v>Товары для дома</x:v>
      </x:c>
      <x:c r="B1252" s="14" t="str">
        <x:v>Интерьер и декор</x:v>
      </x:c>
      <x:c r="C1252" s="14" t="str">
        <x:v>Домашние растения</x:v>
      </x:c>
      <x:c r="D1252" s="14" t="str">
        <x:v>Аксессуары для домашних растений</x:v>
      </x:c>
      <x:c r="E1252" s="2" t="n">
        <x:v>3</x:v>
      </x:c>
      <x:c r="F1252" s="2" t="n">
        <x:v>0</x:v>
      </x:c>
      <x:c r="G1252" s="12" t="n">
        <x:v>399546.288</x:v>
      </x:c>
      <x:c r="H1252" s="12" t="n">
        <x:v>6982.6526</x:v>
      </x:c>
      <x:c r="I1252" s="13" t="n">
        <x:v>0.0150333333333333</x:v>
      </x:c>
      <x:c r="J1252" s="2" t="n">
        <x:v>2</x:v>
      </x:c>
      <x:c r="K1252" s="2" t="n">
        <x:v>2</x:v>
      </x:c>
      <x:c r="L1252" s="12" t="n">
        <x:v>3682.192</x:v>
      </x:c>
      <x:c r="M1252" s="13" t="n">
        <x:v>0.6124954613519022</x:v>
      </x:c>
      <x:c r="N1252" s="13" t="n">
        <x:f>H1252/G1252</x:f>
        <x:v>0.01747645469302921</x:v>
      </x:c>
      <x:c r="O1252" s="13" t="n">
        <x:f>F1252/E1252</x:f>
        <x:v>0</x:v>
      </x:c>
      <x:c r="P1252" s="2" t="str">
        <x:f>IF(AND(E1252&gt;='Итоги'!$F$5,N1252&lt;='Итоги'!$B$5,O1252&gt;='Итоги'!$D$5),"Да","Нет")</x:f>
        <x:v>Нет</x:v>
      </x:c>
    </x:row>
    <x:row r="1253" ht="60" customHeight="1">
      <x:c r="A1253" s="14" t="str">
        <x:v>Товары для животных</x:v>
      </x:c>
      <x:c r="B1253" s="14" t="str">
        <x:v>Фермерское хозяйство - Оборудование для птицеводства и животноводства</x:v>
      </x:c>
      <x:c r="C1253" s="14" t="str">
        <x:v>Оборудование для убоя и ощипа</x:v>
      </x:c>
      <x:c r="D1253" s="14" t="str">
        <x:v>Перосъемная машина</x:v>
      </x:c>
      <x:c r="E1253" s="2" t="n">
        <x:v>8</x:v>
      </x:c>
      <x:c r="F1253" s="2" t="n">
        <x:v>0</x:v>
      </x:c>
      <x:c r="G1253" s="12" t="n">
        <x:v>1339345.7934</x:v>
      </x:c>
      <x:c r="H1253" s="12" t="n">
        <x:v>23423.42044056</x:v>
      </x:c>
      <x:c r="I1253" s="13" t="n">
        <x:v>0.024325</x:v>
      </x:c>
      <x:c r="J1253" s="2" t="n">
        <x:v>5</x:v>
      </x:c>
      <x:c r="K1253" s="2" t="n">
        <x:v>6</x:v>
      </x:c>
      <x:c r="L1253" s="12" t="n">
        <x:v>2183.7128</x:v>
      </x:c>
      <x:c r="M1253" s="13" t="n">
        <x:v>0.3220273674844693</x:v>
      </x:c>
      <x:c r="N1253" s="13" t="n">
        <x:f>H1253/G1253</x:f>
        <x:v>0.01748870273530961</x:v>
      </x:c>
      <x:c r="O1253" s="13" t="n">
        <x:f>F1253/E1253</x:f>
        <x:v>0</x:v>
      </x:c>
      <x:c r="P1253" s="2" t="str">
        <x:f>IF(AND(E1253&gt;='Итоги'!$F$5,N1253&lt;='Итоги'!$B$5,O1253&gt;='Итоги'!$D$5),"Да","Нет")</x:f>
        <x:v>Нет</x:v>
      </x:c>
    </x:row>
    <x:row r="1254" ht="60" customHeight="1">
      <x:c r="A1254" s="14" t="str">
        <x:v>Обувь</x:v>
      </x:c>
      <x:c r="B1254" s="14" t="str">
        <x:v>Обувь женская</x:v>
      </x:c>
      <x:c r="C1254" s="14" t="str">
        <x:v>Обувь женская повседневная</x:v>
      </x:c>
      <x:c r="D1254" s="14" t="str">
        <x:v>Женские Балетки</x:v>
      </x:c>
      <x:c r="E1254" s="2" t="n">
        <x:v>317</x:v>
      </x:c>
      <x:c r="F1254" s="2" t="n">
        <x:v>0</x:v>
      </x:c>
      <x:c r="G1254" s="12" t="n">
        <x:v>22109186.3495</x:v>
      </x:c>
      <x:c r="H1254" s="12" t="n">
        <x:v>388633.35272188</x:v>
      </x:c>
      <x:c r="I1254" s="13" t="n">
        <x:v>0.0147201892744479</x:v>
      </x:c>
      <x:c r="J1254" s="2" t="n">
        <x:v>222</x:v>
      </x:c>
      <x:c r="K1254" s="2" t="n">
        <x:v>25</x:v>
      </x:c>
      <x:c r="L1254" s="12" t="n">
        <x:v>2996.7188</x:v>
      </x:c>
      <x:c r="M1254" s="13" t="n">
        <x:v>0.6140476036833903</x:v>
      </x:c>
      <x:c r="N1254" s="13" t="n">
        <x:f>H1254/G1254</x:f>
        <x:v>0.01757791293530207</x:v>
      </x:c>
      <x:c r="O1254" s="13" t="n">
        <x:f>F1254/E1254</x:f>
        <x:v>0</x:v>
      </x:c>
      <x:c r="P1254" s="2" t="str">
        <x:f>IF(AND(E1254&gt;='Итоги'!$F$5,N1254&lt;='Итоги'!$B$5,O1254&gt;='Итоги'!$D$5),"Да","Нет")</x:f>
        <x:v>Нет</x:v>
      </x:c>
    </x:row>
    <x:row r="1255" ht="60" customHeight="1">
      <x:c r="A1255" s="14" t="str">
        <x:v>Школьные принадлежности и канцелярия</x:v>
      </x:c>
      <x:c r="B1255" s="14" t="str">
        <x:v>Товары для школы, канцелярия, оборудование</x:v>
      </x:c>
      <x:c r="C1255" s="14" t="str">
        <x:v>Офисные принадлежности</x:v>
      </x:c>
      <x:c r="D1255" s="14" t="str">
        <x:v>Клейкая лента офисная (не для ремонта)</x:v>
      </x:c>
      <x:c r="E1255" s="2" t="n">
        <x:v>12</x:v>
      </x:c>
      <x:c r="F1255" s="2" t="n">
        <x:v>0</x:v>
      </x:c>
      <x:c r="G1255" s="12" t="n">
        <x:v>1333422.7674</x:v>
      </x:c>
      <x:c r="H1255" s="12" t="n">
        <x:v>23584.4693224</x:v>
      </x:c>
      <x:c r="I1255" s="13" t="n">
        <x:v>0.0155666666666666</x:v>
      </x:c>
      <x:c r="J1255" s="2" t="n">
        <x:v>4</x:v>
      </x:c>
      <x:c r="K1255" s="2" t="n">
        <x:v>6</x:v>
      </x:c>
      <x:c r="L1255" s="12" t="n">
        <x:v>2496.73415</x:v>
      </x:c>
      <x:c r="M1255" s="13" t="n">
        <x:v>0.4234228826772618</x:v>
      </x:c>
      <x:c r="N1255" s="13" t="n">
        <x:f>H1255/G1255</x:f>
        <x:v>0.017687165615438403</x:v>
      </x:c>
      <x:c r="O1255" s="13" t="n">
        <x:f>F1255/E1255</x:f>
        <x:v>0</x:v>
      </x:c>
      <x:c r="P1255" s="2" t="str">
        <x:f>IF(AND(E1255&gt;='Итоги'!$F$5,N1255&lt;='Итоги'!$B$5,O1255&gt;='Итоги'!$D$5),"Да","Нет")</x:f>
        <x:v>Нет</x:v>
      </x:c>
    </x:row>
    <x:row r="1256" ht="60" customHeight="1">
      <x:c r="A1256" s="14" t="str">
        <x:v>Автотовары</x:v>
      </x:c>
      <x:c r="B1256" s="14" t="str">
        <x:v>Автоинструменты и гаражное оборудование</x:v>
      </x:c>
      <x:c r="C1256" s="14" t="str">
        <x:v>Оборудование для гаража и автосервиса</x:v>
      </x:c>
      <x:c r="D1256" s="14" t="str">
        <x:v>Подъемник</x:v>
      </x:c>
      <x:c r="E1256" s="2" t="n">
        <x:v>3</x:v>
      </x:c>
      <x:c r="F1256" s="2" t="n">
        <x:v>0</x:v>
      </x:c>
      <x:c r="G1256" s="12" t="n">
        <x:v>847076.5926000001</x:v>
      </x:c>
      <x:c r="H1256" s="12" t="n">
        <x:v>15013.83852218</x:v>
      </x:c>
      <x:c r="I1256" s="13" t="n">
        <x:v>0.0338666666666666</x:v>
      </x:c>
      <x:c r="J1256" s="2" t="n">
        <x:v>0</x:v>
      </x:c>
      <x:c r="K1256" s="2" t="n">
        <x:v>2</x:v>
      </x:c>
      <x:c r="L1256" s="12" t="n">
        <x:v>2985.4127</x:v>
      </x:c>
      <x:c r="M1256" s="13" t="n">
        <x:v>0.992753902004115</x:v>
      </x:c>
      <x:c r="N1256" s="13" t="n">
        <x:f>H1256/G1256</x:f>
        <x:v>0.01772429866831383</x:v>
      </x:c>
      <x:c r="O1256" s="13" t="n">
        <x:f>F1256/E1256</x:f>
        <x:v>0</x:v>
      </x:c>
      <x:c r="P1256" s="2" t="str">
        <x:f>IF(AND(E1256&gt;='Итоги'!$F$5,N1256&lt;='Итоги'!$B$5,O1256&gt;='Итоги'!$D$5),"Да","Нет")</x:f>
        <x:v>Нет</x:v>
      </x:c>
    </x:row>
    <x:row r="1257" ht="60" customHeight="1">
      <x:c r="A1257" s="14" t="str">
        <x:v>Товары для животных</x:v>
      </x:c>
      <x:c r="B1257" s="14" t="str">
        <x:v>Гигиена и уход животных</x:v>
      </x:c>
      <x:c r="C1257" s="14" t="str">
        <x:v>Туалет для животных</x:v>
      </x:c>
      <x:c r="D1257" s="14" t="str">
        <x:v>Система приучения кошек к унитазу</x:v>
      </x:c>
      <x:c r="E1257" s="2" t="n">
        <x:v>3</x:v>
      </x:c>
      <x:c r="F1257" s="2" t="n">
        <x:v>0</x:v>
      </x:c>
      <x:c r="G1257" s="12" t="n">
        <x:v>431970.0901</x:v>
      </x:c>
      <x:c r="H1257" s="12" t="n">
        <x:v>7662.87749481</x:v>
      </x:c>
      <x:c r="I1257" s="13" t="n">
        <x:v>0.0198333333333333</x:v>
      </x:c>
      <x:c r="J1257" s="2" t="n">
        <x:v>1</x:v>
      </x:c>
      <x:c r="K1257" s="2" t="n">
        <x:v>2</x:v>
      </x:c>
      <x:c r="L1257" s="12" t="n">
        <x:v>1318.8846</x:v>
      </x:c>
      <x:c r="M1257" s="13" t="n">
        <x:v>0.7453481096931159</x:v>
      </x:c>
      <x:c r="N1257" s="13" t="n">
        <x:f>H1257/G1257</x:f>
        <x:v>0.01773937055002133</x:v>
      </x:c>
      <x:c r="O1257" s="13" t="n">
        <x:f>F1257/E1257</x:f>
        <x:v>0</x:v>
      </x:c>
      <x:c r="P1257" s="2" t="str">
        <x:f>IF(AND(E1257&gt;='Итоги'!$F$5,N1257&lt;='Итоги'!$B$5,O1257&gt;='Итоги'!$D$5),"Да","Нет")</x:f>
        <x:v>Нет</x:v>
      </x:c>
    </x:row>
    <x:row r="1258" ht="60" customHeight="1">
      <x:c r="A1258" s="14" t="str">
        <x:v>Бытовая химия и гигиена рта</x:v>
      </x:c>
      <x:c r="B1258" s="14" t="str">
        <x:v>Средства для стирки</x:v>
      </x:c>
      <x:c r="C1258" s="14" t="str">
        <x:v>Кондиционер для белья</x:v>
      </x:c>
      <x:c r="D1258" s="14" t="str">
        <x:v>Кондиционер для детского белья</x:v>
      </x:c>
      <x:c r="E1258" s="2" t="n">
        <x:v>12</x:v>
      </x:c>
      <x:c r="F1258" s="2" t="n">
        <x:v>0</x:v>
      </x:c>
      <x:c r="G1258" s="12" t="n">
        <x:v>2184589.6806</x:v>
      </x:c>
      <x:c r="H1258" s="12" t="n">
        <x:v>39132.01654735</x:v>
      </x:c>
      <x:c r="I1258" s="13" t="n">
        <x:v>0.017525</x:v>
      </x:c>
      <x:c r="J1258" s="2" t="n">
        <x:v>4</x:v>
      </x:c>
      <x:c r="K1258" s="2" t="n">
        <x:v>2</x:v>
      </x:c>
      <x:c r="L1258" s="12" t="n">
        <x:v>996.1855</x:v>
      </x:c>
      <x:c r="M1258" s="13" t="n">
        <x:v>0.6771209134768628</x:v>
      </x:c>
      <x:c r="N1258" s="13" t="n">
        <x:f>H1258/G1258</x:f>
        <x:v>0.017912753545829416</x:v>
      </x:c>
      <x:c r="O1258" s="13" t="n">
        <x:f>F1258/E1258</x:f>
        <x:v>0</x:v>
      </x:c>
      <x:c r="P1258" s="2" t="str">
        <x:f>IF(AND(E1258&gt;='Итоги'!$F$5,N1258&lt;='Итоги'!$B$5,O1258&gt;='Итоги'!$D$5),"Да","Нет")</x:f>
        <x:v>Нет</x:v>
      </x:c>
    </x:row>
    <x:row r="1259" ht="60" customHeight="1">
      <x:c r="A1259" s="14" t="str">
        <x:v>Книги</x:v>
      </x:c>
      <x:c r="B1259" s="14" t="str">
        <x:v>Печатные книги: Нехудожественная литература</x:v>
      </x:c>
      <x:c r="C1259" s="14" t="str">
        <x:v>Печатная книга: Компьютерная литература</x:v>
      </x:c>
      <x:c r="D1259" s="14" t="str">
        <x:v>Печатная книга: Компьютерная литература</x:v>
      </x:c>
      <x:c r="E1259" s="2" t="n">
        <x:v>15</x:v>
      </x:c>
      <x:c r="F1259" s="2" t="n">
        <x:v>0</x:v>
      </x:c>
      <x:c r="G1259" s="12" t="n">
        <x:v>715000.8072</x:v>
      </x:c>
      <x:c r="H1259" s="12" t="n">
        <x:v>12863.956516679998</x:v>
      </x:c>
      <x:c r="I1259" s="13" t="n">
        <x:v>0.0096466666666666</x:v>
      </x:c>
      <x:c r="J1259" s="2" t="n">
        <x:v>9</x:v>
      </x:c>
      <x:c r="K1259" s="2" t="n">
        <x:v>3</x:v>
      </x:c>
      <x:c r="L1259" s="12" t="n">
        <x:v>1974.687</x:v>
      </x:c>
      <x:c r="M1259" s="13" t="n">
        <x:v>0.574200774272916</x:v>
      </x:c>
      <x:c r="N1259" s="13" t="n">
        <x:f>H1259/G1259</x:f>
        <x:v>0.017991527264222644</x:v>
      </x:c>
      <x:c r="O1259" s="13" t="n">
        <x:f>F1259/E1259</x:f>
        <x:v>0</x:v>
      </x:c>
      <x:c r="P1259" s="2" t="str">
        <x:f>IF(AND(E1259&gt;='Итоги'!$F$5,N1259&lt;='Итоги'!$B$5,O1259&gt;='Итоги'!$D$5),"Да","Нет")</x:f>
        <x:v>Нет</x:v>
      </x:c>
    </x:row>
    <x:row r="1260" ht="60" customHeight="1">
      <x:c r="A1260" s="14" t="str">
        <x:v>Обувь</x:v>
      </x:c>
      <x:c r="B1260" s="14" t="str">
        <x:v>Обувь женская</x:v>
      </x:c>
      <x:c r="C1260" s="14" t="str">
        <x:v>Обувь женская летняя</x:v>
      </x:c>
      <x:c r="D1260" s="14" t="str">
        <x:v>Женские Босоножки</x:v>
      </x:c>
      <x:c r="E1260" s="2" t="n">
        <x:v>4329</x:v>
      </x:c>
      <x:c r="F1260" s="2" t="n">
        <x:v>0</x:v>
      </x:c>
      <x:c r="G1260" s="12" t="n">
        <x:v>325030323.0205</x:v>
      </x:c>
      <x:c r="H1260" s="12" t="n">
        <x:v>5850225.19171736</x:v>
      </x:c>
      <x:c r="I1260" s="13" t="n">
        <x:v>0.0145736659736659</x:v>
      </x:c>
      <x:c r="J1260" s="2" t="n">
        <x:v>3162</x:v>
      </x:c>
      <x:c r="K1260" s="2" t="n">
        <x:v>111</x:v>
      </x:c>
      <x:c r="L1260" s="12" t="n">
        <x:v>2315.17</x:v>
      </x:c>
      <x:c r="M1260" s="13" t="n">
        <x:v>0.7258274434915432</x:v>
      </x:c>
      <x:c r="N1260" s="13" t="n">
        <x:f>H1260/G1260</x:f>
        <x:v>0.017999013560800543</x:v>
      </x:c>
      <x:c r="O1260" s="13" t="n">
        <x:f>F1260/E1260</x:f>
        <x:v>0</x:v>
      </x:c>
      <x:c r="P1260" s="2" t="str">
        <x:f>IF(AND(E1260&gt;='Итоги'!$F$5,N1260&lt;='Итоги'!$B$5,O1260&gt;='Итоги'!$D$5),"Да","Нет")</x:f>
        <x:v>Нет</x:v>
      </x:c>
    </x:row>
    <x:row r="1261" ht="60" customHeight="1">
      <x:c r="A1261" s="14" t="str">
        <x:v>Ноутбуки и компьютеры</x:v>
      </x:c>
      <x:c r="B1261" s="14" t="str">
        <x:v>Компьютерная периферия Lap&amp;Comp</x:v>
      </x:c>
      <x:c r="C1261" s="14" t="str">
        <x:v>Периферийное оборудование Lap&amp;Comp</x:v>
      </x:c>
      <x:c r="D1261" s="14" t="str">
        <x:v>Источник бесперебойного питания и батареи</x:v>
      </x:c>
      <x:c r="E1261" s="2" t="n">
        <x:v>160</x:v>
      </x:c>
      <x:c r="F1261" s="2" t="n">
        <x:v>0</x:v>
      </x:c>
      <x:c r="G1261" s="12" t="n">
        <x:v>39287122.45</x:v>
      </x:c>
      <x:c r="H1261" s="12" t="n">
        <x:v>711686.686735</x:v>
      </x:c>
      <x:c r="I1261" s="13" t="n">
        <x:v>0.02731875</x:v>
      </x:c>
      <x:c r="J1261" s="2" t="n">
        <x:v>66</x:v>
      </x:c>
      <x:c r="K1261" s="2" t="n">
        <x:v>15</x:v>
      </x:c>
      <x:c r="L1261" s="12" t="n">
        <x:v>6031.50895</x:v>
      </x:c>
      <x:c r="M1261" s="13" t="n">
        <x:v>0.7185067314595345</x:v>
      </x:c>
      <x:c r="N1261" s="13" t="n">
        <x:f>H1261/G1261</x:f>
        <x:v>0.01811501179911434</x:v>
      </x:c>
      <x:c r="O1261" s="13" t="n">
        <x:f>F1261/E1261</x:f>
        <x:v>0</x:v>
      </x:c>
      <x:c r="P1261" s="2" t="str">
        <x:f>IF(AND(E1261&gt;='Итоги'!$F$5,N1261&lt;='Итоги'!$B$5,O1261&gt;='Итоги'!$D$5),"Да","Нет")</x:f>
        <x:v>Нет</x:v>
      </x:c>
    </x:row>
    <x:row r="1262" ht="60" customHeight="1">
      <x:c r="A1262" s="14" t="str">
        <x:v>Спорт и отдых</x:v>
      </x:c>
      <x:c r="B1262" s="14" t="str">
        <x:v>Товары для охоты</x:v>
      </x:c>
      <x:c r="C1262" s="14" t="str">
        <x:v>Аксессуары для охотничьего оружия</x:v>
      </x:c>
      <x:c r="D1262" s="14" t="str">
        <x:v>Планка оружейная</x:v>
      </x:c>
      <x:c r="E1262" s="2" t="n">
        <x:v>10</x:v>
      </x:c>
      <x:c r="F1262" s="2" t="n">
        <x:v>0</x:v>
      </x:c>
      <x:c r="G1262" s="12" t="n">
        <x:v>1268122.06</x:v>
      </x:c>
      <x:c r="H1262" s="12" t="n">
        <x:v>22983.573702</x:v>
      </x:c>
      <x:c r="I1262" s="13" t="n">
        <x:v>0.0260899999999999</x:v>
      </x:c>
      <x:c r="J1262" s="2" t="n">
        <x:v>7</x:v>
      </x:c>
      <x:c r="K1262" s="2" t="n">
        <x:v>4</x:v>
      </x:c>
      <x:c r="L1262" s="12" t="n">
        <x:v>4608.37535</x:v>
      </x:c>
      <x:c r="M1262" s="13" t="n">
        <x:v>0.3722811982310283</x:v>
      </x:c>
      <x:c r="N1262" s="13" t="n">
        <x:f>H1262/G1262</x:f>
        <x:v>0.01812410210890898</x:v>
      </x:c>
      <x:c r="O1262" s="13" t="n">
        <x:f>F1262/E1262</x:f>
        <x:v>0</x:v>
      </x:c>
      <x:c r="P1262" s="2" t="str">
        <x:f>IF(AND(E1262&gt;='Итоги'!$F$5,N1262&lt;='Итоги'!$B$5,O1262&gt;='Итоги'!$D$5),"Да","Нет")</x:f>
        <x:v>Нет</x:v>
      </x:c>
    </x:row>
    <x:row r="1263" ht="60" customHeight="1">
      <x:c r="A1263" s="14" t="str">
        <x:v>Товары для дома</x:v>
      </x:c>
      <x:c r="B1263" s="14" t="str">
        <x:v>Антиквариат Хоум Декор</x:v>
      </x:c>
      <x:c r="C1263" s="14" t="str">
        <x:v>Винтаж Хоум Декор</x:v>
      </x:c>
      <x:c r="D1263" s="14" t="str">
        <x:v>Виниловая пластинка современная от 2010 г.</x:v>
      </x:c>
      <x:c r="E1263" s="2" t="n">
        <x:v>32</x:v>
      </x:c>
      <x:c r="F1263" s="2" t="n">
        <x:v>0</x:v>
      </x:c>
      <x:c r="G1263" s="12" t="n">
        <x:v>2492586.88</x:v>
      </x:c>
      <x:c r="H1263" s="12" t="n">
        <x:v>45196.649821000006</x:v>
      </x:c>
      <x:c r="I1263" s="13" t="n">
        <x:v>0.012840625</x:v>
      </x:c>
      <x:c r="J1263" s="2" t="n">
        <x:v>27</x:v>
      </x:c>
      <x:c r="K1263" s="2" t="n">
        <x:v>6</x:v>
      </x:c>
      <x:c r="L1263" s="12" t="n">
        <x:v>3867.01175</x:v>
      </x:c>
      <x:c r="M1263" s="13" t="n">
        <x:v>0.8136104327083676</x:v>
      </x:c>
      <x:c r="N1263" s="13" t="n">
        <x:f>H1263/G1263</x:f>
        <x:v>0.01813242707150894</x:v>
      </x:c>
      <x:c r="O1263" s="13" t="n">
        <x:f>F1263/E1263</x:f>
        <x:v>0</x:v>
      </x:c>
      <x:c r="P1263" s="2" t="str">
        <x:f>IF(AND(E1263&gt;='Итоги'!$F$5,N1263&lt;='Итоги'!$B$5,O1263&gt;='Итоги'!$D$5),"Да","Нет")</x:f>
        <x:v>Нет</x:v>
      </x:c>
    </x:row>
    <x:row r="1264" ht="60" customHeight="1">
      <x:c r="A1264" s="14" t="str">
        <x:v>Бакалея и кондитерские изделия</x:v>
      </x:c>
      <x:c r="B1264" s="14" t="str">
        <x:v>Кондитерские изделия</x:v>
      </x:c>
      <x:c r="C1264" s="14" t="str">
        <x:v>Конфеты</x:v>
      </x:c>
      <x:c r="D1264" s="14" t="str">
        <x:v>Леденец</x:v>
      </x:c>
      <x:c r="E1264" s="2" t="n">
        <x:v>13</x:v>
      </x:c>
      <x:c r="F1264" s="2" t="n">
        <x:v>0</x:v>
      </x:c>
      <x:c r="G1264" s="12" t="n">
        <x:v>1714675.1615</x:v>
      </x:c>
      <x:c r="H1264" s="12" t="n">
        <x:v>31192.55844838</x:v>
      </x:c>
      <x:c r="I1264" s="13" t="n">
        <x:v>0.0211384615384615</x:v>
      </x:c>
      <x:c r="J1264" s="2" t="n">
        <x:v>8</x:v>
      </x:c>
      <x:c r="K1264" s="2" t="n">
        <x:v>4</x:v>
      </x:c>
      <x:c r="L1264" s="12" t="n">
        <x:v>1454.7603</x:v>
      </x:c>
      <x:c r="M1264" s="13" t="n">
        <x:v>0.6108818669092269</x:v>
      </x:c>
      <x:c r="N1264" s="13" t="n">
        <x:f>H1264/G1264</x:f>
        <x:v>0.0181915263886442</x:v>
      </x:c>
      <x:c r="O1264" s="13" t="n">
        <x:f>F1264/E1264</x:f>
        <x:v>0</x:v>
      </x:c>
      <x:c r="P1264" s="2" t="str">
        <x:f>IF(AND(E1264&gt;='Итоги'!$F$5,N1264&lt;='Итоги'!$B$5,O1264&gt;='Итоги'!$D$5),"Да","Нет")</x:f>
        <x:v>Нет</x:v>
      </x:c>
    </x:row>
    <x:row r="1265" ht="60" customHeight="1">
      <x:c r="A1265" s="14" t="str">
        <x:v>Строительство и ремонт (DIY)</x:v>
      </x:c>
      <x:c r="B1265" s="14" t="str">
        <x:v>Ремонт и строительство</x:v>
      </x:c>
      <x:c r="C1265" s="14" t="str">
        <x:v>Скобяные изделия</x:v>
      </x:c>
      <x:c r="D1265" s="14" t="str">
        <x:v>Тарная фурнитура</x:v>
      </x:c>
      <x:c r="E1265" s="2" t="n">
        <x:v>1</x:v>
      </x:c>
      <x:c r="F1265" s="2" t="n">
        <x:v>0</x:v>
      </x:c>
      <x:c r="G1265" s="12" t="n">
        <x:v>70037.6725</x:v>
      </x:c>
      <x:c r="H1265" s="12" t="n">
        <x:v>1281.68940675</x:v>
      </x:c>
      <x:c r="I1265" s="13" t="n">
        <x:v>0.0183</x:v>
      </x:c>
      <x:c r="J1265" s="2" t="n">
        <x:v>0</x:v>
      </x:c>
      <x:c r="K1265" s="2" t="n">
        <x:v>1</x:v>
      </x:c>
      <x:c r="L1265" s="12" t="n">
        <x:v>897.9189</x:v>
      </x:c>
      <x:c r="M1265" s="13" t="n">
        <x:v>1</x:v>
      </x:c>
      <x:c r="N1265" s="13" t="n">
        <x:f>H1265/G1265</x:f>
        <x:v>0.0183</x:v>
      </x:c>
      <x:c r="O1265" s="13" t="n">
        <x:f>F1265/E1265</x:f>
        <x:v>0</x:v>
      </x:c>
      <x:c r="P1265" s="2" t="str">
        <x:f>IF(AND(E1265&gt;='Итоги'!$F$5,N1265&lt;='Итоги'!$B$5,O1265&gt;='Итоги'!$D$5),"Да","Нет")</x:f>
        <x:v>Нет</x:v>
      </x:c>
    </x:row>
    <x:row r="1266" ht="60" customHeight="1">
      <x:c r="A1266" s="14" t="str">
        <x:v>Школьные принадлежности и канцелярия</x:v>
      </x:c>
      <x:c r="B1266" s="14" t="str">
        <x:v>Товары для школы, канцелярия, оборудование</x:v>
      </x:c>
      <x:c r="C1266" s="14" t="str">
        <x:v>Демонстрационное оборудование и аксессуары</x:v>
      </x:c>
      <x:c r="D1266" s="14" t="str">
        <x:v>Доска меловая</x:v>
      </x:c>
      <x:c r="E1266" s="2" t="n">
        <x:v>6</x:v>
      </x:c>
      <x:c r="F1266" s="2" t="n">
        <x:v>0</x:v>
      </x:c>
      <x:c r="G1266" s="12" t="n">
        <x:v>573947.186</x:v>
      </x:c>
      <x:c r="H1266" s="12" t="n">
        <x:v>10534.9833</x:v>
      </x:c>
      <x:c r="I1266" s="13" t="n">
        <x:v>0.0253833333333333</x:v>
      </x:c>
      <x:c r="J1266" s="2" t="n">
        <x:v>3</x:v>
      </x:c>
      <x:c r="K1266" s="2" t="n">
        <x:v>4</x:v>
      </x:c>
      <x:c r="L1266" s="12" t="n">
        <x:v>3415.18035</x:v>
      </x:c>
      <x:c r="M1266" s="13" t="n">
        <x:v>0.4893250111692332</x:v>
      </x:c>
      <x:c r="N1266" s="13" t="n">
        <x:f>H1266/G1266</x:f>
        <x:v>0.018355318323661926</x:v>
      </x:c>
      <x:c r="O1266" s="13" t="n">
        <x:f>F1266/E1266</x:f>
        <x:v>0</x:v>
      </x:c>
      <x:c r="P1266" s="2" t="str">
        <x:f>IF(AND(E1266&gt;='Итоги'!$F$5,N1266&lt;='Итоги'!$B$5,O1266&gt;='Итоги'!$D$5),"Да","Нет")</x:f>
        <x:v>Нет</x:v>
      </x:c>
    </x:row>
    <x:row r="1267" ht="60" customHeight="1">
      <x:c r="A1267" s="14" t="str">
        <x:v>Спорт и отдых</x:v>
      </x:c>
      <x:c r="B1267" s="14" t="str">
        <x:v>Тренажеры и фитнес</x:v>
      </x:c>
      <x:c r="C1267" s="14" t="str">
        <x:v>Кросстренинг и тяжёлая атлетика</x:v>
      </x:c>
      <x:c r="D1267" s="14" t="str">
        <x:v>Гиря</x:v>
      </x:c>
      <x:c r="E1267" s="2" t="n">
        <x:v>42</x:v>
      </x:c>
      <x:c r="F1267" s="2" t="n">
        <x:v>0</x:v>
      </x:c>
      <x:c r="G1267" s="12" t="n">
        <x:v>7431567.0022</x:v>
      </x:c>
      <x:c r="H1267" s="12" t="n">
        <x:v>136668.95376938</x:v>
      </x:c>
      <x:c r="I1267" s="13" t="n">
        <x:v>0.0262214285714285</x:v>
      </x:c>
      <x:c r="J1267" s="2" t="n">
        <x:v>21</x:v>
      </x:c>
      <x:c r="K1267" s="2" t="n">
        <x:v>5</x:v>
      </x:c>
      <x:c r="L1267" s="12" t="n">
        <x:v>4218.2798</x:v>
      </x:c>
      <x:c r="M1267" s="13" t="n">
        <x:v>0.865775077906893</x:v>
      </x:c>
      <x:c r="N1267" s="13" t="n">
        <x:f>H1267/G1267</x:f>
        <x:v>0.018390327871486763</x:v>
      </x:c>
      <x:c r="O1267" s="13" t="n">
        <x:f>F1267/E1267</x:f>
        <x:v>0</x:v>
      </x:c>
      <x:c r="P1267" s="2" t="str">
        <x:f>IF(AND(E1267&gt;='Итоги'!$F$5,N1267&lt;='Итоги'!$B$5,O1267&gt;='Итоги'!$D$5),"Да","Нет")</x:f>
        <x:v>Нет</x:v>
      </x:c>
    </x:row>
    <x:row r="1268" ht="60" customHeight="1">
      <x:c r="A1268" s="14" t="str">
        <x:v>Спорт и отдых</x:v>
      </x:c>
      <x:c r="B1268" s="14" t="str">
        <x:v>Водные виды спорта</x:v>
      </x:c>
      <x:c r="C1268" s="14" t="str">
        <x:v>Отдых на воде</x:v>
      </x:c>
      <x:c r="D1268" s="14" t="str">
        <x:v>Сиденье для лодки</x:v>
      </x:c>
      <x:c r="E1268" s="2" t="n">
        <x:v>42</x:v>
      </x:c>
      <x:c r="F1268" s="2" t="n">
        <x:v>0</x:v>
      </x:c>
      <x:c r="G1268" s="12" t="n">
        <x:v>6964873.2123</x:v>
      </x:c>
      <x:c r="H1268" s="12" t="n">
        <x:v>128392.00050744</x:v>
      </x:c>
      <x:c r="I1268" s="13" t="n">
        <x:v>0.0227238095238095</x:v>
      </x:c>
      <x:c r="J1268" s="2" t="n">
        <x:v>4</x:v>
      </x:c>
      <x:c r="K1268" s="2" t="n">
        <x:v>7</x:v>
      </x:c>
      <x:c r="L1268" s="12" t="n">
        <x:v>4862.90625</x:v>
      </x:c>
      <x:c r="M1268" s="13" t="n">
        <x:v>0.4747645898076645</x:v>
      </x:c>
      <x:c r="N1268" s="13" t="n">
        <x:f>H1268/G1268</x:f>
        <x:v>0.01843421934525658</x:v>
      </x:c>
      <x:c r="O1268" s="13" t="n">
        <x:f>F1268/E1268</x:f>
        <x:v>0</x:v>
      </x:c>
      <x:c r="P1268" s="2" t="str">
        <x:f>IF(AND(E1268&gt;='Итоги'!$F$5,N1268&lt;='Итоги'!$B$5,O1268&gt;='Итоги'!$D$5),"Да","Нет")</x:f>
        <x:v>Нет</x:v>
      </x:c>
    </x:row>
    <x:row r="1269" ht="60" customHeight="1">
      <x:c r="A1269" s="14" t="str">
        <x:v>Одежда</x:v>
      </x:c>
      <x:c r="B1269" s="14" t="str">
        <x:v>Основная одежда мужская</x:v>
      </x:c>
      <x:c r="C1269" s="14" t="str">
        <x:v>Основная одежда мужская комплект</x:v>
      </x:c>
      <x:c r="D1269" s="14" t="str">
        <x:v>Костюм мужской</x:v>
      </x:c>
      <x:c r="E1269" s="2" t="n">
        <x:v>716</x:v>
      </x:c>
      <x:c r="F1269" s="2" t="n">
        <x:v>0</x:v>
      </x:c>
      <x:c r="G1269" s="12" t="n">
        <x:v>61646096.4569</x:v>
      </x:c>
      <x:c r="H1269" s="12" t="n">
        <x:v>1136414.81329586</x:v>
      </x:c>
      <x:c r="I1269" s="13" t="n">
        <x:v>0.012570251396648</x:v>
      </x:c>
      <x:c r="J1269" s="2" t="n">
        <x:v>461</x:v>
      </x:c>
      <x:c r="K1269" s="2" t="n">
        <x:v>34</x:v>
      </x:c>
      <x:c r="L1269" s="12" t="n">
        <x:v>5263.8875</x:v>
      </x:c>
      <x:c r="M1269" s="13" t="n">
        <x:v>0.2007498079809857</x:v>
      </x:c>
      <x:c r="N1269" s="13" t="n">
        <x:f>H1269/G1269</x:f>
        <x:v>0.018434497536926556</x:v>
      </x:c>
      <x:c r="O1269" s="13" t="n">
        <x:f>F1269/E1269</x:f>
        <x:v>0</x:v>
      </x:c>
      <x:c r="P1269" s="2" t="str">
        <x:f>IF(AND(E1269&gt;='Итоги'!$F$5,N1269&lt;='Итоги'!$B$5,O1269&gt;='Итоги'!$D$5),"Да","Нет")</x:f>
        <x:v>Нет</x:v>
      </x:c>
    </x:row>
    <x:row r="1270" ht="60" customHeight="1">
      <x:c r="A1270" s="14" t="str">
        <x:v>Аптека</x:v>
      </x:c>
      <x:c r="B1270" s="14" t="str">
        <x:v>Профессиональные стоматологические приборы и материалы</x:v>
      </x:c>
      <x:c r="C1270" s="14" t="str">
        <x:v>Профессиональные стоматологические материалы</x:v>
      </x:c>
      <x:c r="D1270" s="14" t="str">
        <x:v>Полиры для полировки стоматологические</x:v>
      </x:c>
      <x:c r="E1270" s="2" t="n">
        <x:v>3</x:v>
      </x:c>
      <x:c r="F1270" s="2" t="n">
        <x:v>0</x:v>
      </x:c>
      <x:c r="G1270" s="12" t="n">
        <x:v>209351</x:v>
      </x:c>
      <x:c r="H1270" s="12" t="n">
        <x:v>3868.136</x:v>
      </x:c>
      <x:c r="I1270" s="13" t="n">
        <x:v>0.0154666666666666</x:v>
      </x:c>
      <x:c r="J1270" s="2" t="n">
        <x:v>2</x:v>
      </x:c>
      <x:c r="K1270" s="2" t="n">
        <x:v>2</x:v>
      </x:c>
      <x:c r="L1270" s="12" t="n">
        <x:v>3158.8485</x:v>
      </x:c>
      <x:c r="M1270" s="13" t="n">
        <x:v>0.6017931607682792</x:v>
      </x:c>
      <x:c r="N1270" s="13" t="n">
        <x:f>H1270/G1270</x:f>
        <x:v>0.01847679734035185</x:v>
      </x:c>
      <x:c r="O1270" s="13" t="n">
        <x:f>F1270/E1270</x:f>
        <x:v>0</x:v>
      </x:c>
      <x:c r="P1270" s="2" t="str">
        <x:f>IF(AND(E1270&gt;='Итоги'!$F$5,N1270&lt;='Итоги'!$B$5,O1270&gt;='Итоги'!$D$5),"Да","Нет")</x:f>
        <x:v>Нет</x:v>
      </x:c>
    </x:row>
    <x:row r="1271" ht="60" customHeight="1">
      <x:c r="A1271" s="14" t="str">
        <x:v>Товары для животных</x:v>
      </x:c>
      <x:c r="B1271" s="14" t="str">
        <x:v>Фермерское хозяйство - Корма и кормовые добавки для птицеводства и животноводства</x:v>
      </x:c>
      <x:c r="C1271" s="14" t="str">
        <x:v>Сухие корма для сельскохозяйственных животных и птиц</x:v>
      </x:c>
      <x:c r="D1271" s="14" t="str">
        <x:v>Зерновая смесь для сельхозживотных и птиц</x:v>
      </x:c>
      <x:c r="E1271" s="2" t="n">
        <x:v>1</x:v>
      </x:c>
      <x:c r="F1271" s="2" t="n">
        <x:v>0</x:v>
      </x:c>
      <x:c r="G1271" s="12" t="n">
        <x:v>98026.5118</x:v>
      </x:c>
      <x:c r="H1271" s="12" t="n">
        <x:v>1813.4904683</x:v>
      </x:c>
      <x:c r="I1271" s="13" t="n">
        <x:v>0.0185</x:v>
      </x:c>
      <x:c r="J1271" s="2" t="n">
        <x:v>0</x:v>
      </x:c>
      <x:c r="K1271" s="2" t="n">
        <x:v>1</x:v>
      </x:c>
      <x:c r="L1271" s="12" t="n">
        <x:v>916.1356</x:v>
      </x:c>
      <x:c r="M1271" s="13" t="n">
        <x:v>1</x:v>
      </x:c>
      <x:c r="N1271" s="13" t="n">
        <x:f>H1271/G1271</x:f>
        <x:v>0.018500000000000003</x:v>
      </x:c>
      <x:c r="O1271" s="13" t="n">
        <x:f>F1271/E1271</x:f>
        <x:v>0</x:v>
      </x:c>
      <x:c r="P1271" s="2" t="str">
        <x:f>IF(AND(E1271&gt;='Итоги'!$F$5,N1271&lt;='Итоги'!$B$5,O1271&gt;='Итоги'!$D$5),"Да","Нет")</x:f>
        <x:v>Нет</x:v>
      </x:c>
    </x:row>
    <x:row r="1272" ht="60" customHeight="1">
      <x:c r="A1272" s="14" t="str">
        <x:v>Товары для красоты и здоровья</x:v>
      </x:c>
      <x:c r="B1272" s="14" t="str">
        <x:v>Декоративная косметика</x:v>
      </x:c>
      <x:c r="C1272" s="14" t="str">
        <x:v>Маникюр и педикюр</x:v>
      </x:c>
      <x:c r="D1272" s="14" t="str">
        <x:v>Формы для наращивания ногтей</x:v>
      </x:c>
      <x:c r="E1272" s="2" t="n">
        <x:v>1</x:v>
      </x:c>
      <x:c r="F1272" s="2" t="n">
        <x:v>0</x:v>
      </x:c>
      <x:c r="G1272" s="12" t="n">
        <x:v>90505.2563</x:v>
      </x:c>
      <x:c r="H1272" s="12" t="n">
        <x:v>1674.3472415499998</x:v>
      </x:c>
      <x:c r="I1272" s="13" t="n">
        <x:v>0.0185</x:v>
      </x:c>
      <x:c r="J1272" s="2" t="n">
        <x:v>0</x:v>
      </x:c>
      <x:c r="K1272" s="2" t="n">
        <x:v>1</x:v>
      </x:c>
      <x:c r="L1272" s="12" t="n">
        <x:v>1223.044</x:v>
      </x:c>
      <x:c r="M1272" s="13" t="n">
        <x:v>1</x:v>
      </x:c>
      <x:c r="N1272" s="13" t="n">
        <x:f>H1272/G1272</x:f>
        <x:v>0.0185</x:v>
      </x:c>
      <x:c r="O1272" s="13" t="n">
        <x:f>F1272/E1272</x:f>
        <x:v>0</x:v>
      </x:c>
      <x:c r="P1272" s="2" t="str">
        <x:f>IF(AND(E1272&gt;='Итоги'!$F$5,N1272&lt;='Итоги'!$B$5,O1272&gt;='Итоги'!$D$5),"Да","Нет")</x:f>
        <x:v>Нет</x:v>
      </x:c>
    </x:row>
    <x:row r="1273" ht="60" customHeight="1">
      <x:c r="A1273" s="14" t="str">
        <x:v>Одежда</x:v>
      </x:c>
      <x:c r="B1273" s="14" t="str">
        <x:v>Основная одежда женская</x:v>
      </x:c>
      <x:c r="C1273" s="14" t="str">
        <x:v>Головные уборы, перчатки, шарфы женские</x:v>
      </x:c>
      <x:c r="D1273" s="14" t="str">
        <x:v>Женское кепи</x:v>
      </x:c>
      <x:c r="E1273" s="2" t="n">
        <x:v>3</x:v>
      </x:c>
      <x:c r="F1273" s="2" t="n">
        <x:v>0</x:v>
      </x:c>
      <x:c r="G1273" s="12" t="n">
        <x:v>371817.5</x:v>
      </x:c>
      <x:c r="H1273" s="12" t="n">
        <x:v>6882.4678</x:v>
      </x:c>
      <x:c r="I1273" s="13" t="n">
        <x:v>0.0089333333333333</x:v>
      </x:c>
      <x:c r="J1273" s="2" t="n">
        <x:v>2</x:v>
      </x:c>
      <x:c r="K1273" s="2" t="n">
        <x:v>3</x:v>
      </x:c>
      <x:c r="L1273" s="12" t="n">
        <x:v>1314.8182</x:v>
      </x:c>
      <x:c r="M1273" s="13" t="n">
        <x:v>0.6906842738709179</x:v>
      </x:c>
      <x:c r="N1273" s="13" t="n">
        <x:f>H1273/G1273</x:f>
        <x:v>0.0185103385397406</x:v>
      </x:c>
      <x:c r="O1273" s="13" t="n">
        <x:f>F1273/E1273</x:f>
        <x:v>0</x:v>
      </x:c>
      <x:c r="P1273" s="2" t="str">
        <x:f>IF(AND(E1273&gt;='Итоги'!$F$5,N1273&lt;='Итоги'!$B$5,O1273&gt;='Итоги'!$D$5),"Да","Нет")</x:f>
        <x:v>Нет</x:v>
      </x:c>
    </x:row>
    <x:row r="1274" ht="60" customHeight="1">
      <x:c r="A1274" s="14" t="str">
        <x:v>Товары для животных</x:v>
      </x:c>
      <x:c r="B1274" s="14" t="str">
        <x:v>Спальное место животного</x:v>
      </x:c>
      <x:c r="C1274" s="14" t="str">
        <x:v>Лежак, подстилка для животных</x:v>
      </x:c>
      <x:c r="D1274" s="14" t="str">
        <x:v>Коврик для животных</x:v>
      </x:c>
      <x:c r="E1274" s="2" t="n">
        <x:v>40</x:v>
      </x:c>
      <x:c r="F1274" s="2" t="n">
        <x:v>0</x:v>
      </x:c>
      <x:c r="G1274" s="12" t="n">
        <x:v>7382615.0368</x:v>
      </x:c>
      <x:c r="H1274" s="12" t="n">
        <x:v>137202.06239281</x:v>
      </x:c>
      <x:c r="I1274" s="13" t="n">
        <x:v>0.024415</x:v>
      </x:c>
      <x:c r="J1274" s="2" t="n">
        <x:v>8</x:v>
      </x:c>
      <x:c r="K1274" s="2" t="n">
        <x:v>5</x:v>
      </x:c>
      <x:c r="L1274" s="12" t="n">
        <x:v>2753.6912</x:v>
      </x:c>
      <x:c r="M1274" s="13" t="n">
        <x:v>0.9423943926264456</x:v>
      </x:c>
      <x:c r="N1274" s="13" t="n">
        <x:f>H1274/G1274</x:f>
        <x:v>0.018584480121054823</x:v>
      </x:c>
      <x:c r="O1274" s="13" t="n">
        <x:f>F1274/E1274</x:f>
        <x:v>0</x:v>
      </x:c>
      <x:c r="P1274" s="2" t="str">
        <x:f>IF(AND(E1274&gt;='Итоги'!$F$5,N1274&lt;='Итоги'!$B$5,O1274&gt;='Итоги'!$D$5),"Да","Нет")</x:f>
        <x:v>Нет</x:v>
      </x:c>
    </x:row>
    <x:row r="1275" ht="60" customHeight="1">
      <x:c r="A1275" s="14" t="str">
        <x:v>Одежда</x:v>
      </x:c>
      <x:c r="B1275" s="14" t="str">
        <x:v>Основная одежда женская</x:v>
      </x:c>
      <x:c r="C1275" s="14" t="str">
        <x:v>Основная одежда женская верха</x:v>
      </x:c>
      <x:c r="D1275" s="14" t="str">
        <x:v>Пуловер женский</x:v>
      </x:c>
      <x:c r="E1275" s="2" t="n">
        <x:v>25</x:v>
      </x:c>
      <x:c r="F1275" s="2" t="n">
        <x:v>0</x:v>
      </x:c>
      <x:c r="G1275" s="12" t="n">
        <x:v>661066.42</x:v>
      </x:c>
      <x:c r="H1275" s="12" t="n">
        <x:v>12305.5218</x:v>
      </x:c>
      <x:c r="I1275" s="13" t="n">
        <x:v>0.00468</x:v>
      </x:c>
      <x:c r="J1275" s="2" t="n">
        <x:v>24</x:v>
      </x:c>
      <x:c r="K1275" s="2" t="n">
        <x:v>4</x:v>
      </x:c>
      <x:c r="L1275" s="12" t="n">
        <x:v>5151.13</x:v>
      </x:c>
      <x:c r="M1275" s="13" t="n">
        <x:v>0.7587702911910122</x:v>
      </x:c>
      <x:c r="N1275" s="13" t="n">
        <x:f>H1275/G1275</x:f>
        <x:v>0.018614652669848214</x:v>
      </x:c>
      <x:c r="O1275" s="13" t="n">
        <x:f>F1275/E1275</x:f>
        <x:v>0</x:v>
      </x:c>
      <x:c r="P1275" s="2" t="str">
        <x:f>IF(AND(E1275&gt;='Итоги'!$F$5,N1275&lt;='Итоги'!$B$5,O1275&gt;='Итоги'!$D$5),"Да","Нет")</x:f>
        <x:v>Нет</x:v>
      </x:c>
    </x:row>
    <x:row r="1276" ht="60" customHeight="1">
      <x:c r="A1276" s="14" t="str">
        <x:v>Строительство и ремонт (DIY)</x:v>
      </x:c>
      <x:c r="B1276" s="14" t="str">
        <x:v>Ремонт и строительство</x:v>
      </x:c>
      <x:c r="C1276" s="14" t="str">
        <x:v>Электротовары</x:v>
      </x:c>
      <x:c r="D1276" s="14" t="str">
        <x:v>Распределительный бокс</x:v>
      </x:c>
      <x:c r="E1276" s="2" t="n">
        <x:v>89</x:v>
      </x:c>
      <x:c r="F1276" s="2" t="n">
        <x:v>0</x:v>
      </x:c>
      <x:c r="G1276" s="12" t="n">
        <x:v>14352861.4256</x:v>
      </x:c>
      <x:c r="H1276" s="12" t="n">
        <x:v>267881.90730971</x:v>
      </x:c>
      <x:c r="I1276" s="13" t="n">
        <x:v>0.0212685393258426</x:v>
      </x:c>
      <x:c r="J1276" s="2" t="n">
        <x:v>24</x:v>
      </x:c>
      <x:c r="K1276" s="2" t="n">
        <x:v>8</x:v>
      </x:c>
      <x:c r="L1276" s="12" t="n">
        <x:v>1877.3083</x:v>
      </x:c>
      <x:c r="M1276" s="13" t="n">
        <x:v>0.6242805375322874</x:v>
      </x:c>
      <x:c r="N1276" s="13" t="n">
        <x:f>H1276/G1276</x:f>
        <x:v>0.018664007083069263</x:v>
      </x:c>
      <x:c r="O1276" s="13" t="n">
        <x:f>F1276/E1276</x:f>
        <x:v>0</x:v>
      </x:c>
      <x:c r="P1276" s="2" t="str">
        <x:f>IF(AND(E1276&gt;='Итоги'!$F$5,N1276&lt;='Итоги'!$B$5,O1276&gt;='Итоги'!$D$5),"Да","Нет")</x:f>
        <x:v>Нет</x:v>
      </x:c>
    </x:row>
    <x:row r="1277" ht="60" customHeight="1">
      <x:c r="A1277" s="14" t="str">
        <x:v>Товары для красоты и здоровья</x:v>
      </x:c>
      <x:c r="B1277" s="14" t="str">
        <x:v>Декоративная косметика</x:v>
      </x:c>
      <x:c r="C1277" s="14" t="str">
        <x:v>Губы</x:v>
      </x:c>
      <x:c r="D1277" s="14" t="str">
        <x:v>Карандаш для губ</x:v>
      </x:c>
      <x:c r="E1277" s="2" t="n">
        <x:v>5</x:v>
      </x:c>
      <x:c r="F1277" s="2" t="n">
        <x:v>0</x:v>
      </x:c>
      <x:c r="G1277" s="12" t="n">
        <x:v>763705.4247</x:v>
      </x:c>
      <x:c r="H1277" s="12" t="n">
        <x:v>14266.152208</x:v>
      </x:c>
      <x:c r="I1277" s="13" t="n">
        <x:v>0.0183599999999999</x:v>
      </x:c>
      <x:c r="J1277" s="2" t="n">
        <x:v>1</x:v>
      </x:c>
      <x:c r="K1277" s="2" t="n">
        <x:v>3</x:v>
      </x:c>
      <x:c r="L1277" s="12" t="n">
        <x:v>724.9683</x:v>
      </x:c>
      <x:c r="M1277" s="13" t="n">
        <x:v>0.4801029237733002</x:v>
      </x:c>
      <x:c r="N1277" s="13" t="n">
        <x:f>H1277/G1277</x:f>
        <x:v>0.018680176605533543</x:v>
      </x:c>
      <x:c r="O1277" s="13" t="n">
        <x:f>F1277/E1277</x:f>
        <x:v>0</x:v>
      </x:c>
      <x:c r="P1277" s="2" t="str">
        <x:f>IF(AND(E1277&gt;='Итоги'!$F$5,N1277&lt;='Итоги'!$B$5,O1277&gt;='Итоги'!$D$5),"Да","Нет")</x:f>
        <x:v>Нет</x:v>
      </x:c>
    </x:row>
    <x:row r="1278" ht="60" customHeight="1">
      <x:c r="A1278" s="14" t="str">
        <x:v>Детская одежда</x:v>
      </x:c>
      <x:c r="B1278" s="14" t="str">
        <x:v>Детская обувь</x:v>
      </x:c>
      <x:c r="C1278" s="14" t="str">
        <x:v>Обувь для девочки</x:v>
      </x:c>
      <x:c r="D1278" s="14" t="str">
        <x:v>Туфли для девочки</x:v>
      </x:c>
      <x:c r="E1278" s="2" t="n">
        <x:v>278</x:v>
      </x:c>
      <x:c r="F1278" s="2" t="n">
        <x:v>0</x:v>
      </x:c>
      <x:c r="G1278" s="12" t="n">
        <x:v>21055746.8541</x:v>
      </x:c>
      <x:c r="H1278" s="12" t="n">
        <x:v>394604.34683596</x:v>
      </x:c>
      <x:c r="I1278" s="13" t="n">
        <x:v>0.0174197841726618</x:v>
      </x:c>
      <x:c r="J1278" s="2" t="n">
        <x:v>127</x:v>
      </x:c>
      <x:c r="K1278" s="2" t="n">
        <x:v>23</x:v>
      </x:c>
      <x:c r="L1278" s="12" t="n">
        <x:v>1495.7833500000002</x:v>
      </x:c>
      <x:c r="M1278" s="13" t="n">
        <x:v>0.7758519880865212</x:v>
      </x:c>
      <x:c r="N1278" s="13" t="n">
        <x:f>H1278/G1278</x:f>
        <x:v>0.018740933274429168</x:v>
      </x:c>
      <x:c r="O1278" s="13" t="n">
        <x:f>F1278/E1278</x:f>
        <x:v>0</x:v>
      </x:c>
      <x:c r="P1278" s="2" t="str">
        <x:f>IF(AND(E1278&gt;='Итоги'!$F$5,N1278&lt;='Итоги'!$B$5,O1278&gt;='Итоги'!$D$5),"Да","Нет")</x:f>
        <x:v>Нет</x:v>
      </x:c>
    </x:row>
    <x:row r="1279" ht="60" customHeight="1">
      <x:c r="A1279" s="14" t="str">
        <x:v>Одежда</x:v>
      </x:c>
      <x:c r="B1279" s="14" t="str">
        <x:v>Верхняя одежда</x:v>
      </x:c>
      <x:c r="C1279" s="14" t="str">
        <x:v>Верхняя одежда мужская</x:v>
      </x:c>
      <x:c r="D1279" s="14" t="str">
        <x:v>Бомбер для мужчин</x:v>
      </x:c>
      <x:c r="E1279" s="2" t="n">
        <x:v>21</x:v>
      </x:c>
      <x:c r="F1279" s="2" t="n">
        <x:v>0</x:v>
      </x:c>
      <x:c r="G1279" s="12" t="n">
        <x:v>1285776.9184</x:v>
      </x:c>
      <x:c r="H1279" s="12" t="n">
        <x:v>24163.07349585</x:v>
      </x:c>
      <x:c r="I1279" s="13" t="n">
        <x:v>0.0119714285714285</x:v>
      </x:c>
      <x:c r="J1279" s="2" t="n">
        <x:v>14</x:v>
      </x:c>
      <x:c r="K1279" s="2" t="n">
        <x:v>8</x:v>
      </x:c>
      <x:c r="L1279" s="12" t="n">
        <x:v>2966.5644</x:v>
      </x:c>
      <x:c r="M1279" s="13" t="n">
        <x:v>0.3774999164738467</x:v>
      </x:c>
      <x:c r="N1279" s="13" t="n">
        <x:f>H1279/G1279</x:f>
        <x:v>0.018792586139995526</x:v>
      </x:c>
      <x:c r="O1279" s="13" t="n">
        <x:f>F1279/E1279</x:f>
        <x:v>0</x:v>
      </x:c>
      <x:c r="P1279" s="2" t="str">
        <x:f>IF(AND(E1279&gt;='Итоги'!$F$5,N1279&lt;='Итоги'!$B$5,O1279&gt;='Итоги'!$D$5),"Да","Нет")</x:f>
        <x:v>Нет</x:v>
      </x:c>
    </x:row>
    <x:row r="1280" ht="60" customHeight="1">
      <x:c r="A1280" s="14" t="str">
        <x:v>Мелкая бытовая техника</x:v>
      </x:c>
      <x:c r="B1280" s="14" t="str">
        <x:v>Мелкая бытовая техника SDA</x:v>
      </x:c>
      <x:c r="C1280" s="14" t="str">
        <x:v>Электронная техника для дома SDA</x:v>
      </x:c>
      <x:c r="D1280" s="14" t="str">
        <x:v>Режущий плоттер</x:v>
      </x:c>
      <x:c r="E1280" s="2" t="n">
        <x:v>8</x:v>
      </x:c>
      <x:c r="F1280" s="2" t="n">
        <x:v>0</x:v>
      </x:c>
      <x:c r="G1280" s="12" t="n">
        <x:v>1572159.7408</x:v>
      </x:c>
      <x:c r="H1280" s="12" t="n">
        <x:v>29612.4817</x:v>
      </x:c>
      <x:c r="I1280" s="13" t="n">
        <x:v>0.0331625</x:v>
      </x:c>
      <x:c r="J1280" s="2" t="n">
        <x:v>1</x:v>
      </x:c>
      <x:c r="K1280" s="2" t="n">
        <x:v>4</x:v>
      </x:c>
      <x:c r="L1280" s="12" t="n">
        <x:v>26690.9231</x:v>
      </x:c>
      <x:c r="M1280" s="13" t="n">
        <x:v>0.300340981737471</x:v>
      </x:c>
      <x:c r="N1280" s="13" t="n">
        <x:f>H1280/G1280</x:f>
        <x:v>0.01883554255430276</x:v>
      </x:c>
      <x:c r="O1280" s="13" t="n">
        <x:f>F1280/E1280</x:f>
        <x:v>0</x:v>
      </x:c>
      <x:c r="P1280" s="2" t="str">
        <x:f>IF(AND(E1280&gt;='Итоги'!$F$5,N1280&lt;='Итоги'!$B$5,O1280&gt;='Итоги'!$D$5),"Да","Нет")</x:f>
        <x:v>Нет</x:v>
      </x:c>
    </x:row>
    <x:row r="1281" ht="60" customHeight="1">
      <x:c r="A1281" s="14" t="str">
        <x:v>Товары для красоты и здоровья</x:v>
      </x:c>
      <x:c r="B1281" s="14" t="str">
        <x:v>Косметические средства для детей и беременных</x:v>
      </x:c>
      <x:c r="C1281" s="14" t="str">
        <x:v>Детская декоративная косметика</x:v>
      </x:c>
      <x:c r="D1281" s="14" t="str">
        <x:v>Тени, подводка для век детские</x:v>
      </x:c>
      <x:c r="E1281" s="2" t="n">
        <x:v>2</x:v>
      </x:c>
      <x:c r="F1281" s="2" t="n">
        <x:v>0</x:v>
      </x:c>
      <x:c r="G1281" s="12" t="n">
        <x:v>47329</x:v>
      </x:c>
      <x:c r="H1281" s="12" t="n">
        <x:v>891.9963</x:v>
      </x:c>
      <x:c r="I1281" s="13" t="n">
        <x:v>0.08865</x:v>
      </x:c>
      <x:c r="J1281" s="2" t="n">
        <x:v>1</x:v>
      </x:c>
      <x:c r="K1281" s="2" t="n">
        <x:v>2</x:v>
      </x:c>
      <x:c r="L1281" s="12" t="n">
        <x:v>3759.5588</x:v>
      </x:c>
      <x:c r="M1281" s="13" t="n">
        <x:v>0.8937015360561178</x:v>
      </x:c>
      <x:c r="N1281" s="13" t="n">
        <x:f>H1281/G1281</x:f>
        <x:v>0.018846717657250312</x:v>
      </x:c>
      <x:c r="O1281" s="13" t="n">
        <x:f>F1281/E1281</x:f>
        <x:v>0</x:v>
      </x:c>
      <x:c r="P1281" s="2" t="str">
        <x:f>IF(AND(E1281&gt;='Итоги'!$F$5,N1281&lt;='Итоги'!$B$5,O1281&gt;='Итоги'!$D$5),"Да","Нет")</x:f>
        <x:v>Нет</x:v>
      </x:c>
    </x:row>
    <x:row r="1282" ht="60" customHeight="1">
      <x:c r="A1282" s="14" t="str">
        <x:v>Одежда</x:v>
      </x:c>
      <x:c r="B1282" s="14" t="str">
        <x:v>Основная одежда женская</x:v>
      </x:c>
      <x:c r="C1282" s="14" t="str">
        <x:v>Основная одежда женская верха</x:v>
      </x:c>
      <x:c r="D1282" s="14" t="str">
        <x:v>Водолазка женская</x:v>
      </x:c>
      <x:c r="E1282" s="2" t="n">
        <x:v>16</x:v>
      </x:c>
      <x:c r="F1282" s="2" t="n">
        <x:v>0</x:v>
      </x:c>
      <x:c r="G1282" s="12" t="n">
        <x:v>717138.087</x:v>
      </x:c>
      <x:c r="H1282" s="12" t="n">
        <x:v>13632.941129</x:v>
      </x:c>
      <x:c r="I1282" s="13" t="n">
        <x:v>0.01630625</x:v>
      </x:c>
      <x:c r="J1282" s="2" t="n">
        <x:v>14</x:v>
      </x:c>
      <x:c r="K1282" s="2" t="n">
        <x:v>6</x:v>
      </x:c>
      <x:c r="L1282" s="12" t="n">
        <x:v>3775.0983</x:v>
      </x:c>
      <x:c r="M1282" s="13" t="n">
        <x:v>0.6952621901394005</x:v>
      </x:c>
      <x:c r="N1282" s="13" t="n">
        <x:f>H1282/G1282</x:f>
        <x:v>0.019010203719663825</x:v>
      </x:c>
      <x:c r="O1282" s="13" t="n">
        <x:f>F1282/E1282</x:f>
        <x:v>0</x:v>
      </x:c>
      <x:c r="P1282" s="2" t="str">
        <x:f>IF(AND(E1282&gt;='Итоги'!$F$5,N1282&lt;='Итоги'!$B$5,O1282&gt;='Итоги'!$D$5),"Да","Нет")</x:f>
        <x:v>Нет</x:v>
      </x:c>
    </x:row>
    <x:row r="1283" ht="60" customHeight="1">
      <x:c r="A1283" s="14" t="str">
        <x:v>Одежда</x:v>
      </x:c>
      <x:c r="B1283" s="14" t="str">
        <x:v>Основная одежда мужская</x:v>
      </x:c>
      <x:c r="C1283" s="14" t="str">
        <x:v>Основная одежда мужская верха</x:v>
      </x:c>
      <x:c r="D1283" s="14" t="str">
        <x:v>Толстовка, свитшот мужские</x:v>
      </x:c>
      <x:c r="E1283" s="2" t="n">
        <x:v>228</x:v>
      </x:c>
      <x:c r="F1283" s="2" t="n">
        <x:v>0</x:v>
      </x:c>
      <x:c r="G1283" s="12" t="n">
        <x:v>13959890.9643</x:v>
      </x:c>
      <x:c r="H1283" s="12" t="n">
        <x:v>266370.77557513</x:v>
      </x:c>
      <x:c r="I1283" s="13" t="n">
        <x:v>0.0103021929824561</x:v>
      </x:c>
      <x:c r="J1283" s="2" t="n">
        <x:v>200</x:v>
      </x:c>
      <x:c r="K1283" s="2" t="n">
        <x:v>20</x:v>
      </x:c>
      <x:c r="L1283" s="12" t="n">
        <x:v>3041.72185</x:v>
      </x:c>
      <x:c r="M1283" s="13" t="n">
        <x:v>0.5547627922814751</x:v>
      </x:c>
      <x:c r="N1283" s="13" t="n">
        <x:f>H1283/G1283</x:f>
        <x:v>0.01908115015055111</x:v>
      </x:c>
      <x:c r="O1283" s="13" t="n">
        <x:f>F1283/E1283</x:f>
        <x:v>0</x:v>
      </x:c>
      <x:c r="P1283" s="2" t="str">
        <x:f>IF(AND(E1283&gt;='Итоги'!$F$5,N1283&lt;='Итоги'!$B$5,O1283&gt;='Итоги'!$D$5),"Да","Нет")</x:f>
        <x:v>Нет</x:v>
      </x:c>
    </x:row>
    <x:row r="1284" ht="60" customHeight="1">
      <x:c r="A1284" s="14" t="str">
        <x:v>Бакалея и кондитерские изделия</x:v>
      </x:c>
      <x:c r="B1284" s="14" t="str">
        <x:v>Бакалея</x:v>
      </x:c>
      <x:c r="C1284" s="14" t="str">
        <x:v>Консервы</x:v>
      </x:c>
      <x:c r="D1284" s="14" t="str">
        <x:v>Рыбные консервы</x:v>
      </x:c>
      <x:c r="E1284" s="2" t="n">
        <x:v>18</x:v>
      </x:c>
      <x:c r="F1284" s="2" t="n">
        <x:v>0</x:v>
      </x:c>
      <x:c r="G1284" s="12" t="n">
        <x:v>1817053.3088</x:v>
      </x:c>
      <x:c r="H1284" s="12" t="n">
        <x:v>34710.8007828</x:v>
      </x:c>
      <x:c r="I1284" s="13" t="n">
        <x:v>0.02655</x:v>
      </x:c>
      <x:c r="J1284" s="2" t="n">
        <x:v>11</x:v>
      </x:c>
      <x:c r="K1284" s="2" t="n">
        <x:v>8</x:v>
      </x:c>
      <x:c r="L1284" s="12" t="n">
        <x:v>1686.08945</x:v>
      </x:c>
      <x:c r="M1284" s="13" t="n">
        <x:v>0.3544180490914169</x:v>
      </x:c>
      <x:c r="N1284" s="13" t="n">
        <x:f>H1284/G1284</x:f>
        <x:v>0.01910279715773631</x:v>
      </x:c>
      <x:c r="O1284" s="13" t="n">
        <x:f>F1284/E1284</x:f>
        <x:v>0</x:v>
      </x:c>
      <x:c r="P1284" s="2" t="str">
        <x:f>IF(AND(E1284&gt;='Итоги'!$F$5,N1284&lt;='Итоги'!$B$5,O1284&gt;='Итоги'!$D$5),"Да","Нет")</x:f>
        <x:v>Нет</x:v>
      </x:c>
    </x:row>
    <x:row r="1285" ht="60" customHeight="1">
      <x:c r="A1285" s="14" t="str">
        <x:v>Товары для дома</x:v>
      </x:c>
      <x:c r="B1285" s="14" t="str">
        <x:v>Кухня</x:v>
      </x:c>
      <x:c r="C1285" s="14" t="str">
        <x:v>Питьевое стекло, аксессуар для бара, сосуд для жидкости</x:v>
      </x:c>
      <x:c r="D1285" s="14" t="str">
        <x:v>Набор для воды, сока</x:v>
      </x:c>
      <x:c r="E1285" s="2" t="n">
        <x:v>2</x:v>
      </x:c>
      <x:c r="F1285" s="2" t="n">
        <x:v>0</x:v>
      </x:c>
      <x:c r="G1285" s="12" t="n">
        <x:v>187284.25</x:v>
      </x:c>
      <x:c r="H1285" s="12" t="n">
        <x:v>3581.7352</x:v>
      </x:c>
      <x:c r="I1285" s="13" t="n">
        <x:v>0.01975</x:v>
      </x:c>
      <x:c r="J1285" s="2" t="n">
        <x:v>0</x:v>
      </x:c>
      <x:c r="K1285" s="2" t="n">
        <x:v>1</x:v>
      </x:c>
      <x:c r="L1285" s="12" t="n">
        <x:v>1327.85155</x:v>
      </x:c>
      <x:c r="M1285" s="13" t="n">
        <x:v>1</x:v>
      </x:c>
      <x:c r="N1285" s="13" t="n">
        <x:f>H1285/G1285</x:f>
        <x:v>0.01912459376589329</x:v>
      </x:c>
      <x:c r="O1285" s="13" t="n">
        <x:f>F1285/E1285</x:f>
        <x:v>0</x:v>
      </x:c>
      <x:c r="P1285" s="2" t="str">
        <x:f>IF(AND(E1285&gt;='Итоги'!$F$5,N1285&lt;='Итоги'!$B$5,O1285&gt;='Итоги'!$D$5),"Да","Нет")</x:f>
        <x:v>Нет</x:v>
      </x:c>
    </x:row>
    <x:row r="1286" ht="60" customHeight="1">
      <x:c r="A1286" s="14" t="str">
        <x:v>Детская одежда</x:v>
      </x:c>
      <x:c r="B1286" s="14" t="str">
        <x:v>Детская обувь</x:v>
      </x:c>
      <x:c r="C1286" s="14" t="str">
        <x:v>Обувь для мальчика</x:v>
      </x:c>
      <x:c r="D1286" s="14" t="str">
        <x:v>Кроссовки для мальчика</x:v>
      </x:c>
      <x:c r="E1286" s="2" t="n">
        <x:v>173</x:v>
      </x:c>
      <x:c r="F1286" s="2" t="n">
        <x:v>0</x:v>
      </x:c>
      <x:c r="G1286" s="12" t="n">
        <x:v>15085697.9368</x:v>
      </x:c>
      <x:c r="H1286" s="12" t="n">
        <x:v>288538.27073048</x:v>
      </x:c>
      <x:c r="I1286" s="13" t="n">
        <x:v>0.0184537572254335</x:v>
      </x:c>
      <x:c r="J1286" s="2" t="n">
        <x:v>101</x:v>
      </x:c>
      <x:c r="K1286" s="2" t="n">
        <x:v>12</x:v>
      </x:c>
      <x:c r="L1286" s="12" t="n">
        <x:v>1595.8636</x:v>
      </x:c>
      <x:c r="M1286" s="13" t="n">
        <x:v>0.758567087677444</x:v>
      </x:c>
      <x:c r="N1286" s="13" t="n">
        <x:f>H1286/G1286</x:f>
        <x:v>0.019126610644020704</x:v>
      </x:c>
      <x:c r="O1286" s="13" t="n">
        <x:f>F1286/E1286</x:f>
        <x:v>0</x:v>
      </x:c>
      <x:c r="P1286" s="2" t="str">
        <x:f>IF(AND(E1286&gt;='Итоги'!$F$5,N1286&lt;='Итоги'!$B$5,O1286&gt;='Итоги'!$D$5),"Да","Нет")</x:f>
        <x:v>Нет</x:v>
      </x:c>
    </x:row>
    <x:row r="1287" ht="60" customHeight="1">
      <x:c r="A1287" s="14" t="str">
        <x:v>Хобби и творчество</x:v>
      </x:c>
      <x:c r="B1287" s="14" t="str">
        <x:v>Взрослое творчество и хобби</x:v>
      </x:c>
      <x:c r="C1287" s="14" t="str">
        <x:v>Вышивание</x:v>
      </x:c>
      <x:c r="D1287" s="14" t="str">
        <x:v>Пяльцы</x:v>
      </x:c>
      <x:c r="E1287" s="2" t="n">
        <x:v>2</x:v>
      </x:c>
      <x:c r="F1287" s="2" t="n">
        <x:v>0</x:v>
      </x:c>
      <x:c r="G1287" s="12" t="n">
        <x:v>203272.7543</x:v>
      </x:c>
      <x:c r="H1287" s="12" t="n">
        <x:v>3900.51015774</x:v>
      </x:c>
      <x:c r="I1287" s="13" t="n">
        <x:v>0.02245</x:v>
      </x:c>
      <x:c r="J1287" s="2" t="n">
        <x:v>0</x:v>
      </x:c>
      <x:c r="K1287" s="2" t="n">
        <x:v>2</x:v>
      </x:c>
      <x:c r="L1287" s="12" t="n">
        <x:v>1560.41715</x:v>
      </x:c>
      <x:c r="M1287" s="13" t="n">
        <x:v>0.578969644531451</x:v>
      </x:c>
      <x:c r="N1287" s="13" t="n">
        <x:f>H1287/G1287</x:f>
        <x:v>0.01918855368085107</x:v>
      </x:c>
      <x:c r="O1287" s="13" t="n">
        <x:f>F1287/E1287</x:f>
        <x:v>0</x:v>
      </x:c>
      <x:c r="P1287" s="2" t="str">
        <x:f>IF(AND(E1287&gt;='Итоги'!$F$5,N1287&lt;='Итоги'!$B$5,O1287&gt;='Итоги'!$D$5),"Да","Нет")</x:f>
        <x:v>Нет</x:v>
      </x:c>
    </x:row>
    <x:row r="1288" ht="60" customHeight="1">
      <x:c r="A1288" s="14" t="str">
        <x:v>Товары для животных</x:v>
      </x:c>
      <x:c r="B1288" s="14" t="str">
        <x:v>Спальное место животного</x:v>
      </x:c>
      <x:c r="C1288" s="14" t="str">
        <x:v>Аксессуары для кормления животных</x:v>
      </x:c>
      <x:c r="D1288" s="14" t="str">
        <x:v>Фильтр для поилки</x:v>
      </x:c>
      <x:c r="E1288" s="2" t="n">
        <x:v>7</x:v>
      </x:c>
      <x:c r="F1288" s="2" t="n">
        <x:v>0</x:v>
      </x:c>
      <x:c r="G1288" s="12" t="n">
        <x:v>1011093.7749</x:v>
      </x:c>
      <x:c r="H1288" s="12" t="n">
        <x:v>19499.15791254</x:v>
      </x:c>
      <x:c r="I1288" s="13" t="n">
        <x:v>0.0235142857142857</x:v>
      </x:c>
      <x:c r="J1288" s="2" t="n">
        <x:v>4</x:v>
      </x:c>
      <x:c r="K1288" s="2" t="n">
        <x:v>5</x:v>
      </x:c>
      <x:c r="L1288" s="12" t="n">
        <x:v>1065.5295</x:v>
      </x:c>
      <x:c r="M1288" s="13" t="n">
        <x:v>0.2711806877924039</x:v>
      </x:c>
      <x:c r="N1288" s="13" t="n">
        <x:f>H1288/G1288</x:f>
        <x:v>0.019285212110487497</x:v>
      </x:c>
      <x:c r="O1288" s="13" t="n">
        <x:f>F1288/E1288</x:f>
        <x:v>0</x:v>
      </x:c>
      <x:c r="P1288" s="2" t="str">
        <x:f>IF(AND(E1288&gt;='Итоги'!$F$5,N1288&lt;='Итоги'!$B$5,O1288&gt;='Итоги'!$D$5),"Да","Нет")</x:f>
        <x:v>Нет</x:v>
      </x:c>
    </x:row>
    <x:row r="1289" ht="60" customHeight="1">
      <x:c r="A1289" s="14" t="str">
        <x:v>Товары для животных</x:v>
      </x:c>
      <x:c r="B1289" s="14" t="str">
        <x:v>Фермерское хозяйство - Корма и кормовые добавки для птицеводства и животноводства</x:v>
      </x:c>
      <x:c r="C1289" s="14" t="str">
        <x:v>Кормовые комплексы и витамины для сельскохозяйственных животных и птиц</x:v>
      </x:c>
      <x:c r="D1289" s="14" t="str">
        <x:v>Мука кормовая для сельхозживотных и птиц</x:v>
      </x:c>
      <x:c r="E1289" s="2" t="n">
        <x:v>1</x:v>
      </x:c>
      <x:c r="F1289" s="2" t="n">
        <x:v>0</x:v>
      </x:c>
      <x:c r="G1289" s="12" t="n">
        <x:v>127981</x:v>
      </x:c>
      <x:c r="H1289" s="12" t="n">
        <x:v>2470.0333</x:v>
      </x:c>
      <x:c r="I1289" s="13" t="n">
        <x:v>0.0193</x:v>
      </x:c>
      <x:c r="J1289" s="2" t="n">
        <x:v>0</x:v>
      </x:c>
      <x:c r="K1289" s="2" t="n">
        <x:v>1</x:v>
      </x:c>
      <x:c r="L1289" s="12" t="n">
        <x:v>999.8516</x:v>
      </x:c>
      <x:c r="M1289" s="13" t="n">
        <x:v>1</x:v>
      </x:c>
      <x:c r="N1289" s="13" t="n">
        <x:f>H1289/G1289</x:f>
        <x:v>0.0193</x:v>
      </x:c>
      <x:c r="O1289" s="13" t="n">
        <x:f>F1289/E1289</x:f>
        <x:v>0</x:v>
      </x:c>
      <x:c r="P1289" s="2" t="str">
        <x:f>IF(AND(E1289&gt;='Итоги'!$F$5,N1289&lt;='Итоги'!$B$5,O1289&gt;='Итоги'!$D$5),"Да","Нет")</x:f>
        <x:v>Нет</x:v>
      </x:c>
    </x:row>
    <x:row r="1290" ht="60" customHeight="1">
      <x:c r="A1290" s="14" t="str">
        <x:v>Аптека</x:v>
      </x:c>
      <x:c r="B1290" s="14" t="str">
        <x:v>Витамины и БАДы</x:v>
      </x:c>
      <x:c r="C1290" s="14" t="str">
        <x:v>Противопростудные препараты</x:v>
      </x:c>
      <x:c r="D1290" s="14" t="str">
        <x:v>БАД противовирусного действия</x:v>
      </x:c>
      <x:c r="E1290" s="2" t="n">
        <x:v>10</x:v>
      </x:c>
      <x:c r="F1290" s="2" t="n">
        <x:v>0</x:v>
      </x:c>
      <x:c r="G1290" s="12" t="n">
        <x:v>2691869.6125</x:v>
      </x:c>
      <x:c r="H1290" s="12" t="n">
        <x:v>52019.70872</x:v>
      </x:c>
      <x:c r="I1290" s="13" t="n">
        <x:v>0.0272</x:v>
      </x:c>
      <x:c r="J1290" s="2" t="n">
        <x:v>6</x:v>
      </x:c>
      <x:c r="K1290" s="2" t="n">
        <x:v>7</x:v>
      </x:c>
      <x:c r="L1290" s="12" t="n">
        <x:v>1846.6902</x:v>
      </x:c>
      <x:c r="M1290" s="13" t="n">
        <x:v>0.3114532431685526</x:v>
      </x:c>
      <x:c r="N1290" s="13" t="n">
        <x:f>H1290/G1290</x:f>
        <x:v>0.019324750529684135</x:v>
      </x:c>
      <x:c r="O1290" s="13" t="n">
        <x:f>F1290/E1290</x:f>
        <x:v>0</x:v>
      </x:c>
      <x:c r="P1290" s="2" t="str">
        <x:f>IF(AND(E1290&gt;='Итоги'!$F$5,N1290&lt;='Итоги'!$B$5,O1290&gt;='Итоги'!$D$5),"Да","Нет")</x:f>
        <x:v>Нет</x:v>
      </x:c>
    </x:row>
    <x:row r="1291" ht="60" customHeight="1">
      <x:c r="A1291" s="14" t="str">
        <x:v>Строительство и ремонт (DIY)</x:v>
      </x:c>
      <x:c r="B1291" s="14" t="str">
        <x:v>Ремонт и строительство</x:v>
      </x:c>
      <x:c r="C1291" s="14" t="str">
        <x:v>Скобяные изделия</x:v>
      </x:c>
      <x:c r="D1291" s="14" t="str">
        <x:v>Веревка хозяйственная</x:v>
      </x:c>
      <x:c r="E1291" s="2" t="n">
        <x:v>3</x:v>
      </x:c>
      <x:c r="F1291" s="2" t="n">
        <x:v>0</x:v>
      </x:c>
      <x:c r="G1291" s="12" t="n">
        <x:v>749241.3568</x:v>
      </x:c>
      <x:c r="H1291" s="12" t="n">
        <x:v>14513.5707</x:v>
      </x:c>
      <x:c r="I1291" s="13" t="n">
        <x:v>0.0444333333333333</x:v>
      </x:c>
      <x:c r="J1291" s="2" t="n">
        <x:v>2</x:v>
      </x:c>
      <x:c r="K1291" s="2" t="n">
        <x:v>3</x:v>
      </x:c>
      <x:c r="L1291" s="12" t="n">
        <x:v>1438.1554</x:v>
      </x:c>
      <x:c r="M1291" s="13" t="n">
        <x:v>0.4477507907903035</x:v>
      </x:c>
      <x:c r="N1291" s="13" t="n">
        <x:f>H1291/G1291</x:f>
        <x:v>0.019371021858680188</x:v>
      </x:c>
      <x:c r="O1291" s="13" t="n">
        <x:f>F1291/E1291</x:f>
        <x:v>0</x:v>
      </x:c>
      <x:c r="P1291" s="2" t="str">
        <x:f>IF(AND(E1291&gt;='Итоги'!$F$5,N1291&lt;='Итоги'!$B$5,O1291&gt;='Итоги'!$D$5),"Да","Нет")</x:f>
        <x:v>Нет</x:v>
      </x:c>
    </x:row>
    <x:row r="1292" ht="60" customHeight="1">
      <x:c r="A1292" s="14" t="str">
        <x:v>Детская одежда</x:v>
      </x:c>
      <x:c r="B1292" s="14" t="str">
        <x:v>Детская обувь</x:v>
      </x:c>
      <x:c r="C1292" s="14" t="str">
        <x:v>Обувь для девочки</x:v>
      </x:c>
      <x:c r="D1292" s="14" t="str">
        <x:v>Резиновые сапоги для девочки</x:v>
      </x:c>
      <x:c r="E1292" s="2" t="n">
        <x:v>17</x:v>
      </x:c>
      <x:c r="F1292" s="2" t="n">
        <x:v>0</x:v>
      </x:c>
      <x:c r="G1292" s="12" t="n">
        <x:v>1601394.89</x:v>
      </x:c>
      <x:c r="H1292" s="12" t="n">
        <x:v>31159.575649550003</x:v>
      </x:c>
      <x:c r="I1292" s="13" t="n">
        <x:v>0.0217941176470588</x:v>
      </x:c>
      <x:c r="J1292" s="2" t="n">
        <x:v>13</x:v>
      </x:c>
      <x:c r="K1292" s="2" t="n">
        <x:v>5</x:v>
      </x:c>
      <x:c r="L1292" s="12" t="n">
        <x:v>1366.121</x:v>
      </x:c>
      <x:c r="M1292" s="13" t="n">
        <x:v>0.6248828232491737</x:v>
      </x:c>
      <x:c r="N1292" s="13" t="n">
        <x:f>H1292/G1292</x:f>
        <x:v>0.01945777137427359</x:v>
      </x:c>
      <x:c r="O1292" s="13" t="n">
        <x:f>F1292/E1292</x:f>
        <x:v>0</x:v>
      </x:c>
      <x:c r="P1292" s="2" t="str">
        <x:f>IF(AND(E1292&gt;='Итоги'!$F$5,N1292&lt;='Итоги'!$B$5,O1292&gt;='Итоги'!$D$5),"Да","Нет")</x:f>
        <x:v>Нет</x:v>
      </x:c>
    </x:row>
    <x:row r="1293" ht="60" customHeight="1">
      <x:c r="A1293" s="14" t="str">
        <x:v>Школьные принадлежности и канцелярия</x:v>
      </x:c>
      <x:c r="B1293" s="14" t="str">
        <x:v>Товары для школы, канцелярия, оборудование</x:v>
      </x:c>
      <x:c r="C1293" s="14" t="str">
        <x:v>Офисные принадлежности</x:v>
      </x:c>
      <x:c r="D1293" s="14" t="str">
        <x:v>Калькулятор</x:v>
      </x:c>
      <x:c r="E1293" s="2" t="n">
        <x:v>6</x:v>
      </x:c>
      <x:c r="F1293" s="2" t="n">
        <x:v>0</x:v>
      </x:c>
      <x:c r="G1293" s="12" t="n">
        <x:v>433508.9261</x:v>
      </x:c>
      <x:c r="H1293" s="12" t="n">
        <x:v>8444.61949305</x:v>
      </x:c>
      <x:c r="I1293" s="13" t="n">
        <x:v>0.01325</x:v>
      </x:c>
      <x:c r="J1293" s="2" t="n">
        <x:v>2</x:v>
      </x:c>
      <x:c r="K1293" s="2" t="n">
        <x:v>4</x:v>
      </x:c>
      <x:c r="L1293" s="12" t="n">
        <x:v>1204.15945</x:v>
      </x:c>
      <x:c r="M1293" s="13" t="n">
        <x:v>0.6405844377837367</x:v>
      </x:c>
      <x:c r="N1293" s="13" t="n">
        <x:f>H1293/G1293</x:f>
        <x:v>0.01947969000089754</x:v>
      </x:c>
      <x:c r="O1293" s="13" t="n">
        <x:f>F1293/E1293</x:f>
        <x:v>0</x:v>
      </x:c>
      <x:c r="P1293" s="2" t="str">
        <x:f>IF(AND(E1293&gt;='Итоги'!$F$5,N1293&lt;='Итоги'!$B$5,O1293&gt;='Итоги'!$D$5),"Да","Нет")</x:f>
        <x:v>Нет</x:v>
      </x:c>
    </x:row>
    <x:row r="1294" ht="60" customHeight="1">
      <x:c r="A1294" s="14" t="str">
        <x:v>Аксессуары для электроники</x:v>
      </x:c>
      <x:c r="B1294" s="14" t="str">
        <x:v>Компьютерная периферия Access</x:v>
      </x:c>
      <x:c r="C1294" s="14" t="str">
        <x:v>Электронные носители информации Access</x:v>
      </x:c>
      <x:c r="D1294" s="14" t="str">
        <x:v>Внешний SSD</x:v>
      </x:c>
      <x:c r="E1294" s="2" t="n">
        <x:v>45</x:v>
      </x:c>
      <x:c r="F1294" s="2" t="n">
        <x:v>0</x:v>
      </x:c>
      <x:c r="G1294" s="12" t="n">
        <x:v>4961225.4608</x:v>
      </x:c>
      <x:c r="H1294" s="12" t="n">
        <x:v>97349.773716</x:v>
      </x:c>
      <x:c r="I1294" s="13" t="n">
        <x:v>0.0172222222222222</x:v>
      </x:c>
      <x:c r="J1294" s="2" t="n">
        <x:v>38</x:v>
      </x:c>
      <x:c r="K1294" s="2" t="n">
        <x:v>8</x:v>
      </x:c>
      <x:c r="L1294" s="12" t="n">
        <x:v>11891.4286</x:v>
      </x:c>
      <x:c r="M1294" s="13" t="n">
        <x:v>0.6537077070222553</x:v>
      </x:c>
      <x:c r="N1294" s="13" t="n">
        <x:f>H1294/G1294</x:f>
        <x:v>0.01962212249477215</x:v>
      </x:c>
      <x:c r="O1294" s="13" t="n">
        <x:f>F1294/E1294</x:f>
        <x:v>0</x:v>
      </x:c>
      <x:c r="P1294" s="2" t="str">
        <x:f>IF(AND(E1294&gt;='Итоги'!$F$5,N1294&lt;='Итоги'!$B$5,O1294&gt;='Итоги'!$D$5),"Да","Нет")</x:f>
        <x:v>Нет</x:v>
      </x:c>
    </x:row>
    <x:row r="1295" ht="60" customHeight="1">
      <x:c r="A1295" s="14" t="str">
        <x:v>Хобби и творчество</x:v>
      </x:c>
      <x:c r="B1295" s="14" t="str">
        <x:v>Взрослое творчество и хобби</x:v>
      </x:c>
      <x:c r="C1295" s="14" t="str">
        <x:v>Литье</x:v>
      </x:c>
      <x:c r="D1295" s="14" t="str">
        <x:v>Материалы для изготовления объемных моделей, фигурок, декоративных предметов</x:v>
      </x:c>
      <x:c r="E1295" s="2" t="n">
        <x:v>9</x:v>
      </x:c>
      <x:c r="F1295" s="2" t="n">
        <x:v>0</x:v>
      </x:c>
      <x:c r="G1295" s="12" t="n">
        <x:v>932855.5865</x:v>
      </x:c>
      <x:c r="H1295" s="12" t="n">
        <x:v>18326.06493856</x:v>
      </x:c>
      <x:c r="I1295" s="13" t="n">
        <x:v>0.0182555555555555</x:v>
      </x:c>
      <x:c r="J1295" s="2" t="n">
        <x:v>5</x:v>
      </x:c>
      <x:c r="K1295" s="2" t="n">
        <x:v>4</x:v>
      </x:c>
      <x:c r="L1295" s="12" t="n">
        <x:v>3194.4231</x:v>
      </x:c>
      <x:c r="M1295" s="13" t="n">
        <x:v>0.4455038003891506</x:v>
      </x:c>
      <x:c r="N1295" s="13" t="n">
        <x:f>H1295/G1295</x:f>
        <x:v>0.019645125358918564</x:v>
      </x:c>
      <x:c r="O1295" s="13" t="n">
        <x:f>F1295/E1295</x:f>
        <x:v>0</x:v>
      </x:c>
      <x:c r="P1295" s="2" t="str">
        <x:f>IF(AND(E1295&gt;='Итоги'!$F$5,N1295&lt;='Итоги'!$B$5,O1295&gt;='Итоги'!$D$5),"Да","Нет")</x:f>
        <x:v>Нет</x:v>
      </x:c>
    </x:row>
    <x:row r="1296" ht="60" customHeight="1">
      <x:c r="A1296" s="14" t="str">
        <x:v>Одежда</x:v>
      </x:c>
      <x:c r="B1296" s="14" t="str">
        <x:v>Основная одежда женская</x:v>
      </x:c>
      <x:c r="C1296" s="14" t="str">
        <x:v>Пляжная одежда женская</x:v>
      </x:c>
      <x:c r="D1296" s="14" t="str">
        <x:v>Спортивный купальный верх женский</x:v>
      </x:c>
      <x:c r="E1296" s="2" t="n">
        <x:v>32</x:v>
      </x:c>
      <x:c r="F1296" s="2" t="n">
        <x:v>0</x:v>
      </x:c>
      <x:c r="G1296" s="12" t="n">
        <x:v>791179.91</x:v>
      </x:c>
      <x:c r="H1296" s="12" t="n">
        <x:v>15545.666688</x:v>
      </x:c>
      <x:c r="I1296" s="13" t="n">
        <x:v>0.0263875</x:v>
      </x:c>
      <x:c r="J1296" s="2" t="n">
        <x:v>18</x:v>
      </x:c>
      <x:c r="K1296" s="2" t="n">
        <x:v>3</x:v>
      </x:c>
      <x:c r="L1296" s="12" t="n">
        <x:v>2676.8219</x:v>
      </x:c>
      <x:c r="M1296" s="13" t="n">
        <x:v>0.91167220108003</x:v>
      </x:c>
      <x:c r="N1296" s="13" t="n">
        <x:f>H1296/G1296</x:f>
        <x:v>0.019648712627194993</x:v>
      </x:c>
      <x:c r="O1296" s="13" t="n">
        <x:f>F1296/E1296</x:f>
        <x:v>0</x:v>
      </x:c>
      <x:c r="P1296" s="2" t="str">
        <x:f>IF(AND(E1296&gt;='Итоги'!$F$5,N1296&lt;='Итоги'!$B$5,O1296&gt;='Итоги'!$D$5),"Да","Нет")</x:f>
        <x:v>Нет</x:v>
      </x:c>
    </x:row>
    <x:row r="1297" ht="60" customHeight="1">
      <x:c r="A1297" s="14" t="str">
        <x:v>Строительство и ремонт (DIY)</x:v>
      </x:c>
      <x:c r="B1297" s="14" t="str">
        <x:v>Сантехника</x:v>
      </x:c>
      <x:c r="C1297" s="14" t="str">
        <x:v>Душевая программа</x:v>
      </x:c>
      <x:c r="D1297" s="14" t="str">
        <x:v>Душевой поддон</x:v>
      </x:c>
      <x:c r="E1297" s="2" t="n">
        <x:v>4</x:v>
      </x:c>
      <x:c r="F1297" s="2" t="n">
        <x:v>0</x:v>
      </x:c>
      <x:c r="G1297" s="12" t="n">
        <x:v>447953</x:v>
      </x:c>
      <x:c r="H1297" s="12" t="n">
        <x:v>8835.481</x:v>
      </x:c>
      <x:c r="I1297" s="13" t="n">
        <x:v>0.01585</x:v>
      </x:c>
      <x:c r="J1297" s="2" t="n">
        <x:v>1</x:v>
      </x:c>
      <x:c r="K1297" s="2" t="n">
        <x:v>1</x:v>
      </x:c>
      <x:c r="L1297" s="12" t="n">
        <x:v>12555.33335</x:v>
      </x:c>
      <x:c r="M1297" s="13" t="n">
        <x:v>1</x:v>
      </x:c>
      <x:c r="N1297" s="13" t="n">
        <x:f>H1297/G1297</x:f>
        <x:v>0.01972412507562177</x:v>
      </x:c>
      <x:c r="O1297" s="13" t="n">
        <x:f>F1297/E1297</x:f>
        <x:v>0</x:v>
      </x:c>
      <x:c r="P1297" s="2" t="str">
        <x:f>IF(AND(E1297&gt;='Итоги'!$F$5,N1297&lt;='Итоги'!$B$5,O1297&gt;='Итоги'!$D$5),"Да","Нет")</x:f>
        <x:v>Нет</x:v>
      </x:c>
    </x:row>
    <x:row r="1298" ht="60" customHeight="1">
      <x:c r="A1298" s="14" t="str">
        <x:v>Автотовары</x:v>
      </x:c>
      <x:c r="B1298" s="14" t="str">
        <x:v>Универсальные авто и мото аксессуары</x:v>
      </x:c>
      <x:c r="C1298" s="14" t="str">
        <x:v>Мотоэкипировка</x:v>
      </x:c>
      <x:c r="D1298" s="14" t="str">
        <x:v>Шлем для авто-мото</x:v>
      </x:c>
      <x:c r="E1298" s="2" t="n">
        <x:v>165</x:v>
      </x:c>
      <x:c r="F1298" s="2" t="n">
        <x:v>0</x:v>
      </x:c>
      <x:c r="G1298" s="12" t="n">
        <x:v>13102818.8594</x:v>
      </x:c>
      <x:c r="H1298" s="12" t="n">
        <x:v>258782.2122558</x:v>
      </x:c>
      <x:c r="I1298" s="13" t="n">
        <x:v>0.0142199999999999</x:v>
      </x:c>
      <x:c r="J1298" s="2" t="n">
        <x:v>87</x:v>
      </x:c>
      <x:c r="K1298" s="2" t="n">
        <x:v>17</x:v>
      </x:c>
      <x:c r="L1298" s="12" t="n">
        <x:v>5150.875</x:v>
      </x:c>
      <x:c r="M1298" s="13" t="n">
        <x:v>0.7029115377179034</x:v>
      </x:c>
      <x:c r="N1298" s="13" t="n">
        <x:f>H1298/G1298</x:f>
        <x:v>0.019750117515373335</x:v>
      </x:c>
      <x:c r="O1298" s="13" t="n">
        <x:f>F1298/E1298</x:f>
        <x:v>0</x:v>
      </x:c>
      <x:c r="P1298" s="2" t="str">
        <x:f>IF(AND(E1298&gt;='Итоги'!$F$5,N1298&lt;='Итоги'!$B$5,O1298&gt;='Итоги'!$D$5),"Да","Нет")</x:f>
        <x:v>Нет</x:v>
      </x:c>
    </x:row>
    <x:row r="1299" ht="60" customHeight="1">
      <x:c r="A1299" s="14" t="str">
        <x:v>Игрушки</x:v>
      </x:c>
      <x:c r="B1299" s="14" t="str">
        <x:v>Игрушки</x:v>
      </x:c>
      <x:c r="C1299" s="14" t="str">
        <x:v>Игрушки для самых маленьких</x:v>
      </x:c>
      <x:c r="D1299" s="14" t="str">
        <x:v>Танцевальный коврик</x:v>
      </x:c>
      <x:c r="E1299" s="2" t="n">
        <x:v>13</x:v>
      </x:c>
      <x:c r="F1299" s="2" t="n">
        <x:v>0</x:v>
      </x:c>
      <x:c r="G1299" s="12" t="n">
        <x:v>1522679.3483</x:v>
      </x:c>
      <x:c r="H1299" s="12" t="n">
        <x:v>30169.62766796</x:v>
      </x:c>
      <x:c r="I1299" s="13" t="n">
        <x:v>0.019776923076923</x:v>
      </x:c>
      <x:c r="J1299" s="2" t="n">
        <x:v>11</x:v>
      </x:c>
      <x:c r="K1299" s="2" t="n">
        <x:v>4</x:v>
      </x:c>
      <x:c r="L1299" s="12" t="n">
        <x:v>1500.4961</x:v>
      </x:c>
      <x:c r="M1299" s="13" t="n">
        <x:v>0.57886227778952</x:v>
      </x:c>
      <x:c r="N1299" s="13" t="n">
        <x:f>H1299/G1299</x:f>
        <x:v>0.019813513397711063</x:v>
      </x:c>
      <x:c r="O1299" s="13" t="n">
        <x:f>F1299/E1299</x:f>
        <x:v>0</x:v>
      </x:c>
      <x:c r="P1299" s="2" t="str">
        <x:f>IF(AND(E1299&gt;='Итоги'!$F$5,N1299&lt;='Итоги'!$B$5,O1299&gt;='Итоги'!$D$5),"Да","Нет")</x:f>
        <x:v>Нет</x:v>
      </x:c>
    </x:row>
    <x:row r="1300" ht="60" customHeight="1">
      <x:c r="A1300" s="14" t="str">
        <x:v>Детская одежда</x:v>
      </x:c>
      <x:c r="B1300" s="14" t="str">
        <x:v>Детская обувь</x:v>
      </x:c>
      <x:c r="C1300" s="14" t="str">
        <x:v>Обувь для мальчика</x:v>
      </x:c>
      <x:c r="D1300" s="14" t="str">
        <x:v>Туфли для мальчика</x:v>
      </x:c>
      <x:c r="E1300" s="2" t="n">
        <x:v>56</x:v>
      </x:c>
      <x:c r="F1300" s="2" t="n">
        <x:v>0</x:v>
      </x:c>
      <x:c r="G1300" s="12" t="n">
        <x:v>2874644.122</x:v>
      </x:c>
      <x:c r="H1300" s="12" t="n">
        <x:v>57009.42595399</x:v>
      </x:c>
      <x:c r="I1300" s="13" t="n">
        <x:v>0.0125875</x:v>
      </x:c>
      <x:c r="J1300" s="2" t="n">
        <x:v>34</x:v>
      </x:c>
      <x:c r="K1300" s="2" t="n">
        <x:v>14</x:v>
      </x:c>
      <x:c r="L1300" s="12" t="n">
        <x:v>2446.5967</x:v>
      </x:c>
      <x:c r="M1300" s="13" t="n">
        <x:v>0.5053960324971315</x:v>
      </x:c>
      <x:c r="N1300" s="13" t="n">
        <x:f>H1300/G1300</x:f>
        <x:v>0.019831820404372823</x:v>
      </x:c>
      <x:c r="O1300" s="13" t="n">
        <x:f>F1300/E1300</x:f>
        <x:v>0</x:v>
      </x:c>
      <x:c r="P1300" s="2" t="str">
        <x:f>IF(AND(E1300&gt;='Итоги'!$F$5,N1300&lt;='Итоги'!$B$5,O1300&gt;='Итоги'!$D$5),"Да","Нет")</x:f>
        <x:v>Нет</x:v>
      </x:c>
    </x:row>
    <x:row r="1301" ht="60" customHeight="1">
      <x:c r="A1301" s="14" t="str">
        <x:v>Товары для красоты и здоровья</x:v>
      </x:c>
      <x:c r="B1301" s="14" t="str">
        <x:v>Декоративная косметика</x:v>
      </x:c>
      <x:c r="C1301" s="14" t="str">
        <x:v>Губы</x:v>
      </x:c>
      <x:c r="D1301" s="14" t="str">
        <x:v>Блеск для губ</x:v>
      </x:c>
      <x:c r="E1301" s="2" t="n">
        <x:v>23</x:v>
      </x:c>
      <x:c r="F1301" s="2" t="n">
        <x:v>0</x:v>
      </x:c>
      <x:c r="G1301" s="12" t="n">
        <x:v>4012720.8849</x:v>
      </x:c>
      <x:c r="H1301" s="12" t="n">
        <x:v>79687.66016515</x:v>
      </x:c>
      <x:c r="I1301" s="13" t="n">
        <x:v>0.0292478260869565</x:v>
      </x:c>
      <x:c r="J1301" s="2" t="n">
        <x:v>10</x:v>
      </x:c>
      <x:c r="K1301" s="2" t="n">
        <x:v>5</x:v>
      </x:c>
      <x:c r="L1301" s="12" t="n">
        <x:v>1772.8386</x:v>
      </x:c>
      <x:c r="M1301" s="13" t="n">
        <x:v>0.5050990044254</x:v>
      </x:c>
      <x:c r="N1301" s="13" t="n">
        <x:f>H1301/G1301</x:f>
        <x:v>0.019858759791895136</x:v>
      </x:c>
      <x:c r="O1301" s="13" t="n">
        <x:f>F1301/E1301</x:f>
        <x:v>0</x:v>
      </x:c>
      <x:c r="P1301" s="2" t="str">
        <x:f>IF(AND(E1301&gt;='Итоги'!$F$5,N1301&lt;='Итоги'!$B$5,O1301&gt;='Итоги'!$D$5),"Да","Нет")</x:f>
        <x:v>Нет</x:v>
      </x:c>
    </x:row>
    <x:row r="1302" ht="60" customHeight="1">
      <x:c r="A1302" s="14" t="str">
        <x:v>Детская одежда</x:v>
      </x:c>
      <x:c r="B1302" s="14" t="str">
        <x:v>Детская одежда</x:v>
      </x:c>
      <x:c r="C1302" s="14" t="str">
        <x:v>Верхняя одежда для девочки</x:v>
      </x:c>
      <x:c r="D1302" s="14" t="str">
        <x:v>Пальто зимнее для девочки</x:v>
      </x:c>
      <x:c r="E1302" s="2" t="n">
        <x:v>66</x:v>
      </x:c>
      <x:c r="F1302" s="2" t="n">
        <x:v>0</x:v>
      </x:c>
      <x:c r="G1302" s="12" t="n">
        <x:v>3578464.68</x:v>
      </x:c>
      <x:c r="H1302" s="12" t="n">
        <x:v>71135.43648599999</x:v>
      </x:c>
      <x:c r="I1302" s="13" t="n">
        <x:v>0.0157348484848484</x:v>
      </x:c>
      <x:c r="J1302" s="2" t="n">
        <x:v>51</x:v>
      </x:c>
      <x:c r="K1302" s="2" t="n">
        <x:v>13</x:v>
      </x:c>
      <x:c r="L1302" s="12" t="n">
        <x:v>11399.25</x:v>
      </x:c>
      <x:c r="M1302" s="13" t="n">
        <x:v>0.4892558755113939</x:v>
      </x:c>
      <x:c r="N1302" s="13" t="n">
        <x:f>H1302/G1302</x:f>
        <x:v>0.019878758866498016</x:v>
      </x:c>
      <x:c r="O1302" s="13" t="n">
        <x:f>F1302/E1302</x:f>
        <x:v>0</x:v>
      </x:c>
      <x:c r="P1302" s="2" t="str">
        <x:f>IF(AND(E1302&gt;='Итоги'!$F$5,N1302&lt;='Итоги'!$B$5,O1302&gt;='Итоги'!$D$5),"Да","Нет")</x:f>
        <x:v>Нет</x:v>
      </x:c>
    </x:row>
    <x:row r="1303" ht="60" customHeight="1">
      <x:c r="A1303" s="14" t="str">
        <x:v>Товары для красоты и здоровья</x:v>
      </x:c>
      <x:c r="B1303" s="14" t="str">
        <x:v>Декоративная косметика</x:v>
      </x:c>
      <x:c r="C1303" s="14" t="str">
        <x:v>Тон для лица</x:v>
      </x:c>
      <x:c r="D1303" s="14" t="str">
        <x:v>Основа под макияж</x:v>
      </x:c>
      <x:c r="E1303" s="2" t="n">
        <x:v>8</x:v>
      </x:c>
      <x:c r="F1303" s="2" t="n">
        <x:v>0</x:v>
      </x:c>
      <x:c r="G1303" s="12" t="n">
        <x:v>874603.826</x:v>
      </x:c>
      <x:c r="H1303" s="12" t="n">
        <x:v>17403.64060652</x:v>
      </x:c>
      <x:c r="I1303" s="13" t="n">
        <x:v>0.0212375</x:v>
      </x:c>
      <x:c r="J1303" s="2" t="n">
        <x:v>5</x:v>
      </x:c>
      <x:c r="K1303" s="2" t="n">
        <x:v>4</x:v>
      </x:c>
      <x:c r="L1303" s="12" t="n">
        <x:v>1127.89615</x:v>
      </x:c>
      <x:c r="M1303" s="13" t="n">
        <x:v>0.6283212893239734</x:v>
      </x:c>
      <x:c r="N1303" s="13" t="n">
        <x:f>H1303/G1303</x:f>
        <x:v>0.01989888460254689</x:v>
      </x:c>
      <x:c r="O1303" s="13" t="n">
        <x:f>F1303/E1303</x:f>
        <x:v>0</x:v>
      </x:c>
      <x:c r="P1303" s="2" t="str">
        <x:f>IF(AND(E1303&gt;='Итоги'!$F$5,N1303&lt;='Итоги'!$B$5,O1303&gt;='Итоги'!$D$5),"Да","Нет")</x:f>
        <x:v>Нет</x:v>
      </x:c>
    </x:row>
    <x:row r="1304" ht="60" customHeight="1">
      <x:c r="A1304" s="14" t="str">
        <x:v>Спорт и отдых</x:v>
      </x:c>
      <x:c r="B1304" s="14" t="str">
        <x:v>Активный отдых</x:v>
      </x:c>
      <x:c r="C1304" s="14" t="str">
        <x:v>Настольные турнирные игры</x:v>
      </x:c>
      <x:c r="D1304" s="14" t="str">
        <x:v>Стол-трансформер для спортивных игр</x:v>
      </x:c>
      <x:c r="E1304" s="2" t="n">
        <x:v>1</x:v>
      </x:c>
      <x:c r="F1304" s="2" t="n">
        <x:v>0</x:v>
      </x:c>
      <x:c r="G1304" s="12" t="n">
        <x:v>323514.54</x:v>
      </x:c>
      <x:c r="H1304" s="12" t="n">
        <x:v>6437.939346</x:v>
      </x:c>
      <x:c r="I1304" s="13" t="n">
        <x:v>0.0199</x:v>
      </x:c>
      <x:c r="J1304" s="2" t="n">
        <x:v>0</x:v>
      </x:c>
      <x:c r="K1304" s="2" t="n">
        <x:v>1</x:v>
      </x:c>
      <x:c r="L1304" s="12" t="n">
        <x:v>17027.0811</x:v>
      </x:c>
      <x:c r="M1304" s="13" t="n">
        <x:v>1</x:v>
      </x:c>
      <x:c r="N1304" s="13" t="n">
        <x:f>H1304/G1304</x:f>
        <x:v>0.0199</x:v>
      </x:c>
      <x:c r="O1304" s="13" t="n">
        <x:f>F1304/E1304</x:f>
        <x:v>0</x:v>
      </x:c>
      <x:c r="P1304" s="2" t="str">
        <x:f>IF(AND(E1304&gt;='Итоги'!$F$5,N1304&lt;='Итоги'!$B$5,O1304&gt;='Итоги'!$D$5),"Да","Нет")</x:f>
        <x:v>Нет</x:v>
      </x:c>
    </x:row>
    <x:row r="1305" ht="60" customHeight="1">
      <x:c r="A1305" s="14" t="str">
        <x:v>Ноутбуки и компьютеры</x:v>
      </x:c>
      <x:c r="B1305" s="14" t="str">
        <x:v>Компьютерные комплектующие Lap&amp;Comp</x:v>
      </x:c>
      <x:c r="C1305" s="14" t="str">
        <x:v>Компьютерные комплектующие Lap&amp;Comp</x:v>
      </x:c>
      <x:c r="D1305" s="14" t="str">
        <x:v>Жесткий диск</x:v>
      </x:c>
      <x:c r="E1305" s="2" t="n">
        <x:v>128</x:v>
      </x:c>
      <x:c r="F1305" s="2" t="n">
        <x:v>0</x:v>
      </x:c>
      <x:c r="G1305" s="12" t="n">
        <x:v>32522808.91</x:v>
      </x:c>
      <x:c r="H1305" s="12" t="n">
        <x:v>648792.346629</x:v>
      </x:c>
      <x:c r="I1305" s="13" t="n">
        <x:v>0.01825390625</x:v>
      </x:c>
      <x:c r="J1305" s="2" t="n">
        <x:v>67</x:v>
      </x:c>
      <x:c r="K1305" s="2" t="n">
        <x:v>24</x:v>
      </x:c>
      <x:c r="L1305" s="12" t="n">
        <x:v>5099.855100000001</x:v>
      </x:c>
      <x:c r="M1305" s="13" t="n">
        <x:v>0.2316243489560262</x:v>
      </x:c>
      <x:c r="N1305" s="13" t="n">
        <x:f>H1305/G1305</x:f>
        <x:v>0.019948841086401724</x:v>
      </x:c>
      <x:c r="O1305" s="13" t="n">
        <x:f>F1305/E1305</x:f>
        <x:v>0</x:v>
      </x:c>
      <x:c r="P1305" s="2" t="str">
        <x:f>IF(AND(E1305&gt;='Итоги'!$F$5,N1305&lt;='Итоги'!$B$5,O1305&gt;='Итоги'!$D$5),"Да","Нет")</x:f>
        <x:v>Нет</x:v>
      </x:c>
    </x:row>
    <x:row r="1306" ht="60" customHeight="1">
      <x:c r="A1306" s="14" t="str">
        <x:v>Товары для дома</x:v>
      </x:c>
      <x:c r="B1306" s="14" t="str">
        <x:v>Кухня</x:v>
      </x:c>
      <x:c r="C1306" s="14" t="str">
        <x:v>Кухонная утварь и принадлежности</x:v>
      </x:c>
      <x:c r="D1306" s="14" t="str">
        <x:v>Мясорубка механическая</x:v>
      </x:c>
      <x:c r="E1306" s="2" t="n">
        <x:v>6</x:v>
      </x:c>
      <x:c r="F1306" s="2" t="n">
        <x:v>0</x:v>
      </x:c>
      <x:c r="G1306" s="12" t="n">
        <x:v>1143307.9744</x:v>
      </x:c>
      <x:c r="H1306" s="12" t="n">
        <x:v>22959.83515683</x:v>
      </x:c>
      <x:c r="I1306" s="13" t="n">
        <x:v>0.0138166666666666</x:v>
      </x:c>
      <x:c r="J1306" s="2" t="n">
        <x:v>4</x:v>
      </x:c>
      <x:c r="K1306" s="2" t="n">
        <x:v>5</x:v>
      </x:c>
      <x:c r="L1306" s="12" t="n">
        <x:v>1275.25395</x:v>
      </x:c>
      <x:c r="M1306" s="13" t="n">
        <x:v>0.3488664323445481</x:v>
      </x:c>
      <x:c r="N1306" s="13" t="n">
        <x:f>H1306/G1306</x:f>
        <x:v>0.0200819338891423</x:v>
      </x:c>
      <x:c r="O1306" s="13" t="n">
        <x:f>F1306/E1306</x:f>
        <x:v>0</x:v>
      </x:c>
      <x:c r="P1306" s="2" t="str">
        <x:f>IF(AND(E1306&gt;='Итоги'!$F$5,N1306&lt;='Итоги'!$B$5,O1306&gt;='Итоги'!$D$5),"Да","Нет")</x:f>
        <x:v>Нет</x:v>
      </x:c>
    </x:row>
    <x:row r="1307" ht="60" customHeight="1">
      <x:c r="A1307" s="14" t="str">
        <x:v>Обувь</x:v>
      </x:c>
      <x:c r="B1307" s="14" t="str">
        <x:v>Обувь женская</x:v>
      </x:c>
      <x:c r="C1307" s="14" t="str">
        <x:v>Обувь женская демисезон</x:v>
      </x:c>
      <x:c r="D1307" s="14" t="str">
        <x:v>Женские Ботинки демисезонные</x:v>
      </x:c>
      <x:c r="E1307" s="2" t="n">
        <x:v>296</x:v>
      </x:c>
      <x:c r="F1307" s="2" t="n">
        <x:v>0</x:v>
      </x:c>
      <x:c r="G1307" s="12" t="n">
        <x:v>18781009.7948</x:v>
      </x:c>
      <x:c r="H1307" s="12" t="n">
        <x:v>378089.67896961</x:v>
      </x:c>
      <x:c r="I1307" s="13" t="n">
        <x:v>0.0110067567567567</x:v>
      </x:c>
      <x:c r="J1307" s="2" t="n">
        <x:v>220</x:v>
      </x:c>
      <x:c r="K1307" s="2" t="n">
        <x:v>17</x:v>
      </x:c>
      <x:c r="L1307" s="12" t="n">
        <x:v>4226.8428</x:v>
      </x:c>
      <x:c r="M1307" s="13" t="n">
        <x:v>0.2941733230888204</x:v>
      </x:c>
      <x:c r="N1307" s="13" t="n">
        <x:f>H1307/G1307</x:f>
        <x:v>0.02013148830124639</x:v>
      </x:c>
      <x:c r="O1307" s="13" t="n">
        <x:f>F1307/E1307</x:f>
        <x:v>0</x:v>
      </x:c>
      <x:c r="P1307" s="2" t="str">
        <x:f>IF(AND(E1307&gt;='Итоги'!$F$5,N1307&lt;='Итоги'!$B$5,O1307&gt;='Итоги'!$D$5),"Да","Нет")</x:f>
        <x:v>Нет</x:v>
      </x:c>
    </x:row>
    <x:row r="1308" ht="60" customHeight="1">
      <x:c r="A1308" s="14" t="str">
        <x:v>Товары для красоты и здоровья</x:v>
      </x:c>
      <x:c r="B1308" s="14" t="str">
        <x:v>Косметическая техника</x:v>
      </x:c>
      <x:c r="C1308" s="14" t="str">
        <x:v>Оборудование для салона красоты</x:v>
      </x:c>
      <x:c r="D1308" s="14" t="str">
        <x:v>Кресло парикмахерское, кресло визажиста</x:v>
      </x:c>
      <x:c r="E1308" s="2" t="n">
        <x:v>4</x:v>
      </x:c>
      <x:c r="F1308" s="2" t="n">
        <x:v>0</x:v>
      </x:c>
      <x:c r="G1308" s="12" t="n">
        <x:v>630974.1595</x:v>
      </x:c>
      <x:c r="H1308" s="12" t="n">
        <x:v>12737.4072</x:v>
      </x:c>
      <x:c r="I1308" s="13" t="n">
        <x:v>0.02035</x:v>
      </x:c>
      <x:c r="J1308" s="2" t="n">
        <x:v>1</x:v>
      </x:c>
      <x:c r="K1308" s="2" t="n">
        <x:v>2</x:v>
      </x:c>
      <x:c r="L1308" s="12" t="n">
        <x:v>20443.19065</x:v>
      </x:c>
      <x:c r="M1308" s="13" t="n">
        <x:v>0.863705813930404</x:v>
      </x:c>
      <x:c r="N1308" s="13" t="n">
        <x:f>H1308/G1308</x:f>
        <x:v>0.020186891980003504</x:v>
      </x:c>
      <x:c r="O1308" s="13" t="n">
        <x:f>F1308/E1308</x:f>
        <x:v>0</x:v>
      </x:c>
      <x:c r="P1308" s="2" t="str">
        <x:f>IF(AND(E1308&gt;='Итоги'!$F$5,N1308&lt;='Итоги'!$B$5,O1308&gt;='Итоги'!$D$5),"Да","Нет")</x:f>
        <x:v>Нет</x:v>
      </x:c>
    </x:row>
    <x:row r="1309" ht="60" customHeight="1">
      <x:c r="A1309" s="14" t="str">
        <x:v>Спорт и отдых</x:v>
      </x:c>
      <x:c r="B1309" s="14" t="str">
        <x:v>Колесный транспорт</x:v>
      </x:c>
      <x:c r="C1309" s="14" t="str">
        <x:v>Запчасти для велосипеда</x:v>
      </x:c>
      <x:c r="D1309" s="14" t="str">
        <x:v>Покрышки для велосипеда</x:v>
      </x:c>
      <x:c r="E1309" s="2" t="n">
        <x:v>28</x:v>
      </x:c>
      <x:c r="F1309" s="2" t="n">
        <x:v>0</x:v>
      </x:c>
      <x:c r="G1309" s="12" t="n">
        <x:v>2433852.4925</x:v>
      </x:c>
      <x:c r="H1309" s="12" t="n">
        <x:v>49284.25394346</x:v>
      </x:c>
      <x:c r="I1309" s="13" t="n">
        <x:v>0.0198678571428571</x:v>
      </x:c>
      <x:c r="J1309" s="2" t="n">
        <x:v>20</x:v>
      </x:c>
      <x:c r="K1309" s="2" t="n">
        <x:v>13</x:v>
      </x:c>
      <x:c r="L1309" s="12" t="n">
        <x:v>1168.0905</x:v>
      </x:c>
      <x:c r="M1309" s="13" t="n">
        <x:v>0.2356121115256947</x:v>
      </x:c>
      <x:c r="N1309" s="13" t="n">
        <x:f>H1309/G1309</x:f>
        <x:v>0.02024948270091598</x:v>
      </x:c>
      <x:c r="O1309" s="13" t="n">
        <x:f>F1309/E1309</x:f>
        <x:v>0</x:v>
      </x:c>
      <x:c r="P1309" s="2" t="str">
        <x:f>IF(AND(E1309&gt;='Итоги'!$F$5,N1309&lt;='Итоги'!$B$5,O1309&gt;='Итоги'!$D$5),"Да","Нет")</x:f>
        <x:v>Нет</x:v>
      </x:c>
    </x:row>
    <x:row r="1310" ht="60" customHeight="1">
      <x:c r="A1310" s="14" t="str">
        <x:v>Хобби и творчество</x:v>
      </x:c>
      <x:c r="B1310" s="14" t="str">
        <x:v>Детское творчество и хобби</x:v>
      </x:c>
      <x:c r="C1310" s="14" t="str">
        <x:v>Настольные и обучающие игры</x:v>
      </x:c>
      <x:c r="D1310" s="14" t="str">
        <x:v>3D Пазл</x:v>
      </x:c>
      <x:c r="E1310" s="2" t="n">
        <x:v>2</x:v>
      </x:c>
      <x:c r="F1310" s="2" t="n">
        <x:v>0</x:v>
      </x:c>
      <x:c r="G1310" s="12" t="n">
        <x:v>229700.8352</x:v>
      </x:c>
      <x:c r="H1310" s="12" t="n">
        <x:v>4664.47698959</x:v>
      </x:c>
      <x:c r="I1310" s="13" t="n">
        <x:v>0.02105</x:v>
      </x:c>
      <x:c r="J1310" s="2" t="n">
        <x:v>1</x:v>
      </x:c>
      <x:c r="K1310" s="2" t="n">
        <x:v>2</x:v>
      </x:c>
      <x:c r="L1310" s="12" t="n">
        <x:v>1144.37575</x:v>
      </x:c>
      <x:c r="M1310" s="13" t="n">
        <x:v>0.5176544403788045</x:v>
      </x:c>
      <x:c r="N1310" s="13" t="n">
        <x:f>H1310/G1310</x:f>
        <x:v>0.02030674806005233</x:v>
      </x:c>
      <x:c r="O1310" s="13" t="n">
        <x:f>F1310/E1310</x:f>
        <x:v>0</x:v>
      </x:c>
      <x:c r="P1310" s="2" t="str">
        <x:f>IF(AND(E1310&gt;='Итоги'!$F$5,N1310&lt;='Итоги'!$B$5,O1310&gt;='Итоги'!$D$5),"Да","Нет")</x:f>
        <x:v>Нет</x:v>
      </x:c>
    </x:row>
    <x:row r="1311" ht="60" customHeight="1">
      <x:c r="A1311" s="14" t="str">
        <x:v>Аксессуары для электроники</x:v>
      </x:c>
      <x:c r="B1311" s="14" t="str">
        <x:v>Аксессуары для МБТ (кухня) Access</x:v>
      </x:c>
      <x:c r="C1311" s="14" t="str">
        <x:v>Аксессуары для электрических гриля, аэрогриля Access</x:v>
      </x:c>
      <x:c r="D1311" s="14" t="str">
        <x:v>Насадки для бытовой техники</x:v>
      </x:c>
      <x:c r="E1311" s="2" t="n">
        <x:v>5</x:v>
      </x:c>
      <x:c r="F1311" s="2" t="n">
        <x:v>0</x:v>
      </x:c>
      <x:c r="G1311" s="12" t="n">
        <x:v>522458.0462</x:v>
      </x:c>
      <x:c r="H1311" s="12" t="n">
        <x:v>10653.7105948</x:v>
      </x:c>
      <x:c r="I1311" s="13" t="n">
        <x:v>0.02114</x:v>
      </x:c>
      <x:c r="J1311" s="2" t="n">
        <x:v>4</x:v>
      </x:c>
      <x:c r="K1311" s="2" t="n">
        <x:v>1</x:v>
      </x:c>
      <x:c r="L1311" s="12" t="n">
        <x:v>2828.24</x:v>
      </x:c>
      <x:c r="M1311" s="13" t="n">
        <x:v>1</x:v>
      </x:c>
      <x:c r="N1311" s="13" t="n">
        <x:f>H1311/G1311</x:f>
        <x:v>0.02039151405990922</x:v>
      </x:c>
      <x:c r="O1311" s="13" t="n">
        <x:f>F1311/E1311</x:f>
        <x:v>0</x:v>
      </x:c>
      <x:c r="P1311" s="2" t="str">
        <x:f>IF(AND(E1311&gt;='Итоги'!$F$5,N1311&lt;='Итоги'!$B$5,O1311&gt;='Итоги'!$D$5),"Да","Нет")</x:f>
        <x:v>Нет</x:v>
      </x:c>
    </x:row>
    <x:row r="1312" ht="60" customHeight="1">
      <x:c r="A1312" s="14" t="str">
        <x:v>Товары для детей и спорта</x:v>
      </x:c>
      <x:c r="B1312" s="14" t="str">
        <x:v>Текстиль детский</x:v>
      </x:c>
      <x:c r="C1312" s="14" t="str">
        <x:v>Постельное белье для новорожденных и малышей</x:v>
      </x:c>
      <x:c r="D1312" s="14" t="str">
        <x:v>Матрас в кроватку для новорожденных до 3 лет</x:v>
      </x:c>
      <x:c r="E1312" s="2" t="n">
        <x:v>28</x:v>
      </x:c>
      <x:c r="F1312" s="2" t="n">
        <x:v>0</x:v>
      </x:c>
      <x:c r="G1312" s="12" t="n">
        <x:v>3693854.4537</x:v>
      </x:c>
      <x:c r="H1312" s="12" t="n">
        <x:v>75837.31876758</x:v>
      </x:c>
      <x:c r="I1312" s="13" t="n">
        <x:v>0.0303857142857142</x:v>
      </x:c>
      <x:c r="J1312" s="2" t="n">
        <x:v>16</x:v>
      </x:c>
      <x:c r="K1312" s="2" t="n">
        <x:v>8</x:v>
      </x:c>
      <x:c r="L1312" s="12" t="n">
        <x:v>3137.23435</x:v>
      </x:c>
      <x:c r="M1312" s="13" t="n">
        <x:v>0.5404813299831613</x:v>
      </x:c>
      <x:c r="N1312" s="13" t="n">
        <x:f>H1312/G1312</x:f>
        <x:v>0.020530673235275014</x:v>
      </x:c>
      <x:c r="O1312" s="13" t="n">
        <x:f>F1312/E1312</x:f>
        <x:v>0</x:v>
      </x:c>
      <x:c r="P1312" s="2" t="str">
        <x:f>IF(AND(E1312&gt;='Итоги'!$F$5,N1312&lt;='Итоги'!$B$5,O1312&gt;='Итоги'!$D$5),"Да","Нет")</x:f>
        <x:v>Нет</x:v>
      </x:c>
    </x:row>
    <x:row r="1313" ht="60" customHeight="1">
      <x:c r="A1313" s="14" t="str">
        <x:v>Мелкая бытовая техника</x:v>
      </x:c>
      <x:c r="B1313" s="14" t="str">
        <x:v>Мелкая бытовая техника SDA</x:v>
      </x:c>
      <x:c r="C1313" s="14" t="str">
        <x:v>Электронная техника для дома SDA</x:v>
      </x:c>
      <x:c r="D1313" s="14" t="str">
        <x:v>Электросушилка для белья</x:v>
      </x:c>
      <x:c r="E1313" s="2" t="n">
        <x:v>3</x:v>
      </x:c>
      <x:c r="F1313" s="2" t="n">
        <x:v>0</x:v>
      </x:c>
      <x:c r="G1313" s="12" t="n">
        <x:v>557913.2461999999</x:v>
      </x:c>
      <x:c r="H1313" s="12" t="n">
        <x:v>11489.3377342</x:v>
      </x:c>
      <x:c r="I1313" s="13" t="n">
        <x:v>0.0402</x:v>
      </x:c>
      <x:c r="J1313" s="2" t="n">
        <x:v>0</x:v>
      </x:c>
      <x:c r="K1313" s="2" t="n">
        <x:v>2</x:v>
      </x:c>
      <x:c r="L1313" s="12" t="n">
        <x:v>3309.97</x:v>
      </x:c>
      <x:c r="M1313" s="13" t="n">
        <x:v>0.8334643770642921</x:v>
      </x:c>
      <x:c r="N1313" s="13" t="n">
        <x:f>H1313/G1313</x:f>
        <x:v>0.02059341270789853</x:v>
      </x:c>
      <x:c r="O1313" s="13" t="n">
        <x:f>F1313/E1313</x:f>
        <x:v>0</x:v>
      </x:c>
      <x:c r="P1313" s="2" t="str">
        <x:f>IF(AND(E1313&gt;='Итоги'!$F$5,N1313&lt;='Итоги'!$B$5,O1313&gt;='Итоги'!$D$5),"Да","Нет")</x:f>
        <x:v>Нет</x:v>
      </x:c>
    </x:row>
    <x:row r="1314" ht="60" customHeight="1">
      <x:c r="A1314" s="14" t="str">
        <x:v>Аксессуары</x:v>
      </x:c>
      <x:c r="B1314" s="14" t="str">
        <x:v>Бижутерия и часы бижутерные</x:v>
      </x:c>
      <x:c r="C1314" s="14" t="str">
        <x:v>Бижутерия</x:v>
      </x:c>
      <x:c r="D1314" s="14" t="str">
        <x:v>Бижу кольцо</x:v>
      </x:c>
      <x:c r="E1314" s="2" t="n">
        <x:v>4</x:v>
      </x:c>
      <x:c r="F1314" s="2" t="n">
        <x:v>0</x:v>
      </x:c>
      <x:c r="G1314" s="12" t="n">
        <x:v>193653.7058</x:v>
      </x:c>
      <x:c r="H1314" s="12" t="n">
        <x:v>3993.59822682</x:v>
      </x:c>
      <x:c r="I1314" s="13" t="n">
        <x:v>0.019775</x:v>
      </x:c>
      <x:c r="J1314" s="2" t="n">
        <x:v>1</x:v>
      </x:c>
      <x:c r="K1314" s="2" t="n">
        <x:v>4</x:v>
      </x:c>
      <x:c r="L1314" s="12" t="n">
        <x:v>2878.43025</x:v>
      </x:c>
      <x:c r="M1314" s="13" t="n">
        <x:v>0.4862521995693201</x:v>
      </x:c>
      <x:c r="N1314" s="13" t="n">
        <x:f>H1314/G1314</x:f>
        <x:v>0.020622369245773556</x:v>
      </x:c>
      <x:c r="O1314" s="13" t="n">
        <x:f>F1314/E1314</x:f>
        <x:v>0</x:v>
      </x:c>
      <x:c r="P1314" s="2" t="str">
        <x:f>IF(AND(E1314&gt;='Итоги'!$F$5,N1314&lt;='Итоги'!$B$5,O1314&gt;='Итоги'!$D$5),"Да","Нет")</x:f>
        <x:v>Нет</x:v>
      </x:c>
    </x:row>
    <x:row r="1315" ht="60" customHeight="1">
      <x:c r="A1315" s="14" t="str">
        <x:v>Обувь</x:v>
      </x:c>
      <x:c r="B1315" s="14" t="str">
        <x:v>Обувь мужская</x:v>
      </x:c>
      <x:c r="C1315" s="14" t="str">
        <x:v>Обувь мужская повседневная</x:v>
      </x:c>
      <x:c r="D1315" s="14" t="str">
        <x:v>Мужские Кеды</x:v>
      </x:c>
      <x:c r="E1315" s="2" t="n">
        <x:v>647</x:v>
      </x:c>
      <x:c r="F1315" s="2" t="n">
        <x:v>0</x:v>
      </x:c>
      <x:c r="G1315" s="12" t="n">
        <x:v>50738402.5052</x:v>
      </x:c>
      <x:c r="H1315" s="12" t="n">
        <x:v>1050522.67900156</x:v>
      </x:c>
      <x:c r="I1315" s="13" t="n">
        <x:v>0.0147295208655332</x:v>
      </x:c>
      <x:c r="J1315" s="2" t="n">
        <x:v>460</x:v>
      </x:c>
      <x:c r="K1315" s="2" t="n">
        <x:v>27</x:v>
      </x:c>
      <x:c r="L1315" s="12" t="n">
        <x:v>3657.3333</x:v>
      </x:c>
      <x:c r="M1315" s="13" t="n">
        <x:v>0.6295076599529629</x:v>
      </x:c>
      <x:c r="N1315" s="13" t="n">
        <x:f>H1315/G1315</x:f>
        <x:v>0.0207046857435824</x:v>
      </x:c>
      <x:c r="O1315" s="13" t="n">
        <x:f>F1315/E1315</x:f>
        <x:v>0</x:v>
      </x:c>
      <x:c r="P1315" s="2" t="str">
        <x:f>IF(AND(E1315&gt;='Итоги'!$F$5,N1315&lt;='Итоги'!$B$5,O1315&gt;='Итоги'!$D$5),"Да","Нет")</x:f>
        <x:v>Нет</x:v>
      </x:c>
    </x:row>
    <x:row r="1316" ht="60" customHeight="1">
      <x:c r="A1316" s="14" t="str">
        <x:v>Игрушки</x:v>
      </x:c>
      <x:c r="B1316" s="14" t="str">
        <x:v>Игрушки</x:v>
      </x:c>
      <x:c r="C1316" s="14" t="str">
        <x:v>Транспорт и радиоуправляемые игрушки</x:v>
      </x:c>
      <x:c r="D1316" s="14" t="str">
        <x:v>Запчасти, аксессуары для р/у игрушки</x:v>
      </x:c>
      <x:c r="E1316" s="2" t="n">
        <x:v>21</x:v>
      </x:c>
      <x:c r="F1316" s="2" t="n">
        <x:v>0</x:v>
      </x:c>
      <x:c r="G1316" s="12" t="n">
        <x:v>2057217.9518</x:v>
      </x:c>
      <x:c r="H1316" s="12" t="n">
        <x:v>42747.378604</x:v>
      </x:c>
      <x:c r="I1316" s="13" t="n">
        <x:v>0.0176904761904761</x:v>
      </x:c>
      <x:c r="J1316" s="2" t="n">
        <x:v>17</x:v>
      </x:c>
      <x:c r="K1316" s="2" t="n">
        <x:v>12</x:v>
      </x:c>
      <x:c r="L1316" s="12" t="n">
        <x:v>3008.416</x:v>
      </x:c>
      <x:c r="M1316" s="13" t="n">
        <x:v>0.3635990339990577</x:v>
      </x:c>
      <x:c r="N1316" s="13" t="n">
        <x:f>H1316/G1316</x:f>
        <x:v>0.020779217178518886</x:v>
      </x:c>
      <x:c r="O1316" s="13" t="n">
        <x:f>F1316/E1316</x:f>
        <x:v>0</x:v>
      </x:c>
      <x:c r="P1316" s="2" t="str">
        <x:f>IF(AND(E1316&gt;='Итоги'!$F$5,N1316&lt;='Итоги'!$B$5,O1316&gt;='Итоги'!$D$5),"Да","Нет")</x:f>
        <x:v>Нет</x:v>
      </x:c>
    </x:row>
    <x:row r="1317" ht="60" customHeight="1">
      <x:c r="A1317" s="14" t="str">
        <x:v>Спорт и отдых</x:v>
      </x:c>
      <x:c r="B1317" s="14" t="str">
        <x:v>Водные виды спорта</x:v>
      </x:c>
      <x:c r="C1317" s="14" t="str">
        <x:v>Каяк/байдарка</x:v>
      </x:c>
      <x:c r="D1317" s="14" t="str">
        <x:v>Страховочный жилет для каяка/байдарки</x:v>
      </x:c>
      <x:c r="E1317" s="2" t="n">
        <x:v>4</x:v>
      </x:c>
      <x:c r="F1317" s="2" t="n">
        <x:v>0</x:v>
      </x:c>
      <x:c r="G1317" s="12" t="n">
        <x:v>1055514.174</x:v>
      </x:c>
      <x:c r="H1317" s="12" t="n">
        <x:v>22031.598</x:v>
      </x:c>
      <x:c r="I1317" s="13" t="n">
        <x:v>0.0998</x:v>
      </x:c>
      <x:c r="J1317" s="2" t="n">
        <x:v>2</x:v>
      </x:c>
      <x:c r="K1317" s="2" t="n">
        <x:v>3</x:v>
      </x:c>
      <x:c r="L1317" s="12" t="n">
        <x:v>892.00305</x:v>
      </x:c>
      <x:c r="M1317" s="13" t="n">
        <x:v>0.921948940119112</x:v>
      </x:c>
      <x:c r="N1317" s="13" t="n">
        <x:f>H1317/G1317</x:f>
        <x:v>0.020872858501282426</x:v>
      </x:c>
      <x:c r="O1317" s="13" t="n">
        <x:f>F1317/E1317</x:f>
        <x:v>0</x:v>
      </x:c>
      <x:c r="P1317" s="2" t="str">
        <x:f>IF(AND(E1317&gt;='Итоги'!$F$5,N1317&lt;='Итоги'!$B$5,O1317&gt;='Итоги'!$D$5),"Да","Нет")</x:f>
        <x:v>Нет</x:v>
      </x:c>
    </x:row>
    <x:row r="1318" ht="60" customHeight="1">
      <x:c r="A1318" s="14" t="str">
        <x:v>Аптека</x:v>
      </x:c>
      <x:c r="B1318" s="14" t="str">
        <x:v>Парафармацевтика</x:v>
      </x:c>
      <x:c r="C1318" s="14" t="str">
        <x:v>Парафармацевтика</x:v>
      </x:c>
      <x:c r="D1318" s="14" t="str">
        <x:v>Средства противопростудные</x:v>
      </x:c>
      <x:c r="E1318" s="2" t="n">
        <x:v>10</x:v>
      </x:c>
      <x:c r="F1318" s="2" t="n">
        <x:v>0</x:v>
      </x:c>
      <x:c r="G1318" s="12" t="n">
        <x:v>2012374.0303</x:v>
      </x:c>
      <x:c r="H1318" s="12" t="n">
        <x:v>42173.53712856</x:v>
      </x:c>
      <x:c r="I1318" s="13" t="n">
        <x:v>0.03837</x:v>
      </x:c>
      <x:c r="J1318" s="2" t="n">
        <x:v>6</x:v>
      </x:c>
      <x:c r="K1318" s="2" t="n">
        <x:v>6</x:v>
      </x:c>
      <x:c r="L1318" s="12" t="n">
        <x:v>1642.3486</x:v>
      </x:c>
      <x:c r="M1318" s="13" t="n">
        <x:v>0.5536244861169832</x:v>
      </x:c>
      <x:c r="N1318" s="13" t="n">
        <x:f>H1318/G1318</x:f>
        <x:v>0.020957106628071952</x:v>
      </x:c>
      <x:c r="O1318" s="13" t="n">
        <x:f>F1318/E1318</x:f>
        <x:v>0</x:v>
      </x:c>
      <x:c r="P1318" s="2" t="str">
        <x:f>IF(AND(E1318&gt;='Итоги'!$F$5,N1318&lt;='Итоги'!$B$5,O1318&gt;='Итоги'!$D$5),"Да","Нет")</x:f>
        <x:v>Нет</x:v>
      </x:c>
    </x:row>
    <x:row r="1319" ht="60" customHeight="1">
      <x:c r="A1319" s="14" t="str">
        <x:v>Аптека</x:v>
      </x:c>
      <x:c r="B1319" s="14" t="str">
        <x:v>Витамины и БАДы</x:v>
      </x:c>
      <x:c r="C1319" s="14" t="str">
        <x:v>Витамины и минеральные вещества</x:v>
      </x:c>
      <x:c r="D1319" s="14" t="str">
        <x:v>Гематоген</x:v>
      </x:c>
      <x:c r="E1319" s="2" t="n">
        <x:v>4</x:v>
      </x:c>
      <x:c r="F1319" s="2" t="n">
        <x:v>0</x:v>
      </x:c>
      <x:c r="G1319" s="12" t="n">
        <x:v>485180.2794</x:v>
      </x:c>
      <x:c r="H1319" s="12" t="n">
        <x:v>10185.8697652</x:v>
      </x:c>
      <x:c r="I1319" s="13" t="n">
        <x:v>0.07465</x:v>
      </x:c>
      <x:c r="J1319" s="2" t="n">
        <x:v>2</x:v>
      </x:c>
      <x:c r="K1319" s="2" t="n">
        <x:v>2</x:v>
      </x:c>
      <x:c r="L1319" s="12" t="n">
        <x:v>1162.9353999999998</x:v>
      </x:c>
      <x:c r="M1319" s="13" t="n">
        <x:v>0.9650583902112324</x:v>
      </x:c>
      <x:c r="N1319" s="13" t="n">
        <x:f>H1319/G1319</x:f>
        <x:v>0.02099398965225131</x:v>
      </x:c>
      <x:c r="O1319" s="13" t="n">
        <x:f>F1319/E1319</x:f>
        <x:v>0</x:v>
      </x:c>
      <x:c r="P1319" s="2" t="str">
        <x:f>IF(AND(E1319&gt;='Итоги'!$F$5,N1319&lt;='Итоги'!$B$5,O1319&gt;='Итоги'!$D$5),"Да","Нет")</x:f>
        <x:v>Нет</x:v>
      </x:c>
    </x:row>
    <x:row r="1320" ht="60" customHeight="1">
      <x:c r="A1320" s="14" t="str">
        <x:v>Одежда</x:v>
      </x:c>
      <x:c r="B1320" s="14" t="str">
        <x:v>Верхняя одежда</x:v>
      </x:c>
      <x:c r="C1320" s="14" t="str">
        <x:v>Спортивная верхняя одежда мужская</x:v>
      </x:c>
      <x:c r="D1320" s="14" t="str">
        <x:v>Спортивная ветровка мужская</x:v>
      </x:c>
      <x:c r="E1320" s="2" t="n">
        <x:v>112</x:v>
      </x:c>
      <x:c r="F1320" s="2" t="n">
        <x:v>0</x:v>
      </x:c>
      <x:c r="G1320" s="12" t="n">
        <x:v>9196481.1759</x:v>
      </x:c>
      <x:c r="H1320" s="12" t="n">
        <x:v>193317.1013863</x:v>
      </x:c>
      <x:c r="I1320" s="13" t="n">
        <x:v>0.0144446428571428</x:v>
      </x:c>
      <x:c r="J1320" s="2" t="n">
        <x:v>84</x:v>
      </x:c>
      <x:c r="K1320" s="2" t="n">
        <x:v>9</x:v>
      </x:c>
      <x:c r="L1320" s="12" t="n">
        <x:v>2626.54685</x:v>
      </x:c>
      <x:c r="M1320" s="13" t="n">
        <x:v>0.4858311136012032</x:v>
      </x:c>
      <x:c r="N1320" s="13" t="n">
        <x:f>H1320/G1320</x:f>
        <x:v>0.02102076845357989</x:v>
      </x:c>
      <x:c r="O1320" s="13" t="n">
        <x:f>F1320/E1320</x:f>
        <x:v>0</x:v>
      </x:c>
      <x:c r="P1320" s="2" t="str">
        <x:f>IF(AND(E1320&gt;='Итоги'!$F$5,N1320&lt;='Итоги'!$B$5,O1320&gt;='Итоги'!$D$5),"Да","Нет")</x:f>
        <x:v>Нет</x:v>
      </x:c>
    </x:row>
    <x:row r="1321" ht="60" customHeight="1">
      <x:c r="A1321" s="14" t="str">
        <x:v>Обувь</x:v>
      </x:c>
      <x:c r="B1321" s="14" t="str">
        <x:v>Обувь мужская</x:v>
      </x:c>
      <x:c r="C1321" s="14" t="str">
        <x:v>Обувь мужская повседневная</x:v>
      </x:c>
      <x:c r="D1321" s="14" t="str">
        <x:v>Мужские Слипоны</x:v>
      </x:c>
      <x:c r="E1321" s="2" t="n">
        <x:v>173</x:v>
      </x:c>
      <x:c r="F1321" s="2" t="n">
        <x:v>0</x:v>
      </x:c>
      <x:c r="G1321" s="12" t="n">
        <x:v>12750570.2036</x:v>
      </x:c>
      <x:c r="H1321" s="12" t="n">
        <x:v>268051.37952233</x:v>
      </x:c>
      <x:c r="I1321" s="13" t="n">
        <x:v>0.0188196531791907</x:v>
      </x:c>
      <x:c r="J1321" s="2" t="n">
        <x:v>117</x:v>
      </x:c>
      <x:c r="K1321" s="2" t="n">
        <x:v>10</x:v>
      </x:c>
      <x:c r="L1321" s="12" t="n">
        <x:v>3538.5</x:v>
      </x:c>
      <x:c r="M1321" s="13" t="n">
        <x:v>0.7669827334105311</x:v>
      </x:c>
      <x:c r="N1321" s="13" t="n">
        <x:f>H1321/G1321</x:f>
        <x:v>0.021022697435652587</x:v>
      </x:c>
      <x:c r="O1321" s="13" t="n">
        <x:f>F1321/E1321</x:f>
        <x:v>0</x:v>
      </x:c>
      <x:c r="P1321" s="2" t="str">
        <x:f>IF(AND(E1321&gt;='Итоги'!$F$5,N1321&lt;='Итоги'!$B$5,O1321&gt;='Итоги'!$D$5),"Да","Нет")</x:f>
        <x:v>Нет</x:v>
      </x:c>
    </x:row>
    <x:row r="1322" ht="60" customHeight="1">
      <x:c r="A1322" s="14" t="str">
        <x:v>Строительство и ремонт (DIY)</x:v>
      </x:c>
      <x:c r="B1322" s="14" t="str">
        <x:v>Ремонт и строительство</x:v>
      </x:c>
      <x:c r="C1322" s="14" t="str">
        <x:v>Скобяные изделия</x:v>
      </x:c>
      <x:c r="D1322" s="14" t="str">
        <x:v>Саморез, шуруп</x:v>
      </x:c>
      <x:c r="E1322" s="2" t="n">
        <x:v>55</x:v>
      </x:c>
      <x:c r="F1322" s="2" t="n">
        <x:v>0</x:v>
      </x:c>
      <x:c r="G1322" s="12" t="n">
        <x:v>7406383.2142</x:v>
      </x:c>
      <x:c r="H1322" s="12" t="n">
        <x:v>156233.71625577</x:v>
      </x:c>
      <x:c r="I1322" s="13" t="n">
        <x:v>0.0268490909090909</x:v>
      </x:c>
      <x:c r="J1322" s="2" t="n">
        <x:v>15</x:v>
      </x:c>
      <x:c r="K1322" s="2" t="n">
        <x:v>13</x:v>
      </x:c>
      <x:c r="L1322" s="12" t="n">
        <x:v>1196.8261</x:v>
      </x:c>
      <x:c r="M1322" s="13" t="n">
        <x:v>0.4027833527949885</x:v>
      </x:c>
      <x:c r="N1322" s="13" t="n">
        <x:f>H1322/G1322</x:f>
        <x:v>0.021094468344039847</x:v>
      </x:c>
      <x:c r="O1322" s="13" t="n">
        <x:f>F1322/E1322</x:f>
        <x:v>0</x:v>
      </x:c>
      <x:c r="P1322" s="2" t="str">
        <x:f>IF(AND(E1322&gt;='Итоги'!$F$5,N1322&lt;='Итоги'!$B$5,O1322&gt;='Итоги'!$D$5),"Да","Нет")</x:f>
        <x:v>Нет</x:v>
      </x:c>
    </x:row>
    <x:row r="1323" ht="60" customHeight="1">
      <x:c r="A1323" s="14" t="str">
        <x:v>Товары для детей и спорта</x:v>
      </x:c>
      <x:c r="B1323" s="14" t="str">
        <x:v>КГТ и аксессуары для детей</x:v>
      </x:c>
      <x:c r="C1323" s="14" t="str">
        <x:v>Детская мебель и аксессуары в дом</x:v>
      </x:c>
      <x:c r="D1323" s="14" t="str">
        <x:v>Вешалка детская</x:v>
      </x:c>
      <x:c r="E1323" s="2" t="n">
        <x:v>1</x:v>
      </x:c>
      <x:c r="F1323" s="2" t="n">
        <x:v>0</x:v>
      </x:c>
      <x:c r="G1323" s="12" t="n">
        <x:v>96765</x:v>
      </x:c>
      <x:c r="H1323" s="12" t="n">
        <x:v>2041.7415</x:v>
      </x:c>
      <x:c r="I1323" s="13" t="n">
        <x:v>0.0211</x:v>
      </x:c>
      <x:c r="J1323" s="2" t="n">
        <x:v>0</x:v>
      </x:c>
      <x:c r="K1323" s="2" t="n">
        <x:v>1</x:v>
      </x:c>
      <x:c r="L1323" s="12" t="n">
        <x:v>1018.5789</x:v>
      </x:c>
      <x:c r="M1323" s="13" t="n">
        <x:v>1</x:v>
      </x:c>
      <x:c r="N1323" s="13" t="n">
        <x:f>H1323/G1323</x:f>
        <x:v>0.0211</x:v>
      </x:c>
      <x:c r="O1323" s="13" t="n">
        <x:f>F1323/E1323</x:f>
        <x:v>0</x:v>
      </x:c>
      <x:c r="P1323" s="2" t="str">
        <x:f>IF(AND(E1323&gt;='Итоги'!$F$5,N1323&lt;='Итоги'!$B$5,O1323&gt;='Итоги'!$D$5),"Да","Нет")</x:f>
        <x:v>Нет</x:v>
      </x:c>
    </x:row>
    <x:row r="1324" ht="60" customHeight="1">
      <x:c r="A1324" s="14" t="str">
        <x:v>Аптека</x:v>
      </x:c>
      <x:c r="B1324" s="14" t="str">
        <x:v>Оптика</x:v>
      </x:c>
      <x:c r="C1324" s="14" t="str">
        <x:v>Контактные линзы</x:v>
      </x:c>
      <x:c r="D1324" s="14" t="str">
        <x:v>Раствор для контактных линз</x:v>
      </x:c>
      <x:c r="E1324" s="2" t="n">
        <x:v>24</x:v>
      </x:c>
      <x:c r="F1324" s="2" t="n">
        <x:v>0</x:v>
      </x:c>
      <x:c r="G1324" s="12" t="n">
        <x:v>5376536.19</x:v>
      </x:c>
      <x:c r="H1324" s="12" t="n">
        <x:v>113719.133266</x:v>
      </x:c>
      <x:c r="I1324" s="13" t="n">
        <x:v>0.0194375</x:v>
      </x:c>
      <x:c r="J1324" s="2" t="n">
        <x:v>12</x:v>
      </x:c>
      <x:c r="K1324" s="2" t="n">
        <x:v>7</x:v>
      </x:c>
      <x:c r="L1324" s="12" t="n">
        <x:v>1088.4182</x:v>
      </x:c>
      <x:c r="M1324" s="13" t="n">
        <x:v>0.8508984145794432</x:v>
      </x:c>
      <x:c r="N1324" s="13" t="n">
        <x:f>H1324/G1324</x:f>
        <x:v>0.021151003033795256</x:v>
      </x:c>
      <x:c r="O1324" s="13" t="n">
        <x:f>F1324/E1324</x:f>
        <x:v>0</x:v>
      </x:c>
      <x:c r="P1324" s="2" t="str">
        <x:f>IF(AND(E1324&gt;='Итоги'!$F$5,N1324&lt;='Итоги'!$B$5,O1324&gt;='Итоги'!$D$5),"Да","Нет")</x:f>
        <x:v>Нет</x:v>
      </x:c>
    </x:row>
    <x:row r="1325" ht="60" customHeight="1">
      <x:c r="A1325" s="14" t="str">
        <x:v>Детская одежда</x:v>
      </x:c>
      <x:c r="B1325" s="14" t="str">
        <x:v>Детская одежда</x:v>
      </x:c>
      <x:c r="C1325" s="14" t="str">
        <x:v>Одежда для мальчика</x:v>
      </x:c>
      <x:c r="D1325" s="14" t="str">
        <x:v>Джинсы для мальчика</x:v>
      </x:c>
      <x:c r="E1325" s="2" t="n">
        <x:v>44</x:v>
      </x:c>
      <x:c r="F1325" s="2" t="n">
        <x:v>0</x:v>
      </x:c>
      <x:c r="G1325" s="12" t="n">
        <x:v>4171995.3511</x:v>
      </x:c>
      <x:c r="H1325" s="12" t="n">
        <x:v>88320.37659699</x:v>
      </x:c>
      <x:c r="I1325" s="13" t="n">
        <x:v>0.0234772727272727</x:v>
      </x:c>
      <x:c r="J1325" s="2" t="n">
        <x:v>12</x:v>
      </x:c>
      <x:c r="K1325" s="2" t="n">
        <x:v>8</x:v>
      </x:c>
      <x:c r="L1325" s="12" t="n">
        <x:v>1159.23185</x:v>
      </x:c>
      <x:c r="M1325" s="13" t="n">
        <x:v>0.7067829672251525</x:v>
      </x:c>
      <x:c r="N1325" s="13" t="n">
        <x:f>H1325/G1325</x:f>
        <x:v>0.021169816637907613</x:v>
      </x:c>
      <x:c r="O1325" s="13" t="n">
        <x:f>F1325/E1325</x:f>
        <x:v>0</x:v>
      </x:c>
      <x:c r="P1325" s="2" t="str">
        <x:f>IF(AND(E1325&gt;='Итоги'!$F$5,N1325&lt;='Итоги'!$B$5,O1325&gt;='Итоги'!$D$5),"Да","Нет")</x:f>
        <x:v>Нет</x:v>
      </x:c>
    </x:row>
    <x:row r="1326" ht="60" customHeight="1">
      <x:c r="A1326" s="14" t="str">
        <x:v>Товары для животных</x:v>
      </x:c>
      <x:c r="B1326" s="14" t="str">
        <x:v>Фермерское хозяйство - Оборудование для птицеводства и животноводства</x:v>
      </x:c>
      <x:c r="C1326" s="14" t="str">
        <x:v>Электропастухи и комплектующие</x:v>
      </x:c>
      <x:c r="D1326" s="14" t="str">
        <x:v>Комплектующие к электропастуху</x:v>
      </x:c>
      <x:c r="E1326" s="2" t="n">
        <x:v>3</x:v>
      </x:c>
      <x:c r="F1326" s="2" t="n">
        <x:v>0</x:v>
      </x:c>
      <x:c r="G1326" s="12" t="n">
        <x:v>329952</x:v>
      </x:c>
      <x:c r="H1326" s="12" t="n">
        <x:v>6985.4182</x:v>
      </x:c>
      <x:c r="I1326" s="13" t="n">
        <x:v>0.0209666666666666</x:v>
      </x:c>
      <x:c r="J1326" s="2" t="n">
        <x:v>0</x:v>
      </x:c>
      <x:c r="K1326" s="2" t="n">
        <x:v>3</x:v>
      </x:c>
      <x:c r="L1326" s="12" t="n">
        <x:v>1619.7867</x:v>
      </x:c>
      <x:c r="M1326" s="13" t="n">
        <x:v>0.4463255261371351</x:v>
      </x:c>
      <x:c r="N1326" s="13" t="n">
        <x:f>H1326/G1326</x:f>
        <x:v>0.021171013359518962</x:v>
      </x:c>
      <x:c r="O1326" s="13" t="n">
        <x:f>F1326/E1326</x:f>
        <x:v>0</x:v>
      </x:c>
      <x:c r="P1326" s="2" t="str">
        <x:f>IF(AND(E1326&gt;='Итоги'!$F$5,N1326&lt;='Итоги'!$B$5,O1326&gt;='Итоги'!$D$5),"Да","Нет")</x:f>
        <x:v>Нет</x:v>
      </x:c>
    </x:row>
    <x:row r="1327" ht="60" customHeight="1">
      <x:c r="A1327" s="14" t="str">
        <x:v>Школьные принадлежности и канцелярия</x:v>
      </x:c>
      <x:c r="B1327" s="14" t="str">
        <x:v>Товары для школы, канцелярия, оборудование</x:v>
      </x:c>
      <x:c r="C1327" s="14" t="str">
        <x:v>Бумага офисная и бумажная продукция</x:v>
      </x:c>
      <x:c r="D1327" s="14" t="str">
        <x:v>Бумага офисная цветная</x:v>
      </x:c>
      <x:c r="E1327" s="2" t="n">
        <x:v>2</x:v>
      </x:c>
      <x:c r="F1327" s="2" t="n">
        <x:v>0</x:v>
      </x:c>
      <x:c r="G1327" s="12" t="n">
        <x:v>227007.7164</x:v>
      </x:c>
      <x:c r="H1327" s="12" t="n">
        <x:v>4809.9385152</x:v>
      </x:c>
      <x:c r="I1327" s="13" t="n">
        <x:v>0.0168</x:v>
      </x:c>
      <x:c r="J1327" s="2" t="n">
        <x:v>1</x:v>
      </x:c>
      <x:c r="K1327" s="2" t="n">
        <x:v>2</x:v>
      </x:c>
      <x:c r="L1327" s="12" t="n">
        <x:v>1065.94965</x:v>
      </x:c>
      <x:c r="M1327" s="13" t="n">
        <x:v>0.6306082201529957</x:v>
      </x:c>
      <x:c r="N1327" s="13" t="n">
        <x:f>H1327/G1327</x:f>
        <x:v>0.021188436197140656</x:v>
      </x:c>
      <x:c r="O1327" s="13" t="n">
        <x:f>F1327/E1327</x:f>
        <x:v>0</x:v>
      </x:c>
      <x:c r="P1327" s="2" t="str">
        <x:f>IF(AND(E1327&gt;='Итоги'!$F$5,N1327&lt;='Итоги'!$B$5,O1327&gt;='Итоги'!$D$5),"Да","Нет")</x:f>
        <x:v>Нет</x:v>
      </x:c>
    </x:row>
    <x:row r="1328" ht="60" customHeight="1">
      <x:c r="A1328" s="14" t="str">
        <x:v>Бакалея и кондитерские изделия</x:v>
      </x:c>
      <x:c r="B1328" s="14" t="str">
        <x:v>Бакалея</x:v>
      </x:c>
      <x:c r="C1328" s="14" t="str">
        <x:v>Консервы</x:v>
      </x:c>
      <x:c r="D1328" s="14" t="str">
        <x:v>Оливки, маслины консервированные</x:v>
      </x:c>
      <x:c r="E1328" s="2" t="n">
        <x:v>3</x:v>
      </x:c>
      <x:c r="F1328" s="2" t="n">
        <x:v>0</x:v>
      </x:c>
      <x:c r="G1328" s="12" t="n">
        <x:v>324124.23</x:v>
      </x:c>
      <x:c r="H1328" s="12" t="n">
        <x:v>6869.924863999999</x:v>
      </x:c>
      <x:c r="I1328" s="13" t="n">
        <x:v>0.0298333333333333</x:v>
      </x:c>
      <x:c r="J1328" s="2" t="n">
        <x:v>1</x:v>
      </x:c>
      <x:c r="K1328" s="2" t="n">
        <x:v>2</x:v>
      </x:c>
      <x:c r="L1328" s="12" t="n">
        <x:v>1931.1296</x:v>
      </x:c>
      <x:c r="M1328" s="13" t="n">
        <x:v>0.7831243594469935</x:v>
      </x:c>
      <x:c r="N1328" s="13" t="n">
        <x:f>H1328/G1328</x:f>
        <x:v>0.021195344957703408</x:v>
      </x:c>
      <x:c r="O1328" s="13" t="n">
        <x:f>F1328/E1328</x:f>
        <x:v>0</x:v>
      </x:c>
      <x:c r="P1328" s="2" t="str">
        <x:f>IF(AND(E1328&gt;='Итоги'!$F$5,N1328&lt;='Итоги'!$B$5,O1328&gt;='Итоги'!$D$5),"Да","Нет")</x:f>
        <x:v>Нет</x:v>
      </x:c>
    </x:row>
    <x:row r="1329" ht="60" customHeight="1">
      <x:c r="A1329" s="14" t="str">
        <x:v>Школьные принадлежности и канцелярия</x:v>
      </x:c>
      <x:c r="B1329" s="14" t="str">
        <x:v>Товары для школы, канцелярия, оборудование</x:v>
      </x:c>
      <x:c r="C1329" s="14" t="str">
        <x:v>Бумага офисная и бумажная продукция</x:v>
      </x:c>
      <x:c r="D1329" s="14" t="str">
        <x:v>Конверт почтовый, деловой</x:v>
      </x:c>
      <x:c r="E1329" s="2" t="n">
        <x:v>15</x:v>
      </x:c>
      <x:c r="F1329" s="2" t="n">
        <x:v>0</x:v>
      </x:c>
      <x:c r="G1329" s="12" t="n">
        <x:v>1437705.4635</x:v>
      </x:c>
      <x:c r="H1329" s="12" t="n">
        <x:v>30477.52440486</x:v>
      </x:c>
      <x:c r="I1329" s="13" t="n">
        <x:v>0.0260866666666666</x:v>
      </x:c>
      <x:c r="J1329" s="2" t="n">
        <x:v>5</x:v>
      </x:c>
      <x:c r="K1329" s="2" t="n">
        <x:v>4</x:v>
      </x:c>
      <x:c r="L1329" s="12" t="n">
        <x:v>1966.0385</x:v>
      </x:c>
      <x:c r="M1329" s="13" t="n">
        <x:v>0.579578767108163</x:v>
      </x:c>
      <x:c r="N1329" s="13" t="n">
        <x:f>H1329/G1329</x:f>
        <x:v>0.02119872614983632</x:v>
      </x:c>
      <x:c r="O1329" s="13" t="n">
        <x:f>F1329/E1329</x:f>
        <x:v>0</x:v>
      </x:c>
      <x:c r="P1329" s="2" t="str">
        <x:f>IF(AND(E1329&gt;='Итоги'!$F$5,N1329&lt;='Итоги'!$B$5,O1329&gt;='Итоги'!$D$5),"Да","Нет")</x:f>
        <x:v>Нет</x:v>
      </x:c>
    </x:row>
    <x:row r="1330" ht="60" customHeight="1">
      <x:c r="A1330" s="14" t="str">
        <x:v>Товары для дома</x:v>
      </x:c>
      <x:c r="B1330" s="14" t="str">
        <x:v>Интерьер и декор</x:v>
      </x:c>
      <x:c r="C1330" s="14" t="str">
        <x:v>Свечи интерьерные</x:v>
      </x:c>
      <x:c r="D1330" s="14" t="str">
        <x:v>Свеча, набор свечей ароматических интерьерных</x:v>
      </x:c>
      <x:c r="E1330" s="2" t="n">
        <x:v>3</x:v>
      </x:c>
      <x:c r="F1330" s="2" t="n">
        <x:v>0</x:v>
      </x:c>
      <x:c r="G1330" s="12" t="n">
        <x:v>610441.4892</x:v>
      </x:c>
      <x:c r="H1330" s="12" t="n">
        <x:v>12947.3948</x:v>
      </x:c>
      <x:c r="I1330" s="13" t="n">
        <x:v>0.0391333333333333</x:v>
      </x:c>
      <x:c r="J1330" s="2" t="n">
        <x:v>1</x:v>
      </x:c>
      <x:c r="K1330" s="2" t="n">
        <x:v>3</x:v>
      </x:c>
      <x:c r="L1330" s="12" t="n">
        <x:v>2124</x:v>
      </x:c>
      <x:c r="M1330" s="13" t="n">
        <x:v>0.7892394238002918</x:v>
      </x:c>
      <x:c r="N1330" s="13" t="n">
        <x:f>H1330/G1330</x:f>
        <x:v>0.0212098866624677</x:v>
      </x:c>
      <x:c r="O1330" s="13" t="n">
        <x:f>F1330/E1330</x:f>
        <x:v>0</x:v>
      </x:c>
      <x:c r="P1330" s="2" t="str">
        <x:f>IF(AND(E1330&gt;='Итоги'!$F$5,N1330&lt;='Итоги'!$B$5,O1330&gt;='Итоги'!$D$5),"Да","Нет")</x:f>
        <x:v>Нет</x:v>
      </x:c>
    </x:row>
    <x:row r="1331" ht="60" customHeight="1">
      <x:c r="A1331" s="14" t="str">
        <x:v>Аксессуары для электроники</x:v>
      </x:c>
      <x:c r="B1331" s="14" t="str">
        <x:v>Расходный материал для электроники Access</x:v>
      </x:c>
      <x:c r="C1331" s="14" t="str">
        <x:v>Диск для записи</x:v>
      </x:c>
      <x:c r="D1331" s="14" t="str">
        <x:v>Диск для записи</x:v>
      </x:c>
      <x:c r="E1331" s="2" t="n">
        <x:v>17</x:v>
      </x:c>
      <x:c r="F1331" s="2" t="n">
        <x:v>0</x:v>
      </x:c>
      <x:c r="G1331" s="12" t="n">
        <x:v>1632181.26</x:v>
      </x:c>
      <x:c r="H1331" s="12" t="n">
        <x:v>34759.22576</x:v>
      </x:c>
      <x:c r="I1331" s="13" t="n">
        <x:v>0.0215294117647058</x:v>
      </x:c>
      <x:c r="J1331" s="2" t="n">
        <x:v>11</x:v>
      </x:c>
      <x:c r="K1331" s="2" t="n">
        <x:v>4</x:v>
      </x:c>
      <x:c r="L1331" s="12" t="n">
        <x:v>1254.6471</x:v>
      </x:c>
      <x:c r="M1331" s="13" t="n">
        <x:v>0.6121364118590603</x:v>
      </x:c>
      <x:c r="N1331" s="13" t="n">
        <x:f>H1331/G1331</x:f>
        <x:v>0.02129617991080231</x:v>
      </x:c>
      <x:c r="O1331" s="13" t="n">
        <x:f>F1331/E1331</x:f>
        <x:v>0</x:v>
      </x:c>
      <x:c r="P1331" s="2" t="str">
        <x:f>IF(AND(E1331&gt;='Итоги'!$F$5,N1331&lt;='Итоги'!$B$5,O1331&gt;='Итоги'!$D$5),"Да","Нет")</x:f>
        <x:v>Нет</x:v>
      </x:c>
    </x:row>
    <x:row r="1332" ht="60" customHeight="1">
      <x:c r="A1332" s="14" t="str">
        <x:v>Обувь</x:v>
      </x:c>
      <x:c r="B1332" s="14" t="str">
        <x:v>Обувь женская</x:v>
      </x:c>
      <x:c r="C1332" s="14" t="str">
        <x:v>Спортивная обувь женская</x:v>
      </x:c>
      <x:c r="D1332" s="14" t="str">
        <x:v>Спортивная обувь для танцев женская</x:v>
      </x:c>
      <x:c r="E1332" s="2" t="n">
        <x:v>34</x:v>
      </x:c>
      <x:c r="F1332" s="2" t="n">
        <x:v>0</x:v>
      </x:c>
      <x:c r="G1332" s="12" t="n">
        <x:v>3153217.0781</x:v>
      </x:c>
      <x:c r="H1332" s="12" t="n">
        <x:v>67274.57549973</x:v>
      </x:c>
      <x:c r="I1332" s="13" t="n">
        <x:v>0.016185294117647</x:v>
      </x:c>
      <x:c r="J1332" s="2" t="n">
        <x:v>9</x:v>
      </x:c>
      <x:c r="K1332" s="2" t="n">
        <x:v>4</x:v>
      </x:c>
      <x:c r="L1332" s="12" t="n">
        <x:v>7312.65</x:v>
      </x:c>
      <x:c r="M1332" s="13" t="n">
        <x:v>0.7058089579233907</x:v>
      </x:c>
      <x:c r="N1332" s="13" t="n">
        <x:f>H1332/G1332</x:f>
        <x:v>0.021335218550911476</x:v>
      </x:c>
      <x:c r="O1332" s="13" t="n">
        <x:f>F1332/E1332</x:f>
        <x:v>0</x:v>
      </x:c>
      <x:c r="P1332" s="2" t="str">
        <x:f>IF(AND(E1332&gt;='Итоги'!$F$5,N1332&lt;='Итоги'!$B$5,O1332&gt;='Итоги'!$D$5),"Да","Нет")</x:f>
        <x:v>Нет</x:v>
      </x:c>
    </x:row>
    <x:row r="1333" ht="60" customHeight="1">
      <x:c r="A1333" s="14" t="str">
        <x:v>Детская одежда</x:v>
      </x:c>
      <x:c r="B1333" s="14" t="str">
        <x:v>Детская одежда</x:v>
      </x:c>
      <x:c r="C1333" s="14" t="str">
        <x:v>Одежда для мальчика</x:v>
      </x:c>
      <x:c r="D1333" s="14" t="str">
        <x:v>Комплект одежды для мальчика</x:v>
      </x:c>
      <x:c r="E1333" s="2" t="n">
        <x:v>76</x:v>
      </x:c>
      <x:c r="F1333" s="2" t="n">
        <x:v>0</x:v>
      </x:c>
      <x:c r="G1333" s="12" t="n">
        <x:v>4232481.571</x:v>
      </x:c>
      <x:c r="H1333" s="12" t="n">
        <x:v>90443.77375763</x:v>
      </x:c>
      <x:c r="I1333" s="13" t="n">
        <x:v>0.0152026315789473</x:v>
      </x:c>
      <x:c r="J1333" s="2" t="n">
        <x:v>55</x:v>
      </x:c>
      <x:c r="K1333" s="2" t="n">
        <x:v>14</x:v>
      </x:c>
      <x:c r="L1333" s="12" t="n">
        <x:v>1649.7752</x:v>
      </x:c>
      <x:c r="M1333" s="13" t="n">
        <x:v>0.7169649058349085</x:v>
      </x:c>
      <x:c r="N1333" s="13" t="n">
        <x:f>H1333/G1333</x:f>
        <x:v>0.021368970482312347</x:v>
      </x:c>
      <x:c r="O1333" s="13" t="n">
        <x:f>F1333/E1333</x:f>
        <x:v>0</x:v>
      </x:c>
      <x:c r="P1333" s="2" t="str">
        <x:f>IF(AND(E1333&gt;='Итоги'!$F$5,N1333&lt;='Итоги'!$B$5,O1333&gt;='Итоги'!$D$5),"Да","Нет")</x:f>
        <x:v>Нет</x:v>
      </x:c>
    </x:row>
    <x:row r="1334" ht="60" customHeight="1">
      <x:c r="A1334" s="14" t="str">
        <x:v>Ноутбуки и компьютеры</x:v>
      </x:c>
      <x:c r="B1334" s="14" t="str">
        <x:v>Компьютерные комплектующие Lap&amp;Comp</x:v>
      </x:c>
      <x:c r="C1334" s="14" t="str">
        <x:v>Компьютерные комплектующие Lap&amp;Comp</x:v>
      </x:c>
      <x:c r="D1334" s="14" t="str">
        <x:v>Устройство аудиомонтажа</x:v>
      </x:c>
      <x:c r="E1334" s="2" t="n">
        <x:v>2</x:v>
      </x:c>
      <x:c r="F1334" s="2" t="n">
        <x:v>0</x:v>
      </x:c>
      <x:c r="G1334" s="12" t="n">
        <x:v>171764.16</x:v>
      </x:c>
      <x:c r="H1334" s="12" t="n">
        <x:v>3683.691012</x:v>
      </x:c>
      <x:c r="I1334" s="13" t="n">
        <x:v>0.01695</x:v>
      </x:c>
      <x:c r="J1334" s="2" t="n">
        <x:v>0</x:v>
      </x:c>
      <x:c r="K1334" s="2" t="n">
        <x:v>1</x:v>
      </x:c>
      <x:c r="L1334" s="12" t="n">
        <x:v>15125.8575</x:v>
      </x:c>
      <x:c r="M1334" s="13" t="n">
        <x:v>1</x:v>
      </x:c>
      <x:c r="N1334" s="13" t="n">
        <x:f>H1334/G1334</x:f>
        <x:v>0.02144621446057198</x:v>
      </x:c>
      <x:c r="O1334" s="13" t="n">
        <x:f>F1334/E1334</x:f>
        <x:v>0</x:v>
      </x:c>
      <x:c r="P1334" s="2" t="str">
        <x:f>IF(AND(E1334&gt;='Итоги'!$F$5,N1334&lt;='Итоги'!$B$5,O1334&gt;='Итоги'!$D$5),"Да","Нет")</x:f>
        <x:v>Нет</x:v>
      </x:c>
    </x:row>
    <x:row r="1335" ht="60" customHeight="1">
      <x:c r="A1335" s="14" t="str">
        <x:v>Ноутбуки и компьютеры</x:v>
      </x:c>
      <x:c r="B1335" s="14" t="str">
        <x:v>Компьютерная офисная техника Lap&amp;Comp</x:v>
      </x:c>
      <x:c r="C1335" s="14" t="str">
        <x:v>Компьютерная офисная техника Lap&amp;Comp</x:v>
      </x:c>
      <x:c r="D1335" s="14" t="str">
        <x:v>Детали к печатающим устройствам</x:v>
      </x:c>
      <x:c r="E1335" s="2" t="n">
        <x:v>12</x:v>
      </x:c>
      <x:c r="F1335" s="2" t="n">
        <x:v>0</x:v>
      </x:c>
      <x:c r="G1335" s="12" t="n">
        <x:v>1776548.6391</x:v>
      </x:c>
      <x:c r="H1335" s="12" t="n">
        <x:v>38104.33661256</x:v>
      </x:c>
      <x:c r="I1335" s="13" t="n">
        <x:v>0.0240083333333333</x:v>
      </x:c>
      <x:c r="J1335" s="2" t="n">
        <x:v>7</x:v>
      </x:c>
      <x:c r="K1335" s="2" t="n">
        <x:v>11</x:v>
      </x:c>
      <x:c r="L1335" s="12" t="n">
        <x:v>1954.1163</x:v>
      </x:c>
      <x:c r="M1335" s="13" t="n">
        <x:v>0.2003840436253665</x:v>
      </x:c>
      <x:c r="N1335" s="13" t="n">
        <x:f>H1335/G1335</x:f>
        <x:v>0.021448518646730474</x:v>
      </x:c>
      <x:c r="O1335" s="13" t="n">
        <x:f>F1335/E1335</x:f>
        <x:v>0</x:v>
      </x:c>
      <x:c r="P1335" s="2" t="str">
        <x:f>IF(AND(E1335&gt;='Итоги'!$F$5,N1335&lt;='Итоги'!$B$5,O1335&gt;='Итоги'!$D$5),"Да","Нет")</x:f>
        <x:v>Нет</x:v>
      </x:c>
    </x:row>
    <x:row r="1336" ht="60" customHeight="1">
      <x:c r="A1336" s="14" t="str">
        <x:v>Строительство и ремонт (DIY)</x:v>
      </x:c>
      <x:c r="B1336" s="14" t="str">
        <x:v>Инструменты</x:v>
      </x:c>
      <x:c r="C1336" s="14" t="str">
        <x:v>Инструмент ручной для строительства, ремонта</x:v>
      </x:c>
      <x:c r="D1336" s="14" t="str">
        <x:v>Зажимное, прижимное устройство</x:v>
      </x:c>
      <x:c r="E1336" s="2" t="n">
        <x:v>12</x:v>
      </x:c>
      <x:c r="F1336" s="2" t="n">
        <x:v>0</x:v>
      </x:c>
      <x:c r="G1336" s="12" t="n">
        <x:v>1864007.1241</x:v>
      </x:c>
      <x:c r="H1336" s="12" t="n">
        <x:v>40196.83746291</x:v>
      </x:c>
      <x:c r="I1336" s="13" t="n">
        <x:v>0.0200416666666666</x:v>
      </x:c>
      <x:c r="J1336" s="2" t="n">
        <x:v>2</x:v>
      </x:c>
      <x:c r="K1336" s="2" t="n">
        <x:v>4</x:v>
      </x:c>
      <x:c r="L1336" s="12" t="n">
        <x:v>1739.9297</x:v>
      </x:c>
      <x:c r="M1336" s="13" t="n">
        <x:v>0.4210255395235804</x:v>
      </x:c>
      <x:c r="N1336" s="13" t="n">
        <x:f>H1336/G1336</x:f>
        <x:v>0.02156474454587628</x:v>
      </x:c>
      <x:c r="O1336" s="13" t="n">
        <x:f>F1336/E1336</x:f>
        <x:v>0</x:v>
      </x:c>
      <x:c r="P1336" s="2" t="str">
        <x:f>IF(AND(E1336&gt;='Итоги'!$F$5,N1336&lt;='Итоги'!$B$5,O1336&gt;='Итоги'!$D$5),"Да","Нет")</x:f>
        <x:v>Нет</x:v>
      </x:c>
    </x:row>
    <x:row r="1337" ht="60" customHeight="1">
      <x:c r="A1337" s="14" t="str">
        <x:v>Бытовая химия и гигиена рта</x:v>
      </x:c>
      <x:c r="B1337" s="14" t="str">
        <x:v>Бытовая химия</x:v>
      </x:c>
      <x:c r="C1337" s="14" t="str">
        <x:v>Чистящее и моющее средство</x:v>
      </x:c>
      <x:c r="D1337" s="14" t="str">
        <x:v>Средство чистящее против плесени, грибка</x:v>
      </x:c>
      <x:c r="E1337" s="2" t="n">
        <x:v>2</x:v>
      </x:c>
      <x:c r="F1337" s="2" t="n">
        <x:v>0</x:v>
      </x:c>
      <x:c r="G1337" s="12" t="n">
        <x:v>407721.08</x:v>
      </x:c>
      <x:c r="H1337" s="12" t="n">
        <x:v>8806.247876000001</x:v>
      </x:c>
      <x:c r="I1337" s="13" t="n">
        <x:v>0.0183499999999999</x:v>
      </x:c>
      <x:c r="J1337" s="2" t="n">
        <x:v>0</x:v>
      </x:c>
      <x:c r="K1337" s="2" t="n">
        <x:v>2</x:v>
      </x:c>
      <x:c r="L1337" s="12" t="n">
        <x:v>1893.78165</x:v>
      </x:c>
      <x:c r="M1337" s="13" t="n">
        <x:v>0.7558036489062572</x:v>
      </x:c>
      <x:c r="N1337" s="13" t="n">
        <x:f>H1337/G1337</x:f>
        <x:v>0.02159870634110947</x:v>
      </x:c>
      <x:c r="O1337" s="13" t="n">
        <x:f>F1337/E1337</x:f>
        <x:v>0</x:v>
      </x:c>
      <x:c r="P1337" s="2" t="str">
        <x:f>IF(AND(E1337&gt;='Итоги'!$F$5,N1337&lt;='Итоги'!$B$5,O1337&gt;='Итоги'!$D$5),"Да","Нет")</x:f>
        <x:v>Нет</x:v>
      </x:c>
    </x:row>
    <x:row r="1338" ht="60" customHeight="1">
      <x:c r="A1338" s="14" t="str">
        <x:v>Одежда</x:v>
      </x:c>
      <x:c r="B1338" s="14" t="str">
        <x:v>Основная одежда женская</x:v>
      </x:c>
      <x:c r="C1338" s="14" t="str">
        <x:v>Пляжная одежда женская</x:v>
      </x:c>
      <x:c r="D1338" s="14" t="str">
        <x:v>Спортивный купальник раздельный</x:v>
      </x:c>
      <x:c r="E1338" s="2" t="n">
        <x:v>1270</x:v>
      </x:c>
      <x:c r="F1338" s="2" t="n">
        <x:v>0</x:v>
      </x:c>
      <x:c r="G1338" s="12" t="n">
        <x:v>200147192.0577</x:v>
      </x:c>
      <x:c r="H1338" s="12" t="n">
        <x:v>4325449.38431128</x:v>
      </x:c>
      <x:c r="I1338" s="13" t="n">
        <x:v>0.0241193700787401</x:v>
      </x:c>
      <x:c r="J1338" s="2" t="n">
        <x:v>689</x:v>
      </x:c>
      <x:c r="K1338" s="2" t="n">
        <x:v>83</x:v>
      </x:c>
      <x:c r="L1338" s="12" t="n">
        <x:v>1697.3015</x:v>
      </x:c>
      <x:c r="M1338" s="13" t="n">
        <x:v>0.6923565852687608</x:v>
      </x:c>
      <x:c r="N1338" s="13" t="n">
        <x:f>H1338/G1338</x:f>
        <x:v>0.02161134183218671</x:v>
      </x:c>
      <x:c r="O1338" s="13" t="n">
        <x:f>F1338/E1338</x:f>
        <x:v>0</x:v>
      </x:c>
      <x:c r="P1338" s="2" t="str">
        <x:f>IF(AND(E1338&gt;='Итоги'!$F$5,N1338&lt;='Итоги'!$B$5,O1338&gt;='Итоги'!$D$5),"Да","Нет")</x:f>
        <x:v>Нет</x:v>
      </x:c>
    </x:row>
    <x:row r="1339" ht="60" customHeight="1">
      <x:c r="A1339" s="14" t="str">
        <x:v>Товары для дома</x:v>
      </x:c>
      <x:c r="B1339" s="14" t="str">
        <x:v>Кухня</x:v>
      </x:c>
      <x:c r="C1339" s="14" t="str">
        <x:v>Столовые приборы</x:v>
      </x:c>
      <x:c r="D1339" s="14" t="str">
        <x:v>Набор столовых ложек</x:v>
      </x:c>
      <x:c r="E1339" s="2" t="n">
        <x:v>1</x:v>
      </x:c>
      <x:c r="F1339" s="2" t="n">
        <x:v>0</x:v>
      </x:c>
      <x:c r="G1339" s="12" t="n">
        <x:v>182335.6859</x:v>
      </x:c>
      <x:c r="H1339" s="12" t="n">
        <x:v>3956.68438403</x:v>
      </x:c>
      <x:c r="I1339" s="13" t="n">
        <x:v>0.0217</x:v>
      </x:c>
      <x:c r="J1339" s="2" t="n">
        <x:v>0</x:v>
      </x:c>
      <x:c r="K1339" s="2" t="n">
        <x:v>1</x:v>
      </x:c>
      <x:c r="L1339" s="12" t="n">
        <x:v>880.8487</x:v>
      </x:c>
      <x:c r="M1339" s="13" t="n">
        <x:v>1</x:v>
      </x:c>
      <x:c r="N1339" s="13" t="n">
        <x:f>H1339/G1339</x:f>
        <x:v>0.021699999999999997</x:v>
      </x:c>
      <x:c r="O1339" s="13" t="n">
        <x:f>F1339/E1339</x:f>
        <x:v>0</x:v>
      </x:c>
      <x:c r="P1339" s="2" t="str">
        <x:f>IF(AND(E1339&gt;='Итоги'!$F$5,N1339&lt;='Итоги'!$B$5,O1339&gt;='Итоги'!$D$5),"Да","Нет")</x:f>
        <x:v>Нет</x:v>
      </x:c>
    </x:row>
    <x:row r="1340" ht="60" customHeight="1">
      <x:c r="A1340" s="14" t="str">
        <x:v>Спорт и отдых</x:v>
      </x:c>
      <x:c r="B1340" s="14" t="str">
        <x:v>Колесный транспорт</x:v>
      </x:c>
      <x:c r="C1340" s="14" t="str">
        <x:v>Велосипед</x:v>
      </x:c>
      <x:c r="D1340" s="14" t="str">
        <x:v>Велосипед складной</x:v>
      </x:c>
      <x:c r="E1340" s="2" t="n">
        <x:v>12</x:v>
      </x:c>
      <x:c r="F1340" s="2" t="n">
        <x:v>0</x:v>
      </x:c>
      <x:c r="G1340" s="12" t="n">
        <x:v>2500003.05</x:v>
      </x:c>
      <x:c r="H1340" s="12" t="n">
        <x:v>54258.9267</x:v>
      </x:c>
      <x:c r="I1340" s="13" t="n">
        <x:v>0.0233666666666666</x:v>
      </x:c>
      <x:c r="J1340" s="2" t="n">
        <x:v>7</x:v>
      </x:c>
      <x:c r="K1340" s="2" t="n">
        <x:v>5</x:v>
      </x:c>
      <x:c r="L1340" s="12" t="n">
        <x:v>15104.5625</x:v>
      </x:c>
      <x:c r="M1340" s="13" t="n">
        <x:v>0.5413213395879657</x:v>
      </x:c>
      <x:c r="N1340" s="13" t="n">
        <x:f>H1340/G1340</x:f>
        <x:v>0.021703544201676077</x:v>
      </x:c>
      <x:c r="O1340" s="13" t="n">
        <x:f>F1340/E1340</x:f>
        <x:v>0</x:v>
      </x:c>
      <x:c r="P1340" s="2" t="str">
        <x:f>IF(AND(E1340&gt;='Итоги'!$F$5,N1340&lt;='Итоги'!$B$5,O1340&gt;='Итоги'!$D$5),"Да","Нет")</x:f>
        <x:v>Нет</x:v>
      </x:c>
    </x:row>
    <x:row r="1341" ht="60" customHeight="1">
      <x:c r="A1341" s="14" t="str">
        <x:v>Аудио и видеотехника</x:v>
      </x:c>
      <x:c r="B1341" s="14" t="str">
        <x:v>Компьютерная периферия TV&amp;Audio</x:v>
      </x:c>
      <x:c r="C1341" s="14" t="str">
        <x:v>Периферийное оборудование TV&amp;Audio</x:v>
      </x:c>
      <x:c r="D1341" s="14" t="str">
        <x:v>Компьютерный калибратор</x:v>
      </x:c>
      <x:c r="E1341" s="2" t="n">
        <x:v>2</x:v>
      </x:c>
      <x:c r="F1341" s="2" t="n">
        <x:v>0</x:v>
      </x:c>
      <x:c r="G1341" s="12" t="n">
        <x:v>536448</x:v>
      </x:c>
      <x:c r="H1341" s="12" t="n">
        <x:v>11644.122899999998</x:v>
      </x:c>
      <x:c r="I1341" s="13" t="n">
        <x:v>0.02255</x:v>
      </x:c>
      <x:c r="J1341" s="2" t="n">
        <x:v>0</x:v>
      </x:c>
      <x:c r="K1341" s="2" t="n">
        <x:v>1</x:v>
      </x:c>
      <x:c r="L1341" s="12" t="n">
        <x:v>22663.65625</x:v>
      </x:c>
      <x:c r="M1341" s="13" t="n">
        <x:v>1</x:v>
      </x:c>
      <x:c r="N1341" s="13" t="n">
        <x:f>H1341/G1341</x:f>
        <x:v>0.021705967586793124</x:v>
      </x:c>
      <x:c r="O1341" s="13" t="n">
        <x:f>F1341/E1341</x:f>
        <x:v>0</x:v>
      </x:c>
      <x:c r="P1341" s="2" t="str">
        <x:f>IF(AND(E1341&gt;='Итоги'!$F$5,N1341&lt;='Итоги'!$B$5,O1341&gt;='Итоги'!$D$5),"Да","Нет")</x:f>
        <x:v>Нет</x:v>
      </x:c>
    </x:row>
    <x:row r="1342" ht="60" customHeight="1">
      <x:c r="A1342" s="14" t="str">
        <x:v>Товары для красоты и здоровья</x:v>
      </x:c>
      <x:c r="B1342" s="14" t="str">
        <x:v>Косметика для ухода за волосами</x:v>
      </x:c>
      <x:c r="C1342" s="14" t="str">
        <x:v>Стайлинг для женщин</x:v>
      </x:c>
      <x:c r="D1342" s="14" t="str">
        <x:v>Лак для волос</x:v>
      </x:c>
      <x:c r="E1342" s="2" t="n">
        <x:v>48</x:v>
      </x:c>
      <x:c r="F1342" s="2" t="n">
        <x:v>0</x:v>
      </x:c>
      <x:c r="G1342" s="12" t="n">
        <x:v>6562515.9749</x:v>
      </x:c>
      <x:c r="H1342" s="12" t="n">
        <x:v>142734.266182</x:v>
      </x:c>
      <x:c r="I1342" s="13" t="n">
        <x:v>0.0176625</x:v>
      </x:c>
      <x:c r="J1342" s="2" t="n">
        <x:v>30</x:v>
      </x:c>
      <x:c r="K1342" s="2" t="n">
        <x:v>13</x:v>
      </x:c>
      <x:c r="L1342" s="12" t="n">
        <x:v>973.9518</x:v>
      </x:c>
      <x:c r="M1342" s="13" t="n">
        <x:v>0.6332623631081258</x:v>
      </x:c>
      <x:c r="N1342" s="13" t="n">
        <x:f>H1342/G1342</x:f>
        <x:v>0.021749930472995914</x:v>
      </x:c>
      <x:c r="O1342" s="13" t="n">
        <x:f>F1342/E1342</x:f>
        <x:v>0</x:v>
      </x:c>
      <x:c r="P1342" s="2" t="str">
        <x:f>IF(AND(E1342&gt;='Итоги'!$F$5,N1342&lt;='Итоги'!$B$5,O1342&gt;='Итоги'!$D$5),"Да","Нет")</x:f>
        <x:v>Нет</x:v>
      </x:c>
    </x:row>
    <x:row r="1343" ht="60" customHeight="1">
      <x:c r="A1343" s="14" t="str">
        <x:v>Аптека</x:v>
      </x:c>
      <x:c r="B1343" s="14" t="str">
        <x:v>Тату</x:v>
      </x:c>
      <x:c r="C1343" s="14" t="str">
        <x:v>Тату аксессуары</x:v>
      </x:c>
      <x:c r="D1343" s="14" t="str">
        <x:v>Тату бинт, лента</x:v>
      </x:c>
      <x:c r="E1343" s="2" t="n">
        <x:v>4</x:v>
      </x:c>
      <x:c r="F1343" s="2" t="n">
        <x:v>0</x:v>
      </x:c>
      <x:c r="G1343" s="12" t="n">
        <x:v>676559.7505000001</x:v>
      </x:c>
      <x:c r="H1343" s="12" t="n">
        <x:v>14814.5472</x:v>
      </x:c>
      <x:c r="I1343" s="13" t="n">
        <x:v>0.034525</x:v>
      </x:c>
      <x:c r="J1343" s="2" t="n">
        <x:v>2</x:v>
      </x:c>
      <x:c r="K1343" s="2" t="n">
        <x:v>3</x:v>
      </x:c>
      <x:c r="L1343" s="12" t="n">
        <x:v>3294.4241</x:v>
      </x:c>
      <x:c r="M1343" s="13" t="n">
        <x:v>0.7866086478048623</x:v>
      </x:c>
      <x:c r="N1343" s="13" t="n">
        <x:f>H1343/G1343</x:f>
        <x:v>0.02189687930600595</x:v>
      </x:c>
      <x:c r="O1343" s="13" t="n">
        <x:f>F1343/E1343</x:f>
        <x:v>0</x:v>
      </x:c>
      <x:c r="P1343" s="2" t="str">
        <x:f>IF(AND(E1343&gt;='Итоги'!$F$5,N1343&lt;='Итоги'!$B$5,O1343&gt;='Итоги'!$D$5),"Да","Нет")</x:f>
        <x:v>Нет</x:v>
      </x:c>
    </x:row>
    <x:row r="1344" ht="60" customHeight="1">
      <x:c r="A1344" s="14" t="str">
        <x:v>Одежда</x:v>
      </x:c>
      <x:c r="B1344" s="14" t="str">
        <x:v>Верхняя одежда</x:v>
      </x:c>
      <x:c r="C1344" s="14" t="str">
        <x:v>Верхняя одежда женская</x:v>
      </x:c>
      <x:c r="D1344" s="14" t="str">
        <x:v>Дубленка женская из искусственного меха</x:v>
      </x:c>
      <x:c r="E1344" s="2" t="n">
        <x:v>29</x:v>
      </x:c>
      <x:c r="F1344" s="2" t="n">
        <x:v>0</x:v>
      </x:c>
      <x:c r="G1344" s="12" t="n">
        <x:v>779159.8495</x:v>
      </x:c>
      <x:c r="H1344" s="12" t="n">
        <x:v>17118.967297</x:v>
      </x:c>
      <x:c r="I1344" s="13" t="n">
        <x:v>0.0141</x:v>
      </x:c>
      <x:c r="J1344" s="2" t="n">
        <x:v>21</x:v>
      </x:c>
      <x:c r="K1344" s="2" t="n">
        <x:v>8</x:v>
      </x:c>
      <x:c r="L1344" s="12" t="n">
        <x:v>4179</x:v>
      </x:c>
      <x:c r="M1344" s="13" t="n">
        <x:v>0.3787371483391611</x:v>
      </x:c>
      <x:c r="N1344" s="13" t="n">
        <x:f>H1344/G1344</x:f>
        <x:v>0.021971059350639702</x:v>
      </x:c>
      <x:c r="O1344" s="13" t="n">
        <x:f>F1344/E1344</x:f>
        <x:v>0</x:v>
      </x:c>
      <x:c r="P1344" s="2" t="str">
        <x:f>IF(AND(E1344&gt;='Итоги'!$F$5,N1344&lt;='Итоги'!$B$5,O1344&gt;='Итоги'!$D$5),"Да","Нет")</x:f>
        <x:v>Нет</x:v>
      </x:c>
    </x:row>
    <x:row r="1345" ht="60" customHeight="1">
      <x:c r="A1345" s="14" t="str">
        <x:v>Детская одежда</x:v>
      </x:c>
      <x:c r="B1345" s="14" t="str">
        <x:v>Детская одежда</x:v>
      </x:c>
      <x:c r="C1345" s="14" t="str">
        <x:v>Одежда для мальчика</x:v>
      </x:c>
      <x:c r="D1345" s="14" t="str">
        <x:v>Брюки для мальчика</x:v>
      </x:c>
      <x:c r="E1345" s="2" t="n">
        <x:v>133</x:v>
      </x:c>
      <x:c r="F1345" s="2" t="n">
        <x:v>0</x:v>
      </x:c>
      <x:c r="G1345" s="12" t="n">
        <x:v>11344461.2917</x:v>
      </x:c>
      <x:c r="H1345" s="12" t="n">
        <x:v>249447.98915286</x:v>
      </x:c>
      <x:c r="I1345" s="13" t="n">
        <x:v>0.0258654135338345</x:v>
      </x:c>
      <x:c r="J1345" s="2" t="n">
        <x:v>52</x:v>
      </x:c>
      <x:c r="K1345" s="2" t="n">
        <x:v>19</x:v>
      </x:c>
      <x:c r="L1345" s="12" t="n">
        <x:v>1503.9457</x:v>
      </x:c>
      <x:c r="M1345" s="13" t="n">
        <x:v>0.3560431297654616</x:v>
      </x:c>
      <x:c r="N1345" s="13" t="n">
        <x:f>H1345/G1345</x:f>
        <x:v>0.021988526624473988</x:v>
      </x:c>
      <x:c r="O1345" s="13" t="n">
        <x:f>F1345/E1345</x:f>
        <x:v>0</x:v>
      </x:c>
      <x:c r="P1345" s="2" t="str">
        <x:f>IF(AND(E1345&gt;='Итоги'!$F$5,N1345&lt;='Итоги'!$B$5,O1345&gt;='Итоги'!$D$5),"Да","Нет")</x:f>
        <x:v>Нет</x:v>
      </x:c>
    </x:row>
    <x:row r="1346" ht="60" customHeight="1">
      <x:c r="A1346" s="14" t="str">
        <x:v>Аксессуары для электроники</x:v>
      </x:c>
      <x:c r="B1346" s="14" t="str">
        <x:v>Игровые приставки и аксессуары Access</x:v>
      </x:c>
      <x:c r="C1346" s="14" t="str">
        <x:v>Кабель для игровой приставки Access</x:v>
      </x:c>
      <x:c r="D1346" s="14" t="str">
        <x:v>Кабель для игровой приставки</x:v>
      </x:c>
      <x:c r="E1346" s="2" t="n">
        <x:v>3</x:v>
      </x:c>
      <x:c r="F1346" s="2" t="n">
        <x:v>0</x:v>
      </x:c>
      <x:c r="G1346" s="12" t="n">
        <x:v>651523.39</x:v>
      </x:c>
      <x:c r="H1346" s="12" t="n">
        <x:v>14326.909405</x:v>
      </x:c>
      <x:c r="I1346" s="13" t="n">
        <x:v>0.0203333333333333</x:v>
      </x:c>
      <x:c r="J1346" s="2" t="n">
        <x:v>1</x:v>
      </x:c>
      <x:c r="K1346" s="2" t="n">
        <x:v>1</x:v>
      </x:c>
      <x:c r="L1346" s="12" t="n">
        <x:v>2277.0581</x:v>
      </x:c>
      <x:c r="M1346" s="13" t="n">
        <x:v>1</x:v>
      </x:c>
      <x:c r="N1346" s="13" t="n">
        <x:f>H1346/G1346</x:f>
        <x:v>0.021989861952615392</x:v>
      </x:c>
      <x:c r="O1346" s="13" t="n">
        <x:f>F1346/E1346</x:f>
        <x:v>0</x:v>
      </x:c>
      <x:c r="P1346" s="2" t="str">
        <x:f>IF(AND(E1346&gt;='Итоги'!$F$5,N1346&lt;='Итоги'!$B$5,O1346&gt;='Итоги'!$D$5),"Да","Нет")</x:f>
        <x:v>Нет</x:v>
      </x:c>
    </x:row>
    <x:row r="1347" ht="60" customHeight="1">
      <x:c r="A1347" s="14" t="str">
        <x:v>Бакалея и кондитерские изделия</x:v>
      </x:c>
      <x:c r="B1347" s="14" t="str">
        <x:v>Кондитерские изделия</x:v>
      </x:c>
      <x:c r="C1347" s="14" t="str">
        <x:v>Мучные изделия</x:v>
      </x:c>
      <x:c r="D1347" s="14" t="str">
        <x:v>Пряники</x:v>
      </x:c>
      <x:c r="E1347" s="2" t="n">
        <x:v>1</x:v>
      </x:c>
      <x:c r="F1347" s="2" t="n">
        <x:v>0</x:v>
      </x:c>
      <x:c r="G1347" s="12" t="n">
        <x:v>134850.5345</x:v>
      </x:c>
      <x:c r="H1347" s="12" t="n">
        <x:v>2966.711759</x:v>
      </x:c>
      <x:c r="I1347" s="13" t="n">
        <x:v>0.022</x:v>
      </x:c>
      <x:c r="J1347" s="2" t="n">
        <x:v>0</x:v>
      </x:c>
      <x:c r="K1347" s="2" t="n">
        <x:v>1</x:v>
      </x:c>
      <x:c r="L1347" s="12" t="n">
        <x:v>583.7685</x:v>
      </x:c>
      <x:c r="M1347" s="13" t="n">
        <x:v>1</x:v>
      </x:c>
      <x:c r="N1347" s="13" t="n">
        <x:f>H1347/G1347</x:f>
        <x:v>0.022</x:v>
      </x:c>
      <x:c r="O1347" s="13" t="n">
        <x:f>F1347/E1347</x:f>
        <x:v>0</x:v>
      </x:c>
      <x:c r="P1347" s="2" t="str">
        <x:f>IF(AND(E1347&gt;='Итоги'!$F$5,N1347&lt;='Итоги'!$B$5,O1347&gt;='Итоги'!$D$5),"Да","Нет")</x:f>
        <x:v>Нет</x:v>
      </x:c>
    </x:row>
    <x:row r="1348" ht="60" customHeight="1">
      <x:c r="A1348" s="14" t="str">
        <x:v>Обувь</x:v>
      </x:c>
      <x:c r="B1348" s="14" t="str">
        <x:v>Обувь женская</x:v>
      </x:c>
      <x:c r="C1348" s="14" t="str">
        <x:v>Обувь женская повседневная</x:v>
      </x:c>
      <x:c r="D1348" s="14" t="str">
        <x:v>Женские Туфли</x:v>
      </x:c>
      <x:c r="E1348" s="2" t="n">
        <x:v>1540</x:v>
      </x:c>
      <x:c r="F1348" s="2" t="n">
        <x:v>0</x:v>
      </x:c>
      <x:c r="G1348" s="12" t="n">
        <x:v>99492681.5907</x:v>
      </x:c>
      <x:c r="H1348" s="12" t="n">
        <x:v>2189337.30031746</x:v>
      </x:c>
      <x:c r="I1348" s="13" t="n">
        <x:v>0.0144687662337662</x:v>
      </x:c>
      <x:c r="J1348" s="2" t="n">
        <x:v>1128</x:v>
      </x:c>
      <x:c r="K1348" s="2" t="n">
        <x:v>61</x:v>
      </x:c>
      <x:c r="L1348" s="12" t="n">
        <x:v>2807.73675</x:v>
      </x:c>
      <x:c r="M1348" s="13" t="n">
        <x:v>0.6061835208262947</x:v>
      </x:c>
      <x:c r="N1348" s="13" t="n">
        <x:f>H1348/G1348</x:f>
        <x:v>0.02200500846207071</x:v>
      </x:c>
      <x:c r="O1348" s="13" t="n">
        <x:f>F1348/E1348</x:f>
        <x:v>0</x:v>
      </x:c>
      <x:c r="P1348" s="2" t="str">
        <x:f>IF(AND(E1348&gt;='Итоги'!$F$5,N1348&lt;='Итоги'!$B$5,O1348&gt;='Итоги'!$D$5),"Да","Нет")</x:f>
        <x:v>Нет</x:v>
      </x:c>
    </x:row>
    <x:row r="1349" ht="60" customHeight="1">
      <x:c r="A1349" s="14" t="str">
        <x:v>Аптека</x:v>
      </x:c>
      <x:c r="B1349" s="14" t="str">
        <x:v>Витамины и БАДы</x:v>
      </x:c>
      <x:c r="C1349" s="14" t="str">
        <x:v>Противопростудные препараты</x:v>
      </x:c>
      <x:c r="D1349" s="14" t="str">
        <x:v>БАД для поддержания работы дыхательной системы</x:v>
      </x:c>
      <x:c r="E1349" s="2" t="n">
        <x:v>2</x:v>
      </x:c>
      <x:c r="F1349" s="2" t="n">
        <x:v>0</x:v>
      </x:c>
      <x:c r="G1349" s="12" t="n">
        <x:v>299031.0296</x:v>
      </x:c>
      <x:c r="H1349" s="12" t="n">
        <x:v>6595.23632469</x:v>
      </x:c>
      <x:c r="I1349" s="13" t="n">
        <x:v>0.02535</x:v>
      </x:c>
      <x:c r="J1349" s="2" t="n">
        <x:v>1</x:v>
      </x:c>
      <x:c r="K1349" s="2" t="n">
        <x:v>2</x:v>
      </x:c>
      <x:c r="L1349" s="12" t="n">
        <x:v>833.0613000000001</x:v>
      </x:c>
      <x:c r="M1349" s="13" t="n">
        <x:v>0.5649830826118387</x:v>
      </x:c>
      <x:c r="N1349" s="13" t="n">
        <x:f>H1349/G1349</x:f>
        <x:v>0.022055357711579775</x:v>
      </x:c>
      <x:c r="O1349" s="13" t="n">
        <x:f>F1349/E1349</x:f>
        <x:v>0</x:v>
      </x:c>
      <x:c r="P1349" s="2" t="str">
        <x:f>IF(AND(E1349&gt;='Итоги'!$F$5,N1349&lt;='Итоги'!$B$5,O1349&gt;='Итоги'!$D$5),"Да","Нет")</x:f>
        <x:v>Нет</x:v>
      </x:c>
    </x:row>
    <x:row r="1350" ht="60" customHeight="1">
      <x:c r="A1350" s="14" t="str">
        <x:v>Бакалея и кондитерские изделия</x:v>
      </x:c>
      <x:c r="B1350" s="14" t="str">
        <x:v>Бакалея</x:v>
      </x:c>
      <x:c r="C1350" s="14" t="str">
        <x:v>Макаронные изделия, крупы</x:v>
      </x:c>
      <x:c r="D1350" s="14" t="str">
        <x:v>Клетчатка</x:v>
      </x:c>
      <x:c r="E1350" s="2" t="n">
        <x:v>8</x:v>
      </x:c>
      <x:c r="F1350" s="2" t="n">
        <x:v>0</x:v>
      </x:c>
      <x:c r="G1350" s="12" t="n">
        <x:v>947827.1318</x:v>
      </x:c>
      <x:c r="H1350" s="12" t="n">
        <x:v>20907.71655105</x:v>
      </x:c>
      <x:c r="I1350" s="13" t="n">
        <x:v>0.022</x:v>
      </x:c>
      <x:c r="J1350" s="2" t="n">
        <x:v>3</x:v>
      </x:c>
      <x:c r="K1350" s="2" t="n">
        <x:v>2</x:v>
      </x:c>
      <x:c r="L1350" s="12" t="n">
        <x:v>1195.18385</x:v>
      </x:c>
      <x:c r="M1350" s="13" t="n">
        <x:v>0.6342608898083877</x:v>
      </x:c>
      <x:c r="N1350" s="13" t="n">
        <x:f>H1350/G1350</x:f>
        <x:v>0.02205857571448136</x:v>
      </x:c>
      <x:c r="O1350" s="13" t="n">
        <x:f>F1350/E1350</x:f>
        <x:v>0</x:v>
      </x:c>
      <x:c r="P1350" s="2" t="str">
        <x:f>IF(AND(E1350&gt;='Итоги'!$F$5,N1350&lt;='Итоги'!$B$5,O1350&gt;='Итоги'!$D$5),"Да","Нет")</x:f>
        <x:v>Нет</x:v>
      </x:c>
    </x:row>
    <x:row r="1351" ht="60" customHeight="1">
      <x:c r="A1351" s="14" t="str">
        <x:v>Напитки</x:v>
      </x:c>
      <x:c r="B1351" s="14" t="str">
        <x:v>Напитки горячие</x:v>
      </x:c>
      <x:c r="C1351" s="14" t="str">
        <x:v>Какао, горячий шоколад</x:v>
      </x:c>
      <x:c r="D1351" s="14" t="str">
        <x:v>Горячий шоколад</x:v>
      </x:c>
      <x:c r="E1351" s="2" t="n">
        <x:v>11</x:v>
      </x:c>
      <x:c r="F1351" s="2" t="n">
        <x:v>0</x:v>
      </x:c>
      <x:c r="G1351" s="12" t="n">
        <x:v>1900613.6068</x:v>
      </x:c>
      <x:c r="H1351" s="12" t="n">
        <x:v>41982.489364</x:v>
      </x:c>
      <x:c r="I1351" s="13" t="n">
        <x:v>0.0270363636363636</x:v>
      </x:c>
      <x:c r="J1351" s="2" t="n">
        <x:v>6</x:v>
      </x:c>
      <x:c r="K1351" s="2" t="n">
        <x:v>4</x:v>
      </x:c>
      <x:c r="L1351" s="12" t="n">
        <x:v>4294.3382</x:v>
      </x:c>
      <x:c r="M1351" s="13" t="n">
        <x:v>0.504807304213392</x:v>
      </x:c>
      <x:c r="N1351" s="13" t="n">
        <x:f>H1351/G1351</x:f>
        <x:v>0.02208891339817593</x:v>
      </x:c>
      <x:c r="O1351" s="13" t="n">
        <x:f>F1351/E1351</x:f>
        <x:v>0</x:v>
      </x:c>
      <x:c r="P1351" s="2" t="str">
        <x:f>IF(AND(E1351&gt;='Итоги'!$F$5,N1351&lt;='Итоги'!$B$5,O1351&gt;='Итоги'!$D$5),"Да","Нет")</x:f>
        <x:v>Нет</x:v>
      </x:c>
    </x:row>
    <x:row r="1352" ht="60" customHeight="1">
      <x:c r="A1352" s="14" t="str">
        <x:v>Аптека</x:v>
      </x:c>
      <x:c r="B1352" s="14" t="str">
        <x:v>Средства реабилитации</x:v>
      </x:c>
      <x:c r="C1352" s="14" t="str">
        <x:v>Средства реабилитации</x:v>
      </x:c>
      <x:c r="D1352" s="14" t="str">
        <x:v>Реабилитационные тренажеры</x:v>
      </x:c>
      <x:c r="E1352" s="2" t="n">
        <x:v>10</x:v>
      </x:c>
      <x:c r="F1352" s="2" t="n">
        <x:v>0</x:v>
      </x:c>
      <x:c r="G1352" s="12" t="n">
        <x:v>2209867.36</x:v>
      </x:c>
      <x:c r="H1352" s="12" t="n">
        <x:v>49094.860397</x:v>
      </x:c>
      <x:c r="I1352" s="13" t="n">
        <x:v>0.03521</x:v>
      </x:c>
      <x:c r="J1352" s="2" t="n">
        <x:v>3</x:v>
      </x:c>
      <x:c r="K1352" s="2" t="n">
        <x:v>4</x:v>
      </x:c>
      <x:c r="L1352" s="12" t="n">
        <x:v>4250.88945</x:v>
      </x:c>
      <x:c r="M1352" s="13" t="n">
        <x:v>0.913298959264234</x:v>
      </x:c>
      <x:c r="N1352" s="13" t="n">
        <x:f>H1352/G1352</x:f>
        <x:v>0.02221620233216169</x:v>
      </x:c>
      <x:c r="O1352" s="13" t="n">
        <x:f>F1352/E1352</x:f>
        <x:v>0</x:v>
      </x:c>
      <x:c r="P1352" s="2" t="str">
        <x:f>IF(AND(E1352&gt;='Итоги'!$F$5,N1352&lt;='Итоги'!$B$5,O1352&gt;='Итоги'!$D$5),"Да","Нет")</x:f>
        <x:v>Нет</x:v>
      </x:c>
    </x:row>
    <x:row r="1353" ht="60" customHeight="1">
      <x:c r="A1353" s="14" t="str">
        <x:v>Одежда</x:v>
      </x:c>
      <x:c r="B1353" s="14" t="str">
        <x:v>Основная одежда женская</x:v>
      </x:c>
      <x:c r="C1353" s="14" t="str">
        <x:v>Головные уборы, перчатки, шарфы женские</x:v>
      </x:c>
      <x:c r="D1353" s="14" t="str">
        <x:v>Женские чалма, тюрбан</x:v>
      </x:c>
      <x:c r="E1353" s="2" t="n">
        <x:v>5</x:v>
      </x:c>
      <x:c r="F1353" s="2" t="n">
        <x:v>0</x:v>
      </x:c>
      <x:c r="G1353" s="12" t="n">
        <x:v>376309.4</x:v>
      </x:c>
      <x:c r="H1353" s="12" t="n">
        <x:v>8366.785059999998</x:v>
      </x:c>
      <x:c r="I1353" s="13" t="n">
        <x:v>0.02138</x:v>
      </x:c>
      <x:c r="J1353" s="2" t="n">
        <x:v>4</x:v>
      </x:c>
      <x:c r="K1353" s="2" t="n">
        <x:v>2</x:v>
      </x:c>
      <x:c r="L1353" s="12" t="n">
        <x:v>5654.5417</x:v>
      </x:c>
      <x:c r="M1353" s="13" t="n">
        <x:v>0.7920131678879134</x:v>
      </x:c>
      <x:c r="N1353" s="13" t="n">
        <x:f>H1353/G1353</x:f>
        <x:v>0.02223379235278204</x:v>
      </x:c>
      <x:c r="O1353" s="13" t="n">
        <x:f>F1353/E1353</x:f>
        <x:v>0</x:v>
      </x:c>
      <x:c r="P1353" s="2" t="str">
        <x:f>IF(AND(E1353&gt;='Итоги'!$F$5,N1353&lt;='Итоги'!$B$5,O1353&gt;='Итоги'!$D$5),"Да","Нет")</x:f>
        <x:v>Нет</x:v>
      </x:c>
    </x:row>
    <x:row r="1354" ht="60" customHeight="1">
      <x:c r="A1354" s="14" t="str">
        <x:v>Одежда</x:v>
      </x:c>
      <x:c r="B1354" s="14" t="str">
        <x:v>Основная одежда женская</x:v>
      </x:c>
      <x:c r="C1354" s="14" t="str">
        <x:v>Основная одежда для беременных и кормящих</x:v>
      </x:c>
      <x:c r="D1354" s="14" t="str">
        <x:v>Юбка для беременных</x:v>
      </x:c>
      <x:c r="E1354" s="2" t="n">
        <x:v>256</x:v>
      </x:c>
      <x:c r="F1354" s="2" t="n">
        <x:v>0</x:v>
      </x:c>
      <x:c r="G1354" s="12" t="n">
        <x:v>24747161.2429</x:v>
      </x:c>
      <x:c r="H1354" s="12" t="n">
        <x:v>550552.3208437</x:v>
      </x:c>
      <x:c r="I1354" s="13" t="n">
        <x:v>0.018026171875</x:v>
      </x:c>
      <x:c r="J1354" s="2" t="n">
        <x:v>169</x:v>
      </x:c>
      <x:c r="K1354" s="2" t="n">
        <x:v>32</x:v>
      </x:c>
      <x:c r="L1354" s="12" t="n">
        <x:v>1572.6252</x:v>
      </x:c>
      <x:c r="M1354" s="13" t="n">
        <x:v>0.3475901307980482</x:v>
      </x:c>
      <x:c r="N1354" s="13" t="n">
        <x:f>H1354/G1354</x:f>
        <x:v>0.02224708989608472</x:v>
      </x:c>
      <x:c r="O1354" s="13" t="n">
        <x:f>F1354/E1354</x:f>
        <x:v>0</x:v>
      </x:c>
      <x:c r="P1354" s="2" t="str">
        <x:f>IF(AND(E1354&gt;='Итоги'!$F$5,N1354&lt;='Итоги'!$B$5,O1354&gt;='Итоги'!$D$5),"Да","Нет")</x:f>
        <x:v>Нет</x:v>
      </x:c>
    </x:row>
    <x:row r="1355" ht="60" customHeight="1">
      <x:c r="A1355" s="14" t="str">
        <x:v>Строительство и ремонт (DIY)</x:v>
      </x:c>
      <x:c r="B1355" s="14" t="str">
        <x:v>Сад и огород</x:v>
      </x:c>
      <x:c r="C1355" s="14" t="str">
        <x:v>Товары для бани и сауны</x:v>
      </x:c>
      <x:c r="D1355" s="14" t="str">
        <x:v>Бондарные изделия для бани и сауны</x:v>
      </x:c>
      <x:c r="E1355" s="2" t="n">
        <x:v>48</x:v>
      </x:c>
      <x:c r="F1355" s="2" t="n">
        <x:v>0</x:v>
      </x:c>
      <x:c r="G1355" s="12" t="n">
        <x:v>5925629.0615</x:v>
      </x:c>
      <x:c r="H1355" s="12" t="n">
        <x:v>131881.34076162</x:v>
      </x:c>
      <x:c r="I1355" s="13" t="n">
        <x:v>0.0268666666666666</x:v>
      </x:c>
      <x:c r="J1355" s="2" t="n">
        <x:v>14</x:v>
      </x:c>
      <x:c r="K1355" s="2" t="n">
        <x:v>6</x:v>
      </x:c>
      <x:c r="L1355" s="12" t="n">
        <x:v>2154.2297</x:v>
      </x:c>
      <x:c r="M1355" s="13" t="n">
        <x:v>0.3479254428859089</x:v>
      </x:c>
      <x:c r="N1355" s="13" t="n">
        <x:f>H1355/G1355</x:f>
        <x:v>0.02225609119181616</x:v>
      </x:c>
      <x:c r="O1355" s="13" t="n">
        <x:f>F1355/E1355</x:f>
        <x:v>0</x:v>
      </x:c>
      <x:c r="P1355" s="2" t="str">
        <x:f>IF(AND(E1355&gt;='Итоги'!$F$5,N1355&lt;='Итоги'!$B$5,O1355&gt;='Итоги'!$D$5),"Да","Нет")</x:f>
        <x:v>Нет</x:v>
      </x:c>
    </x:row>
    <x:row r="1356" ht="60" customHeight="1">
      <x:c r="A1356" s="14" t="str">
        <x:v>Одежда</x:v>
      </x:c>
      <x:c r="B1356" s="14" t="str">
        <x:v>Верхняя одежда</x:v>
      </x:c>
      <x:c r="C1356" s="14" t="str">
        <x:v>Спортивная верхняя одежда женская</x:v>
      </x:c>
      <x:c r="D1356" s="14" t="str">
        <x:v>Спортивная куртка женская</x:v>
      </x:c>
      <x:c r="E1356" s="2" t="n">
        <x:v>155</x:v>
      </x:c>
      <x:c r="F1356" s="2" t="n">
        <x:v>0</x:v>
      </x:c>
      <x:c r="G1356" s="12" t="n">
        <x:v>9573951.6585</x:v>
      </x:c>
      <x:c r="H1356" s="12" t="n">
        <x:v>213277.15030614</x:v>
      </x:c>
      <x:c r="I1356" s="13" t="n">
        <x:v>0.0140658064516129</x:v>
      </x:c>
      <x:c r="J1356" s="2" t="n">
        <x:v>111</x:v>
      </x:c>
      <x:c r="K1356" s="2" t="n">
        <x:v>17</x:v>
      </x:c>
      <x:c r="L1356" s="12" t="n">
        <x:v>3553.3986</x:v>
      </x:c>
      <x:c r="M1356" s="13" t="n">
        <x:v>0.5083414407758261</x:v>
      </x:c>
      <x:c r="N1356" s="13" t="n">
        <x:f>H1356/G1356</x:f>
        <x:v>0.022276815040818288</x:v>
      </x:c>
      <x:c r="O1356" s="13" t="n">
        <x:f>F1356/E1356</x:f>
        <x:v>0</x:v>
      </x:c>
      <x:c r="P1356" s="2" t="str">
        <x:f>IF(AND(E1356&gt;='Итоги'!$F$5,N1356&lt;='Итоги'!$B$5,O1356&gt;='Итоги'!$D$5),"Да","Нет")</x:f>
        <x:v>Нет</x:v>
      </x:c>
    </x:row>
    <x:row r="1357" ht="60" customHeight="1">
      <x:c r="A1357" s="14" t="str">
        <x:v>Одежда</x:v>
      </x:c>
      <x:c r="B1357" s="14" t="str">
        <x:v>Верхняя одежда</x:v>
      </x:c>
      <x:c r="C1357" s="14" t="str">
        <x:v>Верхняя одежда женская</x:v>
      </x:c>
      <x:c r="D1357" s="14" t="str">
        <x:v>Плащ женский</x:v>
      </x:c>
      <x:c r="E1357" s="2" t="n">
        <x:v>373</x:v>
      </x:c>
      <x:c r="F1357" s="2" t="n">
        <x:v>0</x:v>
      </x:c>
      <x:c r="G1357" s="12" t="n">
        <x:v>25373146.2599</x:v>
      </x:c>
      <x:c r="H1357" s="12" t="n">
        <x:v>566385.041996</x:v>
      </x:c>
      <x:c r="I1357" s="13" t="n">
        <x:v>0.0152128686327077</x:v>
      </x:c>
      <x:c r="J1357" s="2" t="n">
        <x:v>271</x:v>
      </x:c>
      <x:c r="K1357" s="2" t="n">
        <x:v>53</x:v>
      </x:c>
      <x:c r="L1357" s="12" t="n">
        <x:v>3558.73</x:v>
      </x:c>
      <x:c r="M1357" s="13" t="n">
        <x:v>0.353284206242357</x:v>
      </x:c>
      <x:c r="N1357" s="13" t="n">
        <x:f>H1357/G1357</x:f>
        <x:v>0.02232222351120567</x:v>
      </x:c>
      <x:c r="O1357" s="13" t="n">
        <x:f>F1357/E1357</x:f>
        <x:v>0</x:v>
      </x:c>
      <x:c r="P1357" s="2" t="str">
        <x:f>IF(AND(E1357&gt;='Итоги'!$F$5,N1357&lt;='Итоги'!$B$5,O1357&gt;='Итоги'!$D$5),"Да","Нет")</x:f>
        <x:v>Нет</x:v>
      </x:c>
    </x:row>
    <x:row r="1358" ht="60" customHeight="1">
      <x:c r="A1358" s="14" t="str">
        <x:v>Смартфоны и планшеты</x:v>
      </x:c>
      <x:c r="B1358" s="14" t="str">
        <x:v>Средства связи Smart&amp;Tablets</x:v>
      </x:c>
      <x:c r="C1358" s="14" t="str">
        <x:v>Аксессуар к мобильным устройствам Smart&amp;Tablets</x:v>
      </x:c>
      <x:c r="D1358" s="14" t="str">
        <x:v>Наушники TWS Apple</x:v>
      </x:c>
      <x:c r="E1358" s="2" t="n">
        <x:v>15</x:v>
      </x:c>
      <x:c r="F1358" s="2" t="n">
        <x:v>0</x:v>
      </x:c>
      <x:c r="G1358" s="12" t="n">
        <x:v>4350958.5136</x:v>
      </x:c>
      <x:c r="H1358" s="12" t="n">
        <x:v>97212.03153184</x:v>
      </x:c>
      <x:c r="I1358" s="13" t="n">
        <x:v>0.0241266666666666</x:v>
      </x:c>
      <x:c r="J1358" s="2" t="n">
        <x:v>8</x:v>
      </x:c>
      <x:c r="K1358" s="2" t="n">
        <x:v>2</x:v>
      </x:c>
      <x:c r="L1358" s="12" t="n">
        <x:v>11469.028</x:v>
      </x:c>
      <x:c r="M1358" s="13" t="n">
        <x:v>0.869514600466679</x:v>
      </x:c>
      <x:c r="N1358" s="13" t="n">
        <x:f>H1358/G1358</x:f>
        <x:v>0.022342670293908726</x:v>
      </x:c>
      <x:c r="O1358" s="13" t="n">
        <x:f>F1358/E1358</x:f>
        <x:v>0</x:v>
      </x:c>
      <x:c r="P1358" s="2" t="str">
        <x:f>IF(AND(E1358&gt;='Итоги'!$F$5,N1358&lt;='Итоги'!$B$5,O1358&gt;='Итоги'!$D$5),"Да","Нет")</x:f>
        <x:v>Нет</x:v>
      </x:c>
    </x:row>
    <x:row r="1359" ht="60" customHeight="1">
      <x:c r="A1359" s="14" t="str">
        <x:v>Аксессуары для электроники</x:v>
      </x:c>
      <x:c r="B1359" s="14" t="str">
        <x:v>Оборудование Access</x:v>
      </x:c>
      <x:c r="C1359" s="14" t="str">
        <x:v>Оборудование и комплектующие для приготовления алкоголя Access</x:v>
      </x:c>
      <x:c r="D1359" s="14" t="str">
        <x:v>Оборудование для приготовления алкоголя</x:v>
      </x:c>
      <x:c r="E1359" s="2" t="n">
        <x:v>19</x:v>
      </x:c>
      <x:c r="F1359" s="2" t="n">
        <x:v>0</x:v>
      </x:c>
      <x:c r="G1359" s="12" t="n">
        <x:v>2486987.5703</x:v>
      </x:c>
      <x:c r="H1359" s="12" t="n">
        <x:v>55638.17372581</x:v>
      </x:c>
      <x:c r="I1359" s="13" t="n">
        <x:v>0.0256947368421052</x:v>
      </x:c>
      <x:c r="J1359" s="2" t="n">
        <x:v>8</x:v>
      </x:c>
      <x:c r="K1359" s="2" t="n">
        <x:v>6</x:v>
      </x:c>
      <x:c r="L1359" s="12" t="n">
        <x:v>3276.9302</x:v>
      </x:c>
      <x:c r="M1359" s="13" t="n">
        <x:v>0.519516890968677</x:v>
      </x:c>
      <x:c r="N1359" s="13" t="n">
        <x:f>H1359/G1359</x:f>
        <x:v>0.022371713630679097</x:v>
      </x:c>
      <x:c r="O1359" s="13" t="n">
        <x:f>F1359/E1359</x:f>
        <x:v>0</x:v>
      </x:c>
      <x:c r="P1359" s="2" t="str">
        <x:f>IF(AND(E1359&gt;='Итоги'!$F$5,N1359&lt;='Итоги'!$B$5,O1359&gt;='Итоги'!$D$5),"Да","Нет")</x:f>
        <x:v>Нет</x:v>
      </x:c>
    </x:row>
    <x:row r="1360" ht="60" customHeight="1">
      <x:c r="A1360" s="14" t="str">
        <x:v>Спорт и отдых</x:v>
      </x:c>
      <x:c r="B1360" s="14" t="str">
        <x:v>Тренажеры и фитнес</x:v>
      </x:c>
      <x:c r="C1360" s="14" t="str">
        <x:v>Фитнес</x:v>
      </x:c>
      <x:c r="D1360" s="14" t="str">
        <x:v>Спортивное напольное покрытие</x:v>
      </x:c>
      <x:c r="E1360" s="2" t="n">
        <x:v>7</x:v>
      </x:c>
      <x:c r="F1360" s="2" t="n">
        <x:v>0</x:v>
      </x:c>
      <x:c r="G1360" s="12" t="n">
        <x:v>1185422.4499</x:v>
      </x:c>
      <x:c r="H1360" s="12" t="n">
        <x:v>26556.30784745</x:v>
      </x:c>
      <x:c r="I1360" s="13" t="n">
        <x:v>0.0326285714285714</x:v>
      </x:c>
      <x:c r="J1360" s="2" t="n">
        <x:v>0</x:v>
      </x:c>
      <x:c r="K1360" s="2" t="n">
        <x:v>4</x:v>
      </x:c>
      <x:c r="L1360" s="12" t="n">
        <x:v>883.0785</x:v>
      </x:c>
      <x:c r="M1360" s="13" t="n">
        <x:v>0.6287787530621493</x:v>
      </x:c>
      <x:c r="N1360" s="13" t="n">
        <x:f>H1360/G1360</x:f>
        <x:v>0.022402399962722353</x:v>
      </x:c>
      <x:c r="O1360" s="13" t="n">
        <x:f>F1360/E1360</x:f>
        <x:v>0</x:v>
      </x:c>
      <x:c r="P1360" s="2" t="str">
        <x:f>IF(AND(E1360&gt;='Итоги'!$F$5,N1360&lt;='Итоги'!$B$5,O1360&gt;='Итоги'!$D$5),"Да","Нет")</x:f>
        <x:v>Нет</x:v>
      </x:c>
    </x:row>
    <x:row r="1361" ht="60" customHeight="1">
      <x:c r="A1361" s="14" t="str">
        <x:v>Хобби и творчество</x:v>
      </x:c>
      <x:c r="B1361" s="14" t="str">
        <x:v>Детское творчество и хобби</x:v>
      </x:c>
      <x:c r="C1361" s="14" t="str">
        <x:v>Моделирование</x:v>
      </x:c>
      <x:c r="D1361" s="14" t="str">
        <x:v>Модель для сборки</x:v>
      </x:c>
      <x:c r="E1361" s="2" t="n">
        <x:v>6</x:v>
      </x:c>
      <x:c r="F1361" s="2" t="n">
        <x:v>0</x:v>
      </x:c>
      <x:c r="G1361" s="12" t="n">
        <x:v>492422.5144</x:v>
      </x:c>
      <x:c r="H1361" s="12" t="n">
        <x:v>11039.233458</x:v>
      </x:c>
      <x:c r="I1361" s="13" t="n">
        <x:v>0.03035</x:v>
      </x:c>
      <x:c r="J1361" s="2" t="n">
        <x:v>4</x:v>
      </x:c>
      <x:c r="K1361" s="2" t="n">
        <x:v>4</x:v>
      </x:c>
      <x:c r="L1361" s="12" t="n">
        <x:v>2240.40345</x:v>
      </x:c>
      <x:c r="M1361" s="13" t="n">
        <x:v>0.3859674325240397</x:v>
      </x:c>
      <x:c r="N1361" s="13" t="n">
        <x:f>H1361/G1361</x:f>
        <x:v>0.02241821430819614</x:v>
      </x:c>
      <x:c r="O1361" s="13" t="n">
        <x:f>F1361/E1361</x:f>
        <x:v>0</x:v>
      </x:c>
      <x:c r="P1361" s="2" t="str">
        <x:f>IF(AND(E1361&gt;='Итоги'!$F$5,N1361&lt;='Итоги'!$B$5,O1361&gt;='Итоги'!$D$5),"Да","Нет")</x:f>
        <x:v>Нет</x:v>
      </x:c>
    </x:row>
    <x:row r="1362" ht="60" customHeight="1">
      <x:c r="A1362" s="14" t="str">
        <x:v>Спорт и отдых</x:v>
      </x:c>
      <x:c r="B1362" s="14" t="str">
        <x:v>Тренажеры и фитнес</x:v>
      </x:c>
      <x:c r="C1362" s="14" t="str">
        <x:v>Фитнес</x:v>
      </x:c>
      <x:c r="D1362" s="14" t="str">
        <x:v>Набор для фитнеса</x:v>
      </x:c>
      <x:c r="E1362" s="2" t="n">
        <x:v>6</x:v>
      </x:c>
      <x:c r="F1362" s="2" t="n">
        <x:v>0</x:v>
      </x:c>
      <x:c r="G1362" s="12" t="n">
        <x:v>793426.008</x:v>
      </x:c>
      <x:c r="H1362" s="12" t="n">
        <x:v>17801.243384</x:v>
      </x:c>
      <x:c r="I1362" s="13" t="n">
        <x:v>0.02105</x:v>
      </x:c>
      <x:c r="J1362" s="2" t="n">
        <x:v>2</x:v>
      </x:c>
      <x:c r="K1362" s="2" t="n">
        <x:v>1</x:v>
      </x:c>
      <x:c r="L1362" s="12" t="n">
        <x:v>3848.85725</x:v>
      </x:c>
      <x:c r="M1362" s="13" t="n">
        <x:v>1</x:v>
      </x:c>
      <x:c r="N1362" s="13" t="n">
        <x:f>H1362/G1362</x:f>
        <x:v>0.022435921188003204</x:v>
      </x:c>
      <x:c r="O1362" s="13" t="n">
        <x:f>F1362/E1362</x:f>
        <x:v>0</x:v>
      </x:c>
      <x:c r="P1362" s="2" t="str">
        <x:f>IF(AND(E1362&gt;='Итоги'!$F$5,N1362&lt;='Итоги'!$B$5,O1362&gt;='Итоги'!$D$5),"Да","Нет")</x:f>
        <x:v>Нет</x:v>
      </x:c>
    </x:row>
    <x:row r="1363" ht="60" customHeight="1">
      <x:c r="A1363" s="14" t="str">
        <x:v>Одежда</x:v>
      </x:c>
      <x:c r="B1363" s="14" t="str">
        <x:v>Верхняя одежда</x:v>
      </x:c>
      <x:c r="C1363" s="14" t="str">
        <x:v>Верхняя одежда мужская</x:v>
      </x:c>
      <x:c r="D1363" s="14" t="str">
        <x:v>Пальто мужское</x:v>
      </x:c>
      <x:c r="E1363" s="2" t="n">
        <x:v>30</x:v>
      </x:c>
      <x:c r="F1363" s="2" t="n">
        <x:v>0</x:v>
      </x:c>
      <x:c r="G1363" s="12" t="n">
        <x:v>1421860.4922</x:v>
      </x:c>
      <x:c r="H1363" s="12" t="n">
        <x:v>32018.683497</x:v>
      </x:c>
      <x:c r="I1363" s="13" t="n">
        <x:v>0.0058033333333333</x:v>
      </x:c>
      <x:c r="J1363" s="2" t="n">
        <x:v>28</x:v>
      </x:c>
      <x:c r="K1363" s="2" t="n">
        <x:v>9</x:v>
      </x:c>
      <x:c r="L1363" s="12" t="n">
        <x:v>4635.4034</x:v>
      </x:c>
      <x:c r="M1363" s="13" t="n">
        <x:v>0.3197659686686384</x:v>
      </x:c>
      <x:c r="N1363" s="13" t="n">
        <x:f>H1363/G1363</x:f>
        <x:v>0.022518864313796707</x:v>
      </x:c>
      <x:c r="O1363" s="13" t="n">
        <x:f>F1363/E1363</x:f>
        <x:v>0</x:v>
      </x:c>
      <x:c r="P1363" s="2" t="str">
        <x:f>IF(AND(E1363&gt;='Итоги'!$F$5,N1363&lt;='Итоги'!$B$5,O1363&gt;='Итоги'!$D$5),"Да","Нет")</x:f>
        <x:v>Нет</x:v>
      </x:c>
    </x:row>
    <x:row r="1364" ht="60" customHeight="1">
      <x:c r="A1364" s="14" t="str">
        <x:v>Аптека</x:v>
      </x:c>
      <x:c r="B1364" s="14" t="str">
        <x:v>Медицинские изделия</x:v>
      </x:c>
      <x:c r="C1364" s="14" t="str">
        <x:v>Расходные медицинские материалы</x:v>
      </x:c>
      <x:c r="D1364" s="14" t="str">
        <x:v>Лабораторные расходные материалы</x:v>
      </x:c>
      <x:c r="E1364" s="2" t="n">
        <x:v>5</x:v>
      </x:c>
      <x:c r="F1364" s="2" t="n">
        <x:v>0</x:v>
      </x:c>
      <x:c r="G1364" s="12" t="n">
        <x:v>747929.02</x:v>
      </x:c>
      <x:c r="H1364" s="12" t="n">
        <x:v>16843.627699999997</x:v>
      </x:c>
      <x:c r="I1364" s="13" t="n">
        <x:v>0.0289199999999999</x:v>
      </x:c>
      <x:c r="J1364" s="2" t="n">
        <x:v>2</x:v>
      </x:c>
      <x:c r="K1364" s="2" t="n">
        <x:v>5</x:v>
      </x:c>
      <x:c r="L1364" s="12" t="n">
        <x:v>1763.2584</x:v>
      </x:c>
      <x:c r="M1364" s="13" t="n">
        <x:v>0.3224611073387686</x:v>
      </x:c>
      <x:c r="N1364" s="13" t="n">
        <x:f>H1364/G1364</x:f>
        <x:v>0.022520355875481336</x:v>
      </x:c>
      <x:c r="O1364" s="13" t="n">
        <x:f>F1364/E1364</x:f>
        <x:v>0</x:v>
      </x:c>
      <x:c r="P1364" s="2" t="str">
        <x:f>IF(AND(E1364&gt;='Итоги'!$F$5,N1364&lt;='Итоги'!$B$5,O1364&gt;='Итоги'!$D$5),"Да","Нет")</x:f>
        <x:v>Нет</x:v>
      </x:c>
    </x:row>
    <x:row r="1365" ht="60" customHeight="1">
      <x:c r="A1365" s="14" t="str">
        <x:v>Автотовары</x:v>
      </x:c>
      <x:c r="B1365" s="14" t="str">
        <x:v>Авто и мото запчасти</x:v>
      </x:c>
      <x:c r="C1365" s="14" t="str">
        <x:v>Кузовные детали</x:v>
      </x:c>
      <x:c r="D1365" s="14" t="str">
        <x:v>Ручки автомобильные</x:v>
      </x:c>
      <x:c r="E1365" s="2" t="n">
        <x:v>15</x:v>
      </x:c>
      <x:c r="F1365" s="2" t="n">
        <x:v>0</x:v>
      </x:c>
      <x:c r="G1365" s="12" t="n">
        <x:v>1510754.1476</x:v>
      </x:c>
      <x:c r="H1365" s="12" t="n">
        <x:v>34024.5508</x:v>
      </x:c>
      <x:c r="I1365" s="13" t="n">
        <x:v>0.0210333333333333</x:v>
      </x:c>
      <x:c r="J1365" s="2" t="n">
        <x:v>13</x:v>
      </x:c>
      <x:c r="K1365" s="2" t="n">
        <x:v>10</x:v>
      </x:c>
      <x:c r="L1365" s="12" t="n">
        <x:v>1100</x:v>
      </x:c>
      <x:c r="M1365" s="13" t="n">
        <x:v>0.4254118660014857</x:v>
      </x:c>
      <x:c r="N1365" s="13" t="n">
        <x:f>H1365/G1365</x:f>
        <x:v>0.02252156702932225</x:v>
      </x:c>
      <x:c r="O1365" s="13" t="n">
        <x:f>F1365/E1365</x:f>
        <x:v>0</x:v>
      </x:c>
      <x:c r="P1365" s="2" t="str">
        <x:f>IF(AND(E1365&gt;='Итоги'!$F$5,N1365&lt;='Итоги'!$B$5,O1365&gt;='Итоги'!$D$5),"Да","Нет")</x:f>
        <x:v>Нет</x:v>
      </x:c>
    </x:row>
    <x:row r="1366" ht="60" customHeight="1">
      <x:c r="A1366" s="14" t="str">
        <x:v>Спорт и отдых</x:v>
      </x:c>
      <x:c r="B1366" s="14" t="str">
        <x:v>Активный отдых</x:v>
      </x:c>
      <x:c r="C1366" s="14" t="str">
        <x:v>Бассейны</x:v>
      </x:c>
      <x:c r="D1366" s="14" t="str">
        <x:v>Запчасти к оборудованию для бассейнов</x:v>
      </x:c>
      <x:c r="E1366" s="2" t="n">
        <x:v>5</x:v>
      </x:c>
      <x:c r="F1366" s="2" t="n">
        <x:v>0</x:v>
      </x:c>
      <x:c r="G1366" s="12" t="n">
        <x:v>986394.6652</x:v>
      </x:c>
      <x:c r="H1366" s="12" t="n">
        <x:v>22236.58150928</x:v>
      </x:c>
      <x:c r="I1366" s="13" t="n">
        <x:v>0.00974</x:v>
      </x:c>
      <x:c r="J1366" s="2" t="n">
        <x:v>3</x:v>
      </x:c>
      <x:c r="K1366" s="2" t="n">
        <x:v>4</x:v>
      </x:c>
      <x:c r="L1366" s="12" t="n">
        <x:v>1839.1423</x:v>
      </x:c>
      <x:c r="M1366" s="13" t="n">
        <x:v>0.8506925067664083</x:v>
      </x:c>
      <x:c r="N1366" s="13" t="n">
        <x:f>H1366/G1366</x:f>
        <x:v>0.02254329052435755</x:v>
      </x:c>
      <x:c r="O1366" s="13" t="n">
        <x:f>F1366/E1366</x:f>
        <x:v>0</x:v>
      </x:c>
      <x:c r="P1366" s="2" t="str">
        <x:f>IF(AND(E1366&gt;='Итоги'!$F$5,N1366&lt;='Итоги'!$B$5,O1366&gt;='Итоги'!$D$5),"Да","Нет")</x:f>
        <x:v>Нет</x:v>
      </x:c>
    </x:row>
    <x:row r="1367" ht="60" customHeight="1">
      <x:c r="A1367" s="14" t="str">
        <x:v>Товары для дома</x:v>
      </x:c>
      <x:c r="B1367" s="14" t="str">
        <x:v>Домашний текстиль</x:v>
      </x:c>
      <x:c r="C1367" s="14" t="str">
        <x:v>Постельное белье</x:v>
      </x:c>
      <x:c r="D1367" s="14" t="str">
        <x:v>Простыня</x:v>
      </x:c>
      <x:c r="E1367" s="2" t="n">
        <x:v>277</x:v>
      </x:c>
      <x:c r="F1367" s="2" t="n">
        <x:v>0</x:v>
      </x:c>
      <x:c r="G1367" s="12" t="n">
        <x:v>36991040.323</x:v>
      </x:c>
      <x:c r="H1367" s="12" t="n">
        <x:v>834248.91527652</x:v>
      </x:c>
      <x:c r="I1367" s="13" t="n">
        <x:v>0.0278043321299639</x:v>
      </x:c>
      <x:c r="J1367" s="2" t="n">
        <x:v>184</x:v>
      </x:c>
      <x:c r="K1367" s="2" t="n">
        <x:v>16</x:v>
      </x:c>
      <x:c r="L1367" s="12" t="n">
        <x:v>1155.2312</x:v>
      </x:c>
      <x:c r="M1367" s="13" t="n">
        <x:v>0.6972303024028147</x:v>
      </x:c>
      <x:c r="N1367" s="13" t="n">
        <x:f>H1367/G1367</x:f>
        <x:v>0.022552729201233284</x:v>
      </x:c>
      <x:c r="O1367" s="13" t="n">
        <x:f>F1367/E1367</x:f>
        <x:v>0</x:v>
      </x:c>
      <x:c r="P1367" s="2" t="str">
        <x:f>IF(AND(E1367&gt;='Итоги'!$F$5,N1367&lt;='Итоги'!$B$5,O1367&gt;='Итоги'!$D$5),"Да","Нет")</x:f>
        <x:v>Нет</x:v>
      </x:c>
    </x:row>
    <x:row r="1368" ht="60" customHeight="1">
      <x:c r="A1368" s="14" t="str">
        <x:v>Мебель</x:v>
      </x:c>
      <x:c r="B1368" s="14" t="str">
        <x:v>Корпусная мебель и мебель для хранения</x:v>
      </x:c>
      <x:c r="C1368" s="14" t="str">
        <x:v>Мебель для бизнеса</x:v>
      </x:c>
      <x:c r="D1368" s="14" t="str">
        <x:v>Мебель для ПВЗ</x:v>
      </x:c>
      <x:c r="E1368" s="2" t="n">
        <x:v>7</x:v>
      </x:c>
      <x:c r="F1368" s="2" t="n">
        <x:v>0</x:v>
      </x:c>
      <x:c r="G1368" s="12" t="n">
        <x:v>1029964.1399</x:v>
      </x:c>
      <x:c r="H1368" s="12" t="n">
        <x:v>23342.603463900003</x:v>
      </x:c>
      <x:c r="I1368" s="13" t="n">
        <x:v>0.0202571428571428</x:v>
      </x:c>
      <x:c r="J1368" s="2" t="n">
        <x:v>6</x:v>
      </x:c>
      <x:c r="K1368" s="2" t="n">
        <x:v>2</x:v>
      </x:c>
      <x:c r="L1368" s="12" t="n">
        <x:v>5543.7097</x:v>
      </x:c>
      <x:c r="M1368" s="13" t="n">
        <x:v>0.5364662502265822</x:v>
      </x:c>
      <x:c r="N1368" s="13" t="n">
        <x:f>H1368/G1368</x:f>
        <x:v>0.022663510854044253</x:v>
      </x:c>
      <x:c r="O1368" s="13" t="n">
        <x:f>F1368/E1368</x:f>
        <x:v>0</x:v>
      </x:c>
      <x:c r="P1368" s="2" t="str">
        <x:f>IF(AND(E1368&gt;='Итоги'!$F$5,N1368&lt;='Итоги'!$B$5,O1368&gt;='Итоги'!$D$5),"Да","Нет")</x:f>
        <x:v>Нет</x:v>
      </x:c>
    </x:row>
    <x:row r="1369" ht="60" customHeight="1">
      <x:c r="A1369" s="14" t="str">
        <x:v>Аксессуары</x:v>
      </x:c>
      <x:c r="B1369" s="14" t="str">
        <x:v>Чемоданы, дорожные сумки</x:v>
      </x:c>
      <x:c r="C1369" s="14" t="str">
        <x:v>Дорожные сумки, тележки</x:v>
      </x:c>
      <x:c r="D1369" s="14" t="str">
        <x:v>Бьюти-кейс дорожный</x:v>
      </x:c>
      <x:c r="E1369" s="2" t="n">
        <x:v>9</x:v>
      </x:c>
      <x:c r="F1369" s="2" t="n">
        <x:v>0</x:v>
      </x:c>
      <x:c r="G1369" s="12" t="n">
        <x:v>609513.65</x:v>
      </x:c>
      <x:c r="H1369" s="12" t="n">
        <x:v>13821.002124</x:v>
      </x:c>
      <x:c r="I1369" s="13" t="n">
        <x:v>0.0288444444444444</x:v>
      </x:c>
      <x:c r="J1369" s="2" t="n">
        <x:v>5</x:v>
      </x:c>
      <x:c r="K1369" s="2" t="n">
        <x:v>5</x:v>
      </x:c>
      <x:c r="L1369" s="12" t="n">
        <x:v>2011.0892</x:v>
      </x:c>
      <x:c r="M1369" s="13" t="n">
        <x:v>0.3777204825519494</x:v>
      </x:c>
      <x:c r="N1369" s="13" t="n">
        <x:f>H1369/G1369</x:f>
        <x:v>0.022675459563538898</x:v>
      </x:c>
      <x:c r="O1369" s="13" t="n">
        <x:f>F1369/E1369</x:f>
        <x:v>0</x:v>
      </x:c>
      <x:c r="P1369" s="2" t="str">
        <x:f>IF(AND(E1369&gt;='Итоги'!$F$5,N1369&lt;='Итоги'!$B$5,O1369&gt;='Итоги'!$D$5),"Да","Нет")</x:f>
        <x:v>Нет</x:v>
      </x:c>
    </x:row>
    <x:row r="1370" ht="60" customHeight="1">
      <x:c r="A1370" s="14" t="str">
        <x:v>Мелкая бытовая техника</x:v>
      </x:c>
      <x:c r="B1370" s="14" t="str">
        <x:v>Мелкая бытовая техника SDA</x:v>
      </x:c>
      <x:c r="C1370" s="14" t="str">
        <x:v>Электронная кухонная техника SDA</x:v>
      </x:c>
      <x:c r="D1370" s="14" t="str">
        <x:v>Электротерка</x:v>
      </x:c>
      <x:c r="E1370" s="2" t="n">
        <x:v>2</x:v>
      </x:c>
      <x:c r="F1370" s="2" t="n">
        <x:v>0</x:v>
      </x:c>
      <x:c r="G1370" s="12" t="n">
        <x:v>461024.4544</x:v>
      </x:c>
      <x:c r="H1370" s="12" t="n">
        <x:v>10475.29712688</x:v>
      </x:c>
      <x:c r="I1370" s="13" t="n">
        <x:v>0.01955</x:v>
      </x:c>
      <x:c r="J1370" s="2" t="n">
        <x:v>0</x:v>
      </x:c>
      <x:c r="K1370" s="2" t="n">
        <x:v>2</x:v>
      </x:c>
      <x:c r="L1370" s="12" t="n">
        <x:v>3328.1454</x:v>
      </x:c>
      <x:c r="M1370" s="13" t="n">
        <x:v>0.5941181587785206</x:v>
      </x:c>
      <x:c r="N1370" s="13" t="n">
        <x:f>H1370/G1370</x:f>
        <x:v>0.022721781950836142</x:v>
      </x:c>
      <x:c r="O1370" s="13" t="n">
        <x:f>F1370/E1370</x:f>
        <x:v>0</x:v>
      </x:c>
      <x:c r="P1370" s="2" t="str">
        <x:f>IF(AND(E1370&gt;='Итоги'!$F$5,N1370&lt;='Итоги'!$B$5,O1370&gt;='Итоги'!$D$5),"Да","Нет")</x:f>
        <x:v>Нет</x:v>
      </x:c>
    </x:row>
    <x:row r="1371" ht="60" customHeight="1">
      <x:c r="A1371" s="14" t="str">
        <x:v>Аудио и видеотехника</x:v>
      </x:c>
      <x:c r="B1371" s="14" t="str">
        <x:v>Электронные товары хобби и отдых TV&amp;Audio</x:v>
      </x:c>
      <x:c r="C1371" s="14" t="str">
        <x:v>Оборудование для сцены TV&amp;Audio</x:v>
      </x:c>
      <x:c r="D1371" s="14" t="str">
        <x:v>Прибор для обработки звука</x:v>
      </x:c>
      <x:c r="E1371" s="2" t="n">
        <x:v>3</x:v>
      </x:c>
      <x:c r="F1371" s="2" t="n">
        <x:v>0</x:v>
      </x:c>
      <x:c r="G1371" s="12" t="n">
        <x:v>222973.5249</x:v>
      </x:c>
      <x:c r="H1371" s="12" t="n">
        <x:v>5069.42473246</x:v>
      </x:c>
      <x:c r="I1371" s="13" t="n">
        <x:v>0.0288666666666666</x:v>
      </x:c>
      <x:c r="J1371" s="2" t="n">
        <x:v>1</x:v>
      </x:c>
      <x:c r="K1371" s="2" t="n">
        <x:v>3</x:v>
      </x:c>
      <x:c r="L1371" s="12" t="n">
        <x:v>3851.1098</x:v>
      </x:c>
      <x:c r="M1371" s="13" t="n">
        <x:v>0.3972468253337461</x:v>
      </x:c>
      <x:c r="N1371" s="13" t="n">
        <x:f>H1371/G1371</x:f>
        <x:v>0.022735545552924074</x:v>
      </x:c>
      <x:c r="O1371" s="13" t="n">
        <x:f>F1371/E1371</x:f>
        <x:v>0</x:v>
      </x:c>
      <x:c r="P1371" s="2" t="str">
        <x:f>IF(AND(E1371&gt;='Итоги'!$F$5,N1371&lt;='Итоги'!$B$5,O1371&gt;='Итоги'!$D$5),"Да","Нет")</x:f>
        <x:v>Нет</x:v>
      </x:c>
    </x:row>
    <x:row r="1372" ht="60" customHeight="1">
      <x:c r="A1372" s="14" t="str">
        <x:v>Автотовары</x:v>
      </x:c>
      <x:c r="B1372" s="14" t="str">
        <x:v>Дополнительное оборудование для авто и мото техники</x:v>
      </x:c>
      <x:c r="C1372" s="14" t="str">
        <x:v>Дополнительное электрооборудование для авто</x:v>
      </x:c>
      <x:c r="D1372" s="14" t="str">
        <x:v>Бортовой компьютер для авто</x:v>
      </x:c>
      <x:c r="E1372" s="2" t="n">
        <x:v>20</x:v>
      </x:c>
      <x:c r="F1372" s="2" t="n">
        <x:v>0</x:v>
      </x:c>
      <x:c r="G1372" s="12" t="n">
        <x:v>2957025.7703</x:v>
      </x:c>
      <x:c r="H1372" s="12" t="n">
        <x:v>67393.1258197</x:v>
      </x:c>
      <x:c r="I1372" s="13" t="n">
        <x:v>0.020345</x:v>
      </x:c>
      <x:c r="J1372" s="2" t="n">
        <x:v>9</x:v>
      </x:c>
      <x:c r="K1372" s="2" t="n">
        <x:v>7</x:v>
      </x:c>
      <x:c r="L1372" s="12" t="n">
        <x:v>3632.8957</x:v>
      </x:c>
      <x:c r="M1372" s="13" t="n">
        <x:v>0.6578726752194108</x:v>
      </x:c>
      <x:c r="N1372" s="13" t="n">
        <x:f>H1372/G1372</x:f>
        <x:v>0.02279084832353786</x:v>
      </x:c>
      <x:c r="O1372" s="13" t="n">
        <x:f>F1372/E1372</x:f>
        <x:v>0</x:v>
      </x:c>
      <x:c r="P1372" s="2" t="str">
        <x:f>IF(AND(E1372&gt;='Итоги'!$F$5,N1372&lt;='Итоги'!$B$5,O1372&gt;='Итоги'!$D$5),"Да","Нет")</x:f>
        <x:v>Нет</x:v>
      </x:c>
    </x:row>
    <x:row r="1373" ht="60" customHeight="1">
      <x:c r="A1373" s="14" t="str">
        <x:v>Аптека</x:v>
      </x:c>
      <x:c r="B1373" s="14" t="str">
        <x:v>Средства реабилитации</x:v>
      </x:c>
      <x:c r="C1373" s="14" t="str">
        <x:v>Средства реабилитации</x:v>
      </x:c>
      <x:c r="D1373" s="14" t="str">
        <x:v>Судно, утка</x:v>
      </x:c>
      <x:c r="E1373" s="2" t="n">
        <x:v>15</x:v>
      </x:c>
      <x:c r="F1373" s="2" t="n">
        <x:v>0</x:v>
      </x:c>
      <x:c r="G1373" s="12" t="n">
        <x:v>2502165</x:v>
      </x:c>
      <x:c r="H1373" s="12" t="n">
        <x:v>57182.4821</x:v>
      </x:c>
      <x:c r="I1373" s="13" t="n">
        <x:v>0.02096</x:v>
      </x:c>
      <x:c r="J1373" s="2" t="n">
        <x:v>9</x:v>
      </x:c>
      <x:c r="K1373" s="2" t="n">
        <x:v>4</x:v>
      </x:c>
      <x:c r="L1373" s="12" t="n">
        <x:v>3212</x:v>
      </x:c>
      <x:c r="M1373" s="13" t="n">
        <x:v>0.9831617818968772</x:v>
      </x:c>
      <x:c r="N1373" s="13" t="n">
        <x:f>H1373/G1373</x:f>
        <x:v>0.022853201967096493</x:v>
      </x:c>
      <x:c r="O1373" s="13" t="n">
        <x:f>F1373/E1373</x:f>
        <x:v>0</x:v>
      </x:c>
      <x:c r="P1373" s="2" t="str">
        <x:f>IF(AND(E1373&gt;='Итоги'!$F$5,N1373&lt;='Итоги'!$B$5,O1373&gt;='Итоги'!$D$5),"Да","Нет")</x:f>
        <x:v>Нет</x:v>
      </x:c>
    </x:row>
    <x:row r="1374" ht="60" customHeight="1">
      <x:c r="A1374" s="14" t="str">
        <x:v>Аксессуары</x:v>
      </x:c>
      <x:c r="B1374" s="14" t="str">
        <x:v>Ювелирные изделия</x:v>
      </x:c>
      <x:c r="C1374" s="14" t="str">
        <x:v>Браслет ювелирный</x:v>
      </x:c>
      <x:c r="D1374" s="14" t="str">
        <x:v>Золото браслет</x:v>
      </x:c>
      <x:c r="E1374" s="2" t="n">
        <x:v>258</x:v>
      </x:c>
      <x:c r="F1374" s="2" t="n">
        <x:v>0</x:v>
      </x:c>
      <x:c r="G1374" s="12" t="n">
        <x:v>25390405.71</x:v>
      </x:c>
      <x:c r="H1374" s="12" t="n">
        <x:v>581169.039101</x:v>
      </x:c>
      <x:c r="I1374" s="13" t="n">
        <x:v>0.0204038759689922</x:v>
      </x:c>
      <x:c r="J1374" s="2" t="n">
        <x:v>145</x:v>
      </x:c>
      <x:c r="K1374" s="2" t="n">
        <x:v>20</x:v>
      </x:c>
      <x:c r="L1374" s="12" t="n">
        <x:v>17726.44355</x:v>
      </x:c>
      <x:c r="M1374" s="13" t="n">
        <x:v>0.6408033182231494</x:v>
      </x:c>
      <x:c r="N1374" s="13" t="n">
        <x:f>H1374/G1374</x:f>
        <x:v>0.022889316765509846</x:v>
      </x:c>
      <x:c r="O1374" s="13" t="n">
        <x:f>F1374/E1374</x:f>
        <x:v>0</x:v>
      </x:c>
      <x:c r="P1374" s="2" t="str">
        <x:f>IF(AND(E1374&gt;='Итоги'!$F$5,N1374&lt;='Итоги'!$B$5,O1374&gt;='Итоги'!$D$5),"Да","Нет")</x:f>
        <x:v>Нет</x:v>
      </x:c>
    </x:row>
    <x:row r="1375" ht="60" customHeight="1">
      <x:c r="A1375" s="14" t="str">
        <x:v>Одежда</x:v>
      </x:c>
      <x:c r="B1375" s="14" t="str">
        <x:v>Верхняя одежда</x:v>
      </x:c>
      <x:c r="C1375" s="14" t="str">
        <x:v>Верхняя одежда женская</x:v>
      </x:c>
      <x:c r="D1375" s="14" t="str">
        <x:v>Куртка женская</x:v>
      </x:c>
      <x:c r="E1375" s="2" t="n">
        <x:v>1881</x:v>
      </x:c>
      <x:c r="F1375" s="2" t="n">
        <x:v>0</x:v>
      </x:c>
      <x:c r="G1375" s="12" t="n">
        <x:v>141359800.3829</x:v>
      </x:c>
      <x:c r="H1375" s="12" t="n">
        <x:v>3248718.01774922</x:v>
      </x:c>
      <x:c r="I1375" s="13" t="n">
        <x:v>0.0176261031366294</x:v>
      </x:c>
      <x:c r="J1375" s="2" t="n">
        <x:v>1300</x:v>
      </x:c>
      <x:c r="K1375" s="2" t="n">
        <x:v>187</x:v>
      </x:c>
      <x:c r="L1375" s="12" t="n">
        <x:v>2799.2266</x:v>
      </x:c>
      <x:c r="M1375" s="13" t="n">
        <x:v>0.3203352509054457</x:v>
      </x:c>
      <x:c r="N1375" s="13" t="n">
        <x:f>H1375/G1375</x:f>
        <x:v>0.022981908639864</x:v>
      </x:c>
      <x:c r="O1375" s="13" t="n">
        <x:f>F1375/E1375</x:f>
        <x:v>0</x:v>
      </x:c>
      <x:c r="P1375" s="2" t="str">
        <x:f>IF(AND(E1375&gt;='Итоги'!$F$5,N1375&lt;='Итоги'!$B$5,O1375&gt;='Итоги'!$D$5),"Да","Нет")</x:f>
        <x:v>Нет</x:v>
      </x:c>
    </x:row>
    <x:row r="1376" ht="60" customHeight="1">
      <x:c r="A1376" s="14" t="str">
        <x:v>Аптека</x:v>
      </x:c>
      <x:c r="B1376" s="14" t="str">
        <x:v>Медицинские изделия</x:v>
      </x:c>
      <x:c r="C1376" s="14" t="str">
        <x:v>Расходные медицинские материалы</x:v>
      </x:c>
      <x:c r="D1376" s="14" t="str">
        <x:v>Иглы для шприцев</x:v>
      </x:c>
      <x:c r="E1376" s="2" t="n">
        <x:v>13</x:v>
      </x:c>
      <x:c r="F1376" s="2" t="n">
        <x:v>0</x:v>
      </x:c>
      <x:c r="G1376" s="12" t="n">
        <x:v>2200003.67</x:v>
      </x:c>
      <x:c r="H1376" s="12" t="n">
        <x:v>50564.300393000005</x:v>
      </x:c>
      <x:c r="I1376" s="13" t="n">
        <x:v>0.0311846153846153</x:v>
      </x:c>
      <x:c r="J1376" s="2" t="n">
        <x:v>3</x:v>
      </x:c>
      <x:c r="K1376" s="2" t="n">
        <x:v>6</x:v>
      </x:c>
      <x:c r="L1376" s="12" t="n">
        <x:v>1429.7558</x:v>
      </x:c>
      <x:c r="M1376" s="13" t="n">
        <x:v>0.5789877477795298</x:v>
      </x:c>
      <x:c r="N1376" s="13" t="n">
        <x:f>H1376/G1376</x:f>
        <x:v>0.02298373456486098</x:v>
      </x:c>
      <x:c r="O1376" s="13" t="n">
        <x:f>F1376/E1376</x:f>
        <x:v>0</x:v>
      </x:c>
      <x:c r="P1376" s="2" t="str">
        <x:f>IF(AND(E1376&gt;='Итоги'!$F$5,N1376&lt;='Итоги'!$B$5,O1376&gt;='Итоги'!$D$5),"Да","Нет")</x:f>
        <x:v>Нет</x:v>
      </x:c>
    </x:row>
    <x:row r="1377" ht="60" customHeight="1">
      <x:c r="A1377" s="14" t="str">
        <x:v>Спорт и отдых</x:v>
      </x:c>
      <x:c r="B1377" s="14" t="str">
        <x:v>Тренажеры и фитнес</x:v>
      </x:c>
      <x:c r="C1377" s="14" t="str">
        <x:v>Фитнес</x:v>
      </x:c>
      <x:c r="D1377" s="14" t="str">
        <x:v>Мяч массажный спортивный</x:v>
      </x:c>
      <x:c r="E1377" s="2" t="n">
        <x:v>6</x:v>
      </x:c>
      <x:c r="F1377" s="2" t="n">
        <x:v>0</x:v>
      </x:c>
      <x:c r="G1377" s="12" t="n">
        <x:v>1593561.2091</x:v>
      </x:c>
      <x:c r="H1377" s="12" t="n">
        <x:v>36686.54275954</x:v>
      </x:c>
      <x:c r="I1377" s="13" t="n">
        <x:v>0.0320333333333333</x:v>
      </x:c>
      <x:c r="J1377" s="2" t="n">
        <x:v>4</x:v>
      </x:c>
      <x:c r="K1377" s="2" t="n">
        <x:v>1</x:v>
      </x:c>
      <x:c r="L1377" s="12" t="n">
        <x:v>1469.9239</x:v>
      </x:c>
      <x:c r="M1377" s="13" t="n">
        <x:v>1</x:v>
      </x:c>
      <x:c r="N1377" s="13" t="n">
        <x:f>H1377/G1377</x:f>
        <x:v>0.02302173430806562</x:v>
      </x:c>
      <x:c r="O1377" s="13" t="n">
        <x:f>F1377/E1377</x:f>
        <x:v>0</x:v>
      </x:c>
      <x:c r="P1377" s="2" t="str">
        <x:f>IF(AND(E1377&gt;='Итоги'!$F$5,N1377&lt;='Итоги'!$B$5,O1377&gt;='Итоги'!$D$5),"Да","Нет")</x:f>
        <x:v>Нет</x:v>
      </x:c>
    </x:row>
    <x:row r="1378" ht="60" customHeight="1">
      <x:c r="A1378" s="14" t="str">
        <x:v>Обувь</x:v>
      </x:c>
      <x:c r="B1378" s="14" t="str">
        <x:v>Обувь мужская</x:v>
      </x:c>
      <x:c r="C1378" s="14" t="str">
        <x:v>Спортивная обувь мужская</x:v>
      </x:c>
      <x:c r="D1378" s="14" t="str">
        <x:v>Спортивные ботинки, полуботинки мужские</x:v>
      </x:c>
      <x:c r="E1378" s="2" t="n">
        <x:v>127</x:v>
      </x:c>
      <x:c r="F1378" s="2" t="n">
        <x:v>0</x:v>
      </x:c>
      <x:c r="G1378" s="12" t="n">
        <x:v>10802637.3786</x:v>
      </x:c>
      <x:c r="H1378" s="12" t="n">
        <x:v>248945.35499996</x:v>
      </x:c>
      <x:c r="I1378" s="13" t="n">
        <x:v>0.0222440944881889</x:v>
      </x:c>
      <x:c r="J1378" s="2" t="n">
        <x:v>61</x:v>
      </x:c>
      <x:c r="K1378" s="2" t="n">
        <x:v>12</x:v>
      </x:c>
      <x:c r="L1378" s="12" t="n">
        <x:v>3035.7381</x:v>
      </x:c>
      <x:c r="M1378" s="13" t="n">
        <x:v>0.3843177137116904</x:v>
      </x:c>
      <x:c r="N1378" s="13" t="n">
        <x:f>H1378/G1378</x:f>
        <x:v>0.023044868236817815</x:v>
      </x:c>
      <x:c r="O1378" s="13" t="n">
        <x:f>F1378/E1378</x:f>
        <x:v>0</x:v>
      </x:c>
      <x:c r="P1378" s="2" t="str">
        <x:f>IF(AND(E1378&gt;='Итоги'!$F$5,N1378&lt;='Итоги'!$B$5,O1378&gt;='Итоги'!$D$5),"Да","Нет")</x:f>
        <x:v>Нет</x:v>
      </x:c>
    </x:row>
    <x:row r="1379" ht="60" customHeight="1">
      <x:c r="A1379" s="14" t="str">
        <x:v>Аптека</x:v>
      </x:c>
      <x:c r="B1379" s="14" t="str">
        <x:v>Электронные сигареты, парители, кальяны</x:v>
      </x:c>
      <x:c r="C1379" s="14" t="str">
        <x:v>Аксессуары для кальяна</x:v>
      </x:c>
      <x:c r="D1379" s="14" t="str">
        <x:v>Комплектующие для кальяна</x:v>
      </x:c>
      <x:c r="E1379" s="2" t="n">
        <x:v>29</x:v>
      </x:c>
      <x:c r="F1379" s="2" t="n">
        <x:v>0</x:v>
      </x:c>
      <x:c r="G1379" s="12" t="n">
        <x:v>3157335.7196</x:v>
      </x:c>
      <x:c r="H1379" s="12" t="n">
        <x:v>72946.89519336</x:v>
      </x:c>
      <x:c r="I1379" s="13" t="n">
        <x:v>0.018351724137931</x:v>
      </x:c>
      <x:c r="J1379" s="2" t="n">
        <x:v>26</x:v>
      </x:c>
      <x:c r="K1379" s="2" t="n">
        <x:v>11</x:v>
      </x:c>
      <x:c r="L1379" s="12" t="n">
        <x:v>2613.8907</x:v>
      </x:c>
      <x:c r="M1379" s="13" t="n">
        <x:v>0.2594040943177755</x:v>
      </x:c>
      <x:c r="N1379" s="13" t="n">
        <x:f>H1379/G1379</x:f>
        <x:v>0.023103940053166593</x:v>
      </x:c>
      <x:c r="O1379" s="13" t="n">
        <x:f>F1379/E1379</x:f>
        <x:v>0</x:v>
      </x:c>
      <x:c r="P1379" s="2" t="str">
        <x:f>IF(AND(E1379&gt;='Итоги'!$F$5,N1379&lt;='Итоги'!$B$5,O1379&gt;='Итоги'!$D$5),"Да","Нет")</x:f>
        <x:v>Нет</x:v>
      </x:c>
    </x:row>
    <x:row r="1380" ht="60" customHeight="1">
      <x:c r="A1380" s="14" t="str">
        <x:v>Ноутбуки и компьютеры</x:v>
      </x:c>
      <x:c r="B1380" s="14" t="str">
        <x:v>Digital</x:v>
      </x:c>
      <x:c r="C1380" s="14" t="str">
        <x:v>Цифровой контент - Другое</x:v>
      </x:c>
      <x:c r="D1380" s="14" t="str">
        <x:v>Код активации</x:v>
      </x:c>
      <x:c r="E1380" s="2" t="n">
        <x:v>24</x:v>
      </x:c>
      <x:c r="F1380" s="2" t="n">
        <x:v>0</x:v>
      </x:c>
      <x:c r="G1380" s="12" t="n">
        <x:v>4758920</x:v>
      </x:c>
      <x:c r="H1380" s="12" t="n">
        <x:v>110552.4007</x:v>
      </x:c>
      <x:c r="I1380" s="13" t="n">
        <x:v>0.0079916666666666</x:v>
      </x:c>
      <x:c r="J1380" s="2" t="n">
        <x:v>22</x:v>
      </x:c>
      <x:c r="K1380" s="2" t="n">
        <x:v>1</x:v>
      </x:c>
      <x:c r="L1380" s="12" t="n">
        <x:v>2471.84965</x:v>
      </x:c>
      <x:c r="M1380" s="13" t="n">
        <x:v>1</x:v>
      </x:c>
      <x:c r="N1380" s="13" t="n">
        <x:f>H1380/G1380</x:f>
        <x:v>0.023230565065182857</x:v>
      </x:c>
      <x:c r="O1380" s="13" t="n">
        <x:f>F1380/E1380</x:f>
        <x:v>0</x:v>
      </x:c>
      <x:c r="P1380" s="2" t="str">
        <x:f>IF(AND(E1380&gt;='Итоги'!$F$5,N1380&lt;='Итоги'!$B$5,O1380&gt;='Итоги'!$D$5),"Да","Нет")</x:f>
        <x:v>Нет</x:v>
      </x:c>
    </x:row>
    <x:row r="1381" ht="60" customHeight="1">
      <x:c r="A1381" s="14" t="str">
        <x:v>Товары для дома</x:v>
      </x:c>
      <x:c r="B1381" s="14" t="str">
        <x:v>Интерьер и декор</x:v>
      </x:c>
      <x:c r="C1381" s="14" t="str">
        <x:v>Принадлежности для праздника</x:v>
      </x:c>
      <x:c r="D1381" s="14" t="str">
        <x:v>Бонбоньерка</x:v>
      </x:c>
      <x:c r="E1381" s="2" t="n">
        <x:v>3</x:v>
      </x:c>
      <x:c r="F1381" s="2" t="n">
        <x:v>0</x:v>
      </x:c>
      <x:c r="G1381" s="12" t="n">
        <x:v>130286</x:v>
      </x:c>
      <x:c r="H1381" s="12" t="n">
        <x:v>3027.36</x:v>
      </x:c>
      <x:c r="I1381" s="13" t="n">
        <x:v>0.0119</x:v>
      </x:c>
      <x:c r="J1381" s="2" t="n">
        <x:v>2</x:v>
      </x:c>
      <x:c r="K1381" s="2" t="n">
        <x:v>2</x:v>
      </x:c>
      <x:c r="L1381" s="12" t="n">
        <x:v>1479.25</x:v>
      </x:c>
      <x:c r="M1381" s="13" t="n">
        <x:v>0.6508757656233211</x:v>
      </x:c>
      <x:c r="N1381" s="13" t="n">
        <x:f>H1381/G1381</x:f>
        <x:v>0.02323626483275256</x:v>
      </x:c>
      <x:c r="O1381" s="13" t="n">
        <x:f>F1381/E1381</x:f>
        <x:v>0</x:v>
      </x:c>
      <x:c r="P1381" s="2" t="str">
        <x:f>IF(AND(E1381&gt;='Итоги'!$F$5,N1381&lt;='Итоги'!$B$5,O1381&gt;='Итоги'!$D$5),"Да","Нет")</x:f>
        <x:v>Нет</x:v>
      </x:c>
    </x:row>
    <x:row r="1382" ht="60" customHeight="1">
      <x:c r="A1382" s="14" t="str">
        <x:v>Одежда</x:v>
      </x:c>
      <x:c r="B1382" s="14" t="str">
        <x:v>Основная одежда мужская</x:v>
      </x:c>
      <x:c r="C1382" s="14" t="str">
        <x:v>Спортивная основная одежда мужская верха</x:v>
      </x:c>
      <x:c r="D1382" s="14" t="str">
        <x:v>Спортивный свитшот мужской</x:v>
      </x:c>
      <x:c r="E1382" s="2" t="n">
        <x:v>40</x:v>
      </x:c>
      <x:c r="F1382" s="2" t="n">
        <x:v>0</x:v>
      </x:c>
      <x:c r="G1382" s="12" t="n">
        <x:v>4765993.4842</x:v>
      </x:c>
      <x:c r="H1382" s="12" t="n">
        <x:v>110804.10421825</x:v>
      </x:c>
      <x:c r="I1382" s="13" t="n">
        <x:v>0.0287175</x:v>
      </x:c>
      <x:c r="J1382" s="2" t="n">
        <x:v>27</x:v>
      </x:c>
      <x:c r="K1382" s="2" t="n">
        <x:v>5</x:v>
      </x:c>
      <x:c r="L1382" s="12" t="n">
        <x:v>1738.81745</x:v>
      </x:c>
      <x:c r="M1382" s="13" t="n">
        <x:v>0.5839203694310414</x:v>
      </x:c>
      <x:c r="N1382" s="13" t="n">
        <x:f>H1382/G1382</x:f>
        <x:v>0.0232488996440265</x:v>
      </x:c>
      <x:c r="O1382" s="13" t="n">
        <x:f>F1382/E1382</x:f>
        <x:v>0</x:v>
      </x:c>
      <x:c r="P1382" s="2" t="str">
        <x:f>IF(AND(E1382&gt;='Итоги'!$F$5,N1382&lt;='Итоги'!$B$5,O1382&gt;='Итоги'!$D$5),"Да","Нет")</x:f>
        <x:v>Нет</x:v>
      </x:c>
    </x:row>
    <x:row r="1383" ht="60" customHeight="1">
      <x:c r="A1383" s="14" t="str">
        <x:v>Мебель</x:v>
      </x:c>
      <x:c r="B1383" s="14" t="str">
        <x:v>Мебель для сада</x:v>
      </x:c>
      <x:c r="C1383" s="14" t="str">
        <x:v>Садовые диван, кресло, стул</x:v>
      </x:c>
      <x:c r="D1383" s="14" t="str">
        <x:v>Скамья</x:v>
      </x:c>
      <x:c r="E1383" s="2" t="n">
        <x:v>54</x:v>
      </x:c>
      <x:c r="F1383" s="2" t="n">
        <x:v>0</x:v>
      </x:c>
      <x:c r="G1383" s="12" t="n">
        <x:v>9691304.9775</x:v>
      </x:c>
      <x:c r="H1383" s="12" t="n">
        <x:v>225344.91847864</x:v>
      </x:c>
      <x:c r="I1383" s="13" t="n">
        <x:v>0.0270333333333333</x:v>
      </x:c>
      <x:c r="J1383" s="2" t="n">
        <x:v>26</x:v>
      </x:c>
      <x:c r="K1383" s="2" t="n">
        <x:v>20</x:v>
      </x:c>
      <x:c r="L1383" s="12" t="n">
        <x:v>3935.40875</x:v>
      </x:c>
      <x:c r="M1383" s="13" t="n">
        <x:v>0.4342255299023274</x:v>
      </x:c>
      <x:c r="N1383" s="13" t="n">
        <x:f>H1383/G1383</x:f>
        <x:v>0.023252278098957392</x:v>
      </x:c>
      <x:c r="O1383" s="13" t="n">
        <x:f>F1383/E1383</x:f>
        <x:v>0</x:v>
      </x:c>
      <x:c r="P1383" s="2" t="str">
        <x:f>IF(AND(E1383&gt;='Итоги'!$F$5,N1383&lt;='Итоги'!$B$5,O1383&gt;='Итоги'!$D$5),"Да","Нет")</x:f>
        <x:v>Нет</x:v>
      </x:c>
    </x:row>
    <x:row r="1384" ht="60" customHeight="1">
      <x:c r="A1384" s="14" t="str">
        <x:v>Аксессуары для электроники</x:v>
      </x:c>
      <x:c r="B1384" s="14" t="str">
        <x:v>Аксессуары для мобильных устройств Access</x:v>
      </x:c>
      <x:c r="C1384" s="14" t="str">
        <x:v>Аксессуары для планшетных компьютеров, электронных книг Access</x:v>
      </x:c>
      <x:c r="D1384" s="14" t="str">
        <x:v>Защитное стекло для планшетного компьютера, электронной книги</x:v>
      </x:c>
      <x:c r="E1384" s="2" t="n">
        <x:v>2</x:v>
      </x:c>
      <x:c r="F1384" s="2" t="n">
        <x:v>0</x:v>
      </x:c>
      <x:c r="G1384" s="12" t="n">
        <x:v>200195.9517</x:v>
      </x:c>
      <x:c r="H1384" s="12" t="n">
        <x:v>4655.04289702</x:v>
      </x:c>
      <x:c r="I1384" s="13" t="n">
        <x:v>0.02315</x:v>
      </x:c>
      <x:c r="J1384" s="2" t="n">
        <x:v>0</x:v>
      </x:c>
      <x:c r="K1384" s="2" t="n">
        <x:v>1</x:v>
      </x:c>
      <x:c r="L1384" s="12" t="n">
        <x:v>900.13525</x:v>
      </x:c>
      <x:c r="M1384" s="13" t="n">
        <x:v>1</x:v>
      </x:c>
      <x:c r="N1384" s="13" t="n">
        <x:f>H1384/G1384</x:f>
        <x:v>0.02325243271650033</x:v>
      </x:c>
      <x:c r="O1384" s="13" t="n">
        <x:f>F1384/E1384</x:f>
        <x:v>0</x:v>
      </x:c>
      <x:c r="P1384" s="2" t="str">
        <x:f>IF(AND(E1384&gt;='Итоги'!$F$5,N1384&lt;='Итоги'!$B$5,O1384&gt;='Итоги'!$D$5),"Да","Нет")</x:f>
        <x:v>Нет</x:v>
      </x:c>
    </x:row>
    <x:row r="1385" ht="60" customHeight="1">
      <x:c r="A1385" s="14" t="str">
        <x:v>Хобби и творчество</x:v>
      </x:c>
      <x:c r="B1385" s="14" t="str">
        <x:v>Взрослое творчество и хобби</x:v>
      </x:c>
      <x:c r="C1385" s="14" t="str">
        <x:v>Мозаика, гравюра, стразы</x:v>
      </x:c>
      <x:c r="D1385" s="14" t="str">
        <x:v>Набор для создания мозаики</x:v>
      </x:c>
      <x:c r="E1385" s="2" t="n">
        <x:v>1</x:v>
      </x:c>
      <x:c r="F1385" s="2" t="n">
        <x:v>0</x:v>
      </x:c>
      <x:c r="G1385" s="12" t="n">
        <x:v>93740.28</x:v>
      </x:c>
      <x:c r="H1385" s="12" t="n">
        <x:v>2184.148524</x:v>
      </x:c>
      <x:c r="I1385" s="13" t="n">
        <x:v>0.0233</x:v>
      </x:c>
      <x:c r="J1385" s="2" t="n">
        <x:v>0</x:v>
      </x:c>
      <x:c r="K1385" s="2" t="n">
        <x:v>1</x:v>
      </x:c>
      <x:c r="L1385" s="12" t="n">
        <x:v>1735.9311</x:v>
      </x:c>
      <x:c r="M1385" s="13" t="n">
        <x:v>1</x:v>
      </x:c>
      <x:c r="N1385" s="13" t="n">
        <x:f>H1385/G1385</x:f>
        <x:v>0.0233</x:v>
      </x:c>
      <x:c r="O1385" s="13" t="n">
        <x:f>F1385/E1385</x:f>
        <x:v>0</x:v>
      </x:c>
      <x:c r="P1385" s="2" t="str">
        <x:f>IF(AND(E1385&gt;='Итоги'!$F$5,N1385&lt;='Итоги'!$B$5,O1385&gt;='Итоги'!$D$5),"Да","Нет")</x:f>
        <x:v>Нет</x:v>
      </x:c>
    </x:row>
    <x:row r="1386" ht="60" customHeight="1">
      <x:c r="A1386" s="14" t="str">
        <x:v>Бакалея и кондитерские изделия</x:v>
      </x:c>
      <x:c r="B1386" s="14" t="str">
        <x:v>Бакалея</x:v>
      </x:c>
      <x:c r="C1386" s="14" t="str">
        <x:v>Масла, соусы, уксус</x:v>
      </x:c>
      <x:c r="D1386" s="14" t="str">
        <x:v>Какао-масло</x:v>
      </x:c>
      <x:c r="E1386" s="2" t="n">
        <x:v>4</x:v>
      </x:c>
      <x:c r="F1386" s="2" t="n">
        <x:v>0</x:v>
      </x:c>
      <x:c r="G1386" s="12" t="n">
        <x:v>418113.8645</x:v>
      </x:c>
      <x:c r="H1386" s="12" t="n">
        <x:v>9752.104692</x:v>
      </x:c>
      <x:c r="I1386" s="13" t="n">
        <x:v>0.027775</x:v>
      </x:c>
      <x:c r="J1386" s="2" t="n">
        <x:v>3</x:v>
      </x:c>
      <x:c r="K1386" s="2" t="n">
        <x:v>3</x:v>
      </x:c>
      <x:c r="L1386" s="12" t="n">
        <x:v>2166.1606</x:v>
      </x:c>
      <x:c r="M1386" s="13" t="n">
        <x:v>0.4780095037963038</x:v>
      </x:c>
      <x:c r="N1386" s="13" t="n">
        <x:f>H1386/G1386</x:f>
        <x:v>0.02332404045884013</x:v>
      </x:c>
      <x:c r="O1386" s="13" t="n">
        <x:f>F1386/E1386</x:f>
        <x:v>0</x:v>
      </x:c>
      <x:c r="P1386" s="2" t="str">
        <x:f>IF(AND(E1386&gt;='Итоги'!$F$5,N1386&lt;='Итоги'!$B$5,O1386&gt;='Итоги'!$D$5),"Да","Нет")</x:f>
        <x:v>Нет</x:v>
      </x:c>
    </x:row>
    <x:row r="1387" ht="60" customHeight="1">
      <x:c r="A1387" s="14" t="str">
        <x:v>Детская одежда</x:v>
      </x:c>
      <x:c r="B1387" s="14" t="str">
        <x:v>Детская одежда</x:v>
      </x:c>
      <x:c r="C1387" s="14" t="str">
        <x:v>Одежда для девочки</x:v>
      </x:c>
      <x:c r="D1387" s="14" t="str">
        <x:v>Юбка для девочки</x:v>
      </x:c>
      <x:c r="E1387" s="2" t="n">
        <x:v>53</x:v>
      </x:c>
      <x:c r="F1387" s="2" t="n">
        <x:v>0</x:v>
      </x:c>
      <x:c r="G1387" s="12" t="n">
        <x:v>4598093.4869</x:v>
      </x:c>
      <x:c r="H1387" s="12" t="n">
        <x:v>107291.34136213</x:v>
      </x:c>
      <x:c r="I1387" s="13" t="n">
        <x:v>0.0231301886792452</x:v>
      </x:c>
      <x:c r="J1387" s="2" t="n">
        <x:v>26</x:v>
      </x:c>
      <x:c r="K1387" s="2" t="n">
        <x:v>10</x:v>
      </x:c>
      <x:c r="L1387" s="12" t="n">
        <x:v>1507.2052</x:v>
      </x:c>
      <x:c r="M1387" s="13" t="n">
        <x:v>0.4596206184413235</x:v>
      </x:c>
      <x:c r="N1387" s="13" t="n">
        <x:f>H1387/G1387</x:f>
        <x:v>0.02333387558730673</x:v>
      </x:c>
      <x:c r="O1387" s="13" t="n">
        <x:f>F1387/E1387</x:f>
        <x:v>0</x:v>
      </x:c>
      <x:c r="P1387" s="2" t="str">
        <x:f>IF(AND(E1387&gt;='Итоги'!$F$5,N1387&lt;='Итоги'!$B$5,O1387&gt;='Итоги'!$D$5),"Да","Нет")</x:f>
        <x:v>Нет</x:v>
      </x:c>
    </x:row>
    <x:row r="1388" ht="60" customHeight="1">
      <x:c r="A1388" s="14" t="str">
        <x:v>Товары для дома</x:v>
      </x:c>
      <x:c r="B1388" s="14" t="str">
        <x:v>Домашний текстиль</x:v>
      </x:c>
      <x:c r="C1388" s="14" t="str">
        <x:v>Шторы</x:v>
      </x:c>
      <x:c r="D1388" s="14" t="str">
        <x:v>Шторы для детской комнаты</x:v>
      </x:c>
      <x:c r="E1388" s="2" t="n">
        <x:v>3</x:v>
      </x:c>
      <x:c r="F1388" s="2" t="n">
        <x:v>0</x:v>
      </x:c>
      <x:c r="G1388" s="12" t="n">
        <x:v>571591.4363000001</x:v>
      </x:c>
      <x:c r="H1388" s="12" t="n">
        <x:v>13343.2229095</x:v>
      </x:c>
      <x:c r="I1388" s="13" t="n">
        <x:v>0.036</x:v>
      </x:c>
      <x:c r="J1388" s="2" t="n">
        <x:v>0</x:v>
      </x:c>
      <x:c r="K1388" s="2" t="n">
        <x:v>2</x:v>
      </x:c>
      <x:c r="L1388" s="12" t="n">
        <x:v>1589.3138</x:v>
      </x:c>
      <x:c r="M1388" s="13" t="n">
        <x:v>0.7636056255939396</x:v>
      </x:c>
      <x:c r="N1388" s="13" t="n">
        <x:f>H1388/G1388</x:f>
        <x:v>0.02334398673967677</x:v>
      </x:c>
      <x:c r="O1388" s="13" t="n">
        <x:f>F1388/E1388</x:f>
        <x:v>0</x:v>
      </x:c>
      <x:c r="P1388" s="2" t="str">
        <x:f>IF(AND(E1388&gt;='Итоги'!$F$5,N1388&lt;='Итоги'!$B$5,O1388&gt;='Итоги'!$D$5),"Да","Нет")</x:f>
        <x:v>Нет</x:v>
      </x:c>
    </x:row>
    <x:row r="1389" ht="60" customHeight="1">
      <x:c r="A1389" s="14" t="str">
        <x:v>Автотовары</x:v>
      </x:c>
      <x:c r="B1389" s="14" t="str">
        <x:v>Авто и мото запчасти</x:v>
      </x:c>
      <x:c r="C1389" s="14" t="str">
        <x:v>Отопление и кондиционирование для авто</x:v>
      </x:c>
      <x:c r="D1389" s="14" t="str">
        <x:v>Компрессор климатической установки для авто</x:v>
      </x:c>
      <x:c r="E1389" s="2" t="n">
        <x:v>55</x:v>
      </x:c>
      <x:c r="F1389" s="2" t="n">
        <x:v>0</x:v>
      </x:c>
      <x:c r="G1389" s="12" t="n">
        <x:v>7994543.8554</x:v>
      </x:c>
      <x:c r="H1389" s="12" t="n">
        <x:v>187034.32500381</x:v>
      </x:c>
      <x:c r="I1389" s="13" t="n">
        <x:v>0.0187636363636363</x:v>
      </x:c>
      <x:c r="J1389" s="2" t="n">
        <x:v>35</x:v>
      </x:c>
      <x:c r="K1389" s="2" t="n">
        <x:v>9</x:v>
      </x:c>
      <x:c r="L1389" s="12" t="n">
        <x:v>22619.8498</x:v>
      </x:c>
      <x:c r="M1389" s="13" t="n">
        <x:v>0.8013065450723552</x:v>
      </x:c>
      <x:c r="N1389" s="13" t="n">
        <x:f>H1389/G1389</x:f>
        <x:v>0.023395246606530987</x:v>
      </x:c>
      <x:c r="O1389" s="13" t="n">
        <x:f>F1389/E1389</x:f>
        <x:v>0</x:v>
      </x:c>
      <x:c r="P1389" s="2" t="str">
        <x:f>IF(AND(E1389&gt;='Итоги'!$F$5,N1389&lt;='Итоги'!$B$5,O1389&gt;='Итоги'!$D$5),"Да","Нет")</x:f>
        <x:v>Нет</x:v>
      </x:c>
    </x:row>
    <x:row r="1390" ht="60" customHeight="1">
      <x:c r="A1390" s="14" t="str">
        <x:v>Обувь</x:v>
      </x:c>
      <x:c r="B1390" s="14" t="str">
        <x:v>Обувь мужская</x:v>
      </x:c>
      <x:c r="C1390" s="14" t="str">
        <x:v>Обувь мужская повседневная</x:v>
      </x:c>
      <x:c r="D1390" s="14" t="str">
        <x:v>Мужские Мокасины</x:v>
      </x:c>
      <x:c r="E1390" s="2" t="n">
        <x:v>271</x:v>
      </x:c>
      <x:c r="F1390" s="2" t="n">
        <x:v>0</x:v>
      </x:c>
      <x:c r="G1390" s="12" t="n">
        <x:v>18423649.1616</x:v>
      </x:c>
      <x:c r="H1390" s="12" t="n">
        <x:v>432149.27111055</x:v>
      </x:c>
      <x:c r="I1390" s="13" t="n">
        <x:v>0.0246431734317343</x:v>
      </x:c>
      <x:c r="J1390" s="2" t="n">
        <x:v>177</x:v>
      </x:c>
      <x:c r="K1390" s="2" t="n">
        <x:v>17</x:v>
      </x:c>
      <x:c r="L1390" s="12" t="n">
        <x:v>2772.3636</x:v>
      </x:c>
      <x:c r="M1390" s="13" t="n">
        <x:v>0.8283289197835916</x:v>
      </x:c>
      <x:c r="N1390" s="13" t="n">
        <x:f>H1390/G1390</x:f>
        <x:v>0.02345622560004394</x:v>
      </x:c>
      <x:c r="O1390" s="13" t="n">
        <x:f>F1390/E1390</x:f>
        <x:v>0</x:v>
      </x:c>
      <x:c r="P1390" s="2" t="str">
        <x:f>IF(AND(E1390&gt;='Итоги'!$F$5,N1390&lt;='Итоги'!$B$5,O1390&gt;='Итоги'!$D$5),"Да","Нет")</x:f>
        <x:v>Нет</x:v>
      </x:c>
    </x:row>
    <x:row r="1391" ht="60" customHeight="1">
      <x:c r="A1391" s="14" t="str">
        <x:v>Товары для дома</x:v>
      </x:c>
      <x:c r="B1391" s="14" t="str">
        <x:v>Аксессуары для уборки и стирки</x:v>
      </x:c>
      <x:c r="C1391" s="14" t="str">
        <x:v>Аксессуар для уборки</x:v>
      </x:c>
      <x:c r="D1391" s="14" t="str">
        <x:v>Тряпка</x:v>
      </x:c>
      <x:c r="E1391" s="2" t="n">
        <x:v>16</x:v>
      </x:c>
      <x:c r="F1391" s="2" t="n">
        <x:v>0</x:v>
      </x:c>
      <x:c r="G1391" s="12" t="n">
        <x:v>3408245.2708</x:v>
      </x:c>
      <x:c r="H1391" s="12" t="n">
        <x:v>80039.84237187</x:v>
      </x:c>
      <x:c r="I1391" s="13" t="n">
        <x:v>0.0272125</x:v>
      </x:c>
      <x:c r="J1391" s="2" t="n">
        <x:v>3</x:v>
      </x:c>
      <x:c r="K1391" s="2" t="n">
        <x:v>6</x:v>
      </x:c>
      <x:c r="L1391" s="12" t="n">
        <x:v>1443.79225</x:v>
      </x:c>
      <x:c r="M1391" s="13" t="n">
        <x:v>0.7211547513489475</x:v>
      </x:c>
      <x:c r="N1391" s="13" t="n">
        <x:f>H1391/G1391</x:f>
        <x:v>0.023484179104599084</x:v>
      </x:c>
      <x:c r="O1391" s="13" t="n">
        <x:f>F1391/E1391</x:f>
        <x:v>0</x:v>
      </x:c>
      <x:c r="P1391" s="2" t="str">
        <x:f>IF(AND(E1391&gt;='Итоги'!$F$5,N1391&lt;='Итоги'!$B$5,O1391&gt;='Итоги'!$D$5),"Да","Нет")</x:f>
        <x:v>Нет</x:v>
      </x:c>
    </x:row>
    <x:row r="1392" ht="60" customHeight="1">
      <x:c r="A1392" s="14" t="str">
        <x:v>Детская одежда</x:v>
      </x:c>
      <x:c r="B1392" s="14" t="str">
        <x:v>Детская одежда</x:v>
      </x:c>
      <x:c r="C1392" s="14" t="str">
        <x:v>Школьная одежда для девочки</x:v>
      </x:c>
      <x:c r="D1392" s="14" t="str">
        <x:v>Школьный фартук для девочки</x:v>
      </x:c>
      <x:c r="E1392" s="2" t="n">
        <x:v>25</x:v>
      </x:c>
      <x:c r="F1392" s="2" t="n">
        <x:v>0</x:v>
      </x:c>
      <x:c r="G1392" s="12" t="n">
        <x:v>2877396.32</x:v>
      </x:c>
      <x:c r="H1392" s="12" t="n">
        <x:v>67658.24093500001</x:v>
      </x:c>
      <x:c r="I1392" s="13" t="n">
        <x:v>0.027204</x:v>
      </x:c>
      <x:c r="J1392" s="2" t="n">
        <x:v>15</x:v>
      </x:c>
      <x:c r="K1392" s="2" t="n">
        <x:v>7</x:v>
      </x:c>
      <x:c r="L1392" s="12" t="n">
        <x:v>1547.8303</x:v>
      </x:c>
      <x:c r="M1392" s="13" t="n">
        <x:v>0.4412252775801145</x:v>
      </x:c>
      <x:c r="N1392" s="13" t="n">
        <x:f>H1392/G1392</x:f>
        <x:v>0.023513702462440077</x:v>
      </x:c>
      <x:c r="O1392" s="13" t="n">
        <x:f>F1392/E1392</x:f>
        <x:v>0</x:v>
      </x:c>
      <x:c r="P1392" s="2" t="str">
        <x:f>IF(AND(E1392&gt;='Итоги'!$F$5,N1392&lt;='Итоги'!$B$5,O1392&gt;='Итоги'!$D$5),"Да","Нет")</x:f>
        <x:v>Нет</x:v>
      </x:c>
    </x:row>
    <x:row r="1393" ht="60" customHeight="1">
      <x:c r="A1393" s="14" t="str">
        <x:v>Товары для красоты и здоровья</x:v>
      </x:c>
      <x:c r="B1393" s="14" t="str">
        <x:v>Косметические средства для детей и беременных</x:v>
      </x:c>
      <x:c r="C1393" s="14" t="str">
        <x:v>Детская гигиена Health&amp;Beauty</x:v>
      </x:c>
      <x:c r="D1393" s="14" t="str">
        <x:v>Присыпка, крем под подгузник детская</x:v>
      </x:c>
      <x:c r="E1393" s="2" t="n">
        <x:v>6</x:v>
      </x:c>
      <x:c r="F1393" s="2" t="n">
        <x:v>0</x:v>
      </x:c>
      <x:c r="G1393" s="12" t="n">
        <x:v>781757.5106</x:v>
      </x:c>
      <x:c r="H1393" s="12" t="n">
        <x:v>18395.0100442</x:v>
      </x:c>
      <x:c r="I1393" s="13" t="n">
        <x:v>0.0177833333333333</x:v>
      </x:c>
      <x:c r="J1393" s="2" t="n">
        <x:v>3</x:v>
      </x:c>
      <x:c r="K1393" s="2" t="n">
        <x:v>3</x:v>
      </x:c>
      <x:c r="L1393" s="12" t="n">
        <x:v>945.5229</x:v>
      </x:c>
      <x:c r="M1393" s="13" t="n">
        <x:v>0.4990325934963905</x:v>
      </x:c>
      <x:c r="N1393" s="13" t="n">
        <x:f>H1393/G1393</x:f>
        <x:v>0.02353032723674353</x:v>
      </x:c>
      <x:c r="O1393" s="13" t="n">
        <x:f>F1393/E1393</x:f>
        <x:v>0</x:v>
      </x:c>
      <x:c r="P1393" s="2" t="str">
        <x:f>IF(AND(E1393&gt;='Итоги'!$F$5,N1393&lt;='Итоги'!$B$5,O1393&gt;='Итоги'!$D$5),"Да","Нет")</x:f>
        <x:v>Нет</x:v>
      </x:c>
    </x:row>
    <x:row r="1394" ht="60" customHeight="1">
      <x:c r="A1394" s="14" t="str">
        <x:v>Детская одежда</x:v>
      </x:c>
      <x:c r="B1394" s="14" t="str">
        <x:v>Детская одежда</x:v>
      </x:c>
      <x:c r="C1394" s="14" t="str">
        <x:v>Одежда для мальчика</x:v>
      </x:c>
      <x:c r="D1394" s="14" t="str">
        <x:v>Толстовка для мальчика</x:v>
      </x:c>
      <x:c r="E1394" s="2" t="n">
        <x:v>6</x:v>
      </x:c>
      <x:c r="F1394" s="2" t="n">
        <x:v>0</x:v>
      </x:c>
      <x:c r="G1394" s="12" t="n">
        <x:v>109365.58</x:v>
      </x:c>
      <x:c r="H1394" s="12" t="n">
        <x:v>2576.063244</x:v>
      </x:c>
      <x:c r="I1394" s="13" t="n">
        <x:v>0.0072666666666666</x:v>
      </x:c>
      <x:c r="J1394" s="2" t="n">
        <x:v>4</x:v>
      </x:c>
      <x:c r="K1394" s="2" t="n">
        <x:v>4</x:v>
      </x:c>
      <x:c r="L1394" s="12" t="n">
        <x:v>1502.66665</x:v>
      </x:c>
      <x:c r="M1394" s="13" t="n">
        <x:v>0.8818823984657695</x:v>
      </x:c>
      <x:c r="N1394" s="13" t="n">
        <x:f>H1394/G1394</x:f>
        <x:v>0.023554606888200106</x:v>
      </x:c>
      <x:c r="O1394" s="13" t="n">
        <x:f>F1394/E1394</x:f>
        <x:v>0</x:v>
      </x:c>
      <x:c r="P1394" s="2" t="str">
        <x:f>IF(AND(E1394&gt;='Итоги'!$F$5,N1394&lt;='Итоги'!$B$5,O1394&gt;='Итоги'!$D$5),"Да","Нет")</x:f>
        <x:v>Нет</x:v>
      </x:c>
    </x:row>
    <x:row r="1395" ht="60" customHeight="1">
      <x:c r="A1395" s="14" t="str">
        <x:v>Обувь</x:v>
      </x:c>
      <x:c r="B1395" s="14" t="str">
        <x:v>Обувь женская</x:v>
      </x:c>
      <x:c r="C1395" s="14" t="str">
        <x:v>Обувь женская повседневная</x:v>
      </x:c>
      <x:c r="D1395" s="14" t="str">
        <x:v>Женские Лоферы</x:v>
      </x:c>
      <x:c r="E1395" s="2" t="n">
        <x:v>474</x:v>
      </x:c>
      <x:c r="F1395" s="2" t="n">
        <x:v>0</x:v>
      </x:c>
      <x:c r="G1395" s="12" t="n">
        <x:v>31775372.9777</x:v>
      </x:c>
      <x:c r="H1395" s="12" t="n">
        <x:v>748593.493994</x:v>
      </x:c>
      <x:c r="I1395" s="13" t="n">
        <x:v>0.0161831223628691</x:v>
      </x:c>
      <x:c r="J1395" s="2" t="n">
        <x:v>331</x:v>
      </x:c>
      <x:c r="K1395" s="2" t="n">
        <x:v>32</x:v>
      </x:c>
      <x:c r="L1395" s="12" t="n">
        <x:v>3032.05865</x:v>
      </x:c>
      <x:c r="M1395" s="13" t="n">
        <x:v>0.566654183223479</x:v>
      </x:c>
      <x:c r="N1395" s="13" t="n">
        <x:f>H1395/G1395</x:f>
        <x:v>0.02355892075663011</x:v>
      </x:c>
      <x:c r="O1395" s="13" t="n">
        <x:f>F1395/E1395</x:f>
        <x:v>0</x:v>
      </x:c>
      <x:c r="P1395" s="2" t="str">
        <x:f>IF(AND(E1395&gt;='Итоги'!$F$5,N1395&lt;='Итоги'!$B$5,O1395&gt;='Итоги'!$D$5),"Да","Нет")</x:f>
        <x:v>Нет</x:v>
      </x:c>
    </x:row>
    <x:row r="1396" ht="60" customHeight="1">
      <x:c r="A1396" s="14" t="str">
        <x:v>Товары для красоты и здоровья</x:v>
      </x:c>
      <x:c r="B1396" s="14" t="str">
        <x:v>Косметические средства для детей и беременных</x:v>
      </x:c>
      <x:c r="C1396" s="14" t="str">
        <x:v>Детская гигиена Health&amp;Beauty</x:v>
      </x:c>
      <x:c r="D1396" s="14" t="str">
        <x:v>Мыло детское твердое</x:v>
      </x:c>
      <x:c r="E1396" s="2" t="n">
        <x:v>8</x:v>
      </x:c>
      <x:c r="F1396" s="2" t="n">
        <x:v>0</x:v>
      </x:c>
      <x:c r="G1396" s="12" t="n">
        <x:v>1232710.0219</x:v>
      </x:c>
      <x:c r="H1396" s="12" t="n">
        <x:v>29121.17921292</x:v>
      </x:c>
      <x:c r="I1396" s="13" t="n">
        <x:v>0.0270875</x:v>
      </x:c>
      <x:c r="J1396" s="2" t="n">
        <x:v>3</x:v>
      </x:c>
      <x:c r="K1396" s="2" t="n">
        <x:v>2</x:v>
      </x:c>
      <x:c r="L1396" s="12" t="n">
        <x:v>928.47345</x:v>
      </x:c>
      <x:c r="M1396" s="13" t="n">
        <x:v>0.7230606350763538</x:v>
      </x:c>
      <x:c r="N1396" s="13" t="n">
        <x:f>H1396/G1396</x:f>
        <x:v>0.023623706058651942</x:v>
      </x:c>
      <x:c r="O1396" s="13" t="n">
        <x:f>F1396/E1396</x:f>
        <x:v>0</x:v>
      </x:c>
      <x:c r="P1396" s="2" t="str">
        <x:f>IF(AND(E1396&gt;='Итоги'!$F$5,N1396&lt;='Итоги'!$B$5,O1396&gt;='Итоги'!$D$5),"Да","Нет")</x:f>
        <x:v>Нет</x:v>
      </x:c>
    </x:row>
    <x:row r="1397" ht="60" customHeight="1">
      <x:c r="A1397" s="14" t="str">
        <x:v>Спорт и отдых</x:v>
      </x:c>
      <x:c r="B1397" s="14" t="str">
        <x:v>Товары для рыбалки</x:v>
      </x:c>
      <x:c r="C1397" s="14" t="str">
        <x:v>Лодки</x:v>
      </x:c>
      <x:c r="D1397" s="14" t="str">
        <x:v>Насос для лодок</x:v>
      </x:c>
      <x:c r="E1397" s="2" t="n">
        <x:v>64</x:v>
      </x:c>
      <x:c r="F1397" s="2" t="n">
        <x:v>0</x:v>
      </x:c>
      <x:c r="G1397" s="12" t="n">
        <x:v>14742653.8766</x:v>
      </x:c>
      <x:c r="H1397" s="12" t="n">
        <x:v>348334.47355678</x:v>
      </x:c>
      <x:c r="I1397" s="13" t="n">
        <x:v>0.0265453125</x:v>
      </x:c>
      <x:c r="J1397" s="2" t="n">
        <x:v>37</x:v>
      </x:c>
      <x:c r="K1397" s="2" t="n">
        <x:v>23</x:v>
      </x:c>
      <x:c r="L1397" s="12" t="n">
        <x:v>4113.14585</x:v>
      </x:c>
      <x:c r="M1397" s="13" t="n">
        <x:v>0.3478620009956261</x:v>
      </x:c>
      <x:c r="N1397" s="13" t="n">
        <x:f>H1397/G1397</x:f>
        <x:v>0.023627664087648926</x:v>
      </x:c>
      <x:c r="O1397" s="13" t="n">
        <x:f>F1397/E1397</x:f>
        <x:v>0</x:v>
      </x:c>
      <x:c r="P1397" s="2" t="str">
        <x:f>IF(AND(E1397&gt;='Итоги'!$F$5,N1397&lt;='Итоги'!$B$5,O1397&gt;='Итоги'!$D$5),"Да","Нет")</x:f>
        <x:v>Нет</x:v>
      </x:c>
    </x:row>
    <x:row r="1398" ht="60" customHeight="1">
      <x:c r="A1398" s="14" t="str">
        <x:v>Детская одежда</x:v>
      </x:c>
      <x:c r="B1398" s="14" t="str">
        <x:v>Детская одежда</x:v>
      </x:c>
      <x:c r="C1398" s="14" t="str">
        <x:v>Верхняя одежда для девочки</x:v>
      </x:c>
      <x:c r="D1398" s="14" t="str">
        <x:v>Комплект зимней верхней одежды для девочки</x:v>
      </x:c>
      <x:c r="E1398" s="2" t="n">
        <x:v>37</x:v>
      </x:c>
      <x:c r="F1398" s="2" t="n">
        <x:v>0</x:v>
      </x:c>
      <x:c r="G1398" s="12" t="n">
        <x:v>1321991.2452</x:v>
      </x:c>
      <x:c r="H1398" s="12" t="n">
        <x:v>31249.359456</x:v>
      </x:c>
      <x:c r="I1398" s="13" t="n">
        <x:v>0.011154054054054</x:v>
      </x:c>
      <x:c r="J1398" s="2" t="n">
        <x:v>29</x:v>
      </x:c>
      <x:c r="K1398" s="2" t="n">
        <x:v>12</x:v>
      </x:c>
      <x:c r="L1398" s="12" t="n">
        <x:v>4831</x:v>
      </x:c>
      <x:c r="M1398" s="13" t="n">
        <x:v>0.2763968757937732</x:v>
      </x:c>
      <x:c r="N1398" s="13" t="n">
        <x:f>H1398/G1398</x:f>
        <x:v>0.02363809864056428</x:v>
      </x:c>
      <x:c r="O1398" s="13" t="n">
        <x:f>F1398/E1398</x:f>
        <x:v>0</x:v>
      </x:c>
      <x:c r="P1398" s="2" t="str">
        <x:f>IF(AND(E1398&gt;='Итоги'!$F$5,N1398&lt;='Итоги'!$B$5,O1398&gt;='Итоги'!$D$5),"Да","Нет")</x:f>
        <x:v>Нет</x:v>
      </x:c>
    </x:row>
    <x:row r="1399" ht="60" customHeight="1">
      <x:c r="A1399" s="14" t="str">
        <x:v>Детская одежда</x:v>
      </x:c>
      <x:c r="B1399" s="14" t="str">
        <x:v>Детская обувь</x:v>
      </x:c>
      <x:c r="C1399" s="14" t="str">
        <x:v>Обувь спортивная для девочки</x:v>
      </x:c>
      <x:c r="D1399" s="14" t="str">
        <x:v>Сандалии спортивные для девочки</x:v>
      </x:c>
      <x:c r="E1399" s="2" t="n">
        <x:v>30</x:v>
      </x:c>
      <x:c r="F1399" s="2" t="n">
        <x:v>0</x:v>
      </x:c>
      <x:c r="G1399" s="12" t="n">
        <x:v>1011347.6973</x:v>
      </x:c>
      <x:c r="H1399" s="12" t="n">
        <x:v>24051.976975</x:v>
      </x:c>
      <x:c r="I1399" s="13" t="n">
        <x:v>0.0087099999999999</x:v>
      </x:c>
      <x:c r="J1399" s="2" t="n">
        <x:v>23</x:v>
      </x:c>
      <x:c r="K1399" s="2" t="n">
        <x:v>3</x:v>
      </x:c>
      <x:c r="L1399" s="12" t="n">
        <x:v>1360.31975</x:v>
      </x:c>
      <x:c r="M1399" s="13" t="n">
        <x:v>0.9930234181391456</x:v>
      </x:c>
      <x:c r="N1399" s="13" t="n">
        <x:f>H1399/G1399</x:f>
        <x:v>0.02378210484802772</x:v>
      </x:c>
      <x:c r="O1399" s="13" t="n">
        <x:f>F1399/E1399</x:f>
        <x:v>0</x:v>
      </x:c>
      <x:c r="P1399" s="2" t="str">
        <x:f>IF(AND(E1399&gt;='Итоги'!$F$5,N1399&lt;='Итоги'!$B$5,O1399&gt;='Итоги'!$D$5),"Да","Нет")</x:f>
        <x:v>Нет</x:v>
      </x:c>
    </x:row>
    <x:row r="1400" ht="60" customHeight="1">
      <x:c r="A1400" s="14" t="str">
        <x:v>Ноутбуки и компьютеры</x:v>
      </x:c>
      <x:c r="B1400" s="14" t="str">
        <x:v>Ноутбуки и стационарные компьютеры Lap&amp;Comp</x:v>
      </x:c>
      <x:c r="C1400" s="14" t="str">
        <x:v>Стационарные компьютеры Lap&amp;Comp</x:v>
      </x:c>
      <x:c r="D1400" s="14" t="str">
        <x:v>Моноблок</x:v>
      </x:c>
      <x:c r="E1400" s="2" t="n">
        <x:v>30</x:v>
      </x:c>
      <x:c r="F1400" s="2" t="n">
        <x:v>0</x:v>
      </x:c>
      <x:c r="G1400" s="12" t="n">
        <x:v>7286403.86</x:v>
      </x:c>
      <x:c r="H1400" s="12" t="n">
        <x:v>173352.002067</x:v>
      </x:c>
      <x:c r="I1400" s="13" t="n">
        <x:v>0.0238999999999999</x:v>
      </x:c>
      <x:c r="J1400" s="2" t="n">
        <x:v>17</x:v>
      </x:c>
      <x:c r="K1400" s="2" t="n">
        <x:v>10</x:v>
      </x:c>
      <x:c r="L1400" s="12" t="n">
        <x:v>43934.7222</x:v>
      </x:c>
      <x:c r="M1400" s="13" t="n">
        <x:v>0.6603967584635091</x:v>
      </x:c>
      <x:c r="N1400" s="13" t="n">
        <x:f>H1400/G1400</x:f>
        <x:v>0.023791160275735797</x:v>
      </x:c>
      <x:c r="O1400" s="13" t="n">
        <x:f>F1400/E1400</x:f>
        <x:v>0</x:v>
      </x:c>
      <x:c r="P1400" s="2" t="str">
        <x:f>IF(AND(E1400&gt;='Итоги'!$F$5,N1400&lt;='Итоги'!$B$5,O1400&gt;='Итоги'!$D$5),"Да","Нет")</x:f>
        <x:v>Нет</x:v>
      </x:c>
    </x:row>
    <x:row r="1401" ht="60" customHeight="1">
      <x:c r="A1401" s="14" t="str">
        <x:v>Одежда</x:v>
      </x:c>
      <x:c r="B1401" s="14" t="str">
        <x:v>Верхняя одежда</x:v>
      </x:c>
      <x:c r="C1401" s="14" t="str">
        <x:v>Верхняя одежда мужская</x:v>
      </x:c>
      <x:c r="D1401" s="14" t="str">
        <x:v>Ветровка мужская</x:v>
      </x:c>
      <x:c r="E1401" s="2" t="n">
        <x:v>90</x:v>
      </x:c>
      <x:c r="F1401" s="2" t="n">
        <x:v>0</x:v>
      </x:c>
      <x:c r="G1401" s="12" t="n">
        <x:v>7533847.8525</x:v>
      </x:c>
      <x:c r="H1401" s="12" t="n">
        <x:v>179283.53908086</x:v>
      </x:c>
      <x:c r="I1401" s="13" t="n">
        <x:v>0.0257266666666666</x:v>
      </x:c>
      <x:c r="J1401" s="2" t="n">
        <x:v>63</x:v>
      </x:c>
      <x:c r="K1401" s="2" t="n">
        <x:v>12</x:v>
      </x:c>
      <x:c r="L1401" s="12" t="n">
        <x:v>2325.8946</x:v>
      </x:c>
      <x:c r="M1401" s="13" t="n">
        <x:v>0.3560244429823385</x:v>
      </x:c>
      <x:c r="N1401" s="13" t="n">
        <x:f>H1401/G1401</x:f>
        <x:v>0.023797074561489495</x:v>
      </x:c>
      <x:c r="O1401" s="13" t="n">
        <x:f>F1401/E1401</x:f>
        <x:v>0</x:v>
      </x:c>
      <x:c r="P1401" s="2" t="str">
        <x:f>IF(AND(E1401&gt;='Итоги'!$F$5,N1401&lt;='Итоги'!$B$5,O1401&gt;='Итоги'!$D$5),"Да","Нет")</x:f>
        <x:v>Нет</x:v>
      </x:c>
    </x:row>
    <x:row r="1402" ht="60" customHeight="1">
      <x:c r="A1402" s="14" t="str">
        <x:v>Спорт и отдых</x:v>
      </x:c>
      <x:c r="B1402" s="14" t="str">
        <x:v>Тренажеры и фитнес</x:v>
      </x:c>
      <x:c r="C1402" s="14" t="str">
        <x:v>Измерительные приборы для спорта</x:v>
      </x:c>
      <x:c r="D1402" s="14" t="str">
        <x:v>Спортивный датчик</x:v>
      </x:c>
      <x:c r="E1402" s="2" t="n">
        <x:v>38</x:v>
      </x:c>
      <x:c r="F1402" s="2" t="n">
        <x:v>0</x:v>
      </x:c>
      <x:c r="G1402" s="12" t="n">
        <x:v>7874513.483</x:v>
      </x:c>
      <x:c r="H1402" s="12" t="n">
        <x:v>187458.77358886</x:v>
      </x:c>
      <x:c r="I1402" s="13" t="n">
        <x:v>0.0263</x:v>
      </x:c>
      <x:c r="J1402" s="2" t="n">
        <x:v>20</x:v>
      </x:c>
      <x:c r="K1402" s="2" t="n">
        <x:v>6</x:v>
      </x:c>
      <x:c r="L1402" s="12" t="n">
        <x:v>7487.86785</x:v>
      </x:c>
      <x:c r="M1402" s="13" t="n">
        <x:v>0.71727467473307</x:v>
      </x:c>
      <x:c r="N1402" s="13" t="n">
        <x:f>H1402/G1402</x:f>
        <x:v>0.023805759428002494</x:v>
      </x:c>
      <x:c r="O1402" s="13" t="n">
        <x:f>F1402/E1402</x:f>
        <x:v>0</x:v>
      </x:c>
      <x:c r="P1402" s="2" t="str">
        <x:f>IF(AND(E1402&gt;='Итоги'!$F$5,N1402&lt;='Итоги'!$B$5,O1402&gt;='Итоги'!$D$5),"Да","Нет")</x:f>
        <x:v>Нет</x:v>
      </x:c>
    </x:row>
    <x:row r="1403" ht="60" customHeight="1">
      <x:c r="A1403" s="14" t="str">
        <x:v>Мебель</x:v>
      </x:c>
      <x:c r="B1403" s="14" t="str">
        <x:v>Мебель для сада</x:v>
      </x:c>
      <x:c r="C1403" s="14" t="str">
        <x:v>Садовые качели</x:v>
      </x:c>
      <x:c r="D1403" s="14" t="str">
        <x:v>Садовые качели</x:v>
      </x:c>
      <x:c r="E1403" s="2" t="n">
        <x:v>100</x:v>
      </x:c>
      <x:c r="F1403" s="2" t="n">
        <x:v>0</x:v>
      </x:c>
      <x:c r="G1403" s="12" t="n">
        <x:v>23015903.1707</x:v>
      </x:c>
      <x:c r="H1403" s="12" t="n">
        <x:v>548623.07329625</x:v>
      </x:c>
      <x:c r="I1403" s="13" t="n">
        <x:v>0.025977</x:v>
      </x:c>
      <x:c r="J1403" s="2" t="n">
        <x:v>31</x:v>
      </x:c>
      <x:c r="K1403" s="2" t="n">
        <x:v>19</x:v>
      </x:c>
      <x:c r="L1403" s="12" t="n">
        <x:v>11733.90675</x:v>
      </x:c>
      <x:c r="M1403" s="13" t="n">
        <x:v>0.5212458606696132</x:v>
      </x:c>
      <x:c r="N1403" s="13" t="n">
        <x:f>H1403/G1403</x:f>
        <x:v>0.023836695402623398</x:v>
      </x:c>
      <x:c r="O1403" s="13" t="n">
        <x:f>F1403/E1403</x:f>
        <x:v>0</x:v>
      </x:c>
      <x:c r="P1403" s="2" t="str">
        <x:f>IF(AND(E1403&gt;='Итоги'!$F$5,N1403&lt;='Итоги'!$B$5,O1403&gt;='Итоги'!$D$5),"Да","Нет")</x:f>
        <x:v>Нет</x:v>
      </x:c>
    </x:row>
    <x:row r="1404" ht="60" customHeight="1">
      <x:c r="A1404" s="14" t="str">
        <x:v>Автотовары</x:v>
      </x:c>
      <x:c r="B1404" s="14" t="str">
        <x:v>Универсальные авто и мото аксессуары</x:v>
      </x:c>
      <x:c r="C1404" s="14" t="str">
        <x:v>Товары для чистоты автомобиля</x:v>
      </x:c>
      <x:c r="D1404" s="14" t="str">
        <x:v>Контейнер для мусора в авто</x:v>
      </x:c>
      <x:c r="E1404" s="2" t="n">
        <x:v>3</x:v>
      </x:c>
      <x:c r="F1404" s="2" t="n">
        <x:v>0</x:v>
      </x:c>
      <x:c r="G1404" s="12" t="n">
        <x:v>669684.5395</x:v>
      </x:c>
      <x:c r="H1404" s="12" t="n">
        <x:v>15983.075284559998</x:v>
      </x:c>
      <x:c r="I1404" s="13" t="n">
        <x:v>0.0226999999999999</x:v>
      </x:c>
      <x:c r="J1404" s="2" t="n">
        <x:v>2</x:v>
      </x:c>
      <x:c r="K1404" s="2" t="n">
        <x:v>2</x:v>
      </x:c>
      <x:c r="L1404" s="12" t="n">
        <x:v>1877.6006</x:v>
      </x:c>
      <x:c r="M1404" s="13" t="n">
        <x:v>0.6495363656218914</x:v>
      </x:c>
      <x:c r="N1404" s="13" t="n">
        <x:f>H1404/G1404</x:f>
        <x:v>0.02386657350114919</x:v>
      </x:c>
      <x:c r="O1404" s="13" t="n">
        <x:f>F1404/E1404</x:f>
        <x:v>0</x:v>
      </x:c>
      <x:c r="P1404" s="2" t="str">
        <x:f>IF(AND(E1404&gt;='Итоги'!$F$5,N1404&lt;='Итоги'!$B$5,O1404&gt;='Итоги'!$D$5),"Да","Нет")</x:f>
        <x:v>Нет</x:v>
      </x:c>
    </x:row>
    <x:row r="1405" ht="60" customHeight="1">
      <x:c r="A1405" s="14" t="str">
        <x:v>Товары для дома</x:v>
      </x:c>
      <x:c r="B1405" s="14" t="str">
        <x:v>Ванная комната</x:v>
      </x:c>
      <x:c r="C1405" s="14" t="str">
        <x:v>Аксессуары для ванной</x:v>
      </x:c>
      <x:c r="D1405" s="14" t="str">
        <x:v>Решетка на ванну</x:v>
      </x:c>
      <x:c r="E1405" s="2" t="n">
        <x:v>2</x:v>
      </x:c>
      <x:c r="F1405" s="2" t="n">
        <x:v>0</x:v>
      </x:c>
      <x:c r="G1405" s="12" t="n">
        <x:v>315862.5899</x:v>
      </x:c>
      <x:c r="H1405" s="12" t="n">
        <x:v>7560.203921549999</x:v>
      </x:c>
      <x:c r="I1405" s="13" t="n">
        <x:v>0.01935</x:v>
      </x:c>
      <x:c r="J1405" s="2" t="n">
        <x:v>1</x:v>
      </x:c>
      <x:c r="K1405" s="2" t="n">
        <x:v>2</x:v>
      </x:c>
      <x:c r="L1405" s="12" t="n">
        <x:v>1806.28425</x:v>
      </x:c>
      <x:c r="M1405" s="13" t="n">
        <x:v>0.6184781381101441</x:v>
      </x:c>
      <x:c r="N1405" s="13" t="n">
        <x:f>H1405/G1405</x:f>
        <x:v>0.02393510394486257</x:v>
      </x:c>
      <x:c r="O1405" s="13" t="n">
        <x:f>F1405/E1405</x:f>
        <x:v>0</x:v>
      </x:c>
      <x:c r="P1405" s="2" t="str">
        <x:f>IF(AND(E1405&gt;='Итоги'!$F$5,N1405&lt;='Итоги'!$B$5,O1405&gt;='Итоги'!$D$5),"Да","Нет")</x:f>
        <x:v>Нет</x:v>
      </x:c>
    </x:row>
    <x:row r="1406" ht="60" customHeight="1">
      <x:c r="A1406" s="14" t="str">
        <x:v>Одежда</x:v>
      </x:c>
      <x:c r="B1406" s="14" t="str">
        <x:v>Основная одежда женская</x:v>
      </x:c>
      <x:c r="C1406" s="14" t="str">
        <x:v>Пляжная одежда женская</x:v>
      </x:c>
      <x:c r="D1406" s="14" t="str">
        <x:v>Купальник для беременных</x:v>
      </x:c>
      <x:c r="E1406" s="2" t="n">
        <x:v>432</x:v>
      </x:c>
      <x:c r="F1406" s="2" t="n">
        <x:v>0</x:v>
      </x:c>
      <x:c r="G1406" s="12" t="n">
        <x:v>65061182.4048</x:v>
      </x:c>
      <x:c r="H1406" s="12" t="n">
        <x:v>1557391.9373937</x:v>
      </x:c>
      <x:c r="I1406" s="13" t="n">
        <x:v>0.0231983796296296</x:v>
      </x:c>
      <x:c r="J1406" s="2" t="n">
        <x:v>273</x:v>
      </x:c>
      <x:c r="K1406" s="2" t="n">
        <x:v>32</x:v>
      </x:c>
      <x:c r="L1406" s="12" t="n">
        <x:v>1848.0206</x:v>
      </x:c>
      <x:c r="M1406" s="13" t="n">
        <x:v>0.575256103564739</x:v>
      </x:c>
      <x:c r="N1406" s="13" t="n">
        <x:f>H1406/G1406</x:f>
        <x:v>0.023937344509109334</x:v>
      </x:c>
      <x:c r="O1406" s="13" t="n">
        <x:f>F1406/E1406</x:f>
        <x:v>0</x:v>
      </x:c>
      <x:c r="P1406" s="2" t="str">
        <x:f>IF(AND(E1406&gt;='Итоги'!$F$5,N1406&lt;='Итоги'!$B$5,O1406&gt;='Итоги'!$D$5),"Да","Нет")</x:f>
        <x:v>Нет</x:v>
      </x:c>
    </x:row>
    <x:row r="1407" ht="60" customHeight="1">
      <x:c r="A1407" s="14" t="str">
        <x:v>Аксессуары</x:v>
      </x:c>
      <x:c r="B1407" s="14" t="str">
        <x:v>Сумки и рюкзаки</x:v>
      </x:c>
      <x:c r="C1407" s="14" t="str">
        <x:v>Сумка женская</x:v>
      </x:c>
      <x:c r="D1407" s="14" t="str">
        <x:v>Женская Сумка с ручками</x:v>
      </x:c>
      <x:c r="E1407" s="2" t="n">
        <x:v>454</x:v>
      </x:c>
      <x:c r="F1407" s="2" t="n">
        <x:v>0</x:v>
      </x:c>
      <x:c r="G1407" s="12" t="n">
        <x:v>52806463.4935</x:v>
      </x:c>
      <x:c r="H1407" s="12" t="n">
        <x:v>1266863.55625845</x:v>
      </x:c>
      <x:c r="I1407" s="13" t="n">
        <x:v>0.0229273127753304</x:v>
      </x:c>
      <x:c r="J1407" s="2" t="n">
        <x:v>354</x:v>
      </x:c>
      <x:c r="K1407" s="2" t="n">
        <x:v>50</x:v>
      </x:c>
      <x:c r="L1407" s="12" t="n">
        <x:v>10741.54545</x:v>
      </x:c>
      <x:c r="M1407" s="13" t="n">
        <x:v>0.6351265554609299</x:v>
      </x:c>
      <x:c r="N1407" s="13" t="n">
        <x:f>H1407/G1407</x:f>
        <x:v>0.023990691147389363</x:v>
      </x:c>
      <x:c r="O1407" s="13" t="n">
        <x:f>F1407/E1407</x:f>
        <x:v>0</x:v>
      </x:c>
      <x:c r="P1407" s="2" t="str">
        <x:f>IF(AND(E1407&gt;='Итоги'!$F$5,N1407&lt;='Итоги'!$B$5,O1407&gt;='Итоги'!$D$5),"Да","Нет")</x:f>
        <x:v>Нет</x:v>
      </x:c>
    </x:row>
    <x:row r="1408" ht="60" customHeight="1">
      <x:c r="A1408" s="14" t="str">
        <x:v>Одежда</x:v>
      </x:c>
      <x:c r="B1408" s="14" t="str">
        <x:v>Основная одежда мужская</x:v>
      </x:c>
      <x:c r="C1408" s="14" t="str">
        <x:v>Основная одежда мужская верха</x:v>
      </x:c>
      <x:c r="D1408" s="14" t="str">
        <x:v>Джемпер мужской</x:v>
      </x:c>
      <x:c r="E1408" s="2" t="n">
        <x:v>37</x:v>
      </x:c>
      <x:c r="F1408" s="2" t="n">
        <x:v>0</x:v>
      </x:c>
      <x:c r="G1408" s="12" t="n">
        <x:v>2086579.03</x:v>
      </x:c>
      <x:c r="H1408" s="12" t="n">
        <x:v>50092.247788</x:v>
      </x:c>
      <x:c r="I1408" s="13" t="n">
        <x:v>0.0104081081081081</x:v>
      </x:c>
      <x:c r="J1408" s="2" t="n">
        <x:v>31</x:v>
      </x:c>
      <x:c r="K1408" s="2" t="n">
        <x:v>5</x:v>
      </x:c>
      <x:c r="L1408" s="12" t="n">
        <x:v>2495.425</x:v>
      </x:c>
      <x:c r="M1408" s="13" t="n">
        <x:v>0.4101076631638534</x:v>
      </x:c>
      <x:c r="N1408" s="13" t="n">
        <x:f>H1408/G1408</x:f>
        <x:v>0.024006877797482704</x:v>
      </x:c>
      <x:c r="O1408" s="13" t="n">
        <x:f>F1408/E1408</x:f>
        <x:v>0</x:v>
      </x:c>
      <x:c r="P1408" s="2" t="str">
        <x:f>IF(AND(E1408&gt;='Итоги'!$F$5,N1408&lt;='Итоги'!$B$5,O1408&gt;='Итоги'!$D$5),"Да","Нет")</x:f>
        <x:v>Нет</x:v>
      </x:c>
    </x:row>
    <x:row r="1409" ht="60" customHeight="1">
      <x:c r="A1409" s="14" t="str">
        <x:v>Мелкая бытовая техника</x:v>
      </x:c>
      <x:c r="B1409" s="14" t="str">
        <x:v>Мелкая бытовая техника SDA</x:v>
      </x:c>
      <x:c r="C1409" s="14" t="str">
        <x:v>Электронная техника для дома SDA</x:v>
      </x:c>
      <x:c r="D1409" s="14" t="str">
        <x:v>Стеклоочиститель электрический</x:v>
      </x:c>
      <x:c r="E1409" s="2" t="n">
        <x:v>13</x:v>
      </x:c>
      <x:c r="F1409" s="2" t="n">
        <x:v>0</x:v>
      </x:c>
      <x:c r="G1409" s="12" t="n">
        <x:v>2472845.6778</x:v>
      </x:c>
      <x:c r="H1409" s="12" t="n">
        <x:v>59408.95034368</x:v>
      </x:c>
      <x:c r="I1409" s="13" t="n">
        <x:v>0.0252615384615384</x:v>
      </x:c>
      <x:c r="J1409" s="2" t="n">
        <x:v>5</x:v>
      </x:c>
      <x:c r="K1409" s="2" t="n">
        <x:v>2</x:v>
      </x:c>
      <x:c r="L1409" s="12" t="n">
        <x:v>8504</x:v>
      </x:c>
      <x:c r="M1409" s="13" t="n">
        <x:v>0.8388499437803453</x:v>
      </x:c>
      <x:c r="N1409" s="13" t="n">
        <x:f>H1409/G1409</x:f>
        <x:v>0.02402452804759493</x:v>
      </x:c>
      <x:c r="O1409" s="13" t="n">
        <x:f>F1409/E1409</x:f>
        <x:v>0</x:v>
      </x:c>
      <x:c r="P1409" s="2" t="str">
        <x:f>IF(AND(E1409&gt;='Итоги'!$F$5,N1409&lt;='Итоги'!$B$5,O1409&gt;='Итоги'!$D$5),"Да","Нет")</x:f>
        <x:v>Нет</x:v>
      </x:c>
    </x:row>
    <x:row r="1410" ht="60" customHeight="1">
      <x:c r="A1410" s="14" t="str">
        <x:v>Спорт и отдых</x:v>
      </x:c>
      <x:c r="B1410" s="14" t="str">
        <x:v>Активный отдых</x:v>
      </x:c>
      <x:c r="C1410" s="14" t="str">
        <x:v>Бассейны</x:v>
      </x:c>
      <x:c r="D1410" s="14" t="str">
        <x:v>Оборудование для бассейна</x:v>
      </x:c>
      <x:c r="E1410" s="2" t="n">
        <x:v>68</x:v>
      </x:c>
      <x:c r="F1410" s="2" t="n">
        <x:v>0</x:v>
      </x:c>
      <x:c r="G1410" s="12" t="n">
        <x:v>10649963.6981</x:v>
      </x:c>
      <x:c r="H1410" s="12" t="n">
        <x:v>255886.43615498</x:v>
      </x:c>
      <x:c r="I1410" s="13" t="n">
        <x:v>0.0195588235294117</x:v>
      </x:c>
      <x:c r="J1410" s="2" t="n">
        <x:v>37</x:v>
      </x:c>
      <x:c r="K1410" s="2" t="n">
        <x:v>20</x:v>
      </x:c>
      <x:c r="L1410" s="12" t="n">
        <x:v>12371.13235</x:v>
      </x:c>
      <x:c r="M1410" s="13" t="n">
        <x:v>0.3592047528652599</x:v>
      </x:c>
      <x:c r="N1410" s="13" t="n">
        <x:f>H1410/G1410</x:f>
        <x:v>0.02402697731266739</x:v>
      </x:c>
      <x:c r="O1410" s="13" t="n">
        <x:f>F1410/E1410</x:f>
        <x:v>0</x:v>
      </x:c>
      <x:c r="P1410" s="2" t="str">
        <x:f>IF(AND(E1410&gt;='Итоги'!$F$5,N1410&lt;='Итоги'!$B$5,O1410&gt;='Итоги'!$D$5),"Да","Нет")</x:f>
        <x:v>Нет</x:v>
      </x:c>
    </x:row>
    <x:row r="1411" ht="60" customHeight="1">
      <x:c r="A1411" s="14" t="str">
        <x:v>Напитки</x:v>
      </x:c>
      <x:c r="B1411" s="14" t="str">
        <x:v>Напитки горячие</x:v>
      </x:c>
      <x:c r="C1411" s="14" t="str">
        <x:v>Кофе</x:v>
      </x:c>
      <x:c r="D1411" s="14" t="str">
        <x:v>Кофе растворимый</x:v>
      </x:c>
      <x:c r="E1411" s="2" t="n">
        <x:v>75</x:v>
      </x:c>
      <x:c r="F1411" s="2" t="n">
        <x:v>0</x:v>
      </x:c>
      <x:c r="G1411" s="12" t="n">
        <x:v>12476863.7184</x:v>
      </x:c>
      <x:c r="H1411" s="12" t="n">
        <x:v>300844.09772214</x:v>
      </x:c>
      <x:c r="I1411" s="13" t="n">
        <x:v>0.0287586666666666</x:v>
      </x:c>
      <x:c r="J1411" s="2" t="n">
        <x:v>43</x:v>
      </x:c>
      <x:c r="K1411" s="2" t="n">
        <x:v>36</x:v>
      </x:c>
      <x:c r="L1411" s="12" t="n">
        <x:v>1237.6441</x:v>
      </x:c>
      <x:c r="M1411" s="13" t="n">
        <x:v>0.2868485251483502</x:v>
      </x:c>
      <x:c r="N1411" s="13" t="n">
        <x:f>H1411/G1411</x:f>
        <x:v>0.02411215707024806</x:v>
      </x:c>
      <x:c r="O1411" s="13" t="n">
        <x:f>F1411/E1411</x:f>
        <x:v>0</x:v>
      </x:c>
      <x:c r="P1411" s="2" t="str">
        <x:f>IF(AND(E1411&gt;='Итоги'!$F$5,N1411&lt;='Итоги'!$B$5,O1411&gt;='Итоги'!$D$5),"Да","Нет")</x:f>
        <x:v>Нет</x:v>
      </x:c>
    </x:row>
    <x:row r="1412" ht="60" customHeight="1">
      <x:c r="A1412" s="14" t="str">
        <x:v>Мебель</x:v>
      </x:c>
      <x:c r="B1412" s="14" t="str">
        <x:v>Мебель для сада</x:v>
      </x:c>
      <x:c r="C1412" s="14" t="str">
        <x:v>Садовые диван, кресло, стул</x:v>
      </x:c>
      <x:c r="D1412" s="14" t="str">
        <x:v>Шезлонг для сада</x:v>
      </x:c>
      <x:c r="E1412" s="2" t="n">
        <x:v>79</x:v>
      </x:c>
      <x:c r="F1412" s="2" t="n">
        <x:v>0</x:v>
      </x:c>
      <x:c r="G1412" s="12" t="n">
        <x:v>15460866.76</x:v>
      </x:c>
      <x:c r="H1412" s="12" t="n">
        <x:v>373103.44349592</x:v>
      </x:c>
      <x:c r="I1412" s="13" t="n">
        <x:v>0.022306329113924</x:v>
      </x:c>
      <x:c r="J1412" s="2" t="n">
        <x:v>47</x:v>
      </x:c>
      <x:c r="K1412" s="2" t="n">
        <x:v>21</x:v>
      </x:c>
      <x:c r="L1412" s="12" t="n">
        <x:v>4203.8333</x:v>
      </x:c>
      <x:c r="M1412" s="13" t="n">
        <x:v>0.404736725193795</x:v>
      </x:c>
      <x:c r="N1412" s="13" t="n">
        <x:f>H1412/G1412</x:f>
        <x:v>0.02413211686560838</x:v>
      </x:c>
      <x:c r="O1412" s="13" t="n">
        <x:f>F1412/E1412</x:f>
        <x:v>0</x:v>
      </x:c>
      <x:c r="P1412" s="2" t="str">
        <x:f>IF(AND(E1412&gt;='Итоги'!$F$5,N1412&lt;='Итоги'!$B$5,O1412&gt;='Итоги'!$D$5),"Да","Нет")</x:f>
        <x:v>Нет</x:v>
      </x:c>
    </x:row>
    <x:row r="1413" ht="60" customHeight="1">
      <x:c r="A1413" s="14" t="str">
        <x:v>Обувь</x:v>
      </x:c>
      <x:c r="B1413" s="14" t="str">
        <x:v>Обувь женская</x:v>
      </x:c>
      <x:c r="C1413" s="14" t="str">
        <x:v>Спортивная обувь женская</x:v>
      </x:c>
      <x:c r="D1413" s="14" t="str">
        <x:v>Спортивные сандалии женские</x:v>
      </x:c>
      <x:c r="E1413" s="2" t="n">
        <x:v>120</x:v>
      </x:c>
      <x:c r="F1413" s="2" t="n">
        <x:v>0</x:v>
      </x:c>
      <x:c r="G1413" s="12" t="n">
        <x:v>11271849.9006</x:v>
      </x:c>
      <x:c r="H1413" s="12" t="n">
        <x:v>272406.355061</x:v>
      </x:c>
      <x:c r="I1413" s="13" t="n">
        <x:v>0.0190624999999999</x:v>
      </x:c>
      <x:c r="J1413" s="2" t="n">
        <x:v>79</x:v>
      </x:c>
      <x:c r="K1413" s="2" t="n">
        <x:v>8</x:v>
      </x:c>
      <x:c r="L1413" s="12" t="n">
        <x:v>2771.94365</x:v>
      </x:c>
      <x:c r="M1413" s="13" t="n">
        <x:v>0.7754740740146581</x:v>
      </x:c>
      <x:c r="N1413" s="13" t="n">
        <x:f>H1413/G1413</x:f>
        <x:v>0.02416696083279993</x:v>
      </x:c>
      <x:c r="O1413" s="13" t="n">
        <x:f>F1413/E1413</x:f>
        <x:v>0</x:v>
      </x:c>
      <x:c r="P1413" s="2" t="str">
        <x:f>IF(AND(E1413&gt;='Итоги'!$F$5,N1413&lt;='Итоги'!$B$5,O1413&gt;='Итоги'!$D$5),"Да","Нет")</x:f>
        <x:v>Нет</x:v>
      </x:c>
    </x:row>
    <x:row r="1414" ht="60" customHeight="1">
      <x:c r="A1414" s="14" t="str">
        <x:v>Товары для животных</x:v>
      </x:c>
      <x:c r="B1414" s="14" t="str">
        <x:v>Гигиена и уход животных</x:v>
      </x:c>
      <x:c r="C1414" s="14" t="str">
        <x:v>Расческа, щетка для животных</x:v>
      </x:c>
      <x:c r="D1414" s="14" t="str">
        <x:v>Дешеддер</x:v>
      </x:c>
      <x:c r="E1414" s="2" t="n">
        <x:v>3</x:v>
      </x:c>
      <x:c r="F1414" s="2" t="n">
        <x:v>0</x:v>
      </x:c>
      <x:c r="G1414" s="12" t="n">
        <x:v>771767.6517</x:v>
      </x:c>
      <x:c r="H1414" s="12" t="n">
        <x:v>18670.21835893</x:v>
      </x:c>
      <x:c r="I1414" s="13" t="n">
        <x:v>0.0367333333333333</x:v>
      </x:c>
      <x:c r="J1414" s="2" t="n">
        <x:v>1</x:v>
      </x:c>
      <x:c r="K1414" s="2" t="n">
        <x:v>3</x:v>
      </x:c>
      <x:c r="L1414" s="12" t="n">
        <x:v>798.5181</x:v>
      </x:c>
      <x:c r="M1414" s="13" t="n">
        <x:v>0.5990688488712671</x:v>
      </x:c>
      <x:c r="N1414" s="13" t="n">
        <x:f>H1414/G1414</x:f>
        <x:v>0.024191501571495574</x:v>
      </x:c>
      <x:c r="O1414" s="13" t="n">
        <x:f>F1414/E1414</x:f>
        <x:v>0</x:v>
      </x:c>
      <x:c r="P1414" s="2" t="str">
        <x:f>IF(AND(E1414&gt;='Итоги'!$F$5,N1414&lt;='Итоги'!$B$5,O1414&gt;='Итоги'!$D$5),"Да","Нет")</x:f>
        <x:v>Нет</x:v>
      </x:c>
    </x:row>
    <x:row r="1415" ht="60" customHeight="1">
      <x:c r="A1415" s="14" t="str">
        <x:v>Спорт и отдых</x:v>
      </x:c>
      <x:c r="B1415" s="14" t="str">
        <x:v>Туризм</x:v>
      </x:c>
      <x:c r="C1415" s="14" t="str">
        <x:v>Скандинавская ходьба и треккинг</x:v>
      </x:c>
      <x:c r="D1415" s="14" t="str">
        <x:v>Палки для треккинга</x:v>
      </x:c>
      <x:c r="E1415" s="2" t="n">
        <x:v>7</x:v>
      </x:c>
      <x:c r="F1415" s="2" t="n">
        <x:v>0</x:v>
      </x:c>
      <x:c r="G1415" s="12" t="n">
        <x:v>724489.6832</x:v>
      </x:c>
      <x:c r="H1415" s="12" t="n">
        <x:v>17528.318700000003</x:v>
      </x:c>
      <x:c r="I1415" s="13" t="n">
        <x:v>0.0202714285714285</x:v>
      </x:c>
      <x:c r="J1415" s="2" t="n">
        <x:v>2</x:v>
      </x:c>
      <x:c r="K1415" s="2" t="n">
        <x:v>3</x:v>
      </x:c>
      <x:c r="L1415" s="12" t="n">
        <x:v>4729</x:v>
      </x:c>
      <x:c r="M1415" s="13" t="n">
        <x:v>0.7683652315671787</x:v>
      </x:c>
      <x:c r="N1415" s="13" t="n">
        <x:f>H1415/G1415</x:f>
        <x:v>0.02419402112474416</x:v>
      </x:c>
      <x:c r="O1415" s="13" t="n">
        <x:f>F1415/E1415</x:f>
        <x:v>0</x:v>
      </x:c>
      <x:c r="P1415" s="2" t="str">
        <x:f>IF(AND(E1415&gt;='Итоги'!$F$5,N1415&lt;='Итоги'!$B$5,O1415&gt;='Итоги'!$D$5),"Да","Нет")</x:f>
        <x:v>Нет</x:v>
      </x:c>
    </x:row>
    <x:row r="1416" ht="60" customHeight="1">
      <x:c r="A1416" s="14" t="str">
        <x:v>Товары для дома</x:v>
      </x:c>
      <x:c r="B1416" s="14" t="str">
        <x:v>Интерьер и декор</x:v>
      </x:c>
      <x:c r="C1416" s="14" t="str">
        <x:v>Украшение интерьера</x:v>
      </x:c>
      <x:c r="D1416" s="14" t="str">
        <x:v>Накладка на диван</x:v>
      </x:c>
      <x:c r="E1416" s="2" t="n">
        <x:v>4</x:v>
      </x:c>
      <x:c r="F1416" s="2" t="n">
        <x:v>0</x:v>
      </x:c>
      <x:c r="G1416" s="12" t="n">
        <x:v>486606.841</x:v>
      </x:c>
      <x:c r="H1416" s="12" t="n">
        <x:v>11773.35345082</x:v>
      </x:c>
      <x:c r="I1416" s="13" t="n">
        <x:v>0.029425</x:v>
      </x:c>
      <x:c r="J1416" s="2" t="n">
        <x:v>0</x:v>
      </x:c>
      <x:c r="K1416" s="2" t="n">
        <x:v>2</x:v>
      </x:c>
      <x:c r="L1416" s="12" t="n">
        <x:v>968.56915</x:v>
      </x:c>
      <x:c r="M1416" s="13" t="n">
        <x:v>0.8055576041521373</x:v>
      </x:c>
      <x:c r="N1416" s="13" t="n">
        <x:f>H1416/G1416</x:f>
        <x:v>0.024194796412284714</x:v>
      </x:c>
      <x:c r="O1416" s="13" t="n">
        <x:f>F1416/E1416</x:f>
        <x:v>0</x:v>
      </x:c>
      <x:c r="P1416" s="2" t="str">
        <x:f>IF(AND(E1416&gt;='Итоги'!$F$5,N1416&lt;='Итоги'!$B$5,O1416&gt;='Итоги'!$D$5),"Да","Нет")</x:f>
        <x:v>Нет</x:v>
      </x:c>
    </x:row>
    <x:row r="1417" ht="60" customHeight="1">
      <x:c r="A1417" s="14" t="str">
        <x:v>Строительство и ремонт (DIY)</x:v>
      </x:c>
      <x:c r="B1417" s="14" t="str">
        <x:v>Инструменты</x:v>
      </x:c>
      <x:c r="C1417" s="14" t="str">
        <x:v>Техника для строительства, ремонта</x:v>
      </x:c>
      <x:c r="D1417" s="14" t="str">
        <x:v>Пескоструйное оборудование для строительства, ремонта</x:v>
      </x:c>
      <x:c r="E1417" s="2" t="n">
        <x:v>8</x:v>
      </x:c>
      <x:c r="F1417" s="2" t="n">
        <x:v>0</x:v>
      </x:c>
      <x:c r="G1417" s="12" t="n">
        <x:v>2551962.7415</x:v>
      </x:c>
      <x:c r="H1417" s="12" t="n">
        <x:v>61851.755074</x:v>
      </x:c>
      <x:c r="I1417" s="13" t="n">
        <x:v>0.0205875</x:v>
      </x:c>
      <x:c r="J1417" s="2" t="n">
        <x:v>4</x:v>
      </x:c>
      <x:c r="K1417" s="2" t="n">
        <x:v>4</x:v>
      </x:c>
      <x:c r="L1417" s="12" t="n">
        <x:v>25490.57145</x:v>
      </x:c>
      <x:c r="M1417" s="13" t="n">
        <x:v>0.8309809526268901</x:v>
      </x:c>
      <x:c r="N1417" s="13" t="n">
        <x:f>H1417/G1417</x:f>
        <x:v>0.024236934994452387</x:v>
      </x:c>
      <x:c r="O1417" s="13" t="n">
        <x:f>F1417/E1417</x:f>
        <x:v>0</x:v>
      </x:c>
      <x:c r="P1417" s="2" t="str">
        <x:f>IF(AND(E1417&gt;='Итоги'!$F$5,N1417&lt;='Итоги'!$B$5,O1417&gt;='Итоги'!$D$5),"Да","Нет")</x:f>
        <x:v>Нет</x:v>
      </x:c>
    </x:row>
    <x:row r="1418" ht="60" customHeight="1">
      <x:c r="A1418" s="14" t="str">
        <x:v>Товары для животных</x:v>
      </x:c>
      <x:c r="B1418" s="14" t="str">
        <x:v>Фермерское хозяйство - Товары для пчеловодства</x:v>
      </x:c>
      <x:c r="C1418" s="14" t="str">
        <x:v>Ручной инвентарь пчеловода</x:v>
      </x:c>
      <x:c r="D1418" s="14" t="str">
        <x:v>Нож пасечный</x:v>
      </x:c>
      <x:c r="E1418" s="2" t="n">
        <x:v>4</x:v>
      </x:c>
      <x:c r="F1418" s="2" t="n">
        <x:v>0</x:v>
      </x:c>
      <x:c r="G1418" s="12" t="n">
        <x:v>493173.96</x:v>
      </x:c>
      <x:c r="H1418" s="12" t="n">
        <x:v>11955.8868</x:v>
      </x:c>
      <x:c r="I1418" s="13" t="n">
        <x:v>0.03135</x:v>
      </x:c>
      <x:c r="J1418" s="2" t="n">
        <x:v>3</x:v>
      </x:c>
      <x:c r="K1418" s="2" t="n">
        <x:v>3</x:v>
      </x:c>
      <x:c r="L1418" s="12" t="n">
        <x:v>3943.32145</x:v>
      </x:c>
      <x:c r="M1418" s="13" t="n">
        <x:v>0.7230571541125164</x:v>
      </x:c>
      <x:c r="N1418" s="13" t="n">
        <x:f>H1418/G1418</x:f>
        <x:v>0.02424273739027097</x:v>
      </x:c>
      <x:c r="O1418" s="13" t="n">
        <x:f>F1418/E1418</x:f>
        <x:v>0</x:v>
      </x:c>
      <x:c r="P1418" s="2" t="str">
        <x:f>IF(AND(E1418&gt;='Итоги'!$F$5,N1418&lt;='Итоги'!$B$5,O1418&gt;='Итоги'!$D$5),"Да","Нет")</x:f>
        <x:v>Нет</x:v>
      </x:c>
    </x:row>
    <x:row r="1419" ht="60" customHeight="1">
      <x:c r="A1419" s="14" t="str">
        <x:v>Спорт и отдых</x:v>
      </x:c>
      <x:c r="B1419" s="14" t="str">
        <x:v>Колесный транспорт</x:v>
      </x:c>
      <x:c r="C1419" s="14" t="str">
        <x:v>Велоаксессуары</x:v>
      </x:c>
      <x:c r="D1419" s="14" t="str">
        <x:v>Велокресло детское</x:v>
      </x:c>
      <x:c r="E1419" s="2" t="n">
        <x:v>28</x:v>
      </x:c>
      <x:c r="F1419" s="2" t="n">
        <x:v>0</x:v>
      </x:c>
      <x:c r="G1419" s="12" t="n">
        <x:v>5072179.377</x:v>
      </x:c>
      <x:c r="H1419" s="12" t="n">
        <x:v>123036.24986551</x:v>
      </x:c>
      <x:c r="I1419" s="13" t="n">
        <x:v>0.0125571428571428</x:v>
      </x:c>
      <x:c r="J1419" s="2" t="n">
        <x:v>20</x:v>
      </x:c>
      <x:c r="K1419" s="2" t="n">
        <x:v>13</x:v>
      </x:c>
      <x:c r="L1419" s="12" t="n">
        <x:v>3688.85605</x:v>
      </x:c>
      <x:c r="M1419" s="13" t="n">
        <x:v>0.3590552034413983</x:v>
      </x:c>
      <x:c r="N1419" s="13" t="n">
        <x:f>H1419/G1419</x:f>
        <x:v>0.024257077820122607</x:v>
      </x:c>
      <x:c r="O1419" s="13" t="n">
        <x:f>F1419/E1419</x:f>
        <x:v>0</x:v>
      </x:c>
      <x:c r="P1419" s="2" t="str">
        <x:f>IF(AND(E1419&gt;='Итоги'!$F$5,N1419&lt;='Итоги'!$B$5,O1419&gt;='Итоги'!$D$5),"Да","Нет")</x:f>
        <x:v>Нет</x:v>
      </x:c>
    </x:row>
    <x:row r="1420" ht="60" customHeight="1">
      <x:c r="A1420" s="14" t="str">
        <x:v>Аудио и видеотехника</x:v>
      </x:c>
      <x:c r="B1420" s="14" t="str">
        <x:v>Система безопасности TV&amp;Audio</x:v>
      </x:c>
      <x:c r="C1420" s="14" t="str">
        <x:v>Умный дом TV&amp;Audio</x:v>
      </x:c>
      <x:c r="D1420" s="14" t="str">
        <x:v>Автоматика для дверей, ворот и роллет</x:v>
      </x:c>
      <x:c r="E1420" s="2" t="n">
        <x:v>87</x:v>
      </x:c>
      <x:c r="F1420" s="2" t="n">
        <x:v>0</x:v>
      </x:c>
      <x:c r="G1420" s="12" t="n">
        <x:v>19158976.5094</x:v>
      </x:c>
      <x:c r="H1420" s="12" t="n">
        <x:v>465105.22421943</x:v>
      </x:c>
      <x:c r="I1420" s="13" t="n">
        <x:v>0.0240275862068965</x:v>
      </x:c>
      <x:c r="J1420" s="2" t="n">
        <x:v>36</x:v>
      </x:c>
      <x:c r="K1420" s="2" t="n">
        <x:v>22</x:v>
      </x:c>
      <x:c r="L1420" s="12" t="n">
        <x:v>4990.0286</x:v>
      </x:c>
      <x:c r="M1420" s="13" t="n">
        <x:v>0.3028512769016235</x:v>
      </x:c>
      <x:c r="N1420" s="13" t="n">
        <x:f>H1420/G1420</x:f>
        <x:v>0.02427609971708221</x:v>
      </x:c>
      <x:c r="O1420" s="13" t="n">
        <x:f>F1420/E1420</x:f>
        <x:v>0</x:v>
      </x:c>
      <x:c r="P1420" s="2" t="str">
        <x:f>IF(AND(E1420&gt;='Итоги'!$F$5,N1420&lt;='Итоги'!$B$5,O1420&gt;='Итоги'!$D$5),"Да","Нет")</x:f>
        <x:v>Нет</x:v>
      </x:c>
    </x:row>
    <x:row r="1421" ht="60" customHeight="1">
      <x:c r="A1421" s="14" t="str">
        <x:v>Ноутбуки и компьютеры</x:v>
      </x:c>
      <x:c r="B1421" s="14" t="str">
        <x:v>Игровые приставки и аксессуары Lap&amp;Comp</x:v>
      </x:c>
      <x:c r="C1421" s="14" t="str">
        <x:v>Руль для игровой приставки Lap&amp;Comp</x:v>
      </x:c>
      <x:c r="D1421" s="14" t="str">
        <x:v>Руль для игровой приставки</x:v>
      </x:c>
      <x:c r="E1421" s="2" t="n">
        <x:v>38</x:v>
      </x:c>
      <x:c r="F1421" s="2" t="n">
        <x:v>0</x:v>
      </x:c>
      <x:c r="G1421" s="12" t="n">
        <x:v>8948865.6801</x:v>
      </x:c>
      <x:c r="H1421" s="12" t="n">
        <x:v>217443.99407343</x:v>
      </x:c>
      <x:c r="I1421" s="13" t="n">
        <x:v>0.0280394736842105</x:v>
      </x:c>
      <x:c r="J1421" s="2" t="n">
        <x:v>14</x:v>
      </x:c>
      <x:c r="K1421" s="2" t="n">
        <x:v>11</x:v>
      </x:c>
      <x:c r="L1421" s="12" t="n">
        <x:v>6606.79895</x:v>
      </x:c>
      <x:c r="M1421" s="13" t="n">
        <x:v>0.605955939673843</x:v>
      </x:c>
      <x:c r="N1421" s="13" t="n">
        <x:f>H1421/G1421</x:f>
        <x:v>0.024298497915436378</x:v>
      </x:c>
      <x:c r="O1421" s="13" t="n">
        <x:f>F1421/E1421</x:f>
        <x:v>0</x:v>
      </x:c>
      <x:c r="P1421" s="2" t="str">
        <x:f>IF(AND(E1421&gt;='Итоги'!$F$5,N1421&lt;='Итоги'!$B$5,O1421&gt;='Итоги'!$D$5),"Да","Нет")</x:f>
        <x:v>Нет</x:v>
      </x:c>
    </x:row>
    <x:row r="1422" ht="60" customHeight="1">
      <x:c r="A1422" s="14" t="str">
        <x:v>Товары для детей и спорта</x:v>
      </x:c>
      <x:c r="B1422" s="14" t="str">
        <x:v>КГТ и аксессуары для детей</x:v>
      </x:c>
      <x:c r="C1422" s="14" t="str">
        <x:v>Коляска детская</x:v>
      </x:c>
      <x:c r="D1422" s="14" t="str">
        <x:v>Коляска 3 в 1</x:v>
      </x:c>
      <x:c r="E1422" s="2" t="n">
        <x:v>23</x:v>
      </x:c>
      <x:c r="F1422" s="2" t="n">
        <x:v>0</x:v>
      </x:c>
      <x:c r="G1422" s="12" t="n">
        <x:v>2984677.129</x:v>
      </x:c>
      <x:c r="H1422" s="12" t="n">
        <x:v>72536.463378</x:v>
      </x:c>
      <x:c r="I1422" s="13" t="n">
        <x:v>0.0293086956521739</x:v>
      </x:c>
      <x:c r="J1422" s="2" t="n">
        <x:v>12</x:v>
      </x:c>
      <x:c r="K1422" s="2" t="n">
        <x:v>6</x:v>
      </x:c>
      <x:c r="L1422" s="12" t="n">
        <x:v>18808.5</x:v>
      </x:c>
      <x:c r="M1422" s="13" t="n">
        <x:v>0.576697262251846</x:v>
      </x:c>
      <x:c r="N1422" s="13" t="n">
        <x:f>H1422/G1422</x:f>
        <x:v>0.02430295145602665</x:v>
      </x:c>
      <x:c r="O1422" s="13" t="n">
        <x:f>F1422/E1422</x:f>
        <x:v>0</x:v>
      </x:c>
      <x:c r="P1422" s="2" t="str">
        <x:f>IF(AND(E1422&gt;='Итоги'!$F$5,N1422&lt;='Итоги'!$B$5,O1422&gt;='Итоги'!$D$5),"Да","Нет")</x:f>
        <x:v>Нет</x:v>
      </x:c>
    </x:row>
    <x:row r="1423" ht="60" customHeight="1">
      <x:c r="A1423" s="14" t="str">
        <x:v>Товары для красоты и здоровья</x:v>
      </x:c>
      <x:c r="B1423" s="14" t="str">
        <x:v>Косметическая техника</x:v>
      </x:c>
      <x:c r="C1423" s="14" t="str">
        <x:v>Массажная техника</x:v>
      </x:c>
      <x:c r="D1423" s="14" t="str">
        <x:v>Мезороллер, роллер для лица, шеи и декольте</x:v>
      </x:c>
      <x:c r="E1423" s="2" t="n">
        <x:v>3</x:v>
      </x:c>
      <x:c r="F1423" s="2" t="n">
        <x:v>0</x:v>
      </x:c>
      <x:c r="G1423" s="12" t="n">
        <x:v>480413.9401</x:v>
      </x:c>
      <x:c r="H1423" s="12" t="n">
        <x:v>11678.497608</x:v>
      </x:c>
      <x:c r="I1423" s="13" t="n">
        <x:v>0.0623666666666666</x:v>
      </x:c>
      <x:c r="J1423" s="2" t="n">
        <x:v>2</x:v>
      </x:c>
      <x:c r="K1423" s="2" t="n">
        <x:v>3</x:v>
      </x:c>
      <x:c r="L1423" s="12" t="n">
        <x:v>922.4728</x:v>
      </x:c>
      <x:c r="M1423" s="13" t="n">
        <x:v>0.6703766458836776</x:v>
      </x:c>
      <x:c r="N1423" s="13" t="n">
        <x:f>H1423/G1423</x:f>
        <x:v>0.024309239664380006</x:v>
      </x:c>
      <x:c r="O1423" s="13" t="n">
        <x:f>F1423/E1423</x:f>
        <x:v>0</x:v>
      </x:c>
      <x:c r="P1423" s="2" t="str">
        <x:f>IF(AND(E1423&gt;='Итоги'!$F$5,N1423&lt;='Итоги'!$B$5,O1423&gt;='Итоги'!$D$5),"Да","Нет")</x:f>
        <x:v>Нет</x:v>
      </x:c>
    </x:row>
    <x:row r="1424" ht="60" customHeight="1">
      <x:c r="A1424" s="14" t="str">
        <x:v>Бакалея и кондитерские изделия</x:v>
      </x:c>
      <x:c r="B1424" s="14" t="str">
        <x:v>Бакалея</x:v>
      </x:c>
      <x:c r="C1424" s="14" t="str">
        <x:v>Макаронные изделия, крупы</x:v>
      </x:c>
      <x:c r="D1424" s="14" t="str">
        <x:v>Мука</x:v>
      </x:c>
      <x:c r="E1424" s="2" t="n">
        <x:v>23</x:v>
      </x:c>
      <x:c r="F1424" s="2" t="n">
        <x:v>0</x:v>
      </x:c>
      <x:c r="G1424" s="12" t="n">
        <x:v>2804984.7522</x:v>
      </x:c>
      <x:c r="H1424" s="12" t="n">
        <x:v>68214.99151297999</x:v>
      </x:c>
      <x:c r="I1424" s="13" t="n">
        <x:v>0.0265260869565217</x:v>
      </x:c>
      <x:c r="J1424" s="2" t="n">
        <x:v>10</x:v>
      </x:c>
      <x:c r="K1424" s="2" t="n">
        <x:v>13</x:v>
      </x:c>
      <x:c r="L1424" s="12" t="n">
        <x:v>1146.411</x:v>
      </x:c>
      <x:c r="M1424" s="13" t="n">
        <x:v>0.2477638923901171</x:v>
      </x:c>
      <x:c r="N1424" s="13" t="n">
        <x:f>H1424/G1424</x:f>
        <x:v>0.024319202255726254</x:v>
      </x:c>
      <x:c r="O1424" s="13" t="n">
        <x:f>F1424/E1424</x:f>
        <x:v>0</x:v>
      </x:c>
      <x:c r="P1424" s="2" t="str">
        <x:f>IF(AND(E1424&gt;='Итоги'!$F$5,N1424&lt;='Итоги'!$B$5,O1424&gt;='Итоги'!$D$5),"Да","Нет")</x:f>
        <x:v>Нет</x:v>
      </x:c>
    </x:row>
    <x:row r="1425" ht="60" customHeight="1">
      <x:c r="A1425" s="14" t="str">
        <x:v>Аптека</x:v>
      </x:c>
      <x:c r="B1425" s="14" t="str">
        <x:v>Средства реабилитации</x:v>
      </x:c>
      <x:c r="C1425" s="14" t="str">
        <x:v>Средства реабилитации</x:v>
      </x:c>
      <x:c r="D1425" s="14" t="str">
        <x:v>Носилки медицинские</x:v>
      </x:c>
      <x:c r="E1425" s="2" t="n">
        <x:v>5</x:v>
      </x:c>
      <x:c r="F1425" s="2" t="n">
        <x:v>0</x:v>
      </x:c>
      <x:c r="G1425" s="12" t="n">
        <x:v>759962.21</x:v>
      </x:c>
      <x:c r="H1425" s="12" t="n">
        <x:v>18498.4218</x:v>
      </x:c>
      <x:c r="I1425" s="13" t="n">
        <x:v>0.04836</x:v>
      </x:c>
      <x:c r="J1425" s="2" t="n">
        <x:v>3</x:v>
      </x:c>
      <x:c r="K1425" s="2" t="n">
        <x:v>3</x:v>
      </x:c>
      <x:c r="L1425" s="12" t="n">
        <x:v>1545.5593</x:v>
      </x:c>
      <x:c r="M1425" s="13" t="n">
        <x:v>0.5357108480433521</x:v>
      </x:c>
      <x:c r="N1425" s="13" t="n">
        <x:f>H1425/G1425</x:f>
        <x:v>0.024341239020292865</x:v>
      </x:c>
      <x:c r="O1425" s="13" t="n">
        <x:f>F1425/E1425</x:f>
        <x:v>0</x:v>
      </x:c>
      <x:c r="P1425" s="2" t="str">
        <x:f>IF(AND(E1425&gt;='Итоги'!$F$5,N1425&lt;='Итоги'!$B$5,O1425&gt;='Итоги'!$D$5),"Да","Нет")</x:f>
        <x:v>Нет</x:v>
      </x:c>
    </x:row>
    <x:row r="1426" ht="60" customHeight="1">
      <x:c r="A1426" s="14" t="str">
        <x:v>Спорт и отдых</x:v>
      </x:c>
      <x:c r="B1426" s="14" t="str">
        <x:v>Всесезонные виды спорта</x:v>
      </x:c>
      <x:c r="C1426" s="14" t="str">
        <x:v>Конный спорт</x:v>
      </x:c>
      <x:c r="D1426" s="14" t="str">
        <x:v>Хлыст, бич для конного спорта</x:v>
      </x:c>
      <x:c r="E1426" s="2" t="n">
        <x:v>2</x:v>
      </x:c>
      <x:c r="F1426" s="2" t="n">
        <x:v>0</x:v>
      </x:c>
      <x:c r="G1426" s="12" t="n">
        <x:v>163842</x:v>
      </x:c>
      <x:c r="H1426" s="12" t="n">
        <x:v>3992.239</x:v>
      </x:c>
      <x:c r="I1426" s="13" t="n">
        <x:v>0.03035</x:v>
      </x:c>
      <x:c r="J1426" s="2" t="n">
        <x:v>1</x:v>
      </x:c>
      <x:c r="K1426" s="2" t="n">
        <x:v>2</x:v>
      </x:c>
      <x:c r="L1426" s="12" t="n">
        <x:v>2617.8477</x:v>
      </x:c>
      <x:c r="M1426" s="13" t="n">
        <x:v>0.5985766775307919</x:v>
      </x:c>
      <x:c r="N1426" s="13" t="n">
        <x:f>H1426/G1426</x:f>
        <x:v>0.024366395673880933</x:v>
      </x:c>
      <x:c r="O1426" s="13" t="n">
        <x:f>F1426/E1426</x:f>
        <x:v>0</x:v>
      </x:c>
      <x:c r="P1426" s="2" t="str">
        <x:f>IF(AND(E1426&gt;='Итоги'!$F$5,N1426&lt;='Итоги'!$B$5,O1426&gt;='Итоги'!$D$5),"Да","Нет")</x:f>
        <x:v>Нет</x:v>
      </x:c>
    </x:row>
    <x:row r="1427" ht="60" customHeight="1">
      <x:c r="A1427" s="14" t="str">
        <x:v>Одежда</x:v>
      </x:c>
      <x:c r="B1427" s="14" t="str">
        <x:v>Верхняя одежда</x:v>
      </x:c>
      <x:c r="C1427" s="14" t="str">
        <x:v>Спортивная верхняя одежда женская</x:v>
      </x:c>
      <x:c r="D1427" s="14" t="str">
        <x:v>Спортивная ветровка женская</x:v>
      </x:c>
      <x:c r="E1427" s="2" t="n">
        <x:v>119</x:v>
      </x:c>
      <x:c r="F1427" s="2" t="n">
        <x:v>0</x:v>
      </x:c>
      <x:c r="G1427" s="12" t="n">
        <x:v>7460662.0326</x:v>
      </x:c>
      <x:c r="H1427" s="12" t="n">
        <x:v>181967.72606765</x:v>
      </x:c>
      <x:c r="I1427" s="13" t="n">
        <x:v>0.0191268907563025</x:v>
      </x:c>
      <x:c r="J1427" s="2" t="n">
        <x:v>85</x:v>
      </x:c>
      <x:c r="K1427" s="2" t="n">
        <x:v>16</x:v>
      </x:c>
      <x:c r="L1427" s="12" t="n">
        <x:v>2492.3738</x:v>
      </x:c>
      <x:c r="M1427" s="13" t="n">
        <x:v>0.3629940772234948</x:v>
      </x:c>
      <x:c r="N1427" s="13" t="n">
        <x:f>H1427/G1427</x:f>
        <x:v>0.024390292077636874</x:v>
      </x:c>
      <x:c r="O1427" s="13" t="n">
        <x:f>F1427/E1427</x:f>
        <x:v>0</x:v>
      </x:c>
      <x:c r="P1427" s="2" t="str">
        <x:f>IF(AND(E1427&gt;='Итоги'!$F$5,N1427&lt;='Итоги'!$B$5,O1427&gt;='Итоги'!$D$5),"Да","Нет")</x:f>
        <x:v>Нет</x:v>
      </x:c>
    </x:row>
    <x:row r="1428" ht="60" customHeight="1">
      <x:c r="A1428" s="14" t="str">
        <x:v>Аудио и видеотехника</x:v>
      </x:c>
      <x:c r="B1428" s="14" t="str">
        <x:v>Домашняя Аудио и Видеотехника TV&amp;Audio</x:v>
      </x:c>
      <x:c r="C1428" s="14" t="str">
        <x:v>Проигрыватель дисков TV&amp;Audio</x:v>
      </x:c>
      <x:c r="D1428" s="14" t="str">
        <x:v>DVD плеер</x:v>
      </x:c>
      <x:c r="E1428" s="2" t="n">
        <x:v>2</x:v>
      </x:c>
      <x:c r="F1428" s="2" t="n">
        <x:v>0</x:v>
      </x:c>
      <x:c r="G1428" s="12" t="n">
        <x:v>804113.3381</x:v>
      </x:c>
      <x:c r="H1428" s="12" t="n">
        <x:v>19680.93939203</x:v>
      </x:c>
      <x:c r="I1428" s="13" t="n">
        <x:v>0.02365</x:v>
      </x:c>
      <x:c r="J1428" s="2" t="n">
        <x:v>0</x:v>
      </x:c>
      <x:c r="K1428" s="2" t="n">
        <x:v>1</x:v>
      </x:c>
      <x:c r="L1428" s="12" t="n">
        <x:v>4416.084699999999</x:v>
      </x:c>
      <x:c r="M1428" s="13" t="n">
        <x:v>1</x:v>
      </x:c>
      <x:c r="N1428" s="13" t="n">
        <x:f>H1428/G1428</x:f>
        <x:v>0.02447533010524751</x:v>
      </x:c>
      <x:c r="O1428" s="13" t="n">
        <x:f>F1428/E1428</x:f>
        <x:v>0</x:v>
      </x:c>
      <x:c r="P1428" s="2" t="str">
        <x:f>IF(AND(E1428&gt;='Итоги'!$F$5,N1428&lt;='Итоги'!$B$5,O1428&gt;='Итоги'!$D$5),"Да","Нет")</x:f>
        <x:v>Нет</x:v>
      </x:c>
    </x:row>
    <x:row r="1429" ht="60" customHeight="1">
      <x:c r="A1429" s="14" t="str">
        <x:v>Товары для дома</x:v>
      </x:c>
      <x:c r="B1429" s="14" t="str">
        <x:v>Кухня</x:v>
      </x:c>
      <x:c r="C1429" s="14" t="str">
        <x:v>Посуда для приготовления пищи</x:v>
      </x:c>
      <x:c r="D1429" s="14" t="str">
        <x:v>Утятница, гусятница, ростер, латка</x:v>
      </x:c>
      <x:c r="E1429" s="2" t="n">
        <x:v>19</x:v>
      </x:c>
      <x:c r="F1429" s="2" t="n">
        <x:v>0</x:v>
      </x:c>
      <x:c r="G1429" s="12" t="n">
        <x:v>3539327.3115</x:v>
      </x:c>
      <x:c r="H1429" s="12" t="n">
        <x:v>86647.08551863</x:v>
      </x:c>
      <x:c r="I1429" s="13" t="n">
        <x:v>0.0315315789473684</x:v>
      </x:c>
      <x:c r="J1429" s="2" t="n">
        <x:v>12</x:v>
      </x:c>
      <x:c r="K1429" s="2" t="n">
        <x:v>6</x:v>
      </x:c>
      <x:c r="L1429" s="12" t="n">
        <x:v>2038.2607</x:v>
      </x:c>
      <x:c r="M1429" s="13" t="n">
        <x:v>0.68842838642899</x:v>
      </x:c>
      <x:c r="N1429" s="13" t="n">
        <x:f>H1429/G1429</x:f>
        <x:v>0.024481229875828625</x:v>
      </x:c>
      <x:c r="O1429" s="13" t="n">
        <x:f>F1429/E1429</x:f>
        <x:v>0</x:v>
      </x:c>
      <x:c r="P1429" s="2" t="str">
        <x:f>IF(AND(E1429&gt;='Итоги'!$F$5,N1429&lt;='Итоги'!$B$5,O1429&gt;='Итоги'!$D$5),"Да","Нет")</x:f>
        <x:v>Нет</x:v>
      </x:c>
    </x:row>
    <x:row r="1430" ht="60" customHeight="1">
      <x:c r="A1430" s="14" t="str">
        <x:v>Аксессуары для электроники</x:v>
      </x:c>
      <x:c r="B1430" s="14" t="str">
        <x:v>Компьютерная периферия Access</x:v>
      </x:c>
      <x:c r="C1430" s="14" t="str">
        <x:v>Электронные носители информации Access</x:v>
      </x:c>
      <x:c r="D1430" s="14" t="str">
        <x:v>Внешний HDD</x:v>
      </x:c>
      <x:c r="E1430" s="2" t="n">
        <x:v>102</x:v>
      </x:c>
      <x:c r="F1430" s="2" t="n">
        <x:v>0</x:v>
      </x:c>
      <x:c r="G1430" s="12" t="n">
        <x:v>12471553.9536</x:v>
      </x:c>
      <x:c r="H1430" s="12" t="n">
        <x:v>306407.53308723</x:v>
      </x:c>
      <x:c r="I1430" s="13" t="n">
        <x:v>0.0245970588235294</x:v>
      </x:c>
      <x:c r="J1430" s="2" t="n">
        <x:v>69</x:v>
      </x:c>
      <x:c r="K1430" s="2" t="n">
        <x:v>16</x:v>
      </x:c>
      <x:c r="L1430" s="12" t="n">
        <x:v>5526.5239</x:v>
      </x:c>
      <x:c r="M1430" s="13" t="n">
        <x:v>0.3147128750517118</x:v>
      </x:c>
      <x:c r="N1430" s="13" t="n">
        <x:f>H1430/G1430</x:f>
        <x:v>0.02456851281141139</x:v>
      </x:c>
      <x:c r="O1430" s="13" t="n">
        <x:f>F1430/E1430</x:f>
        <x:v>0</x:v>
      </x:c>
      <x:c r="P1430" s="2" t="str">
        <x:f>IF(AND(E1430&gt;='Итоги'!$F$5,N1430&lt;='Итоги'!$B$5,O1430&gt;='Итоги'!$D$5),"Да","Нет")</x:f>
        <x:v>Нет</x:v>
      </x:c>
    </x:row>
    <x:row r="1431" ht="60" customHeight="1">
      <x:c r="A1431" s="14" t="str">
        <x:v>Детская одежда</x:v>
      </x:c>
      <x:c r="B1431" s="14" t="str">
        <x:v>Детская обувь</x:v>
      </x:c>
      <x:c r="C1431" s="14" t="str">
        <x:v>Обувь для мальчика</x:v>
      </x:c>
      <x:c r="D1431" s="14" t="str">
        <x:v>Ортопедические сандалии для мальчика</x:v>
      </x:c>
      <x:c r="E1431" s="2" t="n">
        <x:v>19</x:v>
      </x:c>
      <x:c r="F1431" s="2" t="n">
        <x:v>0</x:v>
      </x:c>
      <x:c r="G1431" s="12" t="n">
        <x:v>452701.82</x:v>
      </x:c>
      <x:c r="H1431" s="12" t="n">
        <x:v>11128.154066</x:v>
      </x:c>
      <x:c r="I1431" s="13" t="n">
        <x:v>0.0448631578947368</x:v>
      </x:c>
      <x:c r="J1431" s="2" t="n">
        <x:v>11</x:v>
      </x:c>
      <x:c r="K1431" s="2" t="n">
        <x:v>8</x:v>
      </x:c>
      <x:c r="L1431" s="12" t="n">
        <x:v>2836.3173</x:v>
      </x:c>
      <x:c r="M1431" s="13" t="n">
        <x:v>0.4910041448474848</x:v>
      </x:c>
      <x:c r="N1431" s="13" t="n">
        <x:f>H1431/G1431</x:f>
        <x:v>0.024581641986771777</x:v>
      </x:c>
      <x:c r="O1431" s="13" t="n">
        <x:f>F1431/E1431</x:f>
        <x:v>0</x:v>
      </x:c>
      <x:c r="P1431" s="2" t="str">
        <x:f>IF(AND(E1431&gt;='Итоги'!$F$5,N1431&lt;='Итоги'!$B$5,O1431&gt;='Итоги'!$D$5),"Да","Нет")</x:f>
        <x:v>Нет</x:v>
      </x:c>
    </x:row>
    <x:row r="1432" ht="60" customHeight="1">
      <x:c r="A1432" s="14" t="str">
        <x:v>Автотовары</x:v>
      </x:c>
      <x:c r="B1432" s="14" t="str">
        <x:v>Дополнительное оборудование для авто и мото техники</x:v>
      </x:c>
      <x:c r="C1432" s="14" t="str">
        <x:v>Дополнительное электрооборудование для авто</x:v>
      </x:c>
      <x:c r="D1432" s="14" t="str">
        <x:v>Климатическая техника для авто</x:v>
      </x:c>
      <x:c r="E1432" s="2" t="n">
        <x:v>32</x:v>
      </x:c>
      <x:c r="F1432" s="2" t="n">
        <x:v>0</x:v>
      </x:c>
      <x:c r="G1432" s="12" t="n">
        <x:v>6132286.3715</x:v>
      </x:c>
      <x:c r="H1432" s="12" t="n">
        <x:v>150880.75818449</x:v>
      </x:c>
      <x:c r="I1432" s="13" t="n">
        <x:v>0.0338124999999999</x:v>
      </x:c>
      <x:c r="J1432" s="2" t="n">
        <x:v>11</x:v>
      </x:c>
      <x:c r="K1432" s="2" t="n">
        <x:v>15</x:v>
      </x:c>
      <x:c r="L1432" s="12" t="n">
        <x:v>1098.7242</x:v>
      </x:c>
      <x:c r="M1432" s="13" t="n">
        <x:v>0.3803636688332698</x:v>
      </x:c>
      <x:c r="N1432" s="13" t="n">
        <x:f>H1432/G1432</x:f>
        <x:v>0.024604323582426486</x:v>
      </x:c>
      <x:c r="O1432" s="13" t="n">
        <x:f>F1432/E1432</x:f>
        <x:v>0</x:v>
      </x:c>
      <x:c r="P1432" s="2" t="str">
        <x:f>IF(AND(E1432&gt;='Итоги'!$F$5,N1432&lt;='Итоги'!$B$5,O1432&gt;='Итоги'!$D$5),"Да","Нет")</x:f>
        <x:v>Нет</x:v>
      </x:c>
    </x:row>
    <x:row r="1433" ht="60" customHeight="1">
      <x:c r="A1433" s="14" t="str">
        <x:v>Аксессуары</x:v>
      </x:c>
      <x:c r="B1433" s="14" t="str">
        <x:v>Ювелирные изделия</x:v>
      </x:c>
      <x:c r="C1433" s="14" t="str">
        <x:v>Подвеска ювелирная</x:v>
      </x:c>
      <x:c r="D1433" s="14" t="str">
        <x:v>Золото подвеска</x:v>
      </x:c>
      <x:c r="E1433" s="2" t="n">
        <x:v>116</x:v>
      </x:c>
      <x:c r="F1433" s="2" t="n">
        <x:v>0</x:v>
      </x:c>
      <x:c r="G1433" s="12" t="n">
        <x:v>12135905.35</x:v>
      </x:c>
      <x:c r="H1433" s="12" t="n">
        <x:v>298661.700686</x:v>
      </x:c>
      <x:c r="I1433" s="13" t="n">
        <x:v>0.0247086206896551</x:v>
      </x:c>
      <x:c r="J1433" s="2" t="n">
        <x:v>81</x:v>
      </x:c>
      <x:c r="K1433" s="2" t="n">
        <x:v>11</x:v>
      </x:c>
      <x:c r="L1433" s="12" t="n">
        <x:v>7899.80685</x:v>
      </x:c>
      <x:c r="M1433" s="13" t="n">
        <x:v>0.8835207626269103</x:v>
      </x:c>
      <x:c r="N1433" s="13" t="n">
        <x:f>H1433/G1433</x:f>
        <x:v>0.0246097585695162</x:v>
      </x:c>
      <x:c r="O1433" s="13" t="n">
        <x:f>F1433/E1433</x:f>
        <x:v>0</x:v>
      </x:c>
      <x:c r="P1433" s="2" t="str">
        <x:f>IF(AND(E1433&gt;='Итоги'!$F$5,N1433&lt;='Итоги'!$B$5,O1433&gt;='Итоги'!$D$5),"Да","Нет")</x:f>
        <x:v>Нет</x:v>
      </x:c>
    </x:row>
    <x:row r="1434" ht="60" customHeight="1">
      <x:c r="A1434" s="14" t="str">
        <x:v>Одежда</x:v>
      </x:c>
      <x:c r="B1434" s="14" t="str">
        <x:v>Основная одежда мужская</x:v>
      </x:c>
      <x:c r="C1434" s="14" t="str">
        <x:v>Спортивная основная одежда мужская верха</x:v>
      </x:c>
      <x:c r="D1434" s="14" t="str">
        <x:v>Спортивное худи мужское</x:v>
      </x:c>
      <x:c r="E1434" s="2" t="n">
        <x:v>112</x:v>
      </x:c>
      <x:c r="F1434" s="2" t="n">
        <x:v>0</x:v>
      </x:c>
      <x:c r="G1434" s="12" t="n">
        <x:v>10232600.2509</x:v>
      </x:c>
      <x:c r="H1434" s="12" t="n">
        <x:v>254425.5802676</x:v>
      </x:c>
      <x:c r="I1434" s="13" t="n">
        <x:v>0.0122544642857142</x:v>
      </x:c>
      <x:c r="J1434" s="2" t="n">
        <x:v>84</x:v>
      </x:c>
      <x:c r="K1434" s="2" t="n">
        <x:v>11</x:v>
      </x:c>
      <x:c r="L1434" s="12" t="n">
        <x:v>2105.0021500000003</x:v>
      </x:c>
      <x:c r="M1434" s="13" t="n">
        <x:v>0.3745862702945786</x:v>
      </x:c>
      <x:c r="N1434" s="13" t="n">
        <x:f>H1434/G1434</x:f>
        <x:v>0.024864215744695214</x:v>
      </x:c>
      <x:c r="O1434" s="13" t="n">
        <x:f>F1434/E1434</x:f>
        <x:v>0</x:v>
      </x:c>
      <x:c r="P1434" s="2" t="str">
        <x:f>IF(AND(E1434&gt;='Итоги'!$F$5,N1434&lt;='Итоги'!$B$5,O1434&gt;='Итоги'!$D$5),"Да","Нет")</x:f>
        <x:v>Нет</x:v>
      </x:c>
    </x:row>
    <x:row r="1435" ht="60" customHeight="1">
      <x:c r="A1435" s="14" t="str">
        <x:v>Товары для животных</x:v>
      </x:c>
      <x:c r="B1435" s="14" t="str">
        <x:v>Фермерское хозяйство - Оборудование для птицеводства и животноводства</x:v>
      </x:c>
      <x:c r="C1435" s="14" t="str">
        <x:v>Изготовление кормов для сельскохозяйственных животных и птиц</x:v>
      </x:c>
      <x:c r="D1435" s="14" t="str">
        <x:v>Зернодробилка</x:v>
      </x:c>
      <x:c r="E1435" s="2" t="n">
        <x:v>20</x:v>
      </x:c>
      <x:c r="F1435" s="2" t="n">
        <x:v>0</x:v>
      </x:c>
      <x:c r="G1435" s="12" t="n">
        <x:v>5043493.9077</x:v>
      </x:c>
      <x:c r="H1435" s="12" t="n">
        <x:v>125422.473007</x:v>
      </x:c>
      <x:c r="I1435" s="13" t="n">
        <x:v>0.01577</x:v>
      </x:c>
      <x:c r="J1435" s="2" t="n">
        <x:v>12</x:v>
      </x:c>
      <x:c r="K1435" s="2" t="n">
        <x:v>5</x:v>
      </x:c>
      <x:c r="L1435" s="12" t="n">
        <x:v>4751.14585</x:v>
      </x:c>
      <x:c r="M1435" s="13" t="n">
        <x:v>0.818150680820738</x:v>
      </x:c>
      <x:c r="N1435" s="13" t="n">
        <x:f>H1435/G1435</x:f>
        <x:v>0.024868171807546958</x:v>
      </x:c>
      <x:c r="O1435" s="13" t="n">
        <x:f>F1435/E1435</x:f>
        <x:v>0</x:v>
      </x:c>
      <x:c r="P1435" s="2" t="str">
        <x:f>IF(AND(E1435&gt;='Итоги'!$F$5,N1435&lt;='Итоги'!$B$5,O1435&gt;='Итоги'!$D$5),"Да","Нет")</x:f>
        <x:v>Нет</x:v>
      </x:c>
    </x:row>
    <x:row r="1436" ht="60" customHeight="1">
      <x:c r="A1436" s="14" t="str">
        <x:v>Одежда</x:v>
      </x:c>
      <x:c r="B1436" s="14" t="str">
        <x:v>Основная одежда женская</x:v>
      </x:c>
      <x:c r="C1436" s="14" t="str">
        <x:v>Основная одежда женская низы</x:v>
      </x:c>
      <x:c r="D1436" s="14" t="str">
        <x:v>Шорты женские</x:v>
      </x:c>
      <x:c r="E1436" s="2" t="n">
        <x:v>2462</x:v>
      </x:c>
      <x:c r="F1436" s="2" t="n">
        <x:v>0</x:v>
      </x:c>
      <x:c r="G1436" s="12" t="n">
        <x:v>251503924.7923</x:v>
      </x:c>
      <x:c r="H1436" s="12" t="n">
        <x:v>6263647.26175045</x:v>
      </x:c>
      <x:c r="I1436" s="13" t="n">
        <x:v>0.0194929325751421</x:v>
      </x:c>
      <x:c r="J1436" s="2" t="n">
        <x:v>1507</x:v>
      </x:c>
      <x:c r="K1436" s="2" t="n">
        <x:v>166</x:v>
      </x:c>
      <x:c r="L1436" s="12" t="n">
        <x:v>1619.2078</x:v>
      </x:c>
      <x:c r="M1436" s="13" t="n">
        <x:v>0.395469301566721</x:v>
      </x:c>
      <x:c r="N1436" s="13" t="n">
        <x:f>H1436/G1436</x:f>
        <x:v>0.024904769446135566</x:v>
      </x:c>
      <x:c r="O1436" s="13" t="n">
        <x:f>F1436/E1436</x:f>
        <x:v>0</x:v>
      </x:c>
      <x:c r="P1436" s="2" t="str">
        <x:f>IF(AND(E1436&gt;='Итоги'!$F$5,N1436&lt;='Итоги'!$B$5,O1436&gt;='Итоги'!$D$5),"Да","Нет")</x:f>
        <x:v>Нет</x:v>
      </x:c>
    </x:row>
    <x:row r="1437" ht="60" customHeight="1">
      <x:c r="A1437" s="14" t="str">
        <x:v>Одежда</x:v>
      </x:c>
      <x:c r="B1437" s="14" t="str">
        <x:v>Основная одежда женская</x:v>
      </x:c>
      <x:c r="C1437" s="14" t="str">
        <x:v>Головные уборы, перчатки, шарфы женские</x:v>
      </x:c>
      <x:c r="D1437" s="14" t="str">
        <x:v>Парео</x:v>
      </x:c>
      <x:c r="E1437" s="2" t="n">
        <x:v>29</x:v>
      </x:c>
      <x:c r="F1437" s="2" t="n">
        <x:v>0</x:v>
      </x:c>
      <x:c r="G1437" s="12" t="n">
        <x:v>1921984.0036</x:v>
      </x:c>
      <x:c r="H1437" s="12" t="n">
        <x:v>47880.31608256</x:v>
      </x:c>
      <x:c r="I1437" s="13" t="n">
        <x:v>0.0302241379310344</x:v>
      </x:c>
      <x:c r="J1437" s="2" t="n">
        <x:v>11</x:v>
      </x:c>
      <x:c r="K1437" s="2" t="n">
        <x:v>11</x:v>
      </x:c>
      <x:c r="L1437" s="12" t="n">
        <x:v>1234.266</x:v>
      </x:c>
      <x:c r="M1437" s="13" t="n">
        <x:v>0.2607934281768962</x:v>
      </x:c>
      <x:c r="N1437" s="13" t="n">
        <x:f>H1437/G1437</x:f>
        <x:v>0.02491192225995486</x:v>
      </x:c>
      <x:c r="O1437" s="13" t="n">
        <x:f>F1437/E1437</x:f>
        <x:v>0</x:v>
      </x:c>
      <x:c r="P1437" s="2" t="str">
        <x:f>IF(AND(E1437&gt;='Итоги'!$F$5,N1437&lt;='Итоги'!$B$5,O1437&gt;='Итоги'!$D$5),"Да","Нет")</x:f>
        <x:v>Нет</x:v>
      </x:c>
    </x:row>
    <x:row r="1438" ht="60" customHeight="1">
      <x:c r="A1438" s="14" t="str">
        <x:v>Бытовая химия и гигиена рта</x:v>
      </x:c>
      <x:c r="B1438" s="14" t="str">
        <x:v>Бытовая химия</x:v>
      </x:c>
      <x:c r="C1438" s="14" t="str">
        <x:v>Освежитель воздуха</x:v>
      </x:c>
      <x:c r="D1438" s="14" t="str">
        <x:v>Освежитель воздуха, сменный флакон к освежителю воздуха</x:v>
      </x:c>
      <x:c r="E1438" s="2" t="n">
        <x:v>25</x:v>
      </x:c>
      <x:c r="F1438" s="2" t="n">
        <x:v>0</x:v>
      </x:c>
      <x:c r="G1438" s="12" t="n">
        <x:v>3623484.5165</x:v>
      </x:c>
      <x:c r="H1438" s="12" t="n">
        <x:v>90278.8700844</x:v>
      </x:c>
      <x:c r="I1438" s="13" t="n">
        <x:v>0.0296479999999999</x:v>
      </x:c>
      <x:c r="J1438" s="2" t="n">
        <x:v>12</x:v>
      </x:c>
      <x:c r="K1438" s="2" t="n">
        <x:v>5</x:v>
      </x:c>
      <x:c r="L1438" s="12" t="n">
        <x:v>916.0506</x:v>
      </x:c>
      <x:c r="M1438" s="13" t="n">
        <x:v>0.6461802605028463</x:v>
      </x:c>
      <x:c r="N1438" s="13" t="n">
        <x:f>H1438/G1438</x:f>
        <x:v>0.024914931931764472</x:v>
      </x:c>
      <x:c r="O1438" s="13" t="n">
        <x:f>F1438/E1438</x:f>
        <x:v>0</x:v>
      </x:c>
      <x:c r="P1438" s="2" t="str">
        <x:f>IF(AND(E1438&gt;='Итоги'!$F$5,N1438&lt;='Итоги'!$B$5,O1438&gt;='Итоги'!$D$5),"Да","Нет")</x:f>
        <x:v>Нет</x:v>
      </x:c>
    </x:row>
    <x:row r="1439" ht="60" customHeight="1">
      <x:c r="A1439" s="14" t="str">
        <x:v>Аудио и видеотехника</x:v>
      </x:c>
      <x:c r="B1439" s="14" t="str">
        <x:v>Домашняя Аудио и Видеотехника TV&amp;Audio</x:v>
      </x:c>
      <x:c r="C1439" s="14" t="str">
        <x:v>Музыкальные инструменты TV&amp;Audio</x:v>
      </x:c>
      <x:c r="D1439" s="14" t="str">
        <x:v>Студийная акустика</x:v>
      </x:c>
      <x:c r="E1439" s="2" t="n">
        <x:v>5</x:v>
      </x:c>
      <x:c r="F1439" s="2" t="n">
        <x:v>0</x:v>
      </x:c>
      <x:c r="G1439" s="12" t="n">
        <x:v>686202</x:v>
      </x:c>
      <x:c r="H1439" s="12" t="n">
        <x:v>17107.364999999998</x:v>
      </x:c>
      <x:c r="I1439" s="13" t="n">
        <x:v>0.0169</x:v>
      </x:c>
      <x:c r="J1439" s="2" t="n">
        <x:v>2</x:v>
      </x:c>
      <x:c r="K1439" s="2" t="n">
        <x:v>2</x:v>
      </x:c>
      <x:c r="L1439" s="12" t="n">
        <x:v>15480</x:v>
      </x:c>
      <x:c r="M1439" s="13" t="n">
        <x:v>0.6126854774541607</x:v>
      </x:c>
      <x:c r="N1439" s="13" t="n">
        <x:f>H1439/G1439</x:f>
        <x:v>0.02493050880061556</x:v>
      </x:c>
      <x:c r="O1439" s="13" t="n">
        <x:f>F1439/E1439</x:f>
        <x:v>0</x:v>
      </x:c>
      <x:c r="P1439" s="2" t="str">
        <x:f>IF(AND(E1439&gt;='Итоги'!$F$5,N1439&lt;='Итоги'!$B$5,O1439&gt;='Итоги'!$D$5),"Да","Нет")</x:f>
        <x:v>Нет</x:v>
      </x:c>
    </x:row>
    <x:row r="1440" ht="60" customHeight="1">
      <x:c r="A1440" s="14" t="str">
        <x:v>Аксессуары для электроники</x:v>
      </x:c>
      <x:c r="B1440" s="14" t="str">
        <x:v>Оборудование Access</x:v>
      </x:c>
      <x:c r="C1440" s="14" t="str">
        <x:v>Оборудование и комплектующие для приготовления алкоголя Access</x:v>
      </x:c>
      <x:c r="D1440" s="14" t="str">
        <x:v>Аксессуары для пивоварения</x:v>
      </x:c>
      <x:c r="E1440" s="2" t="n">
        <x:v>7</x:v>
      </x:c>
      <x:c r="F1440" s="2" t="n">
        <x:v>0</x:v>
      </x:c>
      <x:c r="G1440" s="12" t="n">
        <x:v>654757.59</x:v>
      </x:c>
      <x:c r="H1440" s="12" t="n">
        <x:v>16341.5901</x:v>
      </x:c>
      <x:c r="I1440" s="13" t="n">
        <x:v>0.0209999999999999</x:v>
      </x:c>
      <x:c r="J1440" s="2" t="n">
        <x:v>4</x:v>
      </x:c>
      <x:c r="K1440" s="2" t="n">
        <x:v>5</x:v>
      </x:c>
      <x:c r="L1440" s="12" t="n">
        <x:v>3105.4828</x:v>
      </x:c>
      <x:c r="M1440" s="13" t="n">
        <x:v>0.5168715799079168</x:v>
      </x:c>
      <x:c r="N1440" s="13" t="n">
        <x:f>H1440/G1440</x:f>
        <x:v>0.024958229350193557</x:v>
      </x:c>
      <x:c r="O1440" s="13" t="n">
        <x:f>F1440/E1440</x:f>
        <x:v>0</x:v>
      </x:c>
      <x:c r="P1440" s="2" t="str">
        <x:f>IF(AND(E1440&gt;='Итоги'!$F$5,N1440&lt;='Итоги'!$B$5,O1440&gt;='Итоги'!$D$5),"Да","Нет")</x:f>
        <x:v>Нет</x:v>
      </x:c>
    </x:row>
    <x:row r="1441" ht="60" customHeight="1">
      <x:c r="A1441" s="14" t="str">
        <x:v>Строительство и ремонт (DIY)</x:v>
      </x:c>
      <x:c r="B1441" s="14" t="str">
        <x:v>Сад и огород</x:v>
      </x:c>
      <x:c r="C1441" s="14" t="str">
        <x:v>Загородный отдых</x:v>
      </x:c>
      <x:c r="D1441" s="14" t="str">
        <x:v>Щепа для копчения</x:v>
      </x:c>
      <x:c r="E1441" s="2" t="n">
        <x:v>5</x:v>
      </x:c>
      <x:c r="F1441" s="2" t="n">
        <x:v>0</x:v>
      </x:c>
      <x:c r="G1441" s="12" t="n">
        <x:v>1699632.4467</x:v>
      </x:c>
      <x:c r="H1441" s="12" t="n">
        <x:v>42425.34506176</x:v>
      </x:c>
      <x:c r="I1441" s="13" t="n">
        <x:v>0.0574</x:v>
      </x:c>
      <x:c r="J1441" s="2" t="n">
        <x:v>0</x:v>
      </x:c>
      <x:c r="K1441" s="2" t="n">
        <x:v>3</x:v>
      </x:c>
      <x:c r="L1441" s="12" t="n">
        <x:v>1183.362</x:v>
      </x:c>
      <x:c r="M1441" s="13" t="n">
        <x:v>0.8736579602154991</x:v>
      </x:c>
      <x:c r="N1441" s="13" t="n">
        <x:f>H1441/G1441</x:f>
        <x:v>0.024961482198185198</x:v>
      </x:c>
      <x:c r="O1441" s="13" t="n">
        <x:f>F1441/E1441</x:f>
        <x:v>0</x:v>
      </x:c>
      <x:c r="P1441" s="2" t="str">
        <x:f>IF(AND(E1441&gt;='Итоги'!$F$5,N1441&lt;='Итоги'!$B$5,O1441&gt;='Итоги'!$D$5),"Да","Нет")</x:f>
        <x:v>Нет</x:v>
      </x:c>
    </x:row>
    <x:row r="1442" ht="60" customHeight="1">
      <x:c r="A1442" s="14" t="str">
        <x:v>Товары для детей и спорта</x:v>
      </x:c>
      <x:c r="B1442" s="14" t="str">
        <x:v>Спорт детский</x:v>
      </x:c>
      <x:c r="C1442" s="14" t="str">
        <x:v>Товары для плаванья и бассейны детские</x:v>
      </x:c>
      <x:c r="D1442" s="14" t="str">
        <x:v>Детский бассейн высотой до 60см</x:v>
      </x:c>
      <x:c r="E1442" s="2" t="n">
        <x:v>53</x:v>
      </x:c>
      <x:c r="F1442" s="2" t="n">
        <x:v>0</x:v>
      </x:c>
      <x:c r="G1442" s="12" t="n">
        <x:v>3448916.6092</x:v>
      </x:c>
      <x:c r="H1442" s="12" t="n">
        <x:v>86194.2662778</x:v>
      </x:c>
      <x:c r="I1442" s="13" t="n">
        <x:v>0.0229452830188679</x:v>
      </x:c>
      <x:c r="J1442" s="2" t="n">
        <x:v>39</x:v>
      </x:c>
      <x:c r="K1442" s="2" t="n">
        <x:v>15</x:v>
      </x:c>
      <x:c r="L1442" s="12" t="n">
        <x:v>1917.6</x:v>
      </x:c>
      <x:c r="M1442" s="13" t="n">
        <x:v>0.4783956404161121</x:v>
      </x:c>
      <x:c r="N1442" s="13" t="n">
        <x:f>H1442/G1442</x:f>
        <x:v>0.024991693347376512</x:v>
      </x:c>
      <x:c r="O1442" s="13" t="n">
        <x:f>F1442/E1442</x:f>
        <x:v>0</x:v>
      </x:c>
      <x:c r="P1442" s="2" t="str">
        <x:f>IF(AND(E1442&gt;='Итоги'!$F$5,N1442&lt;='Итоги'!$B$5,O1442&gt;='Итоги'!$D$5),"Да","Нет")</x:f>
        <x:v>Нет</x:v>
      </x:c>
    </x:row>
    <x:row r="1443" ht="60" customHeight="1">
      <x:c r="A1443" s="14" t="str">
        <x:v>Спорт и отдых</x:v>
      </x:c>
      <x:c r="B1443" s="14" t="str">
        <x:v>Водные виды спорта</x:v>
      </x:c>
      <x:c r="C1443" s="14" t="str">
        <x:v>Яхтинг</x:v>
      </x:c>
      <x:c r="D1443" s="14" t="str">
        <x:v>Аксессуары для яхты</x:v>
      </x:c>
      <x:c r="E1443" s="2" t="n">
        <x:v>2</x:v>
      </x:c>
      <x:c r="F1443" s="2" t="n">
        <x:v>0</x:v>
      </x:c>
      <x:c r="G1443" s="12" t="n">
        <x:v>306547</x:v>
      </x:c>
      <x:c r="H1443" s="12" t="n">
        <x:v>7669.8645</x:v>
      </x:c>
      <x:c r="I1443" s="13" t="n">
        <x:v>0.0235499999999999</x:v>
      </x:c>
      <x:c r="J1443" s="2" t="n">
        <x:v>0</x:v>
      </x:c>
      <x:c r="K1443" s="2" t="n">
        <x:v>2</x:v>
      </x:c>
      <x:c r="L1443" s="12" t="n">
        <x:v>1690.3065</x:v>
      </x:c>
      <x:c r="M1443" s="13" t="n">
        <x:v>0.549501381517353</x:v>
      </x:c>
      <x:c r="N1443" s="13" t="n">
        <x:f>H1443/G1443</x:f>
        <x:v>0.025020191031065384</x:v>
      </x:c>
      <x:c r="O1443" s="13" t="n">
        <x:f>F1443/E1443</x:f>
        <x:v>0</x:v>
      </x:c>
      <x:c r="P1443" s="2" t="str">
        <x:f>IF(AND(E1443&gt;='Итоги'!$F$5,N1443&lt;='Итоги'!$B$5,O1443&gt;='Итоги'!$D$5),"Да","Нет")</x:f>
        <x:v>Нет</x:v>
      </x:c>
    </x:row>
    <x:row r="1444" ht="60" customHeight="1">
      <x:c r="A1444" s="14" t="str">
        <x:v>Спорт и отдых</x:v>
      </x:c>
      <x:c r="B1444" s="14" t="str">
        <x:v>Товары для охоты</x:v>
      </x:c>
      <x:c r="C1444" s="14" t="str">
        <x:v>Аксессуары для охотничьего оружия</x:v>
      </x:c>
      <x:c r="D1444" s="14" t="str">
        <x:v>Ремень тактический оружейный</x:v>
      </x:c>
      <x:c r="E1444" s="2" t="n">
        <x:v>8</x:v>
      </x:c>
      <x:c r="F1444" s="2" t="n">
        <x:v>0</x:v>
      </x:c>
      <x:c r="G1444" s="12" t="n">
        <x:v>1285614.39</x:v>
      </x:c>
      <x:c r="H1444" s="12" t="n">
        <x:v>32193.6542</x:v>
      </x:c>
      <x:c r="I1444" s="13" t="n">
        <x:v>0.0219499999999999</x:v>
      </x:c>
      <x:c r="J1444" s="2" t="n">
        <x:v>6</x:v>
      </x:c>
      <x:c r="K1444" s="2" t="n">
        <x:v>5</x:v>
      </x:c>
      <x:c r="L1444" s="12" t="n">
        <x:v>3549.69135</x:v>
      </x:c>
      <x:c r="M1444" s="13" t="n">
        <x:v>0.2664335143292849</x:v>
      </x:c>
      <x:c r="N1444" s="13" t="n">
        <x:f>H1444/G1444</x:f>
        <x:v>0.025041454459762233</x:v>
      </x:c>
      <x:c r="O1444" s="13" t="n">
        <x:f>F1444/E1444</x:f>
        <x:v>0</x:v>
      </x:c>
      <x:c r="P1444" s="2" t="str">
        <x:f>IF(AND(E1444&gt;='Итоги'!$F$5,N1444&lt;='Итоги'!$B$5,O1444&gt;='Итоги'!$D$5),"Да","Нет")</x:f>
        <x:v>Нет</x:v>
      </x:c>
    </x:row>
    <x:row r="1445" ht="60" customHeight="1">
      <x:c r="A1445" s="14" t="str">
        <x:v>Строительство и ремонт (DIY)</x:v>
      </x:c>
      <x:c r="B1445" s="14" t="str">
        <x:v>Инструменты</x:v>
      </x:c>
      <x:c r="C1445" s="14" t="str">
        <x:v>Измерительный инструмент</x:v>
      </x:c>
      <x:c r="D1445" s="14" t="str">
        <x:v>Счетчик газа</x:v>
      </x:c>
      <x:c r="E1445" s="2" t="n">
        <x:v>35</x:v>
      </x:c>
      <x:c r="F1445" s="2" t="n">
        <x:v>0</x:v>
      </x:c>
      <x:c r="G1445" s="12" t="n">
        <x:v>7302480.0292</x:v>
      </x:c>
      <x:c r="H1445" s="12" t="n">
        <x:v>182904.76458837</x:v>
      </x:c>
      <x:c r="I1445" s="13" t="n">
        <x:v>0.0321942857142857</x:v>
      </x:c>
      <x:c r="J1445" s="2" t="n">
        <x:v>14</x:v>
      </x:c>
      <x:c r="K1445" s="2" t="n">
        <x:v>13</x:v>
      </x:c>
      <x:c r="L1445" s="12" t="n">
        <x:v>2511.24</x:v>
      </x:c>
      <x:c r="M1445" s="13" t="n">
        <x:v>0.3303317260238047</x:v>
      </x:c>
      <x:c r="N1445" s="13" t="n">
        <x:f>H1445/G1445</x:f>
        <x:v>0.025046938006950983</x:v>
      </x:c>
      <x:c r="O1445" s="13" t="n">
        <x:f>F1445/E1445</x:f>
        <x:v>0</x:v>
      </x:c>
      <x:c r="P1445" s="2" t="str">
        <x:f>IF(AND(E1445&gt;='Итоги'!$F$5,N1445&lt;='Итоги'!$B$5,O1445&gt;='Итоги'!$D$5),"Да","Нет")</x:f>
        <x:v>Нет</x:v>
      </x:c>
    </x:row>
    <x:row r="1446" ht="60" customHeight="1">
      <x:c r="A1446" s="14" t="str">
        <x:v>Товары для дома</x:v>
      </x:c>
      <x:c r="B1446" s="14" t="str">
        <x:v>Аксессуары для уборки и стирки</x:v>
      </x:c>
      <x:c r="C1446" s="14" t="str">
        <x:v>HoReCa</x:v>
      </x:c>
      <x:c r="D1446" s="14" t="str">
        <x:v>Протирочный нетканый материал для кухни</x:v>
      </x:c>
      <x:c r="E1446" s="2" t="n">
        <x:v>4</x:v>
      </x:c>
      <x:c r="F1446" s="2" t="n">
        <x:v>0</x:v>
      </x:c>
      <x:c r="G1446" s="12" t="n">
        <x:v>295678.6353</x:v>
      </x:c>
      <x:c r="H1446" s="12" t="n">
        <x:v>7407.22486767</x:v>
      </x:c>
      <x:c r="I1446" s="13" t="n">
        <x:v>0.026625</x:v>
      </x:c>
      <x:c r="J1446" s="2" t="n">
        <x:v>2</x:v>
      </x:c>
      <x:c r="K1446" s="2" t="n">
        <x:v>2</x:v>
      </x:c>
      <x:c r="L1446" s="12" t="n">
        <x:v>1307.5</x:v>
      </x:c>
      <x:c r="M1446" s="13" t="n">
        <x:v>0.935916912019108</x:v>
      </x:c>
      <x:c r="N1446" s="13" t="n">
        <x:f>H1446/G1446</x:f>
        <x:v>0.02505160665448323</x:v>
      </x:c>
      <x:c r="O1446" s="13" t="n">
        <x:f>F1446/E1446</x:f>
        <x:v>0</x:v>
      </x:c>
      <x:c r="P1446" s="2" t="str">
        <x:f>IF(AND(E1446&gt;='Итоги'!$F$5,N1446&lt;='Итоги'!$B$5,O1446&gt;='Итоги'!$D$5),"Да","Нет")</x:f>
        <x:v>Нет</x:v>
      </x:c>
    </x:row>
    <x:row r="1447" ht="60" customHeight="1">
      <x:c r="A1447" s="14" t="str">
        <x:v>Детская одежда</x:v>
      </x:c>
      <x:c r="B1447" s="14" t="str">
        <x:v>Детская одежда</x:v>
      </x:c>
      <x:c r="C1447" s="14" t="str">
        <x:v>Одежда для девочки</x:v>
      </x:c>
      <x:c r="D1447" s="14" t="str">
        <x:v>Брюки для девочки</x:v>
      </x:c>
      <x:c r="E1447" s="2" t="n">
        <x:v>99</x:v>
      </x:c>
      <x:c r="F1447" s="2" t="n">
        <x:v>0</x:v>
      </x:c>
      <x:c r="G1447" s="12" t="n">
        <x:v>10638589.4269</x:v>
      </x:c>
      <x:c r="H1447" s="12" t="n">
        <x:v>267010.1648326</x:v>
      </x:c>
      <x:c r="I1447" s="13" t="n">
        <x:v>0.0250959595959596</x:v>
      </x:c>
      <x:c r="J1447" s="2" t="n">
        <x:v>37</x:v>
      </x:c>
      <x:c r="K1447" s="2" t="n">
        <x:v>18</x:v>
      </x:c>
      <x:c r="L1447" s="12" t="n">
        <x:v>1033.1167</x:v>
      </x:c>
      <x:c r="M1447" s="13" t="n">
        <x:v>0.377652370937556</x:v>
      </x:c>
      <x:c r="N1447" s="13" t="n">
        <x:f>H1447/G1447</x:f>
        <x:v>0.025098267647913605</x:v>
      </x:c>
      <x:c r="O1447" s="13" t="n">
        <x:f>F1447/E1447</x:f>
        <x:v>0</x:v>
      </x:c>
      <x:c r="P1447" s="2" t="str">
        <x:f>IF(AND(E1447&gt;='Итоги'!$F$5,N1447&lt;='Итоги'!$B$5,O1447&gt;='Итоги'!$D$5),"Да","Нет")</x:f>
        <x:v>Нет</x:v>
      </x:c>
    </x:row>
    <x:row r="1448" ht="60" customHeight="1">
      <x:c r="A1448" s="14" t="str">
        <x:v>Одежда</x:v>
      </x:c>
      <x:c r="B1448" s="14" t="str">
        <x:v>Основная одежда женская</x:v>
      </x:c>
      <x:c r="C1448" s="14" t="str">
        <x:v>Основная одежда женская верха</x:v>
      </x:c>
      <x:c r="D1448" s="14" t="str">
        <x:v>Комбинезон женский</x:v>
      </x:c>
      <x:c r="E1448" s="2" t="n">
        <x:v>1121</x:v>
      </x:c>
      <x:c r="F1448" s="2" t="n">
        <x:v>0</x:v>
      </x:c>
      <x:c r="G1448" s="12" t="n">
        <x:v>96839684.605</x:v>
      </x:c>
      <x:c r="H1448" s="12" t="n">
        <x:v>2436522.10004847</x:v>
      </x:c>
      <x:c r="I1448" s="13" t="n">
        <x:v>0.0203784121320249</x:v>
      </x:c>
      <x:c r="J1448" s="2" t="n">
        <x:v>675</x:v>
      </x:c>
      <x:c r="K1448" s="2" t="n">
        <x:v>90</x:v>
      </x:c>
      <x:c r="L1448" s="12" t="n">
        <x:v>3049.9825</x:v>
      </x:c>
      <x:c r="M1448" s="13" t="n">
        <x:v>0.4645330545136589</x:v>
      </x:c>
      <x:c r="N1448" s="13" t="n">
        <x:f>H1448/G1448</x:f>
        <x:v>0.025160367983299566</x:v>
      </x:c>
      <x:c r="O1448" s="13" t="n">
        <x:f>F1448/E1448</x:f>
        <x:v>0</x:v>
      </x:c>
      <x:c r="P1448" s="2" t="str">
        <x:f>IF(AND(E1448&gt;='Итоги'!$F$5,N1448&lt;='Итоги'!$B$5,O1448&gt;='Итоги'!$D$5),"Да","Нет")</x:f>
        <x:v>Нет</x:v>
      </x:c>
    </x:row>
    <x:row r="1449" ht="60" customHeight="1">
      <x:c r="A1449" s="14" t="str">
        <x:v>Бакалея и кондитерские изделия</x:v>
      </x:c>
      <x:c r="B1449" s="14" t="str">
        <x:v>Бакалея</x:v>
      </x:c>
      <x:c r="C1449" s="14" t="str">
        <x:v>Приправы, специи, травы</x:v>
      </x:c>
      <x:c r="D1449" s="14" t="str">
        <x:v>Желатин пищевой</x:v>
      </x:c>
      <x:c r="E1449" s="2" t="n">
        <x:v>9</x:v>
      </x:c>
      <x:c r="F1449" s="2" t="n">
        <x:v>0</x:v>
      </x:c>
      <x:c r="G1449" s="12" t="n">
        <x:v>1360152.3571</x:v>
      </x:c>
      <x:c r="H1449" s="12" t="n">
        <x:v>34222.22523668</x:v>
      </x:c>
      <x:c r="I1449" s="13" t="n">
        <x:v>0.0252888888888888</x:v>
      </x:c>
      <x:c r="J1449" s="2" t="n">
        <x:v>6</x:v>
      </x:c>
      <x:c r="K1449" s="2" t="n">
        <x:v>5</x:v>
      </x:c>
      <x:c r="L1449" s="12" t="n">
        <x:v>1025.2466</x:v>
      </x:c>
      <x:c r="M1449" s="13" t="n">
        <x:v>0.5096232638069367</x:v>
      </x:c>
      <x:c r="N1449" s="13" t="n">
        <x:f>H1449/G1449</x:f>
        <x:v>0.02516058223774702</x:v>
      </x:c>
      <x:c r="O1449" s="13" t="n">
        <x:f>F1449/E1449</x:f>
        <x:v>0</x:v>
      </x:c>
      <x:c r="P1449" s="2" t="str">
        <x:f>IF(AND(E1449&gt;='Итоги'!$F$5,N1449&lt;='Итоги'!$B$5,O1449&gt;='Итоги'!$D$5),"Да","Нет")</x:f>
        <x:v>Нет</x:v>
      </x:c>
    </x:row>
    <x:row r="1450" ht="60" customHeight="1">
      <x:c r="A1450" s="14" t="str">
        <x:v>Книги</x:v>
      </x:c>
      <x:c r="B1450" s="14" t="str">
        <x:v>Печатные книги: Нехудожественная литература</x:v>
      </x:c>
      <x:c r="C1450" s="14" t="str">
        <x:v>Печатная книга: История, искусство, культура</x:v>
      </x:c>
      <x:c r="D1450" s="14" t="str">
        <x:v>Печатная книга: История, искусство, культура</x:v>
      </x:c>
      <x:c r="E1450" s="2" t="n">
        <x:v>33</x:v>
      </x:c>
      <x:c r="F1450" s="2" t="n">
        <x:v>0</x:v>
      </x:c>
      <x:c r="G1450" s="12" t="n">
        <x:v>1831269.1497</x:v>
      </x:c>
      <x:c r="H1450" s="12" t="n">
        <x:v>46081.88179276</x:v>
      </x:c>
      <x:c r="I1450" s="13" t="n">
        <x:v>0.0189636363636363</x:v>
      </x:c>
      <x:c r="J1450" s="2" t="n">
        <x:v>21</x:v>
      </x:c>
      <x:c r="K1450" s="2" t="n">
        <x:v>18</x:v>
      </x:c>
      <x:c r="L1450" s="12" t="n">
        <x:v>2049.8</x:v>
      </x:c>
      <x:c r="M1450" s="13" t="n">
        <x:v>0.3976673338374647</x:v>
      </x:c>
      <x:c r="N1450" s="13" t="n">
        <x:f>H1450/G1450</x:f>
        <x:v>0.02516390438855434</x:v>
      </x:c>
      <x:c r="O1450" s="13" t="n">
        <x:f>F1450/E1450</x:f>
        <x:v>0</x:v>
      </x:c>
      <x:c r="P1450" s="2" t="str">
        <x:f>IF(AND(E1450&gt;='Итоги'!$F$5,N1450&lt;='Итоги'!$B$5,O1450&gt;='Итоги'!$D$5),"Да","Нет")</x:f>
        <x:v>Нет</x:v>
      </x:c>
    </x:row>
    <x:row r="1451" ht="60" customHeight="1">
      <x:c r="A1451" s="14" t="str">
        <x:v>Детская одежда</x:v>
      </x:c>
      <x:c r="B1451" s="14" t="str">
        <x:v>Детская обувь</x:v>
      </x:c>
      <x:c r="C1451" s="14" t="str">
        <x:v>Обувь для девочки</x:v>
      </x:c>
      <x:c r="D1451" s="14" t="str">
        <x:v>Лоферы для девочки</x:v>
      </x:c>
      <x:c r="E1451" s="2" t="n">
        <x:v>54</x:v>
      </x:c>
      <x:c r="F1451" s="2" t="n">
        <x:v>0</x:v>
      </x:c>
      <x:c r="G1451" s="12" t="n">
        <x:v>4234167.5539</x:v>
      </x:c>
      <x:c r="H1451" s="12" t="n">
        <x:v>106646.58331098</x:v>
      </x:c>
      <x:c r="I1451" s="13" t="n">
        <x:v>0.0257129629629629</x:v>
      </x:c>
      <x:c r="J1451" s="2" t="n">
        <x:v>22</x:v>
      </x:c>
      <x:c r="K1451" s="2" t="n">
        <x:v>8</x:v>
      </x:c>
      <x:c r="L1451" s="12" t="n">
        <x:v>1746.81405</x:v>
      </x:c>
      <x:c r="M1451" s="13" t="n">
        <x:v>0.290370842520758</x:v>
      </x:c>
      <x:c r="N1451" s="13" t="n">
        <x:f>H1451/G1451</x:f>
        <x:v>0.0251871429161442</x:v>
      </x:c>
      <x:c r="O1451" s="13" t="n">
        <x:f>F1451/E1451</x:f>
        <x:v>0</x:v>
      </x:c>
      <x:c r="P1451" s="2" t="str">
        <x:f>IF(AND(E1451&gt;='Итоги'!$F$5,N1451&lt;='Итоги'!$B$5,O1451&gt;='Итоги'!$D$5),"Да","Нет")</x:f>
        <x:v>Нет</x:v>
      </x:c>
    </x:row>
    <x:row r="1452" ht="60" customHeight="1">
      <x:c r="A1452" s="14" t="str">
        <x:v>Школьные принадлежности и канцелярия</x:v>
      </x:c>
      <x:c r="B1452" s="14" t="str">
        <x:v>Товары для школы, канцелярия, оборудование</x:v>
      </x:c>
      <x:c r="C1452" s="14" t="str">
        <x:v>Бумага офисная и бумажная продукция</x:v>
      </x:c>
      <x:c r="D1452" s="14" t="str">
        <x:v>Кассовая лента</x:v>
      </x:c>
      <x:c r="E1452" s="2" t="n">
        <x:v>13</x:v>
      </x:c>
      <x:c r="F1452" s="2" t="n">
        <x:v>0</x:v>
      </x:c>
      <x:c r="G1452" s="12" t="n">
        <x:v>1171691.83</x:v>
      </x:c>
      <x:c r="H1452" s="12" t="n">
        <x:v>29532.171699</x:v>
      </x:c>
      <x:c r="I1452" s="13" t="n">
        <x:v>0.0261307692307692</x:v>
      </x:c>
      <x:c r="J1452" s="2" t="n">
        <x:v>3</x:v>
      </x:c>
      <x:c r="K1452" s="2" t="n">
        <x:v>5</x:v>
      </x:c>
      <x:c r="L1452" s="12" t="n">
        <x:v>2479.875</x:v>
      </x:c>
      <x:c r="M1452" s="13" t="n">
        <x:v>0.2814161467695819</x:v>
      </x:c>
      <x:c r="N1452" s="13" t="n">
        <x:f>H1452/G1452</x:f>
        <x:v>0.025204726142880076</x:v>
      </x:c>
      <x:c r="O1452" s="13" t="n">
        <x:f>F1452/E1452</x:f>
        <x:v>0</x:v>
      </x:c>
      <x:c r="P1452" s="2" t="str">
        <x:f>IF(AND(E1452&gt;='Итоги'!$F$5,N1452&lt;='Итоги'!$B$5,O1452&gt;='Итоги'!$D$5),"Да","Нет")</x:f>
        <x:v>Нет</x:v>
      </x:c>
    </x:row>
    <x:row r="1453" ht="60" customHeight="1">
      <x:c r="A1453" s="14" t="str">
        <x:v>Строительство и ремонт (DIY)</x:v>
      </x:c>
      <x:c r="B1453" s="14" t="str">
        <x:v>Фильтры для воды</x:v>
      </x:c>
      <x:c r="C1453" s="14" t="str">
        <x:v>Фильтры для воды</x:v>
      </x:c>
      <x:c r="D1453" s="14" t="str">
        <x:v>Картридж, модуль для водного фильтра</x:v>
      </x:c>
      <x:c r="E1453" s="2" t="n">
        <x:v>430</x:v>
      </x:c>
      <x:c r="F1453" s="2" t="n">
        <x:v>0</x:v>
      </x:c>
      <x:c r="G1453" s="12" t="n">
        <x:v>92364765.3928</x:v>
      </x:c>
      <x:c r="H1453" s="12" t="n">
        <x:v>2331331.0333602</x:v>
      </x:c>
      <x:c r="I1453" s="13" t="n">
        <x:v>0.030413488372093</x:v>
      </x:c>
      <x:c r="J1453" s="2" t="n">
        <x:v>266</x:v>
      </x:c>
      <x:c r="K1453" s="2" t="n">
        <x:v>55</x:v>
      </x:c>
      <x:c r="L1453" s="12" t="n">
        <x:v>2440.6413</x:v>
      </x:c>
      <x:c r="M1453" s="13" t="n">
        <x:v>0.4363093700462257</x:v>
      </x:c>
      <x:c r="N1453" s="13" t="n">
        <x:f>H1453/G1453</x:f>
        <x:v>0.02524048021391858</x:v>
      </x:c>
      <x:c r="O1453" s="13" t="n">
        <x:f>F1453/E1453</x:f>
        <x:v>0</x:v>
      </x:c>
      <x:c r="P1453" s="2" t="str">
        <x:f>IF(AND(E1453&gt;='Итоги'!$F$5,N1453&lt;='Итоги'!$B$5,O1453&gt;='Итоги'!$D$5),"Да","Нет")</x:f>
        <x:v>Нет</x:v>
      </x:c>
    </x:row>
    <x:row r="1454" ht="60" customHeight="1">
      <x:c r="A1454" s="14" t="str">
        <x:v>Аудио и видеотехника</x:v>
      </x:c>
      <x:c r="B1454" s="14" t="str">
        <x:v>Система безопасности TV&amp;Audio</x:v>
      </x:c>
      <x:c r="C1454" s="14" t="str">
        <x:v>Сигнализация TV&amp;Audio</x:v>
      </x:c>
      <x:c r="D1454" s="14" t="str">
        <x:v>Сигнализация для дома</x:v>
      </x:c>
      <x:c r="E1454" s="2" t="n">
        <x:v>19</x:v>
      </x:c>
      <x:c r="F1454" s="2" t="n">
        <x:v>0</x:v>
      </x:c>
      <x:c r="G1454" s="12" t="n">
        <x:v>2371363.0633</x:v>
      </x:c>
      <x:c r="H1454" s="12" t="n">
        <x:v>59964.3541</x:v>
      </x:c>
      <x:c r="I1454" s="13" t="n">
        <x:v>0.0276157894736842</x:v>
      </x:c>
      <x:c r="J1454" s="2" t="n">
        <x:v>11</x:v>
      </x:c>
      <x:c r="K1454" s="2" t="n">
        <x:v>7</x:v>
      </x:c>
      <x:c r="L1454" s="12" t="n">
        <x:v>4251.1379</x:v>
      </x:c>
      <x:c r="M1454" s="13" t="n">
        <x:v>0.2931330974821969</x:v>
      </x:c>
      <x:c r="N1454" s="13" t="n">
        <x:f>H1454/G1454</x:f>
        <x:v>0.025286871937928102</x:v>
      </x:c>
      <x:c r="O1454" s="13" t="n">
        <x:f>F1454/E1454</x:f>
        <x:v>0</x:v>
      </x:c>
      <x:c r="P1454" s="2" t="str">
        <x:f>IF(AND(E1454&gt;='Итоги'!$F$5,N1454&lt;='Итоги'!$B$5,O1454&gt;='Итоги'!$D$5),"Да","Нет")</x:f>
        <x:v>Нет</x:v>
      </x:c>
    </x:row>
    <x:row r="1455" ht="60" customHeight="1">
      <x:c r="A1455" s="14" t="str">
        <x:v>Строительство и ремонт (DIY)</x:v>
      </x:c>
      <x:c r="B1455" s="14" t="str">
        <x:v>Ремонт и строительство</x:v>
      </x:c>
      <x:c r="C1455" s="14" t="str">
        <x:v>Электротовары</x:v>
      </x:c>
      <x:c r="D1455" s="14" t="str">
        <x:v>Изолента</x:v>
      </x:c>
      <x:c r="E1455" s="2" t="n">
        <x:v>4</x:v>
      </x:c>
      <x:c r="F1455" s="2" t="n">
        <x:v>0</x:v>
      </x:c>
      <x:c r="G1455" s="12" t="n">
        <x:v>564395.9310999999</x:v>
      </x:c>
      <x:c r="H1455" s="12" t="n">
        <x:v>14273.79419828</x:v>
      </x:c>
      <x:c r="I1455" s="13" t="n">
        <x:v>0.0362</x:v>
      </x:c>
      <x:c r="J1455" s="2" t="n">
        <x:v>1</x:v>
      </x:c>
      <x:c r="K1455" s="2" t="n">
        <x:v>4</x:v>
      </x:c>
      <x:c r="L1455" s="12" t="n">
        <x:v>1103.8184</x:v>
      </x:c>
      <x:c r="M1455" s="13" t="n">
        <x:v>0.5597304794247834</x:v>
      </x:c>
      <x:c r="N1455" s="13" t="n">
        <x:f>H1455/G1455</x:f>
        <x:v>0.025290391747616908</x:v>
      </x:c>
      <x:c r="O1455" s="13" t="n">
        <x:f>F1455/E1455</x:f>
        <x:v>0</x:v>
      </x:c>
      <x:c r="P1455" s="2" t="str">
        <x:f>IF(AND(E1455&gt;='Итоги'!$F$5,N1455&lt;='Итоги'!$B$5,O1455&gt;='Итоги'!$D$5),"Да","Нет")</x:f>
        <x:v>Нет</x:v>
      </x:c>
    </x:row>
    <x:row r="1456" ht="60" customHeight="1">
      <x:c r="A1456" s="14" t="str">
        <x:v>Автотовары</x:v>
      </x:c>
      <x:c r="B1456" s="14" t="str">
        <x:v>Электронные устройства для авто</x:v>
      </x:c>
      <x:c r="C1456" s="14" t="str">
        <x:v>Автоэлектроника</x:v>
      </x:c>
      <x:c r="D1456" s="14" t="str">
        <x:v>Автомобильный GPS навигатор</x:v>
      </x:c>
      <x:c r="E1456" s="2" t="n">
        <x:v>10</x:v>
      </x:c>
      <x:c r="F1456" s="2" t="n">
        <x:v>0</x:v>
      </x:c>
      <x:c r="G1456" s="12" t="n">
        <x:v>1298285.4206</x:v>
      </x:c>
      <x:c r="H1456" s="12" t="n">
        <x:v>32843.32784508</x:v>
      </x:c>
      <x:c r="I1456" s="13" t="n">
        <x:v>0.02095</x:v>
      </x:c>
      <x:c r="J1456" s="2" t="n">
        <x:v>8</x:v>
      </x:c>
      <x:c r="K1456" s="2" t="n">
        <x:v>5</x:v>
      </x:c>
      <x:c r="L1456" s="12" t="n">
        <x:v>7052.35485</x:v>
      </x:c>
      <x:c r="M1456" s="13" t="n">
        <x:v>0.5318849992791793</x:v>
      </x:c>
      <x:c r="N1456" s="13" t="n">
        <x:f>H1456/G1456</x:f>
        <x:v>0.02529746334970127</x:v>
      </x:c>
      <x:c r="O1456" s="13" t="n">
        <x:f>F1456/E1456</x:f>
        <x:v>0</x:v>
      </x:c>
      <x:c r="P1456" s="2" t="str">
        <x:f>IF(AND(E1456&gt;='Итоги'!$F$5,N1456&lt;='Итоги'!$B$5,O1456&gt;='Итоги'!$D$5),"Да","Нет")</x:f>
        <x:v>Нет</x:v>
      </x:c>
    </x:row>
    <x:row r="1457" ht="60" customHeight="1">
      <x:c r="A1457" s="14" t="str">
        <x:v>Спорт и отдых</x:v>
      </x:c>
      <x:c r="B1457" s="14" t="str">
        <x:v>Водные виды спорта</x:v>
      </x:c>
      <x:c r="C1457" s="14" t="str">
        <x:v>Отдых на воде</x:v>
      </x:c>
      <x:c r="D1457" s="14" t="str">
        <x:v>Средства безопасности и спасения на воде</x:v>
      </x:c>
      <x:c r="E1457" s="2" t="n">
        <x:v>11</x:v>
      </x:c>
      <x:c r="F1457" s="2" t="n">
        <x:v>0</x:v>
      </x:c>
      <x:c r="G1457" s="12" t="n">
        <x:v>1896780.8639</x:v>
      </x:c>
      <x:c r="H1457" s="12" t="n">
        <x:v>48036.88303325</x:v>
      </x:c>
      <x:c r="I1457" s="13" t="n">
        <x:v>0.0202545454545454</x:v>
      </x:c>
      <x:c r="J1457" s="2" t="n">
        <x:v>8</x:v>
      </x:c>
      <x:c r="K1457" s="2" t="n">
        <x:v>6</x:v>
      </x:c>
      <x:c r="L1457" s="12" t="n">
        <x:v>2016.7872</x:v>
      </x:c>
      <x:c r="M1457" s="13" t="n">
        <x:v>0.4562237823407429</x:v>
      </x:c>
      <x:c r="N1457" s="13" t="n">
        <x:f>H1457/G1457</x:f>
        <x:v>0.025325478523903197</x:v>
      </x:c>
      <x:c r="O1457" s="13" t="n">
        <x:f>F1457/E1457</x:f>
        <x:v>0</x:v>
      </x:c>
      <x:c r="P1457" s="2" t="str">
        <x:f>IF(AND(E1457&gt;='Итоги'!$F$5,N1457&lt;='Итоги'!$B$5,O1457&gt;='Итоги'!$D$5),"Да","Нет")</x:f>
        <x:v>Нет</x:v>
      </x:c>
    </x:row>
    <x:row r="1458" ht="60" customHeight="1">
      <x:c r="A1458" s="14" t="str">
        <x:v>Спорт и отдых</x:v>
      </x:c>
      <x:c r="B1458" s="14" t="str">
        <x:v>Водные виды спорта</x:v>
      </x:c>
      <x:c r="C1458" s="14" t="str">
        <x:v>Плавание</x:v>
      </x:c>
      <x:c r="D1458" s="14" t="str">
        <x:v>Матрас надувной для плавания</x:v>
      </x:c>
      <x:c r="E1458" s="2" t="n">
        <x:v>28</x:v>
      </x:c>
      <x:c r="F1458" s="2" t="n">
        <x:v>0</x:v>
      </x:c>
      <x:c r="G1458" s="12" t="n">
        <x:v>3625911.9892</x:v>
      </x:c>
      <x:c r="H1458" s="12" t="n">
        <x:v>92078.29337412</x:v>
      </x:c>
      <x:c r="I1458" s="13" t="n">
        <x:v>0.0263428571428571</x:v>
      </x:c>
      <x:c r="J1458" s="2" t="n">
        <x:v>13</x:v>
      </x:c>
      <x:c r="K1458" s="2" t="n">
        <x:v>11</x:v>
      </x:c>
      <x:c r="L1458" s="12" t="n">
        <x:v>1670.68745</x:v>
      </x:c>
      <x:c r="M1458" s="13" t="n">
        <x:v>0.3641461441791137</x:v>
      </x:c>
      <x:c r="N1458" s="13" t="n">
        <x:f>H1458/G1458</x:f>
        <x:v>0.025394519681774076</x:v>
      </x:c>
      <x:c r="O1458" s="13" t="n">
        <x:f>F1458/E1458</x:f>
        <x:v>0</x:v>
      </x:c>
      <x:c r="P1458" s="2" t="str">
        <x:f>IF(AND(E1458&gt;='Итоги'!$F$5,N1458&lt;='Итоги'!$B$5,O1458&gt;='Итоги'!$D$5),"Да","Нет")</x:f>
        <x:v>Нет</x:v>
      </x:c>
    </x:row>
    <x:row r="1459" ht="60" customHeight="1">
      <x:c r="A1459" s="14" t="str">
        <x:v>Одежда</x:v>
      </x:c>
      <x:c r="B1459" s="14" t="str">
        <x:v>Спецодежда и одежда для мероприятий</x:v>
      </x:c>
      <x:c r="C1459" s="14" t="str">
        <x:v>Спецодежда мужская</x:v>
      </x:c>
      <x:c r="D1459" s="14" t="str">
        <x:v>Рабочий костюм мужской</x:v>
      </x:c>
      <x:c r="E1459" s="2" t="n">
        <x:v>138</x:v>
      </x:c>
      <x:c r="F1459" s="2" t="n">
        <x:v>0</x:v>
      </x:c>
      <x:c r="G1459" s="12" t="n">
        <x:v>16267944.3775</x:v>
      </x:c>
      <x:c r="H1459" s="12" t="n">
        <x:v>414106.66124133</x:v>
      </x:c>
      <x:c r="I1459" s="13" t="n">
        <x:v>0.025131884057971</x:v>
      </x:c>
      <x:c r="J1459" s="2" t="n">
        <x:v>67</x:v>
      </x:c>
      <x:c r="K1459" s="2" t="n">
        <x:v>20</x:v>
      </x:c>
      <x:c r="L1459" s="12" t="n">
        <x:v>1948.59685</x:v>
      </x:c>
      <x:c r="M1459" s="13" t="n">
        <x:v>0.5072704541646691</x:v>
      </x:c>
      <x:c r="N1459" s="13" t="n">
        <x:f>H1459/G1459</x:f>
        <x:v>0.025455377251847256</x:v>
      </x:c>
      <x:c r="O1459" s="13" t="n">
        <x:f>F1459/E1459</x:f>
        <x:v>0</x:v>
      </x:c>
      <x:c r="P1459" s="2" t="str">
        <x:f>IF(AND(E1459&gt;='Итоги'!$F$5,N1459&lt;='Итоги'!$B$5,O1459&gt;='Итоги'!$D$5),"Да","Нет")</x:f>
        <x:v>Нет</x:v>
      </x:c>
    </x:row>
    <x:row r="1460" ht="60" customHeight="1">
      <x:c r="A1460" s="14" t="str">
        <x:v>Спорт и отдых</x:v>
      </x:c>
      <x:c r="B1460" s="14" t="str">
        <x:v>Всесезонные виды спорта</x:v>
      </x:c>
      <x:c r="C1460" s="14" t="str">
        <x:v>Бег</x:v>
      </x:c>
      <x:c r="D1460" s="14" t="str">
        <x:v>Жилет для бега</x:v>
      </x:c>
      <x:c r="E1460" s="2" t="n">
        <x:v>1</x:v>
      </x:c>
      <x:c r="F1460" s="2" t="n">
        <x:v>0</x:v>
      </x:c>
      <x:c r="G1460" s="12" t="n">
        <x:v>10653</x:v>
      </x:c>
      <x:c r="H1460" s="12" t="n">
        <x:v>271.6515</x:v>
      </x:c>
      <x:c r="I1460" s="13" t="n">
        <x:v>0.0255</x:v>
      </x:c>
      <x:c r="J1460" s="2" t="n">
        <x:v>0</x:v>
      </x:c>
      <x:c r="K1460" s="2" t="n">
        <x:v>1</x:v>
      </x:c>
      <x:c r="L1460" s="12" t="n">
        <x:v>5326.5</x:v>
      </x:c>
      <x:c r="M1460" s="13" t="n">
        <x:v>1</x:v>
      </x:c>
      <x:c r="N1460" s="13" t="n">
        <x:f>H1460/G1460</x:f>
        <x:v>0.0255</x:v>
      </x:c>
      <x:c r="O1460" s="13" t="n">
        <x:f>F1460/E1460</x:f>
        <x:v>0</x:v>
      </x:c>
      <x:c r="P1460" s="2" t="str">
        <x:f>IF(AND(E1460&gt;='Итоги'!$F$5,N1460&lt;='Итоги'!$B$5,O1460&gt;='Итоги'!$D$5),"Да","Нет")</x:f>
        <x:v>Нет</x:v>
      </x:c>
    </x:row>
    <x:row r="1461" ht="60" customHeight="1">
      <x:c r="A1461" s="14" t="str">
        <x:v>Строительство и ремонт (DIY)</x:v>
      </x:c>
      <x:c r="B1461" s="14" t="str">
        <x:v>Ремонт и строительство</x:v>
      </x:c>
      <x:c r="C1461" s="14" t="str">
        <x:v>Изоляционные материалы</x:v>
      </x:c>
      <x:c r="D1461" s="14" t="str">
        <x:v>Лента для изоляционного материала</x:v>
      </x:c>
      <x:c r="E1461" s="2" t="n">
        <x:v>50</x:v>
      </x:c>
      <x:c r="F1461" s="2" t="n">
        <x:v>0</x:v>
      </x:c>
      <x:c r="G1461" s="12" t="n">
        <x:v>12116629.5758</x:v>
      </x:c>
      <x:c r="H1461" s="12" t="n">
        <x:v>309606.85064309003</x:v>
      </x:c>
      <x:c r="I1461" s="13" t="n">
        <x:v>0.026906</x:v>
      </x:c>
      <x:c r="J1461" s="2" t="n">
        <x:v>9</x:v>
      </x:c>
      <x:c r="K1461" s="2" t="n">
        <x:v>12</x:v>
      </x:c>
      <x:c r="L1461" s="12" t="n">
        <x:v>2051.52895</x:v>
      </x:c>
      <x:c r="M1461" s="13" t="n">
        <x:v>0.5591984793058792</x:v>
      </x:c>
      <x:c r="N1461" s="13" t="n">
        <x:f>H1461/G1461</x:f>
        <x:v>0.02555222545232</x:v>
      </x:c>
      <x:c r="O1461" s="13" t="n">
        <x:f>F1461/E1461</x:f>
        <x:v>0</x:v>
      </x:c>
      <x:c r="P1461" s="2" t="str">
        <x:f>IF(AND(E1461&gt;='Итоги'!$F$5,N1461&lt;='Итоги'!$B$5,O1461&gt;='Итоги'!$D$5),"Да","Нет")</x:f>
        <x:v>Нет</x:v>
      </x:c>
    </x:row>
    <x:row r="1462" ht="60" customHeight="1">
      <x:c r="A1462" s="14" t="str">
        <x:v>Автотовары</x:v>
      </x:c>
      <x:c r="B1462" s="14" t="str">
        <x:v>Авто и мото запчасти</x:v>
      </x:c>
      <x:c r="C1462" s="14" t="str">
        <x:v>Электрооборудование автомобиля</x:v>
      </x:c>
      <x:c r="D1462" s="14" t="str">
        <x:v>Стартер автомобильный и составляющие</x:v>
      </x:c>
      <x:c r="E1462" s="2" t="n">
        <x:v>59</x:v>
      </x:c>
      <x:c r="F1462" s="2" t="n">
        <x:v>0</x:v>
      </x:c>
      <x:c r="G1462" s="12" t="n">
        <x:v>9107912.9674</x:v>
      </x:c>
      <x:c r="H1462" s="12" t="n">
        <x:v>232883.5572341</x:v>
      </x:c>
      <x:c r="I1462" s="13" t="n">
        <x:v>0.0202050847457627</x:v>
      </x:c>
      <x:c r="J1462" s="2" t="n">
        <x:v>34</x:v>
      </x:c>
      <x:c r="K1462" s="2" t="n">
        <x:v>15</x:v>
      </x:c>
      <x:c r="L1462" s="12" t="n">
        <x:v>4401.7516</x:v>
      </x:c>
      <x:c r="M1462" s="13" t="n">
        <x:v>0.6061741323902936</x:v>
      </x:c>
      <x:c r="N1462" s="13" t="n">
        <x:f>H1462/G1462</x:f>
        <x:v>0.02556936567879616</x:v>
      </x:c>
      <x:c r="O1462" s="13" t="n">
        <x:f>F1462/E1462</x:f>
        <x:v>0</x:v>
      </x:c>
      <x:c r="P1462" s="2" t="str">
        <x:f>IF(AND(E1462&gt;='Итоги'!$F$5,N1462&lt;='Итоги'!$B$5,O1462&gt;='Итоги'!$D$5),"Да","Нет")</x:f>
        <x:v>Нет</x:v>
      </x:c>
    </x:row>
    <x:row r="1463" ht="60" customHeight="1">
      <x:c r="A1463" s="14" t="str">
        <x:v>Одежда</x:v>
      </x:c>
      <x:c r="B1463" s="14" t="str">
        <x:v>Основная одежда женская</x:v>
      </x:c>
      <x:c r="C1463" s="14" t="str">
        <x:v>Пляжная одежда женская</x:v>
      </x:c>
      <x:c r="D1463" s="14" t="str">
        <x:v>Купальник слитный</x:v>
      </x:c>
      <x:c r="E1463" s="2" t="n">
        <x:v>1474</x:v>
      </x:c>
      <x:c r="F1463" s="2" t="n">
        <x:v>0</x:v>
      </x:c>
      <x:c r="G1463" s="12" t="n">
        <x:v>190083895.7373</x:v>
      </x:c>
      <x:c r="H1463" s="12" t="n">
        <x:v>4869163.07135062</x:v>
      </x:c>
      <x:c r="I1463" s="13" t="n">
        <x:v>0.0274647218453188</x:v>
      </x:c>
      <x:c r="J1463" s="2" t="n">
        <x:v>762</x:v>
      </x:c>
      <x:c r="K1463" s="2" t="n">
        <x:v>119</x:v>
      </x:c>
      <x:c r="L1463" s="12" t="n">
        <x:v>1798.23865</x:v>
      </x:c>
      <x:c r="M1463" s="13" t="n">
        <x:v>0.5944560122450541</x:v>
      </x:c>
      <x:c r="N1463" s="13" t="n">
        <x:f>H1463/G1463</x:f>
        <x:v>0.02561586320852718</x:v>
      </x:c>
      <x:c r="O1463" s="13" t="n">
        <x:f>F1463/E1463</x:f>
        <x:v>0</x:v>
      </x:c>
      <x:c r="P1463" s="2" t="str">
        <x:f>IF(AND(E1463&gt;='Итоги'!$F$5,N1463&lt;='Итоги'!$B$5,O1463&gt;='Итоги'!$D$5),"Да","Нет")</x:f>
        <x:v>Нет</x:v>
      </x:c>
    </x:row>
    <x:row r="1464" ht="60" customHeight="1">
      <x:c r="A1464" s="14" t="str">
        <x:v>Детская одежда</x:v>
      </x:c>
      <x:c r="B1464" s="14" t="str">
        <x:v>Детская одежда</x:v>
      </x:c>
      <x:c r="C1464" s="14" t="str">
        <x:v>Карнавальные костюмы детские</x:v>
      </x:c>
      <x:c r="D1464" s="14" t="str">
        <x:v>Карнавальный костюм для девочки</x:v>
      </x:c>
      <x:c r="E1464" s="2" t="n">
        <x:v>5</x:v>
      </x:c>
      <x:c r="F1464" s="2" t="n">
        <x:v>0</x:v>
      </x:c>
      <x:c r="G1464" s="12" t="n">
        <x:v>485892.2404</x:v>
      </x:c>
      <x:c r="H1464" s="12" t="n">
        <x:v>12454.73004884</x:v>
      </x:c>
      <x:c r="I1464" s="13" t="n">
        <x:v>0.02286</x:v>
      </x:c>
      <x:c r="J1464" s="2" t="n">
        <x:v>2</x:v>
      </x:c>
      <x:c r="K1464" s="2" t="n">
        <x:v>3</x:v>
      </x:c>
      <x:c r="L1464" s="12" t="n">
        <x:v>1445.5403</x:v>
      </x:c>
      <x:c r="M1464" s="13" t="n">
        <x:v>0.4820376629336268</x:v>
      </x:c>
      <x:c r="N1464" s="13" t="n">
        <x:f>H1464/G1464</x:f>
        <x:v>0.025632700037742772</x:v>
      </x:c>
      <x:c r="O1464" s="13" t="n">
        <x:f>F1464/E1464</x:f>
        <x:v>0</x:v>
      </x:c>
      <x:c r="P1464" s="2" t="str">
        <x:f>IF(AND(E1464&gt;='Итоги'!$F$5,N1464&lt;='Итоги'!$B$5,O1464&gt;='Итоги'!$D$5),"Да","Нет")</x:f>
        <x:v>Нет</x:v>
      </x:c>
    </x:row>
    <x:row r="1465" ht="60" customHeight="1">
      <x:c r="A1465" s="14" t="str">
        <x:v>Товары для красоты и здоровья</x:v>
      </x:c>
      <x:c r="B1465" s="14" t="str">
        <x:v>Косметика для ухода за кожей</x:v>
      </x:c>
      <x:c r="C1465" s="14" t="str">
        <x:v>Загар</x:v>
      </x:c>
      <x:c r="D1465" s="14" t="str">
        <x:v>Средство от солнечных ожогов</x:v>
      </x:c>
      <x:c r="E1465" s="2" t="n">
        <x:v>1</x:v>
      </x:c>
      <x:c r="F1465" s="2" t="n">
        <x:v>0</x:v>
      </x:c>
      <x:c r="G1465" s="12" t="n">
        <x:v>115255.12</x:v>
      </x:c>
      <x:c r="H1465" s="12" t="n">
        <x:v>2962.056584</x:v>
      </x:c>
      <x:c r="I1465" s="13" t="n">
        <x:v>0.0257</x:v>
      </x:c>
      <x:c r="J1465" s="2" t="n">
        <x:v>0</x:v>
      </x:c>
      <x:c r="K1465" s="2" t="n">
        <x:v>1</x:v>
      </x:c>
      <x:c r="L1465" s="12" t="n">
        <x:v>1623.3115</x:v>
      </x:c>
      <x:c r="M1465" s="13" t="n">
        <x:v>1</x:v>
      </x:c>
      <x:c r="N1465" s="13" t="n">
        <x:f>H1465/G1465</x:f>
        <x:v>0.0257</x:v>
      </x:c>
      <x:c r="O1465" s="13" t="n">
        <x:f>F1465/E1465</x:f>
        <x:v>0</x:v>
      </x:c>
      <x:c r="P1465" s="2" t="str">
        <x:f>IF(AND(E1465&gt;='Итоги'!$F$5,N1465&lt;='Итоги'!$B$5,O1465&gt;='Итоги'!$D$5),"Да","Нет")</x:f>
        <x:v>Нет</x:v>
      </x:c>
    </x:row>
    <x:row r="1466" ht="60" customHeight="1">
      <x:c r="A1466" s="14" t="str">
        <x:v>Аксессуары для электроники</x:v>
      </x:c>
      <x:c r="B1466" s="14" t="str">
        <x:v>Домашняя Аудио и Видеотехника Access</x:v>
      </x:c>
      <x:c r="C1466" s="14" t="str">
        <x:v>Аксессуар к TV и аудиотехнике Access</x:v>
      </x:c>
      <x:c r="D1466" s="14" t="str">
        <x:v>Передатчик, приемник аудиосигнала</x:v>
      </x:c>
      <x:c r="E1466" s="2" t="n">
        <x:v>1</x:v>
      </x:c>
      <x:c r="F1466" s="2" t="n">
        <x:v>0</x:v>
      </x:c>
      <x:c r="G1466" s="12" t="n">
        <x:v>204685</x:v>
      </x:c>
      <x:c r="H1466" s="12" t="n">
        <x:v>5260.404500000001</x:v>
      </x:c>
      <x:c r="I1466" s="13" t="n">
        <x:v>0.0257</x:v>
      </x:c>
      <x:c r="J1466" s="2" t="n">
        <x:v>0</x:v>
      </x:c>
      <x:c r="K1466" s="2" t="n">
        <x:v>1</x:v>
      </x:c>
      <x:c r="L1466" s="12" t="n">
        <x:v>3055</x:v>
      </x:c>
      <x:c r="M1466" s="13" t="n">
        <x:v>1</x:v>
      </x:c>
      <x:c r="N1466" s="13" t="n">
        <x:f>H1466/G1466</x:f>
        <x:v>0.025700000000000004</x:v>
      </x:c>
      <x:c r="O1466" s="13" t="n">
        <x:f>F1466/E1466</x:f>
        <x:v>0</x:v>
      </x:c>
      <x:c r="P1466" s="2" t="str">
        <x:f>IF(AND(E1466&gt;='Итоги'!$F$5,N1466&lt;='Итоги'!$B$5,O1466&gt;='Итоги'!$D$5),"Да","Нет")</x:f>
        <x:v>Нет</x:v>
      </x:c>
    </x:row>
    <x:row r="1467" ht="60" customHeight="1">
      <x:c r="A1467" s="14" t="str">
        <x:v>Автотовары</x:v>
      </x:c>
      <x:c r="B1467" s="14" t="str">
        <x:v>Универсальные авто и мото аксессуары</x:v>
      </x:c>
      <x:c r="C1467" s="14" t="str">
        <x:v>Автотовары в дорогу</x:v>
      </x:c>
      <x:c r="D1467" s="14" t="str">
        <x:v>Аксессуары для крепления груза для авто</x:v>
      </x:c>
      <x:c r="E1467" s="2" t="n">
        <x:v>77</x:v>
      </x:c>
      <x:c r="F1467" s="2" t="n">
        <x:v>0</x:v>
      </x:c>
      <x:c r="G1467" s="12" t="n">
        <x:v>11513330.0923</x:v>
      </x:c>
      <x:c r="H1467" s="12" t="n">
        <x:v>296662.42961907</x:v>
      </x:c>
      <x:c r="I1467" s="13" t="n">
        <x:v>0.0308714285714285</x:v>
      </x:c>
      <x:c r="J1467" s="2" t="n">
        <x:v>43</x:v>
      </x:c>
      <x:c r="K1467" s="2" t="n">
        <x:v>15</x:v>
      </x:c>
      <x:c r="L1467" s="12" t="n">
        <x:v>1366.25</x:v>
      </x:c>
      <x:c r="M1467" s="13" t="n">
        <x:v>0.4982719902764443</x:v>
      </x:c>
      <x:c r="N1467" s="13" t="n">
        <x:f>H1467/G1467</x:f>
        <x:v>0.02576686564536831</x:v>
      </x:c>
      <x:c r="O1467" s="13" t="n">
        <x:f>F1467/E1467</x:f>
        <x:v>0</x:v>
      </x:c>
      <x:c r="P1467" s="2" t="str">
        <x:f>IF(AND(E1467&gt;='Итоги'!$F$5,N1467&lt;='Итоги'!$B$5,O1467&gt;='Итоги'!$D$5),"Да","Нет")</x:f>
        <x:v>Нет</x:v>
      </x:c>
    </x:row>
    <x:row r="1468" ht="60" customHeight="1">
      <x:c r="A1468" s="14" t="str">
        <x:v>Аксессуары для электроники</x:v>
      </x:c>
      <x:c r="B1468" s="14" t="str">
        <x:v>Аксессуары для МБТ (кухня) Access</x:v>
      </x:c>
      <x:c r="C1468" s="14" t="str">
        <x:v>Аксессуары для кофемашины, кофеварки Access</x:v>
      </x:c>
      <x:c r="D1468" s="14" t="str">
        <x:v>Чистящее средство для кофемашин</x:v>
      </x:c>
      <x:c r="E1468" s="2" t="n">
        <x:v>23</x:v>
      </x:c>
      <x:c r="F1468" s="2" t="n">
        <x:v>0</x:v>
      </x:c>
      <x:c r="G1468" s="12" t="n">
        <x:v>3636757.5905</x:v>
      </x:c>
      <x:c r="H1468" s="12" t="n">
        <x:v>93760.41519791</x:v>
      </x:c>
      <x:c r="I1468" s="13" t="n">
        <x:v>0.0224347826086956</x:v>
      </x:c>
      <x:c r="J1468" s="2" t="n">
        <x:v>15</x:v>
      </x:c>
      <x:c r="K1468" s="2" t="n">
        <x:v>6</x:v>
      </x:c>
      <x:c r="L1468" s="12" t="n">
        <x:v>1427.1175</x:v>
      </x:c>
      <x:c r="M1468" s="13" t="n">
        <x:v>0.8365357520245753</x:v>
      </x:c>
      <x:c r="N1468" s="13" t="n">
        <x:f>H1468/G1468</x:f>
        <x:v>0.025781321098451146</x:v>
      </x:c>
      <x:c r="O1468" s="13" t="n">
        <x:f>F1468/E1468</x:f>
        <x:v>0</x:v>
      </x:c>
      <x:c r="P1468" s="2" t="str">
        <x:f>IF(AND(E1468&gt;='Итоги'!$F$5,N1468&lt;='Итоги'!$B$5,O1468&gt;='Итоги'!$D$5),"Да","Нет")</x:f>
        <x:v>Нет</x:v>
      </x:c>
    </x:row>
    <x:row r="1469" ht="60" customHeight="1">
      <x:c r="A1469" s="14" t="str">
        <x:v>Одежда</x:v>
      </x:c>
      <x:c r="B1469" s="14" t="str">
        <x:v>Основная одежда женская</x:v>
      </x:c>
      <x:c r="C1469" s="14" t="str">
        <x:v>Пляжная одежда женская</x:v>
      </x:c>
      <x:c r="D1469" s="14" t="str">
        <x:v>Спортивный купальный низ женский</x:v>
      </x:c>
      <x:c r="E1469" s="2" t="n">
        <x:v>45</x:v>
      </x:c>
      <x:c r="F1469" s="2" t="n">
        <x:v>0</x:v>
      </x:c>
      <x:c r="G1469" s="12" t="n">
        <x:v>4673416.4322</x:v>
      </x:c>
      <x:c r="H1469" s="12" t="n">
        <x:v>120926.49597784</x:v>
      </x:c>
      <x:c r="I1469" s="13" t="n">
        <x:v>0.02274</x:v>
      </x:c>
      <x:c r="J1469" s="2" t="n">
        <x:v>35</x:v>
      </x:c>
      <x:c r="K1469" s="2" t="n">
        <x:v>3</x:v>
      </x:c>
      <x:c r="L1469" s="12" t="n">
        <x:v>911.1823</x:v>
      </x:c>
      <x:c r="M1469" s="13" t="n">
        <x:v>0.9977889836803744</x:v>
      </x:c>
      <x:c r="N1469" s="13" t="n">
        <x:f>H1469/G1469</x:f>
        <x:v>0.025875394956172165</x:v>
      </x:c>
      <x:c r="O1469" s="13" t="n">
        <x:f>F1469/E1469</x:f>
        <x:v>0</x:v>
      </x:c>
      <x:c r="P1469" s="2" t="str">
        <x:f>IF(AND(E1469&gt;='Итоги'!$F$5,N1469&lt;='Итоги'!$B$5,O1469&gt;='Итоги'!$D$5),"Да","Нет")</x:f>
        <x:v>Нет</x:v>
      </x:c>
    </x:row>
    <x:row r="1470" ht="60" customHeight="1">
      <x:c r="A1470" s="14" t="str">
        <x:v>Спорт и отдых</x:v>
      </x:c>
      <x:c r="B1470" s="14" t="str">
        <x:v>Страйкбол и пневматика</x:v>
      </x:c>
      <x:c r="C1470" s="14" t="str">
        <x:v>Принадлежности для страйкбола и пневматики</x:v>
      </x:c>
      <x:c r="D1470" s="14" t="str">
        <x:v>Пульки, шарики для страйкбола и пневматики</x:v>
      </x:c>
      <x:c r="E1470" s="2" t="n">
        <x:v>16</x:v>
      </x:c>
      <x:c r="F1470" s="2" t="n">
        <x:v>0</x:v>
      </x:c>
      <x:c r="G1470" s="12" t="n">
        <x:v>4516843.86</x:v>
      </x:c>
      <x:c r="H1470" s="12" t="n">
        <x:v>117035.00932</x:v>
      </x:c>
      <x:c r="I1470" s="13" t="n">
        <x:v>0.03124375</x:v>
      </x:c>
      <x:c r="J1470" s="2" t="n">
        <x:v>6</x:v>
      </x:c>
      <x:c r="K1470" s="2" t="n">
        <x:v>6</x:v>
      </x:c>
      <x:c r="L1470" s="12" t="n">
        <x:v>992.34115</x:v>
      </x:c>
      <x:c r="M1470" s="13" t="n">
        <x:v>0.7038140211470582</x:v>
      </x:c>
      <x:c r="N1470" s="13" t="n">
        <x:f>H1470/G1470</x:f>
        <x:v>0.02591079367529875</x:v>
      </x:c>
      <x:c r="O1470" s="13" t="n">
        <x:f>F1470/E1470</x:f>
        <x:v>0</x:v>
      </x:c>
      <x:c r="P1470" s="2" t="str">
        <x:f>IF(AND(E1470&gt;='Итоги'!$F$5,N1470&lt;='Итоги'!$B$5,O1470&gt;='Итоги'!$D$5),"Да","Нет")</x:f>
        <x:v>Нет</x:v>
      </x:c>
    </x:row>
    <x:row r="1471" ht="60" customHeight="1">
      <x:c r="A1471" s="14" t="str">
        <x:v>Детская одежда</x:v>
      </x:c>
      <x:c r="B1471" s="14" t="str">
        <x:v>Детская одежда</x:v>
      </x:c>
      <x:c r="C1471" s="14" t="str">
        <x:v>Школьная одежда для мальчика</x:v>
      </x:c>
      <x:c r="D1471" s="14" t="str">
        <x:v>Школьная рубашка для мальчика</x:v>
      </x:c>
      <x:c r="E1471" s="2" t="n">
        <x:v>170</x:v>
      </x:c>
      <x:c r="F1471" s="2" t="n">
        <x:v>0</x:v>
      </x:c>
      <x:c r="G1471" s="12" t="n">
        <x:v>12872913.5783</x:v>
      </x:c>
      <x:c r="H1471" s="12" t="n">
        <x:v>334001.57532511</x:v>
      </x:c>
      <x:c r="I1471" s="13" t="n">
        <x:v>0.0271611764705882</x:v>
      </x:c>
      <x:c r="J1471" s="2" t="n">
        <x:v>79</x:v>
      </x:c>
      <x:c r="K1471" s="2" t="n">
        <x:v>13</x:v>
      </x:c>
      <x:c r="L1471" s="12" t="n">
        <x:v>1012.51135</x:v>
      </x:c>
      <x:c r="M1471" s="13" t="n">
        <x:v>0.6933641994960646</x:v>
      </x:c>
      <x:c r="N1471" s="13" t="n">
        <x:f>H1471/G1471</x:f>
        <x:v>0.025946074545869696</x:v>
      </x:c>
      <x:c r="O1471" s="13" t="n">
        <x:f>F1471/E1471</x:f>
        <x:v>0</x:v>
      </x:c>
      <x:c r="P1471" s="2" t="str">
        <x:f>IF(AND(E1471&gt;='Итоги'!$F$5,N1471&lt;='Итоги'!$B$5,O1471&gt;='Итоги'!$D$5),"Да","Нет")</x:f>
        <x:v>Нет</x:v>
      </x:c>
    </x:row>
    <x:row r="1472" ht="60" customHeight="1">
      <x:c r="A1472" s="14" t="str">
        <x:v>Обувь</x:v>
      </x:c>
      <x:c r="B1472" s="14" t="str">
        <x:v>Обувь женская</x:v>
      </x:c>
      <x:c r="C1472" s="14" t="str">
        <x:v>Обувь женская демисезон</x:v>
      </x:c>
      <x:c r="D1472" s="14" t="str">
        <x:v>Женские Полуботинки демисезонные</x:v>
      </x:c>
      <x:c r="E1472" s="2" t="n">
        <x:v>160</x:v>
      </x:c>
      <x:c r="F1472" s="2" t="n">
        <x:v>0</x:v>
      </x:c>
      <x:c r="G1472" s="12" t="n">
        <x:v>13022009.0655</x:v>
      </x:c>
      <x:c r="H1472" s="12" t="n">
        <x:v>337926.60208184</x:v>
      </x:c>
      <x:c r="I1472" s="13" t="n">
        <x:v>0.01730625</x:v>
      </x:c>
      <x:c r="J1472" s="2" t="n">
        <x:v>107</x:v>
      </x:c>
      <x:c r="K1472" s="2" t="n">
        <x:v>9</x:v>
      </x:c>
      <x:c r="L1472" s="12" t="n">
        <x:v>2995.2091</x:v>
      </x:c>
      <x:c r="M1472" s="13" t="n">
        <x:v>0.705662694141825</x:v>
      </x:c>
      <x:c r="N1472" s="13" t="n">
        <x:f>H1472/G1472</x:f>
        <x:v>0.025950419814798738</x:v>
      </x:c>
      <x:c r="O1472" s="13" t="n">
        <x:f>F1472/E1472</x:f>
        <x:v>0</x:v>
      </x:c>
      <x:c r="P1472" s="2" t="str">
        <x:f>IF(AND(E1472&gt;='Итоги'!$F$5,N1472&lt;='Итоги'!$B$5,O1472&gt;='Итоги'!$D$5),"Да","Нет")</x:f>
        <x:v>Нет</x:v>
      </x:c>
    </x:row>
    <x:row r="1473" ht="60" customHeight="1">
      <x:c r="A1473" s="14" t="str">
        <x:v>Автотовары</x:v>
      </x:c>
      <x:c r="B1473" s="14" t="str">
        <x:v>Авто и мото запчасти</x:v>
      </x:c>
      <x:c r="C1473" s="14" t="str">
        <x:v>Двигатель</x:v>
      </x:c>
      <x:c r="D1473" s="14" t="str">
        <x:v>Крупные части ДВС</x:v>
      </x:c>
      <x:c r="E1473" s="2" t="n">
        <x:v>51</x:v>
      </x:c>
      <x:c r="F1473" s="2" t="n">
        <x:v>0</x:v>
      </x:c>
      <x:c r="G1473" s="12" t="n">
        <x:v>8598773.2927</x:v>
      </x:c>
      <x:c r="H1473" s="12" t="n">
        <x:v>223220.79442202</x:v>
      </x:c>
      <x:c r="I1473" s="13" t="n">
        <x:v>0.0198686274509803</x:v>
      </x:c>
      <x:c r="J1473" s="2" t="n">
        <x:v>22</x:v>
      </x:c>
      <x:c r="K1473" s="2" t="n">
        <x:v>13</x:v>
      </x:c>
      <x:c r="L1473" s="12" t="n">
        <x:v>5876.8</x:v>
      </x:c>
      <x:c r="M1473" s="13" t="n">
        <x:v>0.6814782911156398</x:v>
      </x:c>
      <x:c r="N1473" s="13" t="n">
        <x:f>H1473/G1473</x:f>
        <x:v>0.025959609216761784</x:v>
      </x:c>
      <x:c r="O1473" s="13" t="n">
        <x:f>F1473/E1473</x:f>
        <x:v>0</x:v>
      </x:c>
      <x:c r="P1473" s="2" t="str">
        <x:f>IF(AND(E1473&gt;='Итоги'!$F$5,N1473&lt;='Итоги'!$B$5,O1473&gt;='Итоги'!$D$5),"Да","Нет")</x:f>
        <x:v>Нет</x:v>
      </x:c>
    </x:row>
    <x:row r="1474" ht="60" customHeight="1">
      <x:c r="A1474" s="14" t="str">
        <x:v>Автотовары</x:v>
      </x:c>
      <x:c r="B1474" s="14" t="str">
        <x:v>Универсальные авто и мото аксессуары</x:v>
      </x:c>
      <x:c r="C1474" s="14" t="str">
        <x:v>Мотоэкипировка</x:v>
      </x:c>
      <x:c r="D1474" s="14" t="str">
        <x:v>Мотоодежда</x:v>
      </x:c>
      <x:c r="E1474" s="2" t="n">
        <x:v>36</x:v>
      </x:c>
      <x:c r="F1474" s="2" t="n">
        <x:v>0</x:v>
      </x:c>
      <x:c r="G1474" s="12" t="n">
        <x:v>3257035.4423</x:v>
      </x:c>
      <x:c r="H1474" s="12" t="n">
        <x:v>84571.74521555999</x:v>
      </x:c>
      <x:c r="I1474" s="13" t="n">
        <x:v>0.0208972222222222</x:v>
      </x:c>
      <x:c r="J1474" s="2" t="n">
        <x:v>22</x:v>
      </x:c>
      <x:c r="K1474" s="2" t="n">
        <x:v>10</x:v>
      </x:c>
      <x:c r="L1474" s="12" t="n">
        <x:v>4790.494650000001</x:v>
      </x:c>
      <x:c r="M1474" s="13" t="n">
        <x:v>0.4295445734271922</x:v>
      </x:c>
      <x:c r="N1474" s="13" t="n">
        <x:f>H1474/G1474</x:f>
        <x:v>0.025965865804591457</x:v>
      </x:c>
      <x:c r="O1474" s="13" t="n">
        <x:f>F1474/E1474</x:f>
        <x:v>0</x:v>
      </x:c>
      <x:c r="P1474" s="2" t="str">
        <x:f>IF(AND(E1474&gt;='Итоги'!$F$5,N1474&lt;='Итоги'!$B$5,O1474&gt;='Итоги'!$D$5),"Да","Нет")</x:f>
        <x:v>Нет</x:v>
      </x:c>
    </x:row>
    <x:row r="1475" ht="60" customHeight="1">
      <x:c r="A1475" s="14" t="str">
        <x:v>Одежда</x:v>
      </x:c>
      <x:c r="B1475" s="14" t="str">
        <x:v>Верхняя одежда</x:v>
      </x:c>
      <x:c r="C1475" s="14" t="str">
        <x:v>Верхняя одежда женская</x:v>
      </x:c>
      <x:c r="D1475" s="14" t="str">
        <x:v>Бомбер для женщин</x:v>
      </x:c>
      <x:c r="E1475" s="2" t="n">
        <x:v>126</x:v>
      </x:c>
      <x:c r="F1475" s="2" t="n">
        <x:v>0</x:v>
      </x:c>
      <x:c r="G1475" s="12" t="n">
        <x:v>12696299.9561</x:v>
      </x:c>
      <x:c r="H1475" s="12" t="n">
        <x:v>329980.99839593</x:v>
      </x:c>
      <x:c r="I1475" s="13" t="n">
        <x:v>0.0201007936507936</x:v>
      </x:c>
      <x:c r="J1475" s="2" t="n">
        <x:v>78</x:v>
      </x:c>
      <x:c r="K1475" s="2" t="n">
        <x:v>24</x:v>
      </x:c>
      <x:c r="L1475" s="12" t="n">
        <x:v>2365.9378</x:v>
      </x:c>
      <x:c r="M1475" s="13" t="n">
        <x:v>0.3039374375560481</x:v>
      </x:c>
      <x:c r="N1475" s="13" t="n">
        <x:f>H1475/G1475</x:f>
        <x:v>0.025990327854328064</x:v>
      </x:c>
      <x:c r="O1475" s="13" t="n">
        <x:f>F1475/E1475</x:f>
        <x:v>0</x:v>
      </x:c>
      <x:c r="P1475" s="2" t="str">
        <x:f>IF(AND(E1475&gt;='Итоги'!$F$5,N1475&lt;='Итоги'!$B$5,O1475&gt;='Итоги'!$D$5),"Да","Нет")</x:f>
        <x:v>Нет</x:v>
      </x:c>
    </x:row>
    <x:row r="1476" ht="60" customHeight="1">
      <x:c r="A1476" s="14" t="str">
        <x:v>Обувь</x:v>
      </x:c>
      <x:c r="B1476" s="14" t="str">
        <x:v>Обувь мужская</x:v>
      </x:c>
      <x:c r="C1476" s="14" t="str">
        <x:v>Обувь мужская повседневная</x:v>
      </x:c>
      <x:c r="D1476" s="14" t="str">
        <x:v>Мужские Лоферы</x:v>
      </x:c>
      <x:c r="E1476" s="2" t="n">
        <x:v>407</x:v>
      </x:c>
      <x:c r="F1476" s="2" t="n">
        <x:v>0</x:v>
      </x:c>
      <x:c r="G1476" s="12" t="n">
        <x:v>29241306.4474</x:v>
      </x:c>
      <x:c r="H1476" s="12" t="n">
        <x:v>760234.84165359</x:v>
      </x:c>
      <x:c r="I1476" s="13" t="n">
        <x:v>0.017168796068796</x:v>
      </x:c>
      <x:c r="J1476" s="2" t="n">
        <x:v>245</x:v>
      </x:c>
      <x:c r="K1476" s="2" t="n">
        <x:v>14</x:v>
      </x:c>
      <x:c r="L1476" s="12" t="n">
        <x:v>3340</x:v>
      </x:c>
      <x:c r="M1476" s="13" t="n">
        <x:v>0.7337294022753109</x:v>
      </x:c>
      <x:c r="N1476" s="13" t="n">
        <x:f>H1476/G1476</x:f>
        <x:v>0.025998661962013208</x:v>
      </x:c>
      <x:c r="O1476" s="13" t="n">
        <x:f>F1476/E1476</x:f>
        <x:v>0</x:v>
      </x:c>
      <x:c r="P1476" s="2" t="str">
        <x:f>IF(AND(E1476&gt;='Итоги'!$F$5,N1476&lt;='Итоги'!$B$5,O1476&gt;='Итоги'!$D$5),"Да","Нет")</x:f>
        <x:v>Нет</x:v>
      </x:c>
    </x:row>
    <x:row r="1477" ht="60" customHeight="1">
      <x:c r="A1477" s="14" t="str">
        <x:v>Обувь</x:v>
      </x:c>
      <x:c r="B1477" s="14" t="str">
        <x:v>Обувь мужская</x:v>
      </x:c>
      <x:c r="C1477" s="14" t="str">
        <x:v>Обувь мужская повседневная</x:v>
      </x:c>
      <x:c r="D1477" s="14" t="str">
        <x:v>Мужские Туфли</x:v>
      </x:c>
      <x:c r="E1477" s="2" t="n">
        <x:v>366</x:v>
      </x:c>
      <x:c r="F1477" s="2" t="n">
        <x:v>0</x:v>
      </x:c>
      <x:c r="G1477" s="12" t="n">
        <x:v>28768236.6472</x:v>
      </x:c>
      <x:c r="H1477" s="12" t="n">
        <x:v>748265.7511759499</x:v>
      </x:c>
      <x:c r="I1477" s="13" t="n">
        <x:v>0.0212379781420765</x:v>
      </x:c>
      <x:c r="J1477" s="2" t="n">
        <x:v>226</x:v>
      </x:c>
      <x:c r="K1477" s="2" t="n">
        <x:v>25</x:v>
      </x:c>
      <x:c r="L1477" s="12" t="n">
        <x:v>3149.32965</x:v>
      </x:c>
      <x:c r="M1477" s="13" t="n">
        <x:v>0.7201291148102524</x:v>
      </x:c>
      <x:c r="N1477" s="13" t="n">
        <x:f>H1477/G1477</x:f>
        <x:v>0.026010136121734743</x:v>
      </x:c>
      <x:c r="O1477" s="13" t="n">
        <x:f>F1477/E1477</x:f>
        <x:v>0</x:v>
      </x:c>
      <x:c r="P1477" s="2" t="str">
        <x:f>IF(AND(E1477&gt;='Итоги'!$F$5,N1477&lt;='Итоги'!$B$5,O1477&gt;='Итоги'!$D$5),"Да","Нет")</x:f>
        <x:v>Нет</x:v>
      </x:c>
    </x:row>
    <x:row r="1478" ht="60" customHeight="1">
      <x:c r="A1478" s="14" t="str">
        <x:v>Спорт и отдых</x:v>
      </x:c>
      <x:c r="B1478" s="14" t="str">
        <x:v>Колесный транспорт</x:v>
      </x:c>
      <x:c r="C1478" s="14" t="str">
        <x:v>Велоаксессуары</x:v>
      </x:c>
      <x:c r="D1478" s="14" t="str">
        <x:v>Стойки/кронштейны для велосипеда</x:v>
      </x:c>
      <x:c r="E1478" s="2" t="n">
        <x:v>17</x:v>
      </x:c>
      <x:c r="F1478" s="2" t="n">
        <x:v>0</x:v>
      </x:c>
      <x:c r="G1478" s="12" t="n">
        <x:v>2485908.9466</x:v>
      </x:c>
      <x:c r="H1478" s="12" t="n">
        <x:v>64703.61561487</x:v>
      </x:c>
      <x:c r="I1478" s="13" t="n">
        <x:v>0.0371176470588235</x:v>
      </x:c>
      <x:c r="J1478" s="2" t="n">
        <x:v>6</x:v>
      </x:c>
      <x:c r="K1478" s="2" t="n">
        <x:v>8</x:v>
      </x:c>
      <x:c r="L1478" s="12" t="n">
        <x:v>3543.3782</x:v>
      </x:c>
      <x:c r="M1478" s="13" t="n">
        <x:v>0.388436442340611</x:v>
      </x:c>
      <x:c r="N1478" s="13" t="n">
        <x:f>H1478/G1478</x:f>
        <x:v>0.026028151877149693</x:v>
      </x:c>
      <x:c r="O1478" s="13" t="n">
        <x:f>F1478/E1478</x:f>
        <x:v>0</x:v>
      </x:c>
      <x:c r="P1478" s="2" t="str">
        <x:f>IF(AND(E1478&gt;='Итоги'!$F$5,N1478&lt;='Итоги'!$B$5,O1478&gt;='Итоги'!$D$5),"Да","Нет")</x:f>
        <x:v>Нет</x:v>
      </x:c>
    </x:row>
    <x:row r="1479" ht="60" customHeight="1">
      <x:c r="A1479" s="14" t="str">
        <x:v>Автотовары</x:v>
      </x:c>
      <x:c r="B1479" s="14" t="str">
        <x:v>Авто и мото запчасти</x:v>
      </x:c>
      <x:c r="C1479" s="14" t="str">
        <x:v>Двигатель</x:v>
      </x:c>
      <x:c r="D1479" s="14" t="str">
        <x:v>Трубки, шланги, патрубки</x:v>
      </x:c>
      <x:c r="E1479" s="2" t="n">
        <x:v>36</x:v>
      </x:c>
      <x:c r="F1479" s="2" t="n">
        <x:v>0</x:v>
      </x:c>
      <x:c r="G1479" s="12" t="n">
        <x:v>3903990.4813</x:v>
      </x:c>
      <x:c r="H1479" s="12" t="n">
        <x:v>101619.86626957</x:v>
      </x:c>
      <x:c r="I1479" s="13" t="n">
        <x:v>0.0304055555555555</x:v>
      </x:c>
      <x:c r="J1479" s="2" t="n">
        <x:v>20</x:v>
      </x:c>
      <x:c r="K1479" s="2" t="n">
        <x:v>19</x:v>
      </x:c>
      <x:c r="L1479" s="12" t="n">
        <x:v>1575.601</x:v>
      </x:c>
      <x:c r="M1479" s="13" t="n">
        <x:v>0.1591975500393748</x:v>
      </x:c>
      <x:c r="N1479" s="13" t="n">
        <x:f>H1479/G1479</x:f>
        <x:v>0.026029742325532346</x:v>
      </x:c>
      <x:c r="O1479" s="13" t="n">
        <x:f>F1479/E1479</x:f>
        <x:v>0</x:v>
      </x:c>
      <x:c r="P1479" s="2" t="str">
        <x:f>IF(AND(E1479&gt;='Итоги'!$F$5,N1479&lt;='Итоги'!$B$5,O1479&gt;='Итоги'!$D$5),"Да","Нет")</x:f>
        <x:v>Нет</x:v>
      </x:c>
    </x:row>
    <x:row r="1480" ht="60" customHeight="1">
      <x:c r="A1480" s="14" t="str">
        <x:v>Товары для дома</x:v>
      </x:c>
      <x:c r="B1480" s="14" t="str">
        <x:v>Кухня</x:v>
      </x:c>
      <x:c r="C1480" s="14" t="str">
        <x:v>Посуда для чая и кофе</x:v>
      </x:c>
      <x:c r="D1480" s="14" t="str">
        <x:v>Фильтр для заваривания напитков в чашке, термостакане</x:v>
      </x:c>
      <x:c r="E1480" s="2" t="n">
        <x:v>1</x:v>
      </x:c>
      <x:c r="F1480" s="2" t="n">
        <x:v>0</x:v>
      </x:c>
      <x:c r="G1480" s="12" t="n">
        <x:v>126655.3619</x:v>
      </x:c>
      <x:c r="H1480" s="12" t="n">
        <x:v>3305.70494559</x:v>
      </x:c>
      <x:c r="I1480" s="13" t="n">
        <x:v>0.0261</x:v>
      </x:c>
      <x:c r="J1480" s="2" t="n">
        <x:v>0</x:v>
      </x:c>
      <x:c r="K1480" s="2" t="n">
        <x:v>1</x:v>
      </x:c>
      <x:c r="L1480" s="12" t="n">
        <x:v>924.4917</x:v>
      </x:c>
      <x:c r="M1480" s="13" t="n">
        <x:v>1</x:v>
      </x:c>
      <x:c r="N1480" s="13" t="n">
        <x:f>H1480/G1480</x:f>
        <x:v>0.026099999999999998</x:v>
      </x:c>
      <x:c r="O1480" s="13" t="n">
        <x:f>F1480/E1480</x:f>
        <x:v>0</x:v>
      </x:c>
      <x:c r="P1480" s="2" t="str">
        <x:f>IF(AND(E1480&gt;='Итоги'!$F$5,N1480&lt;='Итоги'!$B$5,O1480&gt;='Итоги'!$D$5),"Да","Нет")</x:f>
        <x:v>Нет</x:v>
      </x:c>
    </x:row>
    <x:row r="1481" ht="60" customHeight="1">
      <x:c r="A1481" s="14" t="str">
        <x:v>Игрушки</x:v>
      </x:c>
      <x:c r="B1481" s="14" t="str">
        <x:v>Игрушки</x:v>
      </x:c>
      <x:c r="C1481" s="14" t="str">
        <x:v>Куклы и аксессуары</x:v>
      </x:c>
      <x:c r="D1481" s="14" t="str">
        <x:v>Коляска для куклы</x:v>
      </x:c>
      <x:c r="E1481" s="2" t="n">
        <x:v>54</x:v>
      </x:c>
      <x:c r="F1481" s="2" t="n">
        <x:v>0</x:v>
      </x:c>
      <x:c r="G1481" s="12" t="n">
        <x:v>6902901.319</x:v>
      </x:c>
      <x:c r="H1481" s="12" t="n">
        <x:v>180781.18534495</x:v>
      </x:c>
      <x:c r="I1481" s="13" t="n">
        <x:v>0.0273907407407407</x:v>
      </x:c>
      <x:c r="J1481" s="2" t="n">
        <x:v>10</x:v>
      </x:c>
      <x:c r="K1481" s="2" t="n">
        <x:v>6</x:v>
      </x:c>
      <x:c r="L1481" s="12" t="n">
        <x:v>2274.2269</x:v>
      </x:c>
      <x:c r="M1481" s="13" t="n">
        <x:v>0.9287324102336628</x:v>
      </x:c>
      <x:c r="N1481" s="13" t="n">
        <x:f>H1481/G1481</x:f>
        <x:v>0.026189159744665038</x:v>
      </x:c>
      <x:c r="O1481" s="13" t="n">
        <x:f>F1481/E1481</x:f>
        <x:v>0</x:v>
      </x:c>
      <x:c r="P1481" s="2" t="str">
        <x:f>IF(AND(E1481&gt;='Итоги'!$F$5,N1481&lt;='Итоги'!$B$5,O1481&gt;='Итоги'!$D$5),"Да","Нет")</x:f>
        <x:v>Нет</x:v>
      </x:c>
    </x:row>
    <x:row r="1482" ht="60" customHeight="1">
      <x:c r="A1482" s="14" t="str">
        <x:v>Автотовары</x:v>
      </x:c>
      <x:c r="B1482" s="14" t="str">
        <x:v>Масла и автохимия</x:v>
      </x:c>
      <x:c r="C1482" s="14" t="str">
        <x:v>Масла автомобильные</x:v>
      </x:c>
      <x:c r="D1482" s="14" t="str">
        <x:v>Автохимия - Трансмиссионное, гидравлическое масла</x:v>
      </x:c>
      <x:c r="E1482" s="2" t="n">
        <x:v>291</x:v>
      </x:c>
      <x:c r="F1482" s="2" t="n">
        <x:v>0</x:v>
      </x:c>
      <x:c r="G1482" s="12" t="n">
        <x:v>49837457.76</x:v>
      </x:c>
      <x:c r="H1482" s="12" t="n">
        <x:v>1305293.371208</x:v>
      </x:c>
      <x:c r="I1482" s="13" t="n">
        <x:v>0.0278199312714776</x:v>
      </x:c>
      <x:c r="J1482" s="2" t="n">
        <x:v>153</x:v>
      </x:c>
      <x:c r="K1482" s="2" t="n">
        <x:v>48</x:v>
      </x:c>
      <x:c r="L1482" s="12" t="n">
        <x:v>2096.0705</x:v>
      </x:c>
      <x:c r="M1482" s="13" t="n">
        <x:v>0.5954233276284195</x:v>
      </x:c>
      <x:c r="N1482" s="13" t="n">
        <x:f>H1482/G1482</x:f>
        <x:v>0.02619101033391074</x:v>
      </x:c>
      <x:c r="O1482" s="13" t="n">
        <x:f>F1482/E1482</x:f>
        <x:v>0</x:v>
      </x:c>
      <x:c r="P1482" s="2" t="str">
        <x:f>IF(AND(E1482&gt;='Итоги'!$F$5,N1482&lt;='Итоги'!$B$5,O1482&gt;='Итоги'!$D$5),"Да","Нет")</x:f>
        <x:v>Нет</x:v>
      </x:c>
    </x:row>
    <x:row r="1483" ht="60" customHeight="1">
      <x:c r="A1483" s="14" t="str">
        <x:v>Одежда</x:v>
      </x:c>
      <x:c r="B1483" s="14" t="str">
        <x:v>Основная одежда женская</x:v>
      </x:c>
      <x:c r="C1483" s="14" t="str">
        <x:v>Спортивная основная одежда женская верха</x:v>
      </x:c>
      <x:c r="D1483" s="14" t="str">
        <x:v>Спортивное худи на молнии женское</x:v>
      </x:c>
      <x:c r="E1483" s="2" t="n">
        <x:v>27</x:v>
      </x:c>
      <x:c r="F1483" s="2" t="n">
        <x:v>0</x:v>
      </x:c>
      <x:c r="G1483" s="12" t="n">
        <x:v>2430883.3301</x:v>
      </x:c>
      <x:c r="H1483" s="12" t="n">
        <x:v>63782.46362307</x:v>
      </x:c>
      <x:c r="I1483" s="13" t="n">
        <x:v>0.0236777777777777</x:v>
      </x:c>
      <x:c r="J1483" s="2" t="n">
        <x:v>13</x:v>
      </x:c>
      <x:c r="K1483" s="2" t="n">
        <x:v>8</x:v>
      </x:c>
      <x:c r="L1483" s="12" t="n">
        <x:v>2060.3861</x:v>
      </x:c>
      <x:c r="M1483" s="13" t="n">
        <x:v>0.2738157120739392</x:v>
      </x:c>
      <x:c r="N1483" s="13" t="n">
        <x:f>H1483/G1483</x:f>
        <x:v>0.0262383894912991</x:v>
      </x:c>
      <x:c r="O1483" s="13" t="n">
        <x:f>F1483/E1483</x:f>
        <x:v>0</x:v>
      </x:c>
      <x:c r="P1483" s="2" t="str">
        <x:f>IF(AND(E1483&gt;='Итоги'!$F$5,N1483&lt;='Итоги'!$B$5,O1483&gt;='Итоги'!$D$5),"Да","Нет")</x:f>
        <x:v>Нет</x:v>
      </x:c>
    </x:row>
    <x:row r="1484" ht="60" customHeight="1">
      <x:c r="A1484" s="14" t="str">
        <x:v>Напитки</x:v>
      </x:c>
      <x:c r="B1484" s="14" t="str">
        <x:v>Напитки холодные</x:v>
      </x:c>
      <x:c r="C1484" s="14" t="str">
        <x:v>Холодный чай</x:v>
      </x:c>
      <x:c r="D1484" s="14" t="str">
        <x:v>Холодный чай</x:v>
      </x:c>
      <x:c r="E1484" s="2" t="n">
        <x:v>13</x:v>
      </x:c>
      <x:c r="F1484" s="2" t="n">
        <x:v>0</x:v>
      </x:c>
      <x:c r="G1484" s="12" t="n">
        <x:v>1683941.8818</x:v>
      </x:c>
      <x:c r="H1484" s="12" t="n">
        <x:v>44230.468787</x:v>
      </x:c>
      <x:c r="I1484" s="13" t="n">
        <x:v>0.0282615384615384</x:v>
      </x:c>
      <x:c r="J1484" s="2" t="n">
        <x:v>6</x:v>
      </x:c>
      <x:c r="K1484" s="2" t="n">
        <x:v>4</x:v>
      </x:c>
      <x:c r="L1484" s="12" t="n">
        <x:v>1535</x:v>
      </x:c>
      <x:c r="M1484" s="13" t="n">
        <x:v>0.7749541287642793</x:v>
      </x:c>
      <x:c r="N1484" s="13" t="n">
        <x:f>H1484/G1484</x:f>
        <x:v>0.0262660304758981</x:v>
      </x:c>
      <x:c r="O1484" s="13" t="n">
        <x:f>F1484/E1484</x:f>
        <x:v>0</x:v>
      </x:c>
      <x:c r="P1484" s="2" t="str">
        <x:f>IF(AND(E1484&gt;='Итоги'!$F$5,N1484&lt;='Итоги'!$B$5,O1484&gt;='Итоги'!$D$5),"Да","Нет")</x:f>
        <x:v>Нет</x:v>
      </x:c>
    </x:row>
    <x:row r="1485" ht="60" customHeight="1">
      <x:c r="A1485" s="14" t="str">
        <x:v>Аптека</x:v>
      </x:c>
      <x:c r="B1485" s="14" t="str">
        <x:v>Средства реабилитации</x:v>
      </x:c>
      <x:c r="C1485" s="14" t="str">
        <x:v>Средства по уходу за лежачими больными</x:v>
      </x:c>
      <x:c r="D1485" s="14" t="str">
        <x:v>Впитывающая пеленка, простыня для взрослых</x:v>
      </x:c>
      <x:c r="E1485" s="2" t="n">
        <x:v>15</x:v>
      </x:c>
      <x:c r="F1485" s="2" t="n">
        <x:v>0</x:v>
      </x:c>
      <x:c r="G1485" s="12" t="n">
        <x:v>3307586.3164</x:v>
      </x:c>
      <x:c r="H1485" s="12" t="n">
        <x:v>86887.6402644</x:v>
      </x:c>
      <x:c r="I1485" s="13" t="n">
        <x:v>0.0335133333333333</x:v>
      </x:c>
      <x:c r="J1485" s="2" t="n">
        <x:v>7</x:v>
      </x:c>
      <x:c r="K1485" s="2" t="n">
        <x:v>5</x:v>
      </x:c>
      <x:c r="L1485" s="12" t="n">
        <x:v>1443.9149</x:v>
      </x:c>
      <x:c r="M1485" s="13" t="n">
        <x:v>0.7720552089414249</x:v>
      </x:c>
      <x:c r="N1485" s="13" t="n">
        <x:f>H1485/G1485</x:f>
        <x:v>0.026269198126012663</x:v>
      </x:c>
      <x:c r="O1485" s="13" t="n">
        <x:f>F1485/E1485</x:f>
        <x:v>0</x:v>
      </x:c>
      <x:c r="P1485" s="2" t="str">
        <x:f>IF(AND(E1485&gt;='Итоги'!$F$5,N1485&lt;='Итоги'!$B$5,O1485&gt;='Итоги'!$D$5),"Да","Нет")</x:f>
        <x:v>Нет</x:v>
      </x:c>
    </x:row>
    <x:row r="1486" ht="60" customHeight="1">
      <x:c r="A1486" s="14" t="str">
        <x:v>Напитки</x:v>
      </x:c>
      <x:c r="B1486" s="14" t="str">
        <x:v>Напитки горячие</x:v>
      </x:c>
      <x:c r="C1486" s="14" t="str">
        <x:v>Кофейный напиток, цикорий</x:v>
      </x:c>
      <x:c r="D1486" s="14" t="str">
        <x:v>Цикорий</x:v>
      </x:c>
      <x:c r="E1486" s="2" t="n">
        <x:v>6</x:v>
      </x:c>
      <x:c r="F1486" s="2" t="n">
        <x:v>0</x:v>
      </x:c>
      <x:c r="G1486" s="12" t="n">
        <x:v>953421.8745</x:v>
      </x:c>
      <x:c r="H1486" s="12" t="n">
        <x:v>25083.92940324</x:v>
      </x:c>
      <x:c r="I1486" s="13" t="n">
        <x:v>0.02495</x:v>
      </x:c>
      <x:c r="J1486" s="2" t="n">
        <x:v>3</x:v>
      </x:c>
      <x:c r="K1486" s="2" t="n">
        <x:v>3</x:v>
      </x:c>
      <x:c r="L1486" s="12" t="n">
        <x:v>929.64805</x:v>
      </x:c>
      <x:c r="M1486" s="13" t="n">
        <x:v>0.5020033635697752</x:v>
      </x:c>
      <x:c r="N1486" s="13" t="n">
        <x:f>H1486/G1486</x:f>
        <x:v>0.026309370567352133</x:v>
      </x:c>
      <x:c r="O1486" s="13" t="n">
        <x:f>F1486/E1486</x:f>
        <x:v>0</x:v>
      </x:c>
      <x:c r="P1486" s="2" t="str">
        <x:f>IF(AND(E1486&gt;='Итоги'!$F$5,N1486&lt;='Итоги'!$B$5,O1486&gt;='Итоги'!$D$5),"Да","Нет")</x:f>
        <x:v>Нет</x:v>
      </x:c>
    </x:row>
    <x:row r="1487" ht="60" customHeight="1">
      <x:c r="A1487" s="14" t="str">
        <x:v>Ноутбуки и компьютеры</x:v>
      </x:c>
      <x:c r="B1487" s="14" t="str">
        <x:v>Фото и видео Lap&amp;Comp</x:v>
      </x:c>
      <x:c r="C1487" s="14" t="str">
        <x:v>Фотокамера Lap&amp;Comp</x:v>
      </x:c>
      <x:c r="D1487" s="14" t="str">
        <x:v>Компактная фотокамера</x:v>
      </x:c>
      <x:c r="E1487" s="2" t="n">
        <x:v>12</x:v>
      </x:c>
      <x:c r="F1487" s="2" t="n">
        <x:v>0</x:v>
      </x:c>
      <x:c r="G1487" s="12" t="n">
        <x:v>3327187.8558</x:v>
      </x:c>
      <x:c r="H1487" s="12" t="n">
        <x:v>87837.79938863</x:v>
      </x:c>
      <x:c r="I1487" s="13" t="n">
        <x:v>0.0189833333333333</x:v>
      </x:c>
      <x:c r="J1487" s="2" t="n">
        <x:v>6</x:v>
      </x:c>
      <x:c r="K1487" s="2" t="n">
        <x:v>7</x:v>
      </x:c>
      <x:c r="L1487" s="12" t="n">
        <x:v>6557.1846000000005</x:v>
      </x:c>
      <x:c r="M1487" s="13" t="n">
        <x:v>0.4783137554814586</x:v>
      </x:c>
      <x:c r="N1487" s="13" t="n">
        <x:f>H1487/G1487</x:f>
        <x:v>0.026400012020815093</x:v>
      </x:c>
      <x:c r="O1487" s="13" t="n">
        <x:f>F1487/E1487</x:f>
        <x:v>0</x:v>
      </x:c>
      <x:c r="P1487" s="2" t="str">
        <x:f>IF(AND(E1487&gt;='Итоги'!$F$5,N1487&lt;='Итоги'!$B$5,O1487&gt;='Итоги'!$D$5),"Да","Нет")</x:f>
        <x:v>Нет</x:v>
      </x:c>
    </x:row>
    <x:row r="1488" ht="60" customHeight="1">
      <x:c r="A1488" s="14" t="str">
        <x:v>Ноутбуки и компьютеры</x:v>
      </x:c>
      <x:c r="B1488" s="14" t="str">
        <x:v>Компьютерная периферия Lap&amp;Comp</x:v>
      </x:c>
      <x:c r="C1488" s="14" t="str">
        <x:v>Компьютерный манипулятор Lap&amp;Comp</x:v>
      </x:c>
      <x:c r="D1488" s="14" t="str">
        <x:v>Мышь</x:v>
      </x:c>
      <x:c r="E1488" s="2" t="n">
        <x:v>287</x:v>
      </x:c>
      <x:c r="F1488" s="2" t="n">
        <x:v>0</x:v>
      </x:c>
      <x:c r="G1488" s="12" t="n">
        <x:v>60666026.4552</x:v>
      </x:c>
      <x:c r="H1488" s="12" t="n">
        <x:v>1601885.78774541</x:v>
      </x:c>
      <x:c r="I1488" s="13" t="n">
        <x:v>0.0362658536585365</x:v>
      </x:c>
      <x:c r="J1488" s="2" t="n">
        <x:v>132</x:v>
      </x:c>
      <x:c r="K1488" s="2" t="n">
        <x:v>31</x:v>
      </x:c>
      <x:c r="L1488" s="12" t="n">
        <x:v>2220.0805</x:v>
      </x:c>
      <x:c r="M1488" s="13" t="n">
        <x:v>0.4226716773701289</x:v>
      </x:c>
      <x:c r="N1488" s="13" t="n">
        <x:f>H1488/G1488</x:f>
        <x:v>0.02640498943718283</x:v>
      </x:c>
      <x:c r="O1488" s="13" t="n">
        <x:f>F1488/E1488</x:f>
        <x:v>0</x:v>
      </x:c>
      <x:c r="P1488" s="2" t="str">
        <x:f>IF(AND(E1488&gt;='Итоги'!$F$5,N1488&lt;='Итоги'!$B$5,O1488&gt;='Итоги'!$D$5),"Да","Нет")</x:f>
        <x:v>Нет</x:v>
      </x:c>
    </x:row>
    <x:row r="1489" ht="60" customHeight="1">
      <x:c r="A1489" s="14" t="str">
        <x:v>Товары для детей и спорта</x:v>
      </x:c>
      <x:c r="B1489" s="14" t="str">
        <x:v>Спорт детский</x:v>
      </x:c>
      <x:c r="C1489" s="14" t="str">
        <x:v>Товары для активных игр</x:v>
      </x:c>
      <x:c r="D1489" s="14" t="str">
        <x:v>Воздушный змей</x:v>
      </x:c>
      <x:c r="E1489" s="2" t="n">
        <x:v>10</x:v>
      </x:c>
      <x:c r="F1489" s="2" t="n">
        <x:v>0</x:v>
      </x:c>
      <x:c r="G1489" s="12" t="n">
        <x:v>1079923.2569</x:v>
      </x:c>
      <x:c r="H1489" s="12" t="n">
        <x:v>28690.17169857</x:v>
      </x:c>
      <x:c r="I1489" s="13" t="n">
        <x:v>0.02808</x:v>
      </x:c>
      <x:c r="J1489" s="2" t="n">
        <x:v>0</x:v>
      </x:c>
      <x:c r="K1489" s="2" t="n">
        <x:v>4</x:v>
      </x:c>
      <x:c r="L1489" s="12" t="n">
        <x:v>1019.01745</x:v>
      </x:c>
      <x:c r="M1489" s="13" t="n">
        <x:v>0.3770221609716682</x:v>
      </x:c>
      <x:c r="N1489" s="13" t="n">
        <x:f>H1489/G1489</x:f>
        <x:v>0.02656686159433891</x:v>
      </x:c>
      <x:c r="O1489" s="13" t="n">
        <x:f>F1489/E1489</x:f>
        <x:v>0</x:v>
      </x:c>
      <x:c r="P1489" s="2" t="str">
        <x:f>IF(AND(E1489&gt;='Итоги'!$F$5,N1489&lt;='Итоги'!$B$5,O1489&gt;='Итоги'!$D$5),"Да","Нет")</x:f>
        <x:v>Нет</x:v>
      </x:c>
    </x:row>
    <x:row r="1490" ht="60" customHeight="1">
      <x:c r="A1490" s="14" t="str">
        <x:v>Напитки</x:v>
      </x:c>
      <x:c r="B1490" s="14" t="str">
        <x:v>Напитки горячие</x:v>
      </x:c>
      <x:c r="C1490" s="14" t="str">
        <x:v>Чай</x:v>
      </x:c>
      <x:c r="D1490" s="14" t="str">
        <x:v>Чай в пакетиках</x:v>
      </x:c>
      <x:c r="E1490" s="2" t="n">
        <x:v>16</x:v>
      </x:c>
      <x:c r="F1490" s="2" t="n">
        <x:v>0</x:v>
      </x:c>
      <x:c r="G1490" s="12" t="n">
        <x:v>2284266.4652</x:v>
      </x:c>
      <x:c r="H1490" s="12" t="n">
        <x:v>60735.581398270006</x:v>
      </x:c>
      <x:c r="I1490" s="13" t="n">
        <x:v>0.0282625</x:v>
      </x:c>
      <x:c r="J1490" s="2" t="n">
        <x:v>8</x:v>
      </x:c>
      <x:c r="K1490" s="2" t="n">
        <x:v>11</x:v>
      </x:c>
      <x:c r="L1490" s="12" t="n">
        <x:v>1721.2169</x:v>
      </x:c>
      <x:c r="M1490" s="13" t="n">
        <x:v>0.2661190477822718</x:v>
      </x:c>
      <x:c r="N1490" s="13" t="n">
        <x:f>H1490/G1490</x:f>
        <x:v>0.02658865868914828</x:v>
      </x:c>
      <x:c r="O1490" s="13" t="n">
        <x:f>F1490/E1490</x:f>
        <x:v>0</x:v>
      </x:c>
      <x:c r="P1490" s="2" t="str">
        <x:f>IF(AND(E1490&gt;='Итоги'!$F$5,N1490&lt;='Итоги'!$B$5,O1490&gt;='Итоги'!$D$5),"Да","Нет")</x:f>
        <x:v>Нет</x:v>
      </x:c>
    </x:row>
    <x:row r="1491" ht="60" customHeight="1">
      <x:c r="A1491" s="14" t="str">
        <x:v>Строительство и ремонт (DIY)</x:v>
      </x:c>
      <x:c r="B1491" s="14" t="str">
        <x:v>Сантехника</x:v>
      </x:c>
      <x:c r="C1491" s="14" t="str">
        <x:v>Системы отопления</x:v>
      </x:c>
      <x:c r="D1491" s="14" t="str">
        <x:v>Дымоход</x:v>
      </x:c>
      <x:c r="E1491" s="2" t="n">
        <x:v>59</x:v>
      </x:c>
      <x:c r="F1491" s="2" t="n">
        <x:v>0</x:v>
      </x:c>
      <x:c r="G1491" s="12" t="n">
        <x:v>9990137.1759</x:v>
      </x:c>
      <x:c r="H1491" s="12" t="n">
        <x:v>265644.50225126</x:v>
      </x:c>
      <x:c r="I1491" s="13" t="n">
        <x:v>0.0242864406779661</x:v>
      </x:c>
      <x:c r="J1491" s="2" t="n">
        <x:v>7</x:v>
      </x:c>
      <x:c r="K1491" s="2" t="n">
        <x:v>9</x:v>
      </x:c>
      <x:c r="L1491" s="12" t="n">
        <x:v>2312.7071</x:v>
      </x:c>
      <x:c r="M1491" s="13" t="n">
        <x:v>0.7135389865412749</x:v>
      </x:c>
      <x:c r="N1491" s="13" t="n">
        <x:f>H1491/G1491</x:f>
        <x:v>0.026590676141274146</x:v>
      </x:c>
      <x:c r="O1491" s="13" t="n">
        <x:f>F1491/E1491</x:f>
        <x:v>0</x:v>
      </x:c>
      <x:c r="P1491" s="2" t="str">
        <x:f>IF(AND(E1491&gt;='Итоги'!$F$5,N1491&lt;='Итоги'!$B$5,O1491&gt;='Итоги'!$D$5),"Да","Нет")</x:f>
        <x:v>Нет</x:v>
      </x:c>
    </x:row>
    <x:row r="1492" ht="60" customHeight="1">
      <x:c r="A1492" s="14" t="str">
        <x:v>Аксессуары для электроники</x:v>
      </x:c>
      <x:c r="B1492" s="14" t="str">
        <x:v>Бытовая техника Access</x:v>
      </x:c>
      <x:c r="C1492" s="14" t="str">
        <x:v>Запчасти для бытовой техники Access</x:v>
      </x:c>
      <x:c r="D1492" s="14" t="str">
        <x:v>Запчасти для кондиционера, сплит-системы</x:v>
      </x:c>
      <x:c r="E1492" s="2" t="n">
        <x:v>87</x:v>
      </x:c>
      <x:c r="F1492" s="2" t="n">
        <x:v>0</x:v>
      </x:c>
      <x:c r="G1492" s="12" t="n">
        <x:v>8405647.5483</x:v>
      </x:c>
      <x:c r="H1492" s="12" t="n">
        <x:v>223615.72352698</x:v>
      </x:c>
      <x:c r="I1492" s="13" t="n">
        <x:v>0.026351724137931</x:v>
      </x:c>
      <x:c r="J1492" s="2" t="n">
        <x:v>62</x:v>
      </x:c>
      <x:c r="K1492" s="2" t="n">
        <x:v>28</x:v>
      </x:c>
      <x:c r="L1492" s="12" t="n">
        <x:v>2993.1322</x:v>
      </x:c>
      <x:c r="M1492" s="13" t="n">
        <x:v>0.3347351079059994</x:v>
      </x:c>
      <x:c r="N1492" s="13" t="n">
        <x:f>H1492/G1492</x:f>
        <x:v>0.0266030335250263</x:v>
      </x:c>
      <x:c r="O1492" s="13" t="n">
        <x:f>F1492/E1492</x:f>
        <x:v>0</x:v>
      </x:c>
      <x:c r="P1492" s="2" t="str">
        <x:f>IF(AND(E1492&gt;='Итоги'!$F$5,N1492&lt;='Итоги'!$B$5,O1492&gt;='Итоги'!$D$5),"Да","Нет")</x:f>
        <x:v>Нет</x:v>
      </x:c>
    </x:row>
    <x:row r="1493" ht="60" customHeight="1">
      <x:c r="A1493" s="14" t="str">
        <x:v>Строительство и ремонт (DIY)</x:v>
      </x:c>
      <x:c r="B1493" s="14" t="str">
        <x:v>Инструменты</x:v>
      </x:c>
      <x:c r="C1493" s="14" t="str">
        <x:v>Электроинструмент для строительства, ремонта</x:v>
      </x:c>
      <x:c r="D1493" s="14" t="str">
        <x:v>Отбойный молоток</x:v>
      </x:c>
      <x:c r="E1493" s="2" t="n">
        <x:v>18</x:v>
      </x:c>
      <x:c r="F1493" s="2" t="n">
        <x:v>0</x:v>
      </x:c>
      <x:c r="G1493" s="12" t="n">
        <x:v>5656744.3458</x:v>
      </x:c>
      <x:c r="H1493" s="12" t="n">
        <x:v>150498.71083280002</x:v>
      </x:c>
      <x:c r="I1493" s="13" t="n">
        <x:v>0.0343777777777777</x:v>
      </x:c>
      <x:c r="J1493" s="2" t="n">
        <x:v>5</x:v>
      </x:c>
      <x:c r="K1493" s="2" t="n">
        <x:v>4</x:v>
      </x:c>
      <x:c r="L1493" s="12" t="n">
        <x:v>11412.58465</x:v>
      </x:c>
      <x:c r="M1493" s="13" t="n">
        <x:v>0.9462052761451136</x:v>
      </x:c>
      <x:c r="N1493" s="13" t="n">
        <x:f>H1493/G1493</x:f>
        <x:v>0.026605181643844622</x:v>
      </x:c>
      <x:c r="O1493" s="13" t="n">
        <x:f>F1493/E1493</x:f>
        <x:v>0</x:v>
      </x:c>
      <x:c r="P1493" s="2" t="str">
        <x:f>IF(AND(E1493&gt;='Итоги'!$F$5,N1493&lt;='Итоги'!$B$5,O1493&gt;='Итоги'!$D$5),"Да","Нет")</x:f>
        <x:v>Нет</x:v>
      </x:c>
    </x:row>
    <x:row r="1494" ht="60" customHeight="1">
      <x:c r="A1494" s="14" t="str">
        <x:v>Бакалея и кондитерские изделия</x:v>
      </x:c>
      <x:c r="B1494" s="14" t="str">
        <x:v>Бакалея</x:v>
      </x:c>
      <x:c r="C1494" s="14" t="str">
        <x:v>Консервы</x:v>
      </x:c>
      <x:c r="D1494" s="14" t="str">
        <x:v>Варенье</x:v>
      </x:c>
      <x:c r="E1494" s="2" t="n">
        <x:v>4</x:v>
      </x:c>
      <x:c r="F1494" s="2" t="n">
        <x:v>0</x:v>
      </x:c>
      <x:c r="G1494" s="12" t="n">
        <x:v>321103.1194</x:v>
      </x:c>
      <x:c r="H1494" s="12" t="n">
        <x:v>8557.59135223</x:v>
      </x:c>
      <x:c r="I1494" s="13" t="n">
        <x:v>0.017275</x:v>
      </x:c>
      <x:c r="J1494" s="2" t="n">
        <x:v>2</x:v>
      </x:c>
      <x:c r="K1494" s="2" t="n">
        <x:v>3</x:v>
      </x:c>
      <x:c r="L1494" s="12" t="n">
        <x:v>1081.06775</x:v>
      </x:c>
      <x:c r="M1494" s="13" t="n">
        <x:v>0.5828133013771026</x:v>
      </x:c>
      <x:c r="N1494" s="13" t="n">
        <x:f>H1494/G1494</x:f>
        <x:v>0.026650601738844395</x:v>
      </x:c>
      <x:c r="O1494" s="13" t="n">
        <x:f>F1494/E1494</x:f>
        <x:v>0</x:v>
      </x:c>
      <x:c r="P1494" s="2" t="str">
        <x:f>IF(AND(E1494&gt;='Итоги'!$F$5,N1494&lt;='Итоги'!$B$5,O1494&gt;='Итоги'!$D$5),"Да","Нет")</x:f>
        <x:v>Нет</x:v>
      </x:c>
    </x:row>
    <x:row r="1495" ht="60" customHeight="1">
      <x:c r="A1495" s="14" t="str">
        <x:v>Бытовая химия и гигиена рта</x:v>
      </x:c>
      <x:c r="B1495" s="14" t="str">
        <x:v>Средства для стирки</x:v>
      </x:c>
      <x:c r="C1495" s="14" t="str">
        <x:v>Гель жидкое средство для стирки</x:v>
      </x:c>
      <x:c r="D1495" s="14" t="str">
        <x:v>Гель жидкое средство для стирки белого белья</x:v>
      </x:c>
      <x:c r="E1495" s="2" t="n">
        <x:v>5</x:v>
      </x:c>
      <x:c r="F1495" s="2" t="n">
        <x:v>0</x:v>
      </x:c>
      <x:c r="G1495" s="12" t="n">
        <x:v>962506.8448</x:v>
      </x:c>
      <x:c r="H1495" s="12" t="n">
        <x:v>25653.3876188</x:v>
      </x:c>
      <x:c r="I1495" s="13" t="n">
        <x:v>0.03234</x:v>
      </x:c>
      <x:c r="J1495" s="2" t="n">
        <x:v>1</x:v>
      </x:c>
      <x:c r="K1495" s="2" t="n">
        <x:v>2</x:v>
      </x:c>
      <x:c r="L1495" s="12" t="n">
        <x:v>1297.307</x:v>
      </x:c>
      <x:c r="M1495" s="13" t="n">
        <x:v>0.6643873687286633</x:v>
      </x:c>
      <x:c r="N1495" s="13" t="n">
        <x:f>H1495/G1495</x:f>
        <x:v>0.026652680713279017</x:v>
      </x:c>
      <x:c r="O1495" s="13" t="n">
        <x:f>F1495/E1495</x:f>
        <x:v>0</x:v>
      </x:c>
      <x:c r="P1495" s="2" t="str">
        <x:f>IF(AND(E1495&gt;='Итоги'!$F$5,N1495&lt;='Итоги'!$B$5,O1495&gt;='Итоги'!$D$5),"Да","Нет")</x:f>
        <x:v>Нет</x:v>
      </x:c>
    </x:row>
    <x:row r="1496" ht="60" customHeight="1">
      <x:c r="A1496" s="14" t="str">
        <x:v>Спорт и отдых</x:v>
      </x:c>
      <x:c r="B1496" s="14" t="str">
        <x:v>Товары для рыбалки</x:v>
      </x:c>
      <x:c r="C1496" s="14" t="str">
        <x:v>Лодки</x:v>
      </x:c>
      <x:c r="D1496" s="14" t="str">
        <x:v>Весла</x:v>
      </x:c>
      <x:c r="E1496" s="2" t="n">
        <x:v>17</x:v>
      </x:c>
      <x:c r="F1496" s="2" t="n">
        <x:v>0</x:v>
      </x:c>
      <x:c r="G1496" s="12" t="n">
        <x:v>1443788.681</x:v>
      </x:c>
      <x:c r="H1496" s="12" t="n">
        <x:v>38502.05249455</x:v>
      </x:c>
      <x:c r="I1496" s="13" t="n">
        <x:v>0.0276941176470588</x:v>
      </x:c>
      <x:c r="J1496" s="2" t="n">
        <x:v>7</x:v>
      </x:c>
      <x:c r="K1496" s="2" t="n">
        <x:v>5</x:v>
      </x:c>
      <x:c r="L1496" s="12" t="n">
        <x:v>1872.4248</x:v>
      </x:c>
      <x:c r="M1496" s="13" t="n">
        <x:v>0.3981964260183863</x:v>
      </x:c>
      <x:c r="N1496" s="13" t="n">
        <x:f>H1496/G1496</x:f>
        <x:v>0.026667373834710094</x:v>
      </x:c>
      <x:c r="O1496" s="13" t="n">
        <x:f>F1496/E1496</x:f>
        <x:v>0</x:v>
      </x:c>
      <x:c r="P1496" s="2" t="str">
        <x:f>IF(AND(E1496&gt;='Итоги'!$F$5,N1496&lt;='Итоги'!$B$5,O1496&gt;='Итоги'!$D$5),"Да","Нет")</x:f>
        <x:v>Нет</x:v>
      </x:c>
    </x:row>
    <x:row r="1497" ht="60" customHeight="1">
      <x:c r="A1497" s="14" t="str">
        <x:v>Строительство и ремонт (DIY)</x:v>
      </x:c>
      <x:c r="B1497" s="14" t="str">
        <x:v>Инструменты</x:v>
      </x:c>
      <x:c r="C1497" s="14" t="str">
        <x:v>Техника для строительства, ремонта</x:v>
      </x:c>
      <x:c r="D1497" s="14" t="str">
        <x:v>Трансформатор</x:v>
      </x:c>
      <x:c r="E1497" s="2" t="n">
        <x:v>3</x:v>
      </x:c>
      <x:c r="F1497" s="2" t="n">
        <x:v>0</x:v>
      </x:c>
      <x:c r="G1497" s="12" t="n">
        <x:v>283554.6537</x:v>
      </x:c>
      <x:c r="H1497" s="12" t="n">
        <x:v>7584.76941033</x:v>
      </x:c>
      <x:c r="I1497" s="13" t="n">
        <x:v>0.0203</x:v>
      </x:c>
      <x:c r="J1497" s="2" t="n">
        <x:v>2</x:v>
      </x:c>
      <x:c r="K1497" s="2" t="n">
        <x:v>3</x:v>
      </x:c>
      <x:c r="L1497" s="12" t="n">
        <x:v>4818.95</x:v>
      </x:c>
      <x:c r="M1497" s="13" t="n">
        <x:v>0.4392262728714298</x:v>
      </x:c>
      <x:c r="N1497" s="13" t="n">
        <x:f>H1497/G1497</x:f>
        <x:v>0.026748880017870076</x:v>
      </x:c>
      <x:c r="O1497" s="13" t="n">
        <x:f>F1497/E1497</x:f>
        <x:v>0</x:v>
      </x:c>
      <x:c r="P1497" s="2" t="str">
        <x:f>IF(AND(E1497&gt;='Итоги'!$F$5,N1497&lt;='Итоги'!$B$5,O1497&gt;='Итоги'!$D$5),"Да","Нет")</x:f>
        <x:v>Нет</x:v>
      </x:c>
    </x:row>
    <x:row r="1498" ht="60" customHeight="1">
      <x:c r="A1498" s="14" t="str">
        <x:v>Детская одежда</x:v>
      </x:c>
      <x:c r="B1498" s="14" t="str">
        <x:v>Одежда для новорожденных</x:v>
      </x:c>
      <x:c r="C1498" s="14" t="str">
        <x:v>Одежда для новорожденных</x:v>
      </x:c>
      <x:c r="D1498" s="14" t="str">
        <x:v>Песочник для новорожденных</x:v>
      </x:c>
      <x:c r="E1498" s="2" t="n">
        <x:v>3</x:v>
      </x:c>
      <x:c r="F1498" s="2" t="n">
        <x:v>0</x:v>
      </x:c>
      <x:c r="G1498" s="12" t="n">
        <x:v>21190</x:v>
      </x:c>
      <x:c r="H1498" s="12" t="n">
        <x:v>566.8641</x:v>
      </x:c>
      <x:c r="I1498" s="13" t="n">
        <x:v>0.0134</x:v>
      </x:c>
      <x:c r="J1498" s="2" t="n">
        <x:v>1</x:v>
      </x:c>
      <x:c r="K1498" s="2" t="n">
        <x:v>3</x:v>
      </x:c>
      <x:c r="L1498" s="12" t="n">
        <x:v>3474</x:v>
      </x:c>
      <x:c r="M1498" s="13" t="n">
        <x:v>0.6848985370457763</x:v>
      </x:c>
      <x:c r="N1498" s="13" t="n">
        <x:f>H1498/G1498</x:f>
        <x:v>0.02675149126946673</x:v>
      </x:c>
      <x:c r="O1498" s="13" t="n">
        <x:f>F1498/E1498</x:f>
        <x:v>0</x:v>
      </x:c>
      <x:c r="P1498" s="2" t="str">
        <x:f>IF(AND(E1498&gt;='Итоги'!$F$5,N1498&lt;='Итоги'!$B$5,O1498&gt;='Итоги'!$D$5),"Да","Нет")</x:f>
        <x:v>Нет</x:v>
      </x:c>
    </x:row>
    <x:row r="1499" ht="60" customHeight="1">
      <x:c r="A1499" s="14" t="str">
        <x:v>Одежда</x:v>
      </x:c>
      <x:c r="B1499" s="14" t="str">
        <x:v>Верхняя одежда</x:v>
      </x:c>
      <x:c r="C1499" s="14" t="str">
        <x:v>Верхняя одежда мужская</x:v>
      </x:c>
      <x:c r="D1499" s="14" t="str">
        <x:v>Плащ мужской</x:v>
      </x:c>
      <x:c r="E1499" s="2" t="n">
        <x:v>16</x:v>
      </x:c>
      <x:c r="F1499" s="2" t="n">
        <x:v>0</x:v>
      </x:c>
      <x:c r="G1499" s="12" t="n">
        <x:v>599430.2437999999</x:v>
      </x:c>
      <x:c r="H1499" s="12" t="n">
        <x:v>16044.047847</x:v>
      </x:c>
      <x:c r="I1499" s="13" t="n">
        <x:v>0.03453125</x:v>
      </x:c>
      <x:c r="J1499" s="2" t="n">
        <x:v>10</x:v>
      </x:c>
      <x:c r="K1499" s="2" t="n">
        <x:v>6</x:v>
      </x:c>
      <x:c r="L1499" s="12" t="n">
        <x:v>4674.25</x:v>
      </x:c>
      <x:c r="M1499" s="13" t="n">
        <x:v>0.2966478282322531</x:v>
      </x:c>
      <x:c r="N1499" s="13" t="n">
        <x:f>H1499/G1499</x:f>
        <x:v>0.026765496090572802</x:v>
      </x:c>
      <x:c r="O1499" s="13" t="n">
        <x:f>F1499/E1499</x:f>
        <x:v>0</x:v>
      </x:c>
      <x:c r="P1499" s="2" t="str">
        <x:f>IF(AND(E1499&gt;='Итоги'!$F$5,N1499&lt;='Итоги'!$B$5,O1499&gt;='Итоги'!$D$5),"Да","Нет")</x:f>
        <x:v>Нет</x:v>
      </x:c>
    </x:row>
    <x:row r="1500" ht="60" customHeight="1">
      <x:c r="A1500" s="14" t="str">
        <x:v>Детская одежда</x:v>
      </x:c>
      <x:c r="B1500" s="14" t="str">
        <x:v>Детская одежда</x:v>
      </x:c>
      <x:c r="C1500" s="14" t="str">
        <x:v>Одежда спортивная для девочки</x:v>
      </x:c>
      <x:c r="D1500" s="14" t="str">
        <x:v>Спортивный костюм для девочки</x:v>
      </x:c>
      <x:c r="E1500" s="2" t="n">
        <x:v>156</x:v>
      </x:c>
      <x:c r="F1500" s="2" t="n">
        <x:v>0</x:v>
      </x:c>
      <x:c r="G1500" s="12" t="n">
        <x:v>13813233.0799</x:v>
      </x:c>
      <x:c r="H1500" s="12" t="n">
        <x:v>369876.26062722</x:v>
      </x:c>
      <x:c r="I1500" s="13" t="n">
        <x:v>0.0231698717948717</x:v>
      </x:c>
      <x:c r="J1500" s="2" t="n">
        <x:v>68</x:v>
      </x:c>
      <x:c r="K1500" s="2" t="n">
        <x:v>22</x:v>
      </x:c>
      <x:c r="L1500" s="12" t="n">
        <x:v>1882.08245</x:v>
      </x:c>
      <x:c r="M1500" s="13" t="n">
        <x:v>0.3615961916886846</x:v>
      </x:c>
      <x:c r="N1500" s="13" t="n">
        <x:f>H1500/G1500</x:f>
        <x:v>0.026776950659396073</x:v>
      </x:c>
      <x:c r="O1500" s="13" t="n">
        <x:f>F1500/E1500</x:f>
        <x:v>0</x:v>
      </x:c>
      <x:c r="P1500" s="2" t="str">
        <x:f>IF(AND(E1500&gt;='Итоги'!$F$5,N1500&lt;='Итоги'!$B$5,O1500&gt;='Итоги'!$D$5),"Да","Нет")</x:f>
        <x:v>Нет</x:v>
      </x:c>
    </x:row>
    <x:row r="1501" ht="60" customHeight="1">
      <x:c r="A1501" s="14" t="str">
        <x:v>Детская одежда</x:v>
      </x:c>
      <x:c r="B1501" s="14" t="str">
        <x:v>Одежда для новорожденных</x:v>
      </x:c>
      <x:c r="C1501" s="14" t="str">
        <x:v>Белье и ЧНИ для новорожденных</x:v>
      </x:c>
      <x:c r="D1501" s="14" t="str">
        <x:v>Комплект нижнего белья для новорожденных</x:v>
      </x:c>
      <x:c r="E1501" s="2" t="n">
        <x:v>10</x:v>
      </x:c>
      <x:c r="F1501" s="2" t="n">
        <x:v>0</x:v>
      </x:c>
      <x:c r="G1501" s="12" t="n">
        <x:v>810306.41</x:v>
      </x:c>
      <x:c r="H1501" s="12" t="n">
        <x:v>21711.967269</x:v>
      </x:c>
      <x:c r="I1501" s="13" t="n">
        <x:v>0.02473</x:v>
      </x:c>
      <x:c r="J1501" s="2" t="n">
        <x:v>3</x:v>
      </x:c>
      <x:c r="K1501" s="2" t="n">
        <x:v>2</x:v>
      </x:c>
      <x:c r="L1501" s="12" t="n">
        <x:v>782.1114500000001</x:v>
      </x:c>
      <x:c r="M1501" s="13" t="n">
        <x:v>0.7464795940587462</x:v>
      </x:c>
      <x:c r="N1501" s="13" t="n">
        <x:f>H1501/G1501</x:f>
        <x:v>0.02679476183460032</x:v>
      </x:c>
      <x:c r="O1501" s="13" t="n">
        <x:f>F1501/E1501</x:f>
        <x:v>0</x:v>
      </x:c>
      <x:c r="P1501" s="2" t="str">
        <x:f>IF(AND(E1501&gt;='Итоги'!$F$5,N1501&lt;='Итоги'!$B$5,O1501&gt;='Итоги'!$D$5),"Да","Нет")</x:f>
        <x:v>Нет</x:v>
      </x:c>
    </x:row>
    <x:row r="1502" ht="60" customHeight="1">
      <x:c r="A1502" s="14" t="str">
        <x:v>Спорт и отдых</x:v>
      </x:c>
      <x:c r="B1502" s="14" t="str">
        <x:v>Активный отдых</x:v>
      </x:c>
      <x:c r="C1502" s="14" t="str">
        <x:v>Настольные турнирные игры</x:v>
      </x:c>
      <x:c r="D1502" s="14" t="str">
        <x:v>Футбол настольный турнирный</x:v>
      </x:c>
      <x:c r="E1502" s="2" t="n">
        <x:v>1</x:v>
      </x:c>
      <x:c r="F1502" s="2" t="n">
        <x:v>0</x:v>
      </x:c>
      <x:c r="G1502" s="12" t="n">
        <x:v>104925</x:v>
      </x:c>
      <x:c r="H1502" s="12" t="n">
        <x:v>2811.99</x:v>
      </x:c>
      <x:c r="I1502" s="13" t="n">
        <x:v>0.0268</x:v>
      </x:c>
      <x:c r="J1502" s="2" t="n">
        <x:v>0</x:v>
      </x:c>
      <x:c r="K1502" s="2" t="n">
        <x:v>1</x:v>
      </x:c>
      <x:c r="L1502" s="12" t="n">
        <x:v>10492.5</x:v>
      </x:c>
      <x:c r="M1502" s="13" t="n">
        <x:v>1</x:v>
      </x:c>
      <x:c r="N1502" s="13" t="n">
        <x:f>H1502/G1502</x:f>
        <x:v>0.026799999999999997</x:v>
      </x:c>
      <x:c r="O1502" s="13" t="n">
        <x:f>F1502/E1502</x:f>
        <x:v>0</x:v>
      </x:c>
      <x:c r="P1502" s="2" t="str">
        <x:f>IF(AND(E1502&gt;='Итоги'!$F$5,N1502&lt;='Итоги'!$B$5,O1502&gt;='Итоги'!$D$5),"Да","Нет")</x:f>
        <x:v>Нет</x:v>
      </x:c>
    </x:row>
    <x:row r="1503" ht="60" customHeight="1">
      <x:c r="A1503" s="14" t="str">
        <x:v>Строительство и ремонт (DIY)</x:v>
      </x:c>
      <x:c r="B1503" s="14" t="str">
        <x:v>Освещение</x:v>
      </x:c>
      <x:c r="C1503" s="14" t="str">
        <x:v>Светильник уличный, садовый</x:v>
      </x:c>
      <x:c r="D1503" s="14" t="str">
        <x:v>Светильник архитектурный</x:v>
      </x:c>
      <x:c r="E1503" s="2" t="n">
        <x:v>12</x:v>
      </x:c>
      <x:c r="F1503" s="2" t="n">
        <x:v>0</x:v>
      </x:c>
      <x:c r="G1503" s="12" t="n">
        <x:v>2632672.4329</x:v>
      </x:c>
      <x:c r="H1503" s="12" t="n">
        <x:v>70788.62623919999</x:v>
      </x:c>
      <x:c r="I1503" s="13" t="n">
        <x:v>0.0255166666666666</x:v>
      </x:c>
      <x:c r="J1503" s="2" t="n">
        <x:v>3</x:v>
      </x:c>
      <x:c r="K1503" s="2" t="n">
        <x:v>6</x:v>
      </x:c>
      <x:c r="L1503" s="12" t="n">
        <x:v>1085.63625</x:v>
      </x:c>
      <x:c r="M1503" s="13" t="n">
        <x:v>0.5076866127730555</x:v>
      </x:c>
      <x:c r="N1503" s="13" t="n">
        <x:f>H1503/G1503</x:f>
        <x:v>0.02688850513818893</x:v>
      </x:c>
      <x:c r="O1503" s="13" t="n">
        <x:f>F1503/E1503</x:f>
        <x:v>0</x:v>
      </x:c>
      <x:c r="P1503" s="2" t="str">
        <x:f>IF(AND(E1503&gt;='Итоги'!$F$5,N1503&lt;='Итоги'!$B$5,O1503&gt;='Итоги'!$D$5),"Да","Нет")</x:f>
        <x:v>Нет</x:v>
      </x:c>
    </x:row>
    <x:row r="1504" ht="60" customHeight="1">
      <x:c r="A1504" s="14" t="str">
        <x:v>Мелкая бытовая техника</x:v>
      </x:c>
      <x:c r="B1504" s="14" t="str">
        <x:v>Мелкая бытовая техника SDA</x:v>
      </x:c>
      <x:c r="C1504" s="14" t="str">
        <x:v>Электронная техника для дома SDA</x:v>
      </x:c>
      <x:c r="D1504" s="14" t="str">
        <x:v>Промышленная швейная машина</x:v>
      </x:c>
      <x:c r="E1504" s="2" t="n">
        <x:v>5</x:v>
      </x:c>
      <x:c r="F1504" s="2" t="n">
        <x:v>0</x:v>
      </x:c>
      <x:c r="G1504" s="12" t="n">
        <x:v>696340.7328</x:v>
      </x:c>
      <x:c r="H1504" s="12" t="n">
        <x:v>18803.230519000004</x:v>
      </x:c>
      <x:c r="I1504" s="13" t="n">
        <x:v>0.0275</x:v>
      </x:c>
      <x:c r="J1504" s="2" t="n">
        <x:v>3</x:v>
      </x:c>
      <x:c r="K1504" s="2" t="n">
        <x:v>4</x:v>
      </x:c>
      <x:c r="L1504" s="12" t="n">
        <x:v>34259.9725</x:v>
      </x:c>
      <x:c r="M1504" s="13" t="n">
        <x:v>0.5034473404856663</x:v>
      </x:c>
      <x:c r="N1504" s="13" t="n">
        <x:f>H1504/G1504</x:f>
        <x:v>0.02700291629270607</x:v>
      </x:c>
      <x:c r="O1504" s="13" t="n">
        <x:f>F1504/E1504</x:f>
        <x:v>0</x:v>
      </x:c>
      <x:c r="P1504" s="2" t="str">
        <x:f>IF(AND(E1504&gt;='Итоги'!$F$5,N1504&lt;='Итоги'!$B$5,O1504&gt;='Итоги'!$D$5),"Да","Нет")</x:f>
        <x:v>Нет</x:v>
      </x:c>
    </x:row>
    <x:row r="1505" ht="60" customHeight="1">
      <x:c r="A1505" s="14" t="str">
        <x:v>Детская одежда</x:v>
      </x:c>
      <x:c r="B1505" s="14" t="str">
        <x:v>Детская одежда</x:v>
      </x:c>
      <x:c r="C1505" s="14" t="str">
        <x:v>Одежда для девочки</x:v>
      </x:c>
      <x:c r="D1505" s="14" t="str">
        <x:v>Джеггинсы для девочки</x:v>
      </x:c>
      <x:c r="E1505" s="2" t="n">
        <x:v>23</x:v>
      </x:c>
      <x:c r="F1505" s="2" t="n">
        <x:v>0</x:v>
      </x:c>
      <x:c r="G1505" s="12" t="n">
        <x:v>2586848.1278</x:v>
      </x:c>
      <x:c r="H1505" s="12" t="n">
        <x:v>69933.30278048</x:v>
      </x:c>
      <x:c r="I1505" s="13" t="n">
        <x:v>0.0288260869565217</x:v>
      </x:c>
      <x:c r="J1505" s="2" t="n">
        <x:v>1</x:v>
      </x:c>
      <x:c r="K1505" s="2" t="n">
        <x:v>3</x:v>
      </x:c>
      <x:c r="L1505" s="12" t="n">
        <x:v>1821.7675</x:v>
      </x:c>
      <x:c r="M1505" s="13" t="n">
        <x:v>0.8848089052473983</x:v>
      </x:c>
      <x:c r="N1505" s="13" t="n">
        <x:f>H1505/G1505</x:f>
        <x:v>0.027034174147654806</x:v>
      </x:c>
      <x:c r="O1505" s="13" t="n">
        <x:f>F1505/E1505</x:f>
        <x:v>0</x:v>
      </x:c>
      <x:c r="P1505" s="2" t="str">
        <x:f>IF(AND(E1505&gt;='Итоги'!$F$5,N1505&lt;='Итоги'!$B$5,O1505&gt;='Итоги'!$D$5),"Да","Нет")</x:f>
        <x:v>Нет</x:v>
      </x:c>
    </x:row>
    <x:row r="1506" ht="60" customHeight="1">
      <x:c r="A1506" s="14" t="str">
        <x:v>Строительство и ремонт (DIY)</x:v>
      </x:c>
      <x:c r="B1506" s="14" t="str">
        <x:v>Ремонт и строительство</x:v>
      </x:c>
      <x:c r="C1506" s="14" t="str">
        <x:v>Аксессуары для ремонта</x:v>
      </x:c>
      <x:c r="D1506" s="14" t="str">
        <x:v>Стремянка складная</x:v>
      </x:c>
      <x:c r="E1506" s="2" t="n">
        <x:v>204</x:v>
      </x:c>
      <x:c r="F1506" s="2" t="n">
        <x:v>0</x:v>
      </x:c>
      <x:c r="G1506" s="12" t="n">
        <x:v>43904476.77</x:v>
      </x:c>
      <x:c r="H1506" s="12" t="n">
        <x:v>1187294.24081547</x:v>
      </x:c>
      <x:c r="I1506" s="13" t="n">
        <x:v>0.0344313725490196</x:v>
      </x:c>
      <x:c r="J1506" s="2" t="n">
        <x:v>96</x:v>
      </x:c>
      <x:c r="K1506" s="2" t="n">
        <x:v>44</x:v>
      </x:c>
      <x:c r="L1506" s="12" t="n">
        <x:v>3657.384</x:v>
      </x:c>
      <x:c r="M1506" s="13" t="n">
        <x:v>0.5832131704800635</x:v>
      </x:c>
      <x:c r="N1506" s="13" t="n">
        <x:f>H1506/G1506</x:f>
        <x:v>0.027042669180076643</x:v>
      </x:c>
      <x:c r="O1506" s="13" t="n">
        <x:f>F1506/E1506</x:f>
        <x:v>0</x:v>
      </x:c>
      <x:c r="P1506" s="2" t="str">
        <x:f>IF(AND(E1506&gt;='Итоги'!$F$5,N1506&lt;='Итоги'!$B$5,O1506&gt;='Итоги'!$D$5),"Да","Нет")</x:f>
        <x:v>Нет</x:v>
      </x:c>
    </x:row>
    <x:row r="1507" ht="60" customHeight="1">
      <x:c r="A1507" s="14" t="str">
        <x:v>Детская одежда</x:v>
      </x:c>
      <x:c r="B1507" s="14" t="str">
        <x:v>Детская одежда</x:v>
      </x:c>
      <x:c r="C1507" s="14" t="str">
        <x:v>Одежда для девочки</x:v>
      </x:c>
      <x:c r="D1507" s="14" t="str">
        <x:v>Комплект одежды для девочки</x:v>
      </x:c>
      <x:c r="E1507" s="2" t="n">
        <x:v>57</x:v>
      </x:c>
      <x:c r="F1507" s="2" t="n">
        <x:v>0</x:v>
      </x:c>
      <x:c r="G1507" s="12" t="n">
        <x:v>5121826.9198</x:v>
      </x:c>
      <x:c r="H1507" s="12" t="n">
        <x:v>138682.97673733</x:v>
      </x:c>
      <x:c r="I1507" s="13" t="n">
        <x:v>0.0224929824561403</x:v>
      </x:c>
      <x:c r="J1507" s="2" t="n">
        <x:v>36</x:v>
      </x:c>
      <x:c r="K1507" s="2" t="n">
        <x:v>10</x:v>
      </x:c>
      <x:c r="L1507" s="12" t="n">
        <x:v>1804.6286</x:v>
      </x:c>
      <x:c r="M1507" s="13" t="n">
        <x:v>0.3130924374856889</x:v>
      </x:c>
      <x:c r="N1507" s="13" t="n">
        <x:f>H1507/G1507</x:f>
        <x:v>0.027076857322376167</x:v>
      </x:c>
      <x:c r="O1507" s="13" t="n">
        <x:f>F1507/E1507</x:f>
        <x:v>0</x:v>
      </x:c>
      <x:c r="P1507" s="2" t="str">
        <x:f>IF(AND(E1507&gt;='Итоги'!$F$5,N1507&lt;='Итоги'!$B$5,O1507&gt;='Итоги'!$D$5),"Да","Нет")</x:f>
        <x:v>Нет</x:v>
      </x:c>
    </x:row>
    <x:row r="1508" ht="60" customHeight="1">
      <x:c r="A1508" s="14" t="str">
        <x:v>Товары для животных</x:v>
      </x:c>
      <x:c r="B1508" s="14" t="str">
        <x:v>Спальное место животного</x:v>
      </x:c>
      <x:c r="C1508" s="14" t="str">
        <x:v>Клетка, вольер для животных, птиц</x:v>
      </x:c>
      <x:c r="D1508" s="14" t="str">
        <x:v>Клетка, аксессуары для кошек и собак</x:v>
      </x:c>
      <x:c r="E1508" s="2" t="n">
        <x:v>52</x:v>
      </x:c>
      <x:c r="F1508" s="2" t="n">
        <x:v>0</x:v>
      </x:c>
      <x:c r="G1508" s="12" t="n">
        <x:v>12158602.011</x:v>
      </x:c>
      <x:c r="H1508" s="12" t="n">
        <x:v>329433.46590194</x:v>
      </x:c>
      <x:c r="I1508" s="13" t="n">
        <x:v>0.0228076923076923</x:v>
      </x:c>
      <x:c r="J1508" s="2" t="n">
        <x:v>8</x:v>
      </x:c>
      <x:c r="K1508" s="2" t="n">
        <x:v>6</x:v>
      </x:c>
      <x:c r="L1508" s="12" t="n">
        <x:v>3642.49675</x:v>
      </x:c>
      <x:c r="M1508" s="13" t="n">
        <x:v>0.84527049787484</x:v>
      </x:c>
      <x:c r="N1508" s="13" t="n">
        <x:f>H1508/G1508</x:f>
        <x:v>0.027094682892317597</x:v>
      </x:c>
      <x:c r="O1508" s="13" t="n">
        <x:f>F1508/E1508</x:f>
        <x:v>0</x:v>
      </x:c>
      <x:c r="P1508" s="2" t="str">
        <x:f>IF(AND(E1508&gt;='Итоги'!$F$5,N1508&lt;='Итоги'!$B$5,O1508&gt;='Итоги'!$D$5),"Да","Нет")</x:f>
        <x:v>Нет</x:v>
      </x:c>
    </x:row>
    <x:row r="1509" ht="60" customHeight="1">
      <x:c r="A1509" s="14" t="str">
        <x:v>Бытовая химия и гигиена рта</x:v>
      </x:c>
      <x:c r="B1509" s="14" t="str">
        <x:v>Бытовая химия</x:v>
      </x:c>
      <x:c r="C1509" s="14" t="str">
        <x:v>Чистящее и моющее средство</x:v>
      </x:c>
      <x:c r="D1509" s="14" t="str">
        <x:v>Средство чистящее для плит и духовок</x:v>
      </x:c>
      <x:c r="E1509" s="2" t="n">
        <x:v>2</x:v>
      </x:c>
      <x:c r="F1509" s="2" t="n">
        <x:v>0</x:v>
      </x:c>
      <x:c r="G1509" s="12" t="n">
        <x:v>322921.40510000003</x:v>
      </x:c>
      <x:c r="H1509" s="12" t="n">
        <x:v>8751.44846804</x:v>
      </x:c>
      <x:c r="I1509" s="13" t="n">
        <x:v>0.0343</x:v>
      </x:c>
      <x:c r="J1509" s="2" t="n">
        <x:v>0</x:v>
      </x:c>
      <x:c r="K1509" s="2" t="n">
        <x:v>2</x:v>
      </x:c>
      <x:c r="L1509" s="12" t="n">
        <x:v>982.43065</x:v>
      </x:c>
      <x:c r="M1509" s="13" t="n">
        <x:v>0.606181974958835</x:v>
      </x:c>
      <x:c r="N1509" s="13" t="n">
        <x:f>H1509/G1509</x:f>
        <x:v>0.027100862097790987</x:v>
      </x:c>
      <x:c r="O1509" s="13" t="n">
        <x:f>F1509/E1509</x:f>
        <x:v>0</x:v>
      </x:c>
      <x:c r="P1509" s="2" t="str">
        <x:f>IF(AND(E1509&gt;='Итоги'!$F$5,N1509&lt;='Итоги'!$B$5,O1509&gt;='Итоги'!$D$5),"Да","Нет")</x:f>
        <x:v>Нет</x:v>
      </x:c>
    </x:row>
    <x:row r="1510" ht="60" customHeight="1">
      <x:c r="A1510" s="14" t="str">
        <x:v>Детская одежда</x:v>
      </x:c>
      <x:c r="B1510" s="14" t="str">
        <x:v>Одежда для новорожденных</x:v>
      </x:c>
      <x:c r="C1510" s="14" t="str">
        <x:v>Верхняя одежда для новорожденных</x:v>
      </x:c>
      <x:c r="D1510" s="14" t="str">
        <x:v>Комбинезон демисезонный для новорожденных</x:v>
      </x:c>
      <x:c r="E1510" s="2" t="n">
        <x:v>32</x:v>
      </x:c>
      <x:c r="F1510" s="2" t="n">
        <x:v>0</x:v>
      </x:c>
      <x:c r="G1510" s="12" t="n">
        <x:v>2349010.08</x:v>
      </x:c>
      <x:c r="H1510" s="12" t="n">
        <x:v>64051.834354</x:v>
      </x:c>
      <x:c r="I1510" s="13" t="n">
        <x:v>0.01775</x:v>
      </x:c>
      <x:c r="J1510" s="2" t="n">
        <x:v>21</x:v>
      </x:c>
      <x:c r="K1510" s="2" t="n">
        <x:v>6</x:v>
      </x:c>
      <x:c r="L1510" s="12" t="n">
        <x:v>2876.77185</x:v>
      </x:c>
      <x:c r="M1510" s="13" t="n">
        <x:v>0.6768368997377823</x:v>
      </x:c>
      <x:c r="N1510" s="13" t="n">
        <x:f>H1510/G1510</x:f>
        <x:v>0.027267585992649293</x:v>
      </x:c>
      <x:c r="O1510" s="13" t="n">
        <x:f>F1510/E1510</x:f>
        <x:v>0</x:v>
      </x:c>
      <x:c r="P1510" s="2" t="str">
        <x:f>IF(AND(E1510&gt;='Итоги'!$F$5,N1510&lt;='Итоги'!$B$5,O1510&gt;='Итоги'!$D$5),"Да","Нет")</x:f>
        <x:v>Нет</x:v>
      </x:c>
    </x:row>
    <x:row r="1511" ht="60" customHeight="1">
      <x:c r="A1511" s="14" t="str">
        <x:v>Аптека</x:v>
      </x:c>
      <x:c r="B1511" s="14" t="str">
        <x:v>Средства реабилитации</x:v>
      </x:c>
      <x:c r="C1511" s="14" t="str">
        <x:v>Средства реабилитации</x:v>
      </x:c>
      <x:c r="D1511" s="14" t="str">
        <x:v>Кресло-туалет</x:v>
      </x:c>
      <x:c r="E1511" s="2" t="n">
        <x:v>21</x:v>
      </x:c>
      <x:c r="F1511" s="2" t="n">
        <x:v>0</x:v>
      </x:c>
      <x:c r="G1511" s="12" t="n">
        <x:v>5162545.4</x:v>
      </x:c>
      <x:c r="H1511" s="12" t="n">
        <x:v>141041.543779</x:v>
      </x:c>
      <x:c r="I1511" s="13" t="n">
        <x:v>0.0253047619047619</x:v>
      </x:c>
      <x:c r="J1511" s="2" t="n">
        <x:v>4</x:v>
      </x:c>
      <x:c r="K1511" s="2" t="n">
        <x:v>3</x:v>
      </x:c>
      <x:c r="L1511" s="12" t="n">
        <x:v>4647.5958</x:v>
      </x:c>
      <x:c r="M1511" s="13" t="n">
        <x:v>0.8448824295085134</x:v>
      </x:c>
      <x:c r="N1511" s="13" t="n">
        <x:f>H1511/G1511</x:f>
        <x:v>0.027320155630786314</x:v>
      </x:c>
      <x:c r="O1511" s="13" t="n">
        <x:f>F1511/E1511</x:f>
        <x:v>0</x:v>
      </x:c>
      <x:c r="P1511" s="2" t="str">
        <x:f>IF(AND(E1511&gt;='Итоги'!$F$5,N1511&lt;='Итоги'!$B$5,O1511&gt;='Итоги'!$D$5),"Да","Нет")</x:f>
        <x:v>Нет</x:v>
      </x:c>
    </x:row>
    <x:row r="1512" ht="60" customHeight="1">
      <x:c r="A1512" s="14" t="str">
        <x:v>Спорт и отдых</x:v>
      </x:c>
      <x:c r="B1512" s="14" t="str">
        <x:v>Товары для охоты</x:v>
      </x:c>
      <x:c r="C1512" s="14" t="str">
        <x:v>Оптика для охоты</x:v>
      </x:c>
      <x:c r="D1512" s="14" t="str">
        <x:v>Прицел</x:v>
      </x:c>
      <x:c r="E1512" s="2" t="n">
        <x:v>80</x:v>
      </x:c>
      <x:c r="F1512" s="2" t="n">
        <x:v>0</x:v>
      </x:c>
      <x:c r="G1512" s="12" t="n">
        <x:v>16313894.36</x:v>
      </x:c>
      <x:c r="H1512" s="12" t="n">
        <x:v>446008.196528</x:v>
      </x:c>
      <x:c r="I1512" s="13" t="n">
        <x:v>0.03242375</x:v>
      </x:c>
      <x:c r="J1512" s="2" t="n">
        <x:v>32</x:v>
      </x:c>
      <x:c r="K1512" s="2" t="n">
        <x:v>17</x:v>
      </x:c>
      <x:c r="L1512" s="12" t="n">
        <x:v>4924.134599999999</x:v>
      </x:c>
      <x:c r="M1512" s="13" t="n">
        <x:v>0.5602558027107392</x:v>
      </x:c>
      <x:c r="N1512" s="13" t="n">
        <x:f>H1512/G1512</x:f>
        <x:v>0.027339161740655038</x:v>
      </x:c>
      <x:c r="O1512" s="13" t="n">
        <x:f>F1512/E1512</x:f>
        <x:v>0</x:v>
      </x:c>
      <x:c r="P1512" s="2" t="str">
        <x:f>IF(AND(E1512&gt;='Итоги'!$F$5,N1512&lt;='Итоги'!$B$5,O1512&gt;='Итоги'!$D$5),"Да","Нет")</x:f>
        <x:v>Нет</x:v>
      </x:c>
    </x:row>
    <x:row r="1513" ht="60" customHeight="1">
      <x:c r="A1513" s="14" t="str">
        <x:v>Автотовары</x:v>
      </x:c>
      <x:c r="B1513" s="14" t="str">
        <x:v>Универсальные авто и мото аксессуары</x:v>
      </x:c>
      <x:c r="C1513" s="14" t="str">
        <x:v>Автотовары в дорогу</x:v>
      </x:c>
      <x:c r="D1513" s="14" t="str">
        <x:v>Транспондер и аксессуары к нему</x:v>
      </x:c>
      <x:c r="E1513" s="2" t="n">
        <x:v>24</x:v>
      </x:c>
      <x:c r="F1513" s="2" t="n">
        <x:v>0</x:v>
      </x:c>
      <x:c r="G1513" s="12" t="n">
        <x:v>4289040.3878</x:v>
      </x:c>
      <x:c r="H1513" s="12" t="n">
        <x:v>117546.426467</x:v>
      </x:c>
      <x:c r="I1513" s="13" t="n">
        <x:v>0.0349</x:v>
      </x:c>
      <x:c r="J1513" s="2" t="n">
        <x:v>7</x:v>
      </x:c>
      <x:c r="K1513" s="2" t="n">
        <x:v>8</x:v>
      </x:c>
      <x:c r="L1513" s="12" t="n">
        <x:v>4052.6718</x:v>
      </x:c>
      <x:c r="M1513" s="13" t="n">
        <x:v>0.341136927029615</x:v>
      </x:c>
      <x:c r="N1513" s="13" t="n">
        <x:f>H1513/G1513</x:f>
        <x:v>0.027406229794747564</x:v>
      </x:c>
      <x:c r="O1513" s="13" t="n">
        <x:f>F1513/E1513</x:f>
        <x:v>0</x:v>
      </x:c>
      <x:c r="P1513" s="2" t="str">
        <x:f>IF(AND(E1513&gt;='Итоги'!$F$5,N1513&lt;='Итоги'!$B$5,O1513&gt;='Итоги'!$D$5),"Да","Нет")</x:f>
        <x:v>Нет</x:v>
      </x:c>
    </x:row>
    <x:row r="1514" ht="60" customHeight="1">
      <x:c r="A1514" s="14" t="str">
        <x:v>Напитки</x:v>
      </x:c>
      <x:c r="B1514" s="14" t="str">
        <x:v>Напитки горячие</x:v>
      </x:c>
      <x:c r="C1514" s="14" t="str">
        <x:v>Растворимые напитки</x:v>
      </x:c>
      <x:c r="D1514" s="14" t="str">
        <x:v>Растворимый напиток</x:v>
      </x:c>
      <x:c r="E1514" s="2" t="n">
        <x:v>9</x:v>
      </x:c>
      <x:c r="F1514" s="2" t="n">
        <x:v>0</x:v>
      </x:c>
      <x:c r="G1514" s="12" t="n">
        <x:v>1183344.0651</x:v>
      </x:c>
      <x:c r="H1514" s="12" t="n">
        <x:v>32458.73882491</x:v>
      </x:c>
      <x:c r="I1514" s="13" t="n">
        <x:v>0.0397555555555555</x:v>
      </x:c>
      <x:c r="J1514" s="2" t="n">
        <x:v>3</x:v>
      </x:c>
      <x:c r="K1514" s="2" t="n">
        <x:v>8</x:v>
      </x:c>
      <x:c r="L1514" s="12" t="n">
        <x:v>1641.6659</x:v>
      </x:c>
      <x:c r="M1514" s="13" t="n">
        <x:v>0.3601745772595585</x:v>
      </x:c>
      <x:c r="N1514" s="13" t="n">
        <x:f>H1514/G1514</x:f>
        <x:v>0.02742967137133276</x:v>
      </x:c>
      <x:c r="O1514" s="13" t="n">
        <x:f>F1514/E1514</x:f>
        <x:v>0</x:v>
      </x:c>
      <x:c r="P1514" s="2" t="str">
        <x:f>IF(AND(E1514&gt;='Итоги'!$F$5,N1514&lt;='Итоги'!$B$5,O1514&gt;='Итоги'!$D$5),"Да","Нет")</x:f>
        <x:v>Нет</x:v>
      </x:c>
    </x:row>
    <x:row r="1515" ht="60" customHeight="1">
      <x:c r="A1515" s="14" t="str">
        <x:v>Ноутбуки и компьютеры</x:v>
      </x:c>
      <x:c r="B1515" s="14" t="str">
        <x:v>Компьютерная офисная техника Lap&amp;Comp</x:v>
      </x:c>
      <x:c r="C1515" s="14" t="str">
        <x:v>Компьютерная офисная техника Lap&amp;Comp</x:v>
      </x:c>
      <x:c r="D1515" s="14" t="str">
        <x:v>Проводной телефон</x:v>
      </x:c>
      <x:c r="E1515" s="2" t="n">
        <x:v>5</x:v>
      </x:c>
      <x:c r="F1515" s="2" t="n">
        <x:v>0</x:v>
      </x:c>
      <x:c r="G1515" s="12" t="n">
        <x:v>751478.24</x:v>
      </x:c>
      <x:c r="H1515" s="12" t="n">
        <x:v>20618.5137</x:v>
      </x:c>
      <x:c r="I1515" s="13" t="n">
        <x:v>0.03476</x:v>
      </x:c>
      <x:c r="J1515" s="2" t="n">
        <x:v>2</x:v>
      </x:c>
      <x:c r="K1515" s="2" t="n">
        <x:v>3</x:v>
      </x:c>
      <x:c r="L1515" s="12" t="n">
        <x:v>1971.1017</x:v>
      </x:c>
      <x:c r="M1515" s="13" t="n">
        <x:v>0.5295392718224283</x:v>
      </x:c>
      <x:c r="N1515" s="13" t="n">
        <x:f>H1515/G1515</x:f>
        <x:v>0.027437273100549126</x:v>
      </x:c>
      <x:c r="O1515" s="13" t="n">
        <x:f>F1515/E1515</x:f>
        <x:v>0</x:v>
      </x:c>
      <x:c r="P1515" s="2" t="str">
        <x:f>IF(AND(E1515&gt;='Итоги'!$F$5,N1515&lt;='Итоги'!$B$5,O1515&gt;='Итоги'!$D$5),"Да","Нет")</x:f>
        <x:v>Нет</x:v>
      </x:c>
    </x:row>
    <x:row r="1516" ht="60" customHeight="1">
      <x:c r="A1516" s="14" t="str">
        <x:v>Спорт и отдых</x:v>
      </x:c>
      <x:c r="B1516" s="14" t="str">
        <x:v>Товары для рыбалки</x:v>
      </x:c>
      <x:c r="C1516" s="14" t="str">
        <x:v>Оснастка рыболовная</x:v>
      </x:c>
      <x:c r="D1516" s="14" t="str">
        <x:v>Жерлица рыболовная</x:v>
      </x:c>
      <x:c r="E1516" s="2" t="n">
        <x:v>1</x:v>
      </x:c>
      <x:c r="F1516" s="2" t="n">
        <x:v>0</x:v>
      </x:c>
      <x:c r="G1516" s="12" t="n">
        <x:v>281892</x:v>
      </x:c>
      <x:c r="H1516" s="12" t="n">
        <x:v>7752.03</x:v>
      </x:c>
      <x:c r="I1516" s="13" t="n">
        <x:v>0.0275</x:v>
      </x:c>
      <x:c r="J1516" s="2" t="n">
        <x:v>0</x:v>
      </x:c>
      <x:c r="K1516" s="2" t="n">
        <x:v>1</x:v>
      </x:c>
      <x:c r="L1516" s="12" t="n">
        <x:v>1740.0741</x:v>
      </x:c>
      <x:c r="M1516" s="13" t="n">
        <x:v>1</x:v>
      </x:c>
      <x:c r="N1516" s="13" t="n">
        <x:f>H1516/G1516</x:f>
        <x:v>0.0275</x:v>
      </x:c>
      <x:c r="O1516" s="13" t="n">
        <x:f>F1516/E1516</x:f>
        <x:v>0</x:v>
      </x:c>
      <x:c r="P1516" s="2" t="str">
        <x:f>IF(AND(E1516&gt;='Итоги'!$F$5,N1516&lt;='Итоги'!$B$5,O1516&gt;='Итоги'!$D$5),"Да","Нет")</x:f>
        <x:v>Нет</x:v>
      </x:c>
    </x:row>
    <x:row r="1517" ht="60" customHeight="1">
      <x:c r="A1517" s="14" t="str">
        <x:v>Одежда</x:v>
      </x:c>
      <x:c r="B1517" s="14" t="str">
        <x:v>Основная одежда женская</x:v>
      </x:c>
      <x:c r="C1517" s="14" t="str">
        <x:v>Основная одежда для беременных и кормящих</x:v>
      </x:c>
      <x:c r="D1517" s="14" t="str">
        <x:v>Шорты для беременных</x:v>
      </x:c>
      <x:c r="E1517" s="2" t="n">
        <x:v>299</x:v>
      </x:c>
      <x:c r="F1517" s="2" t="n">
        <x:v>0</x:v>
      </x:c>
      <x:c r="G1517" s="12" t="n">
        <x:v>30748192.9222</x:v>
      </x:c>
      <x:c r="H1517" s="12" t="n">
        <x:v>845629.900041</x:v>
      </x:c>
      <x:c r="I1517" s="13" t="n">
        <x:v>0.0208545150501672</x:v>
      </x:c>
      <x:c r="J1517" s="2" t="n">
        <x:v>216</x:v>
      </x:c>
      <x:c r="K1517" s="2" t="n">
        <x:v>26</x:v>
      </x:c>
      <x:c r="L1517" s="12" t="n">
        <x:v>1759.0648</x:v>
      </x:c>
      <x:c r="M1517" s="13" t="n">
        <x:v>0.4456474400583921</x:v>
      </x:c>
      <x:c r="N1517" s="13" t="n">
        <x:f>H1517/G1517</x:f>
        <x:v>0.02750177554110702</x:v>
      </x:c>
      <x:c r="O1517" s="13" t="n">
        <x:f>F1517/E1517</x:f>
        <x:v>0</x:v>
      </x:c>
      <x:c r="P1517" s="2" t="str">
        <x:f>IF(AND(E1517&gt;='Итоги'!$F$5,N1517&lt;='Итоги'!$B$5,O1517&gt;='Итоги'!$D$5),"Да","Нет")</x:f>
        <x:v>Нет</x:v>
      </x:c>
    </x:row>
    <x:row r="1518" ht="60" customHeight="1">
      <x:c r="A1518" s="14" t="str">
        <x:v>Автотовары</x:v>
      </x:c>
      <x:c r="B1518" s="14" t="str">
        <x:v>Авто и мото запчасти</x:v>
      </x:c>
      <x:c r="C1518" s="14" t="str">
        <x:v>Кузовные детали</x:v>
      </x:c>
      <x:c r="D1518" s="14" t="str">
        <x:v>Дверь автомобильная и комплектующие</x:v>
      </x:c>
      <x:c r="E1518" s="2" t="n">
        <x:v>3</x:v>
      </x:c>
      <x:c r="F1518" s="2" t="n">
        <x:v>0</x:v>
      </x:c>
      <x:c r="G1518" s="12" t="n">
        <x:v>298088.8829</x:v>
      </x:c>
      <x:c r="H1518" s="12" t="n">
        <x:v>8199.1869153</x:v>
      </x:c>
      <x:c r="I1518" s="13" t="n">
        <x:v>0.035</x:v>
      </x:c>
      <x:c r="J1518" s="2" t="n">
        <x:v>1</x:v>
      </x:c>
      <x:c r="K1518" s="2" t="n">
        <x:v>3</x:v>
      </x:c>
      <x:c r="L1518" s="12" t="n">
        <x:v>1003.1978</x:v>
      </x:c>
      <x:c r="M1518" s="13" t="n">
        <x:v>0.4522788779923332</x:v>
      </x:c>
      <x:c r="N1518" s="13" t="n">
        <x:f>H1518/G1518</x:f>
        <x:v>0.02750584602663825</x:v>
      </x:c>
      <x:c r="O1518" s="13" t="n">
        <x:f>F1518/E1518</x:f>
        <x:v>0</x:v>
      </x:c>
      <x:c r="P1518" s="2" t="str">
        <x:f>IF(AND(E1518&gt;='Итоги'!$F$5,N1518&lt;='Итоги'!$B$5,O1518&gt;='Итоги'!$D$5),"Да","Нет")</x:f>
        <x:v>Нет</x:v>
      </x:c>
    </x:row>
    <x:row r="1519" ht="60" customHeight="1">
      <x:c r="A1519" s="14" t="str">
        <x:v>Спорт и отдых</x:v>
      </x:c>
      <x:c r="B1519" s="14" t="str">
        <x:v>Товары для рыбалки</x:v>
      </x:c>
      <x:c r="C1519" s="14" t="str">
        <x:v>Обувь для рыбалки</x:v>
      </x:c>
      <x:c r="D1519" s="14" t="str">
        <x:v>Сапоги для рыбалки</x:v>
      </x:c>
      <x:c r="E1519" s="2" t="n">
        <x:v>18</x:v>
      </x:c>
      <x:c r="F1519" s="2" t="n">
        <x:v>0</x:v>
      </x:c>
      <x:c r="G1519" s="12" t="n">
        <x:v>2605849.7829</x:v>
      </x:c>
      <x:c r="H1519" s="12" t="n">
        <x:v>71729.36263262</x:v>
      </x:c>
      <x:c r="I1519" s="13" t="n">
        <x:v>0.02865</x:v>
      </x:c>
      <x:c r="J1519" s="2" t="n">
        <x:v>7</x:v>
      </x:c>
      <x:c r="K1519" s="2" t="n">
        <x:v>3</x:v>
      </x:c>
      <x:c r="L1519" s="12" t="n">
        <x:v>1899.25325</x:v>
      </x:c>
      <x:c r="M1519" s="13" t="n">
        <x:v>0.4981360733907713</x:v>
      </x:c>
      <x:c r="N1519" s="13" t="n">
        <x:f>H1519/G1519</x:f>
        <x:v>0.027526284555356748</x:v>
      </x:c>
      <x:c r="O1519" s="13" t="n">
        <x:f>F1519/E1519</x:f>
        <x:v>0</x:v>
      </x:c>
      <x:c r="P1519" s="2" t="str">
        <x:f>IF(AND(E1519&gt;='Итоги'!$F$5,N1519&lt;='Итоги'!$B$5,O1519&gt;='Итоги'!$D$5),"Да","Нет")</x:f>
        <x:v>Нет</x:v>
      </x:c>
    </x:row>
    <x:row r="1520" ht="60" customHeight="1">
      <x:c r="A1520" s="14" t="str">
        <x:v>Аксессуары</x:v>
      </x:c>
      <x:c r="B1520" s="14" t="str">
        <x:v>Аксессуары</x:v>
      </x:c>
      <x:c r="C1520" s="14" t="str">
        <x:v>Аксессуары и уход для обуви</x:v>
      </x:c>
      <x:c r="D1520" s="14" t="str">
        <x:v>Щетка для обуви</x:v>
      </x:c>
      <x:c r="E1520" s="2" t="n">
        <x:v>1</x:v>
      </x:c>
      <x:c r="F1520" s="2" t="n">
        <x:v>0</x:v>
      </x:c>
      <x:c r="G1520" s="12" t="n">
        <x:v>122519.5</x:v>
      </x:c>
      <x:c r="H1520" s="12" t="n">
        <x:v>3381.5382</x:v>
      </x:c>
      <x:c r="I1520" s="13" t="n">
        <x:v>0.0276</x:v>
      </x:c>
      <x:c r="J1520" s="2" t="n">
        <x:v>0</x:v>
      </x:c>
      <x:c r="K1520" s="2" t="n">
        <x:v>1</x:v>
      </x:c>
      <x:c r="L1520" s="12" t="n">
        <x:v>2112.4052</x:v>
      </x:c>
      <x:c r="M1520" s="13" t="n">
        <x:v>1</x:v>
      </x:c>
      <x:c r="N1520" s="13" t="n">
        <x:f>H1520/G1520</x:f>
        <x:v>0.0276</x:v>
      </x:c>
      <x:c r="O1520" s="13" t="n">
        <x:f>F1520/E1520</x:f>
        <x:v>0</x:v>
      </x:c>
      <x:c r="P1520" s="2" t="str">
        <x:f>IF(AND(E1520&gt;='Итоги'!$F$5,N1520&lt;='Итоги'!$B$5,O1520&gt;='Итоги'!$D$5),"Да","Нет")</x:f>
        <x:v>Нет</x:v>
      </x:c>
    </x:row>
    <x:row r="1521" ht="60" customHeight="1">
      <x:c r="A1521" s="14" t="str">
        <x:v>Автотовары</x:v>
      </x:c>
      <x:c r="B1521" s="14" t="str">
        <x:v>Дополнительное оборудование для авто и мото техники</x:v>
      </x:c>
      <x:c r="C1521" s="14" t="str">
        <x:v>Дополнительное электрооборудование для авто</x:v>
      </x:c>
      <x:c r="D1521" s="14" t="str">
        <x:v>Разное электрооборудование</x:v>
      </x:c>
      <x:c r="E1521" s="2" t="n">
        <x:v>10</x:v>
      </x:c>
      <x:c r="F1521" s="2" t="n">
        <x:v>0</x:v>
      </x:c>
      <x:c r="G1521" s="12" t="n">
        <x:v>922994.783</x:v>
      </x:c>
      <x:c r="H1521" s="12" t="n">
        <x:v>25480.516136550003</x:v>
      </x:c>
      <x:c r="I1521" s="13" t="n">
        <x:v>0.0254199999999999</x:v>
      </x:c>
      <x:c r="J1521" s="2" t="n">
        <x:v>6</x:v>
      </x:c>
      <x:c r="K1521" s="2" t="n">
        <x:v>7</x:v>
      </x:c>
      <x:c r="L1521" s="12" t="n">
        <x:v>1593.2989</x:v>
      </x:c>
      <x:c r="M1521" s="13" t="n">
        <x:v>0.3565576176176501</x:v>
      </x:c>
      <x:c r="N1521" s="13" t="n">
        <x:f>H1521/G1521</x:f>
        <x:v>0.02760634903453187</x:v>
      </x:c>
      <x:c r="O1521" s="13" t="n">
        <x:f>F1521/E1521</x:f>
        <x:v>0</x:v>
      </x:c>
      <x:c r="P1521" s="2" t="str">
        <x:f>IF(AND(E1521&gt;='Итоги'!$F$5,N1521&lt;='Итоги'!$B$5,O1521&gt;='Итоги'!$D$5),"Да","Нет")</x:f>
        <x:v>Нет</x:v>
      </x:c>
    </x:row>
    <x:row r="1522" ht="60" customHeight="1">
      <x:c r="A1522" s="14" t="str">
        <x:v>Обувь</x:v>
      </x:c>
      <x:c r="B1522" s="14" t="str">
        <x:v>Обувь женская</x:v>
      </x:c>
      <x:c r="C1522" s="14" t="str">
        <x:v>Обувь женская повседневная</x:v>
      </x:c>
      <x:c r="D1522" s="14" t="str">
        <x:v>Женские Кеды</x:v>
      </x:c>
      <x:c r="E1522" s="2" t="n">
        <x:v>994</x:v>
      </x:c>
      <x:c r="F1522" s="2" t="n">
        <x:v>0</x:v>
      </x:c>
      <x:c r="G1522" s="12" t="n">
        <x:v>83068072.3796</x:v>
      </x:c>
      <x:c r="H1522" s="12" t="n">
        <x:v>2299050.60245153</x:v>
      </x:c>
      <x:c r="I1522" s="13" t="n">
        <x:v>0.0190808853118712</x:v>
      </x:c>
      <x:c r="J1522" s="2" t="n">
        <x:v>612</x:v>
      </x:c>
      <x:c r="K1522" s="2" t="n">
        <x:v>43</x:v>
      </x:c>
      <x:c r="L1522" s="12" t="n">
        <x:v>3821.3588</x:v>
      </x:c>
      <x:c r="M1522" s="13" t="n">
        <x:v>0.5532108684766531</x:v>
      </x:c>
      <x:c r="N1522" s="13" t="n">
        <x:f>H1522/G1522</x:f>
        <x:v>0.027676705822008874</x:v>
      </x:c>
      <x:c r="O1522" s="13" t="n">
        <x:f>F1522/E1522</x:f>
        <x:v>0</x:v>
      </x:c>
      <x:c r="P1522" s="2" t="str">
        <x:f>IF(AND(E1522&gt;='Итоги'!$F$5,N1522&lt;='Итоги'!$B$5,O1522&gt;='Итоги'!$D$5),"Да","Нет")</x:f>
        <x:v>Нет</x:v>
      </x:c>
    </x:row>
    <x:row r="1523" ht="60" customHeight="1">
      <x:c r="A1523" s="14" t="str">
        <x:v>Аксессуары для электроники</x:v>
      </x:c>
      <x:c r="B1523" s="14" t="str">
        <x:v>Оборудование Access</x:v>
      </x:c>
      <x:c r="C1523" s="14" t="str">
        <x:v>Оборудование для кафе, ресторанов Access</x:v>
      </x:c>
      <x:c r="D1523" s="14" t="str">
        <x:v>Оповещение гостей, официантов кафе, ресторанов</x:v>
      </x:c>
      <x:c r="E1523" s="2" t="n">
        <x:v>11</x:v>
      </x:c>
      <x:c r="F1523" s="2" t="n">
        <x:v>0</x:v>
      </x:c>
      <x:c r="G1523" s="12" t="n">
        <x:v>1474104</x:v>
      </x:c>
      <x:c r="H1523" s="12" t="n">
        <x:v>40822.1397</x:v>
      </x:c>
      <x:c r="I1523" s="13" t="n">
        <x:v>0.0268</x:v>
      </x:c>
      <x:c r="J1523" s="2" t="n">
        <x:v>5</x:v>
      </x:c>
      <x:c r="K1523" s="2" t="n">
        <x:v>6</x:v>
      </x:c>
      <x:c r="L1523" s="12" t="n">
        <x:v>9583.4167</x:v>
      </x:c>
      <x:c r="M1523" s="13" t="n">
        <x:v>0.4148526833927592</x:v>
      </x:c>
      <x:c r="N1523" s="13" t="n">
        <x:f>H1523/G1523</x:f>
        <x:v>0.027692849147685644</x:v>
      </x:c>
      <x:c r="O1523" s="13" t="n">
        <x:f>F1523/E1523</x:f>
        <x:v>0</x:v>
      </x:c>
      <x:c r="P1523" s="2" t="str">
        <x:f>IF(AND(E1523&gt;='Итоги'!$F$5,N1523&lt;='Итоги'!$B$5,O1523&gt;='Итоги'!$D$5),"Да","Нет")</x:f>
        <x:v>Нет</x:v>
      </x:c>
    </x:row>
    <x:row r="1524" ht="60" customHeight="1">
      <x:c r="A1524" s="14" t="str">
        <x:v>Детская одежда</x:v>
      </x:c>
      <x:c r="B1524" s="14" t="str">
        <x:v>Детская обувь</x:v>
      </x:c>
      <x:c r="C1524" s="14" t="str">
        <x:v>Обувь спортивная для мальчика</x:v>
      </x:c>
      <x:c r="D1524" s="14" t="str">
        <x:v>Кроссовки спортивные для мальчика</x:v>
      </x:c>
      <x:c r="E1524" s="2" t="n">
        <x:v>125</x:v>
      </x:c>
      <x:c r="F1524" s="2" t="n">
        <x:v>0</x:v>
      </x:c>
      <x:c r="G1524" s="12" t="n">
        <x:v>8978374.8576</x:v>
      </x:c>
      <x:c r="H1524" s="12" t="n">
        <x:v>248666.61270011</x:v>
      </x:c>
      <x:c r="I1524" s="13" t="n">
        <x:v>0.0202544</x:v>
      </x:c>
      <x:c r="J1524" s="2" t="n">
        <x:v>79</x:v>
      </x:c>
      <x:c r="K1524" s="2" t="n">
        <x:v>13</x:v>
      </x:c>
      <x:c r="L1524" s="12" t="n">
        <x:v>2399.3754</x:v>
      </x:c>
      <x:c r="M1524" s="13" t="n">
        <x:v>0.3751599245545851</x:v>
      </x:c>
      <x:c r="N1524" s="13" t="n">
        <x:f>H1524/G1524</x:f>
        <x:v>0.02769617181773371</x:v>
      </x:c>
      <x:c r="O1524" s="13" t="n">
        <x:f>F1524/E1524</x:f>
        <x:v>0</x:v>
      </x:c>
      <x:c r="P1524" s="2" t="str">
        <x:f>IF(AND(E1524&gt;='Итоги'!$F$5,N1524&lt;='Итоги'!$B$5,O1524&gt;='Итоги'!$D$5),"Да","Нет")</x:f>
        <x:v>Нет</x:v>
      </x:c>
    </x:row>
    <x:row r="1525" ht="60" customHeight="1">
      <x:c r="A1525" s="14" t="str">
        <x:v>Спорт и отдых</x:v>
      </x:c>
      <x:c r="B1525" s="14" t="str">
        <x:v>Товары для рыбалки</x:v>
      </x:c>
      <x:c r="C1525" s="14" t="str">
        <x:v>Аксесcуары для рыбалки</x:v>
      </x:c>
      <x:c r="D1525" s="14" t="str">
        <x:v>Кораблик для прикормки</x:v>
      </x:c>
      <x:c r="E1525" s="2" t="n">
        <x:v>33</x:v>
      </x:c>
      <x:c r="F1525" s="2" t="n">
        <x:v>0</x:v>
      </x:c>
      <x:c r="G1525" s="12" t="n">
        <x:v>5751681.9573</x:v>
      </x:c>
      <x:c r="H1525" s="12" t="n">
        <x:v>159307.27380479</x:v>
      </x:c>
      <x:c r="I1525" s="13" t="n">
        <x:v>0.0366424242424242</x:v>
      </x:c>
      <x:c r="J1525" s="2" t="n">
        <x:v>18</x:v>
      </x:c>
      <x:c r="K1525" s="2" t="n">
        <x:v>15</x:v>
      </x:c>
      <x:c r="L1525" s="12" t="n">
        <x:v>13789.1667</x:v>
      </x:c>
      <x:c r="M1525" s="13" t="n">
        <x:v>0.316772202901025</x:v>
      </x:c>
      <x:c r="N1525" s="13" t="n">
        <x:f>H1525/G1525</x:f>
        <x:v>0.02769751091723668</x:v>
      </x:c>
      <x:c r="O1525" s="13" t="n">
        <x:f>F1525/E1525</x:f>
        <x:v>0</x:v>
      </x:c>
      <x:c r="P1525" s="2" t="str">
        <x:f>IF(AND(E1525&gt;='Итоги'!$F$5,N1525&lt;='Итоги'!$B$5,O1525&gt;='Итоги'!$D$5),"Да","Нет")</x:f>
        <x:v>Нет</x:v>
      </x:c>
    </x:row>
    <x:row r="1526" ht="60" customHeight="1">
      <x:c r="A1526" s="14" t="str">
        <x:v>Товары для животных</x:v>
      </x:c>
      <x:c r="B1526" s="14" t="str">
        <x:v>Фермерское хозяйство - Содержание, уход птицы и сельскохозяйственных животных</x:v>
      </x:c>
      <x:c r="C1526" s="14" t="str">
        <x:v>Ветеринарные изделия для сельскохозяйственных животных и птиц</x:v>
      </x:c>
      <x:c r="D1526" s="14" t="str">
        <x:v>Репеллент для сельхозживотных</x:v>
      </x:c>
      <x:c r="E1526" s="2" t="n">
        <x:v>5</x:v>
      </x:c>
      <x:c r="F1526" s="2" t="n">
        <x:v>0</x:v>
      </x:c>
      <x:c r="G1526" s="12" t="n">
        <x:v>422806.5956</x:v>
      </x:c>
      <x:c r="H1526" s="12" t="n">
        <x:v>11715.88486596</x:v>
      </x:c>
      <x:c r="I1526" s="13" t="n">
        <x:v>0.02112</x:v>
      </x:c>
      <x:c r="J1526" s="2" t="n">
        <x:v>3</x:v>
      </x:c>
      <x:c r="K1526" s="2" t="n">
        <x:v>4</x:v>
      </x:c>
      <x:c r="L1526" s="12" t="n">
        <x:v>2154.7143</x:v>
      </x:c>
      <x:c r="M1526" s="13" t="n">
        <x:v>0.5549094135276067</x:v>
      </x:c>
      <x:c r="N1526" s="13" t="n">
        <x:f>H1526/G1526</x:f>
        <x:v>0.027709796838278084</x:v>
      </x:c>
      <x:c r="O1526" s="13" t="n">
        <x:f>F1526/E1526</x:f>
        <x:v>0</x:v>
      </x:c>
      <x:c r="P1526" s="2" t="str">
        <x:f>IF(AND(E1526&gt;='Итоги'!$F$5,N1526&lt;='Итоги'!$B$5,O1526&gt;='Итоги'!$D$5),"Да","Нет")</x:f>
        <x:v>Нет</x:v>
      </x:c>
    </x:row>
    <x:row r="1527" ht="60" customHeight="1">
      <x:c r="A1527" s="14" t="str">
        <x:v>Товары для животных</x:v>
      </x:c>
      <x:c r="B1527" s="14" t="str">
        <x:v>Зоокорм, витамины</x:v>
      </x:c>
      <x:c r="C1527" s="14" t="str">
        <x:v>Зоокорм, витамины для мелких животных</x:v>
      </x:c>
      <x:c r="D1527" s="14" t="str">
        <x:v>Сухой корм для грызунов</x:v>
      </x:c>
      <x:c r="E1527" s="2" t="n">
        <x:v>24</x:v>
      </x:c>
      <x:c r="F1527" s="2" t="n">
        <x:v>0</x:v>
      </x:c>
      <x:c r="G1527" s="12" t="n">
        <x:v>2958233.94</x:v>
      </x:c>
      <x:c r="H1527" s="12" t="n">
        <x:v>82189.896256</x:v>
      </x:c>
      <x:c r="I1527" s="13" t="n">
        <x:v>0.0119583333333333</x:v>
      </x:c>
      <x:c r="J1527" s="2" t="n">
        <x:v>21</x:v>
      </x:c>
      <x:c r="K1527" s="2" t="n">
        <x:v>5</x:v>
      </x:c>
      <x:c r="L1527" s="12" t="n">
        <x:v>1372.68425</x:v>
      </x:c>
      <x:c r="M1527" s="13" t="n">
        <x:v>0.3276140324453177</x:v>
      </x:c>
      <x:c r="N1527" s="13" t="n">
        <x:f>H1527/G1527</x:f>
        <x:v>0.02778343360363177</x:v>
      </x:c>
      <x:c r="O1527" s="13" t="n">
        <x:f>F1527/E1527</x:f>
        <x:v>0</x:v>
      </x:c>
      <x:c r="P1527" s="2" t="str">
        <x:f>IF(AND(E1527&gt;='Итоги'!$F$5,N1527&lt;='Итоги'!$B$5,O1527&gt;='Итоги'!$D$5),"Да","Нет")</x:f>
        <x:v>Нет</x:v>
      </x:c>
    </x:row>
    <x:row r="1528" ht="60" customHeight="1">
      <x:c r="A1528" s="14" t="str">
        <x:v>Строительство и ремонт (DIY)</x:v>
      </x:c>
      <x:c r="B1528" s="14" t="str">
        <x:v>Ремонт и строительство</x:v>
      </x:c>
      <x:c r="C1528" s="14" t="str">
        <x:v>Скобяные изделия</x:v>
      </x:c>
      <x:c r="D1528" s="14" t="str">
        <x:v>Шнур хозяйственный крепежный</x:v>
      </x:c>
      <x:c r="E1528" s="2" t="n">
        <x:v>14</x:v>
      </x:c>
      <x:c r="F1528" s="2" t="n">
        <x:v>0</x:v>
      </x:c>
      <x:c r="G1528" s="12" t="n">
        <x:v>2368121.395</x:v>
      </x:c>
      <x:c r="H1528" s="12" t="n">
        <x:v>65806.29736688</x:v>
      </x:c>
      <x:c r="I1528" s="13" t="n">
        <x:v>0.0327214285714285</x:v>
      </x:c>
      <x:c r="J1528" s="2" t="n">
        <x:v>2</x:v>
      </x:c>
      <x:c r="K1528" s="2" t="n">
        <x:v>7</x:v>
      </x:c>
      <x:c r="L1528" s="12" t="n">
        <x:v>2534.75415</x:v>
      </x:c>
      <x:c r="M1528" s="13" t="n">
        <x:v>0.3237660134395264</x:v>
      </x:c>
      <x:c r="N1528" s="13" t="n">
        <x:f>H1528/G1528</x:f>
        <x:v>0.02778839695710785</x:v>
      </x:c>
      <x:c r="O1528" s="13" t="n">
        <x:f>F1528/E1528</x:f>
        <x:v>0</x:v>
      </x:c>
      <x:c r="P1528" s="2" t="str">
        <x:f>IF(AND(E1528&gt;='Итоги'!$F$5,N1528&lt;='Итоги'!$B$5,O1528&gt;='Итоги'!$D$5),"Да","Нет")</x:f>
        <x:v>Нет</x:v>
      </x:c>
    </x:row>
    <x:row r="1529" ht="60" customHeight="1">
      <x:c r="A1529" s="14" t="str">
        <x:v>Товары для животных</x:v>
      </x:c>
      <x:c r="B1529" s="14" t="str">
        <x:v>Спальное место животного</x:v>
      </x:c>
      <x:c r="C1529" s="14" t="str">
        <x:v>Аквариум Декорирование</x:v>
      </x:c>
      <x:c r="D1529" s="14" t="str">
        <x:v>Грунт для аквариума</x:v>
      </x:c>
      <x:c r="E1529" s="2" t="n">
        <x:v>4</x:v>
      </x:c>
      <x:c r="F1529" s="2" t="n">
        <x:v>0</x:v>
      </x:c>
      <x:c r="G1529" s="12" t="n">
        <x:v>395187.73</x:v>
      </x:c>
      <x:c r="H1529" s="12" t="n">
        <x:v>10998.536296000002</x:v>
      </x:c>
      <x:c r="I1529" s="13" t="n">
        <x:v>0.019475</x:v>
      </x:c>
      <x:c r="J1529" s="2" t="n">
        <x:v>2</x:v>
      </x:c>
      <x:c r="K1529" s="2" t="n">
        <x:v>3</x:v>
      </x:c>
      <x:c r="L1529" s="12" t="n">
        <x:v>1056.067</x:v>
      </x:c>
      <x:c r="M1529" s="13" t="n">
        <x:v>0.521129540130206</x:v>
      </x:c>
      <x:c r="N1529" s="13" t="n">
        <x:f>H1529/G1529</x:f>
        <x:v>0.027831168482887872</x:v>
      </x:c>
      <x:c r="O1529" s="13" t="n">
        <x:f>F1529/E1529</x:f>
        <x:v>0</x:v>
      </x:c>
      <x:c r="P1529" s="2" t="str">
        <x:f>IF(AND(E1529&gt;='Итоги'!$F$5,N1529&lt;='Итоги'!$B$5,O1529&gt;='Итоги'!$D$5),"Да","Нет")</x:f>
        <x:v>Нет</x:v>
      </x:c>
    </x:row>
    <x:row r="1530" ht="60" customHeight="1">
      <x:c r="A1530" s="14" t="str">
        <x:v>Аксессуары для электроники</x:v>
      </x:c>
      <x:c r="B1530" s="14" t="str">
        <x:v>Фото и видео Access</x:v>
      </x:c>
      <x:c r="C1530" s="14" t="str">
        <x:v>Аксессуар к фото и видео Access</x:v>
      </x:c>
      <x:c r="D1530" s="14" t="str">
        <x:v>Рюкзак для фото/видео устройств</x:v>
      </x:c>
      <x:c r="E1530" s="2" t="n">
        <x:v>7</x:v>
      </x:c>
      <x:c r="F1530" s="2" t="n">
        <x:v>0</x:v>
      </x:c>
      <x:c r="G1530" s="12" t="n">
        <x:v>881270.8174</x:v>
      </x:c>
      <x:c r="H1530" s="12" t="n">
        <x:v>24534.21376854</x:v>
      </x:c>
      <x:c r="I1530" s="13" t="n">
        <x:v>0.0264857142857142</x:v>
      </x:c>
      <x:c r="J1530" s="2" t="n">
        <x:v>6</x:v>
      </x:c>
      <x:c r="K1530" s="2" t="n">
        <x:v>4</x:v>
      </x:c>
      <x:c r="L1530" s="12" t="n">
        <x:v>15785.25</x:v>
      </x:c>
      <x:c r="M1530" s="13" t="n">
        <x:v>0.4675504500598705</x:v>
      </x:c>
      <x:c r="N1530" s="13" t="n">
        <x:f>H1530/G1530</x:f>
        <x:v>0.027839584931364143</x:v>
      </x:c>
      <x:c r="O1530" s="13" t="n">
        <x:f>F1530/E1530</x:f>
        <x:v>0</x:v>
      </x:c>
      <x:c r="P1530" s="2" t="str">
        <x:f>IF(AND(E1530&gt;='Итоги'!$F$5,N1530&lt;='Итоги'!$B$5,O1530&gt;='Итоги'!$D$5),"Да","Нет")</x:f>
        <x:v>Нет</x:v>
      </x:c>
    </x:row>
    <x:row r="1531" ht="60" customHeight="1">
      <x:c r="A1531" s="14" t="str">
        <x:v>Детская одежда</x:v>
      </x:c>
      <x:c r="B1531" s="14" t="str">
        <x:v>Детская одежда</x:v>
      </x:c>
      <x:c r="C1531" s="14" t="str">
        <x:v>Одежда для мальчика</x:v>
      </x:c>
      <x:c r="D1531" s="14" t="str">
        <x:v>Лонгслив для мальчика</x:v>
      </x:c>
      <x:c r="E1531" s="2" t="n">
        <x:v>41</x:v>
      </x:c>
      <x:c r="F1531" s="2" t="n">
        <x:v>0</x:v>
      </x:c>
      <x:c r="G1531" s="12" t="n">
        <x:v>4328121.2227</x:v>
      </x:c>
      <x:c r="H1531" s="12" t="n">
        <x:v>120504.9016563</x:v>
      </x:c>
      <x:c r="I1531" s="13" t="n">
        <x:v>0.0302829268292682</x:v>
      </x:c>
      <x:c r="J1531" s="2" t="n">
        <x:v>1</x:v>
      </x:c>
      <x:c r="K1531" s="2" t="n">
        <x:v>2</x:v>
      </x:c>
      <x:c r="L1531" s="12" t="n">
        <x:v>1181.2875</x:v>
      </x:c>
      <x:c r="M1531" s="13" t="n">
        <x:v>0.9970058994808108</x:v>
      </x:c>
      <x:c r="N1531" s="13" t="n">
        <x:f>H1531/G1531</x:f>
        <x:v>0.027842312046224473</x:v>
      </x:c>
      <x:c r="O1531" s="13" t="n">
        <x:f>F1531/E1531</x:f>
        <x:v>0</x:v>
      </x:c>
      <x:c r="P1531" s="2" t="str">
        <x:f>IF(AND(E1531&gt;='Итоги'!$F$5,N1531&lt;='Итоги'!$B$5,O1531&gt;='Итоги'!$D$5),"Да","Нет")</x:f>
        <x:v>Нет</x:v>
      </x:c>
    </x:row>
    <x:row r="1532" ht="60" customHeight="1">
      <x:c r="A1532" s="14" t="str">
        <x:v>Строительство и ремонт (DIY)</x:v>
      </x:c>
      <x:c r="B1532" s="14" t="str">
        <x:v>Ремонт и строительство</x:v>
      </x:c>
      <x:c r="C1532" s="14" t="str">
        <x:v>Скобяные изделия</x:v>
      </x:c>
      <x:c r="D1532" s="14" t="str">
        <x:v>Петля дверная</x:v>
      </x:c>
      <x:c r="E1532" s="2" t="n">
        <x:v>10</x:v>
      </x:c>
      <x:c r="F1532" s="2" t="n">
        <x:v>0</x:v>
      </x:c>
      <x:c r="G1532" s="12" t="n">
        <x:v>1946588.6557</x:v>
      </x:c>
      <x:c r="H1532" s="12" t="n">
        <x:v>54234.2893612</x:v>
      </x:c>
      <x:c r="I1532" s="13" t="n">
        <x:v>0.03784</x:v>
      </x:c>
      <x:c r="J1532" s="2" t="n">
        <x:v>2</x:v>
      </x:c>
      <x:c r="K1532" s="2" t="n">
        <x:v>3</x:v>
      </x:c>
      <x:c r="L1532" s="12" t="n">
        <x:v>2113.4845</x:v>
      </x:c>
      <x:c r="M1532" s="13" t="n">
        <x:v>0.8241187531338596</x:v>
      </x:c>
      <x:c r="N1532" s="13" t="n">
        <x:f>H1532/G1532</x:f>
        <x:v>0.027861196664426855</x:v>
      </x:c>
      <x:c r="O1532" s="13" t="n">
        <x:f>F1532/E1532</x:f>
        <x:v>0</x:v>
      </x:c>
      <x:c r="P1532" s="2" t="str">
        <x:f>IF(AND(E1532&gt;='Итоги'!$F$5,N1532&lt;='Итоги'!$B$5,O1532&gt;='Итоги'!$D$5),"Да","Нет")</x:f>
        <x:v>Нет</x:v>
      </x:c>
    </x:row>
    <x:row r="1533" ht="60" customHeight="1">
      <x:c r="A1533" s="14" t="str">
        <x:v>Аудио и видеотехника</x:v>
      </x:c>
      <x:c r="B1533" s="14" t="str">
        <x:v>Домашняя Аудио и Видеотехника TV&amp;Audio</x:v>
      </x:c>
      <x:c r="C1533" s="14" t="str">
        <x:v>Музыкальные инструменты TV&amp;Audio</x:v>
      </x:c>
      <x:c r="D1533" s="14" t="str">
        <x:v>Духовые музыкальные инструменты</x:v>
      </x:c>
      <x:c r="E1533" s="2" t="n">
        <x:v>11</x:v>
      </x:c>
      <x:c r="F1533" s="2" t="n">
        <x:v>0</x:v>
      </x:c>
      <x:c r="G1533" s="12" t="n">
        <x:v>1006462.6914</x:v>
      </x:c>
      <x:c r="H1533" s="12" t="n">
        <x:v>28043.67441309</x:v>
      </x:c>
      <x:c r="I1533" s="13" t="n">
        <x:v>0.0173</x:v>
      </x:c>
      <x:c r="J1533" s="2" t="n">
        <x:v>8</x:v>
      </x:c>
      <x:c r="K1533" s="2" t="n">
        <x:v>7</x:v>
      </x:c>
      <x:c r="L1533" s="12" t="n">
        <x:v>2059.537</x:v>
      </x:c>
      <x:c r="M1533" s="13" t="n">
        <x:v>0.3258498406372224</x:v>
      </x:c>
      <x:c r="N1533" s="13" t="n">
        <x:f>H1533/G1533</x:f>
        <x:v>0.027863600561369006</x:v>
      </x:c>
      <x:c r="O1533" s="13" t="n">
        <x:f>F1533/E1533</x:f>
        <x:v>0</x:v>
      </x:c>
      <x:c r="P1533" s="2" t="str">
        <x:f>IF(AND(E1533&gt;='Итоги'!$F$5,N1533&lt;='Итоги'!$B$5,O1533&gt;='Итоги'!$D$5),"Да","Нет")</x:f>
        <x:v>Нет</x:v>
      </x:c>
    </x:row>
    <x:row r="1534" ht="60" customHeight="1">
      <x:c r="A1534" s="14" t="str">
        <x:v>Товары для животных</x:v>
      </x:c>
      <x:c r="B1534" s="14" t="str">
        <x:v>Зоокорм, витамины</x:v>
      </x:c>
      <x:c r="C1534" s="14" t="str">
        <x:v>Зоокорм, витамины для мелких животных</x:v>
      </x:c>
      <x:c r="D1534" s="14" t="str">
        <x:v>Корм для рептилий</x:v>
      </x:c>
      <x:c r="E1534" s="2" t="n">
        <x:v>7</x:v>
      </x:c>
      <x:c r="F1534" s="2" t="n">
        <x:v>0</x:v>
      </x:c>
      <x:c r="G1534" s="12" t="n">
        <x:v>1229709.57</x:v>
      </x:c>
      <x:c r="H1534" s="12" t="n">
        <x:v>34305.182184</x:v>
      </x:c>
      <x:c r="I1534" s="13" t="n">
        <x:v>0.0225428571428571</x:v>
      </x:c>
      <x:c r="J1534" s="2" t="n">
        <x:v>3</x:v>
      </x:c>
      <x:c r="K1534" s="2" t="n">
        <x:v>2</x:v>
      </x:c>
      <x:c r="L1534" s="12" t="n">
        <x:v>1116.9546</x:v>
      </x:c>
      <x:c r="M1534" s="13" t="n">
        <x:v>0.9943889190030456</x:v>
      </x:c>
      <x:c r="N1534" s="13" t="n">
        <x:f>H1534/G1534</x:f>
        <x:v>0.027896979108652457</x:v>
      </x:c>
      <x:c r="O1534" s="13" t="n">
        <x:f>F1534/E1534</x:f>
        <x:v>0</x:v>
      </x:c>
      <x:c r="P1534" s="2" t="str">
        <x:f>IF(AND(E1534&gt;='Итоги'!$F$5,N1534&lt;='Итоги'!$B$5,O1534&gt;='Итоги'!$D$5),"Да","Нет")</x:f>
        <x:v>Нет</x:v>
      </x:c>
    </x:row>
    <x:row r="1535" ht="60" customHeight="1">
      <x:c r="A1535" s="14" t="str">
        <x:v>Автотовары</x:v>
      </x:c>
      <x:c r="B1535" s="14" t="str">
        <x:v>Электронные устройства для авто</x:v>
      </x:c>
      <x:c r="C1535" s="14" t="str">
        <x:v>Автоэлектроника</x:v>
      </x:c>
      <x:c r="D1535" s="14" t="str">
        <x:v>Проектор на лобовое стекло автомобиля</x:v>
      </x:c>
      <x:c r="E1535" s="2" t="n">
        <x:v>2</x:v>
      </x:c>
      <x:c r="F1535" s="2" t="n">
        <x:v>0</x:v>
      </x:c>
      <x:c r="G1535" s="12" t="n">
        <x:v>388130.8209</x:v>
      </x:c>
      <x:c r="H1535" s="12" t="n">
        <x:v>10849.9426</x:v>
      </x:c>
      <x:c r="I1535" s="13" t="n">
        <x:v>0.02905</x:v>
      </x:c>
      <x:c r="J1535" s="2" t="n">
        <x:v>1</x:v>
      </x:c>
      <x:c r="K1535" s="2" t="n">
        <x:v>2</x:v>
      </x:c>
      <x:c r="L1535" s="12" t="n">
        <x:v>1830.15445</x:v>
      </x:c>
      <x:c r="M1535" s="13" t="n">
        <x:v>0.5188581015880875</x:v>
      </x:c>
      <x:c r="N1535" s="13" t="n">
        <x:f>H1535/G1535</x:f>
        <x:v>0.027954344297732116</x:v>
      </x:c>
      <x:c r="O1535" s="13" t="n">
        <x:f>F1535/E1535</x:f>
        <x:v>0</x:v>
      </x:c>
      <x:c r="P1535" s="2" t="str">
        <x:f>IF(AND(E1535&gt;='Итоги'!$F$5,N1535&lt;='Итоги'!$B$5,O1535&gt;='Итоги'!$D$5),"Да","Нет")</x:f>
        <x:v>Нет</x:v>
      </x:c>
    </x:row>
    <x:row r="1536" ht="60" customHeight="1">
      <x:c r="A1536" s="14" t="str">
        <x:v>Аптека</x:v>
      </x:c>
      <x:c r="B1536" s="14" t="str">
        <x:v>Медицинские изделия</x:v>
      </x:c>
      <x:c r="C1536" s="14" t="str">
        <x:v>Перевязочные средства</x:v>
      </x:c>
      <x:c r="D1536" s="14" t="str">
        <x:v>Губка гемостатическая</x:v>
      </x:c>
      <x:c r="E1536" s="2" t="n">
        <x:v>9</x:v>
      </x:c>
      <x:c r="F1536" s="2" t="n">
        <x:v>0</x:v>
      </x:c>
      <x:c r="G1536" s="12" t="n">
        <x:v>2072466.6469</x:v>
      </x:c>
      <x:c r="H1536" s="12" t="n">
        <x:v>58117.30962864</x:v>
      </x:c>
      <x:c r="I1536" s="13" t="n">
        <x:v>0.0203111111111111</x:v>
      </x:c>
      <x:c r="J1536" s="2" t="n">
        <x:v>7</x:v>
      </x:c>
      <x:c r="K1536" s="2" t="n">
        <x:v>6</x:v>
      </x:c>
      <x:c r="L1536" s="12" t="n">
        <x:v>1420.5062</x:v>
      </x:c>
      <x:c r="M1536" s="13" t="n">
        <x:v>0.3588199570363855</x:v>
      </x:c>
      <x:c r="N1536" s="13" t="n">
        <x:f>H1536/G1536</x:f>
        <x:v>0.02804257897977369</x:v>
      </x:c>
      <x:c r="O1536" s="13" t="n">
        <x:f>F1536/E1536</x:f>
        <x:v>0</x:v>
      </x:c>
      <x:c r="P1536" s="2" t="str">
        <x:f>IF(AND(E1536&gt;='Итоги'!$F$5,N1536&lt;='Итоги'!$B$5,O1536&gt;='Итоги'!$D$5),"Да","Нет")</x:f>
        <x:v>Нет</x:v>
      </x:c>
    </x:row>
    <x:row r="1537" ht="60" customHeight="1">
      <x:c r="A1537" s="14" t="str">
        <x:v>Одежда</x:v>
      </x:c>
      <x:c r="B1537" s="14" t="str">
        <x:v>Основная одежда женская</x:v>
      </x:c>
      <x:c r="C1537" s="14" t="str">
        <x:v>Основная одежда женская верха</x:v>
      </x:c>
      <x:c r="D1537" s="14" t="str">
        <x:v>Комплект футболок женских</x:v>
      </x:c>
      <x:c r="E1537" s="2" t="n">
        <x:v>5</x:v>
      </x:c>
      <x:c r="F1537" s="2" t="n">
        <x:v>0</x:v>
      </x:c>
      <x:c r="G1537" s="12" t="n">
        <x:v>592215.55</x:v>
      </x:c>
      <x:c r="H1537" s="12" t="n">
        <x:v>16631.676882</x:v>
      </x:c>
      <x:c r="I1537" s="13" t="n">
        <x:v>0.03412</x:v>
      </x:c>
      <x:c r="J1537" s="2" t="n">
        <x:v>0</x:v>
      </x:c>
      <x:c r="K1537" s="2" t="n">
        <x:v>2</x:v>
      </x:c>
      <x:c r="L1537" s="12" t="n">
        <x:v>778.2051</x:v>
      </x:c>
      <x:c r="M1537" s="13" t="n">
        <x:v>0.6838544175342913</x:v>
      </x:c>
      <x:c r="N1537" s="13" t="n">
        <x:f>H1537/G1537</x:f>
        <x:v>0.02808382333425726</x:v>
      </x:c>
      <x:c r="O1537" s="13" t="n">
        <x:f>F1537/E1537</x:f>
        <x:v>0</x:v>
      </x:c>
      <x:c r="P1537" s="2" t="str">
        <x:f>IF(AND(E1537&gt;='Итоги'!$F$5,N1537&lt;='Итоги'!$B$5,O1537&gt;='Итоги'!$D$5),"Да","Нет")</x:f>
        <x:v>Нет</x:v>
      </x:c>
    </x:row>
    <x:row r="1538" ht="60" customHeight="1">
      <x:c r="A1538" s="14" t="str">
        <x:v>Товары для детей и спорта</x:v>
      </x:c>
      <x:c r="B1538" s="14" t="str">
        <x:v>КГТ и аксессуары для детей</x:v>
      </x:c>
      <x:c r="C1538" s="14" t="str">
        <x:v>Автокресла и аксессуары</x:v>
      </x:c>
      <x:c r="D1538" s="14" t="str">
        <x:v>Автопринадлежности для безопасности детей</x:v>
      </x:c>
      <x:c r="E1538" s="2" t="n">
        <x:v>9</x:v>
      </x:c>
      <x:c r="F1538" s="2" t="n">
        <x:v>0</x:v>
      </x:c>
      <x:c r="G1538" s="12" t="n">
        <x:v>1028716.579</x:v>
      </x:c>
      <x:c r="H1538" s="12" t="n">
        <x:v>28905.21354325</x:v>
      </x:c>
      <x:c r="I1538" s="13" t="n">
        <x:v>0.0205222222222222</x:v>
      </x:c>
      <x:c r="J1538" s="2" t="n">
        <x:v>6</x:v>
      </x:c>
      <x:c r="K1538" s="2" t="n">
        <x:v>7</x:v>
      </x:c>
      <x:c r="L1538" s="12" t="n">
        <x:v>1367.8157</x:v>
      </x:c>
      <x:c r="M1538" s="13" t="n">
        <x:v>0.2636321952384904</x:v>
      </x:c>
      <x:c r="N1538" s="13" t="n">
        <x:f>H1538/G1538</x:f>
        <x:v>0.02809832575202426</x:v>
      </x:c>
      <x:c r="O1538" s="13" t="n">
        <x:f>F1538/E1538</x:f>
        <x:v>0</x:v>
      </x:c>
      <x:c r="P1538" s="2" t="str">
        <x:f>IF(AND(E1538&gt;='Итоги'!$F$5,N1538&lt;='Итоги'!$B$5,O1538&gt;='Итоги'!$D$5),"Да","Нет")</x:f>
        <x:v>Нет</x:v>
      </x:c>
    </x:row>
    <x:row r="1539" ht="60" customHeight="1">
      <x:c r="A1539" s="14" t="str">
        <x:v>Мебель</x:v>
      </x:c>
      <x:c r="B1539" s="14" t="str">
        <x:v>Корпусная мебель и мебель для хранения</x:v>
      </x:c>
      <x:c r="C1539" s="14" t="str">
        <x:v>Мебель для кухни</x:v>
      </x:c>
      <x:c r="D1539" s="14" t="str">
        <x:v>Готовый кухонный гарнитур</x:v>
      </x:c>
      <x:c r="E1539" s="2" t="n">
        <x:v>15</x:v>
      </x:c>
      <x:c r="F1539" s="2" t="n">
        <x:v>0</x:v>
      </x:c>
      <x:c r="G1539" s="12" t="n">
        <x:v>3316943.5767</x:v>
      </x:c>
      <x:c r="H1539" s="12" t="n">
        <x:v>93273.30724603</x:v>
      </x:c>
      <x:c r="I1539" s="13" t="n">
        <x:v>0.0369133333333333</x:v>
      </x:c>
      <x:c r="J1539" s="2" t="n">
        <x:v>8</x:v>
      </x:c>
      <x:c r="K1539" s="2" t="n">
        <x:v>2</x:v>
      </x:c>
      <x:c r="L1539" s="12" t="n">
        <x:v>13277.5</x:v>
      </x:c>
      <x:c r="M1539" s="13" t="n">
        <x:v>0.9525386869991253</x:v>
      </x:c>
      <x:c r="N1539" s="13" t="n">
        <x:f>H1539/G1539</x:f>
        <x:v>0.02812025742651518</x:v>
      </x:c>
      <x:c r="O1539" s="13" t="n">
        <x:f>F1539/E1539</x:f>
        <x:v>0</x:v>
      </x:c>
      <x:c r="P1539" s="2" t="str">
        <x:f>IF(AND(E1539&gt;='Итоги'!$F$5,N1539&lt;='Итоги'!$B$5,O1539&gt;='Итоги'!$D$5),"Да","Нет")</x:f>
        <x:v>Нет</x:v>
      </x:c>
    </x:row>
    <x:row r="1540" ht="60" customHeight="1">
      <x:c r="A1540" s="14" t="str">
        <x:v>Ноутбуки и компьютеры</x:v>
      </x:c>
      <x:c r="B1540" s="14" t="str">
        <x:v>Игровые приставки и аксессуары Lap&amp;Comp</x:v>
      </x:c>
      <x:c r="C1540" s="14" t="str">
        <x:v>Аксессуары оригинальные для игровой приставки Lap&amp;Comp</x:v>
      </x:c>
      <x:c r="D1540" s="14" t="str">
        <x:v>Оригинальный комплект аксессуаров для игровой приставки</x:v>
      </x:c>
      <x:c r="E1540" s="2" t="n">
        <x:v>3</x:v>
      </x:c>
      <x:c r="F1540" s="2" t="n">
        <x:v>0</x:v>
      </x:c>
      <x:c r="G1540" s="12" t="n">
        <x:v>656901.8798</x:v>
      </x:c>
      <x:c r="H1540" s="12" t="n">
        <x:v>18480.702898219995</x:v>
      </x:c>
      <x:c r="I1540" s="13" t="n">
        <x:v>0.0307</x:v>
      </x:c>
      <x:c r="J1540" s="2" t="n">
        <x:v>0</x:v>
      </x:c>
      <x:c r="K1540" s="2" t="n">
        <x:v>1</x:v>
      </x:c>
      <x:c r="L1540" s="12" t="n">
        <x:v>3601.9102</x:v>
      </x:c>
      <x:c r="M1540" s="13" t="n">
        <x:v>1</x:v>
      </x:c>
      <x:c r="N1540" s="13" t="n">
        <x:f>H1540/G1540</x:f>
        <x:v>0.028133125306090797</x:v>
      </x:c>
      <x:c r="O1540" s="13" t="n">
        <x:f>F1540/E1540</x:f>
        <x:v>0</x:v>
      </x:c>
      <x:c r="P1540" s="2" t="str">
        <x:f>IF(AND(E1540&gt;='Итоги'!$F$5,N1540&lt;='Итоги'!$B$5,O1540&gt;='Итоги'!$D$5),"Да","Нет")</x:f>
        <x:v>Нет</x:v>
      </x:c>
    </x:row>
    <x:row r="1541" ht="60" customHeight="1">
      <x:c r="A1541" s="14" t="str">
        <x:v>Обувь</x:v>
      </x:c>
      <x:c r="B1541" s="14" t="str">
        <x:v>Обувь мужская</x:v>
      </x:c>
      <x:c r="C1541" s="14" t="str">
        <x:v>Обувь мужская повседневная</x:v>
      </x:c>
      <x:c r="D1541" s="14" t="str">
        <x:v>Мужские Кроссовки</x:v>
      </x:c>
      <x:c r="E1541" s="2" t="n">
        <x:v>1824</x:v>
      </x:c>
      <x:c r="F1541" s="2" t="n">
        <x:v>0</x:v>
      </x:c>
      <x:c r="G1541" s="12" t="n">
        <x:v>164245169.0428</x:v>
      </x:c>
      <x:c r="H1541" s="12" t="n">
        <x:v>4621039.022011</x:v>
      </x:c>
      <x:c r="I1541" s="13" t="n">
        <x:v>0.0244991776315789</x:v>
      </x:c>
      <x:c r="J1541" s="2" t="n">
        <x:v>1136</x:v>
      </x:c>
      <x:c r="K1541" s="2" t="n">
        <x:v>53</x:v>
      </x:c>
      <x:c r="L1541" s="12" t="n">
        <x:v>3400.6369</x:v>
      </x:c>
      <x:c r="M1541" s="13" t="n">
        <x:v>0.7748125631922728</x:v>
      </x:c>
      <x:c r="N1541" s="13" t="n">
        <x:f>H1541/G1541</x:f>
        <x:v>0.028135007251305036</x:v>
      </x:c>
      <x:c r="O1541" s="13" t="n">
        <x:f>F1541/E1541</x:f>
        <x:v>0</x:v>
      </x:c>
      <x:c r="P1541" s="2" t="str">
        <x:f>IF(AND(E1541&gt;='Итоги'!$F$5,N1541&lt;='Итоги'!$B$5,O1541&gt;='Итоги'!$D$5),"Да","Нет")</x:f>
        <x:v>Нет</x:v>
      </x:c>
    </x:row>
    <x:row r="1542" ht="60" customHeight="1">
      <x:c r="A1542" s="14" t="str">
        <x:v>Детская одежда</x:v>
      </x:c>
      <x:c r="B1542" s="14" t="str">
        <x:v>Детская одежда</x:v>
      </x:c>
      <x:c r="C1542" s="14" t="str">
        <x:v>Школьная одежда для мальчика</x:v>
      </x:c>
      <x:c r="D1542" s="14" t="str">
        <x:v>Школьные брюки, шорты для мальчика</x:v>
      </x:c>
      <x:c r="E1542" s="2" t="n">
        <x:v>350</x:v>
      </x:c>
      <x:c r="F1542" s="2" t="n">
        <x:v>0</x:v>
      </x:c>
      <x:c r="G1542" s="12" t="n">
        <x:v>33226564.4259</x:v>
      </x:c>
      <x:c r="H1542" s="12" t="n">
        <x:v>937003.30982434</x:v>
      </x:c>
      <x:c r="I1542" s="13" t="n">
        <x:v>0.0256637142857142</x:v>
      </x:c>
      <x:c r="J1542" s="2" t="n">
        <x:v>130</x:v>
      </x:c>
      <x:c r="K1542" s="2" t="n">
        <x:v>26</x:v>
      </x:c>
      <x:c r="L1542" s="12" t="n">
        <x:v>1425.35295</x:v>
      </x:c>
      <x:c r="M1542" s="13" t="n">
        <x:v>0.504390607120256</x:v>
      </x:c>
      <x:c r="N1542" s="13" t="n">
        <x:f>H1542/G1542</x:f>
        <x:v>0.02820042715863663</x:v>
      </x:c>
      <x:c r="O1542" s="13" t="n">
        <x:f>F1542/E1542</x:f>
        <x:v>0</x:v>
      </x:c>
      <x:c r="P1542" s="2" t="str">
        <x:f>IF(AND(E1542&gt;='Итоги'!$F$5,N1542&lt;='Итоги'!$B$5,O1542&gt;='Итоги'!$D$5),"Да","Нет")</x:f>
        <x:v>Нет</x:v>
      </x:c>
    </x:row>
    <x:row r="1543" ht="60" customHeight="1">
      <x:c r="A1543" s="14" t="str">
        <x:v>Спорт и отдых</x:v>
      </x:c>
      <x:c r="B1543" s="14" t="str">
        <x:v>Страйкбол и пневматика</x:v>
      </x:c>
      <x:c r="C1543" s="14" t="str">
        <x:v>Принадлежности для страйкбола и пневматики</x:v>
      </x:c>
      <x:c r="D1543" s="14" t="str">
        <x:v>Магазин для страйкбола</x:v>
      </x:c>
      <x:c r="E1543" s="2" t="n">
        <x:v>5</x:v>
      </x:c>
      <x:c r="F1543" s="2" t="n">
        <x:v>0</x:v>
      </x:c>
      <x:c r="G1543" s="12" t="n">
        <x:v>588628.64</x:v>
      </x:c>
      <x:c r="H1543" s="12" t="n">
        <x:v>16615.914848</x:v>
      </x:c>
      <x:c r="I1543" s="13" t="n">
        <x:v>0.03288</x:v>
      </x:c>
      <x:c r="J1543" s="2" t="n">
        <x:v>3</x:v>
      </x:c>
      <x:c r="K1543" s="2" t="n">
        <x:v>4</x:v>
      </x:c>
      <x:c r="L1543" s="12" t="n">
        <x:v>1028.6742</x:v>
      </x:c>
      <x:c r="M1543" s="13" t="n">
        <x:v>0.5108925722676355</x:v>
      </x:c>
      <x:c r="N1543" s="13" t="n">
        <x:f>H1543/G1543</x:f>
        <x:v>0.028228179396775528</x:v>
      </x:c>
      <x:c r="O1543" s="13" t="n">
        <x:f>F1543/E1543</x:f>
        <x:v>0</x:v>
      </x:c>
      <x:c r="P1543" s="2" t="str">
        <x:f>IF(AND(E1543&gt;='Итоги'!$F$5,N1543&lt;='Итоги'!$B$5,O1543&gt;='Итоги'!$D$5),"Да","Нет")</x:f>
        <x:v>Нет</x:v>
      </x:c>
    </x:row>
    <x:row r="1544" ht="60" customHeight="1">
      <x:c r="A1544" s="14" t="str">
        <x:v>Товары для красоты и здоровья</x:v>
      </x:c>
      <x:c r="B1544" s="14" t="str">
        <x:v>Косметические аксессуары</x:v>
      </x:c>
      <x:c r="C1544" s="14" t="str">
        <x:v>Аксессуары для маникюра и педикюра</x:v>
      </x:c>
      <x:c r="D1544" s="14" t="str">
        <x:v>Насадки для аппаратного маникюра</x:v>
      </x:c>
      <x:c r="E1544" s="2" t="n">
        <x:v>12</x:v>
      </x:c>
      <x:c r="F1544" s="2" t="n">
        <x:v>0</x:v>
      </x:c>
      <x:c r="G1544" s="12" t="n">
        <x:v>1035938.6691</x:v>
      </x:c>
      <x:c r="H1544" s="12" t="n">
        <x:v>29249.48187567</x:v>
      </x:c>
      <x:c r="I1544" s="13" t="n">
        <x:v>0.0301166666666666</x:v>
      </x:c>
      <x:c r="J1544" s="2" t="n">
        <x:v>8</x:v>
      </x:c>
      <x:c r="K1544" s="2" t="n">
        <x:v>1</x:v>
      </x:c>
      <x:c r="L1544" s="12" t="n">
        <x:v>2395.59085</x:v>
      </x:c>
      <x:c r="M1544" s="13" t="n">
        <x:v>1</x:v>
      </x:c>
      <x:c r="N1544" s="13" t="n">
        <x:f>H1544/G1544</x:f>
        <x:v>0.028234762103321508</x:v>
      </x:c>
      <x:c r="O1544" s="13" t="n">
        <x:f>F1544/E1544</x:f>
        <x:v>0</x:v>
      </x:c>
      <x:c r="P1544" s="2" t="str">
        <x:f>IF(AND(E1544&gt;='Итоги'!$F$5,N1544&lt;='Итоги'!$B$5,O1544&gt;='Итоги'!$D$5),"Да","Нет")</x:f>
        <x:v>Нет</x:v>
      </x:c>
    </x:row>
    <x:row r="1545" ht="60" customHeight="1">
      <x:c r="A1545" s="14" t="str">
        <x:v>Школьные принадлежности и канцелярия</x:v>
      </x:c>
      <x:c r="B1545" s="14" t="str">
        <x:v>Товары для школы, канцелярия, оборудование</x:v>
      </x:c>
      <x:c r="C1545" s="14" t="str">
        <x:v>Офисные принадлежности</x:v>
      </x:c>
      <x:c r="D1545" s="14" t="str">
        <x:v>Сейф (не оружейный)</x:v>
      </x:c>
      <x:c r="E1545" s="2" t="n">
        <x:v>36</x:v>
      </x:c>
      <x:c r="F1545" s="2" t="n">
        <x:v>0</x:v>
      </x:c>
      <x:c r="G1545" s="12" t="n">
        <x:v>3328544.8542</x:v>
      </x:c>
      <x:c r="H1545" s="12" t="n">
        <x:v>94149.44785649</x:v>
      </x:c>
      <x:c r="I1545" s="13" t="n">
        <x:v>0.0271805555555555</x:v>
      </x:c>
      <x:c r="J1545" s="2" t="n">
        <x:v>16</x:v>
      </x:c>
      <x:c r="K1545" s="2" t="n">
        <x:v>11</x:v>
      </x:c>
      <x:c r="L1545" s="12" t="n">
        <x:v>3635.1875</x:v>
      </x:c>
      <x:c r="M1545" s="13" t="n">
        <x:v>0.5199796238335457</x:v>
      </x:c>
      <x:c r="N1545" s="13" t="n">
        <x:f>H1545/G1545</x:f>
        <x:v>0.0282854676684591</x:v>
      </x:c>
      <x:c r="O1545" s="13" t="n">
        <x:f>F1545/E1545</x:f>
        <x:v>0</x:v>
      </x:c>
      <x:c r="P1545" s="2" t="str">
        <x:f>IF(AND(E1545&gt;='Итоги'!$F$5,N1545&lt;='Итоги'!$B$5,O1545&gt;='Итоги'!$D$5),"Да","Нет")</x:f>
        <x:v>Нет</x:v>
      </x:c>
    </x:row>
    <x:row r="1546" ht="60" customHeight="1">
      <x:c r="A1546" s="14" t="str">
        <x:v>Аптека</x:v>
      </x:c>
      <x:c r="B1546" s="14" t="str">
        <x:v>Профессиональные стоматологические приборы и материалы</x:v>
      </x:c>
      <x:c r="C1546" s="14" t="str">
        <x:v>Профессиональные стоматологические материалы</x:v>
      </x:c>
      <x:c r="D1546" s="14" t="str">
        <x:v>Композитные материалы стоматологические</x:v>
      </x:c>
      <x:c r="E1546" s="2" t="n">
        <x:v>18</x:v>
      </x:c>
      <x:c r="F1546" s="2" t="n">
        <x:v>0</x:v>
      </x:c>
      <x:c r="G1546" s="12" t="n">
        <x:v>2208409.5</x:v>
      </x:c>
      <x:c r="H1546" s="12" t="n">
        <x:v>62472.1477</x:v>
      </x:c>
      <x:c r="I1546" s="13" t="n">
        <x:v>0.0256277777777777</x:v>
      </x:c>
      <x:c r="J1546" s="2" t="n">
        <x:v>14</x:v>
      </x:c>
      <x:c r="K1546" s="2" t="n">
        <x:v>6</x:v>
      </x:c>
      <x:c r="L1546" s="12" t="n">
        <x:v>3436.58185</x:v>
      </x:c>
      <x:c r="M1546" s="13" t="n">
        <x:v>0.5791573075555054</x:v>
      </x:c>
      <x:c r="N1546" s="13" t="n">
        <x:f>H1546/G1546</x:f>
        <x:v>0.028288298750752523</x:v>
      </x:c>
      <x:c r="O1546" s="13" t="n">
        <x:f>F1546/E1546</x:f>
        <x:v>0</x:v>
      </x:c>
      <x:c r="P1546" s="2" t="str">
        <x:f>IF(AND(E1546&gt;='Итоги'!$F$5,N1546&lt;='Итоги'!$B$5,O1546&gt;='Итоги'!$D$5),"Да","Нет")</x:f>
        <x:v>Нет</x:v>
      </x:c>
    </x:row>
    <x:row r="1547" ht="60" customHeight="1">
      <x:c r="A1547" s="14" t="str">
        <x:v>Спорт и отдых</x:v>
      </x:c>
      <x:c r="B1547" s="14" t="str">
        <x:v>Товары для охоты</x:v>
      </x:c>
      <x:c r="C1547" s="14" t="str">
        <x:v>Уход за охотничьим оружием</x:v>
      </x:c>
      <x:c r="D1547" s="14" t="str">
        <x:v>Масло универсальное оружейное</x:v>
      </x:c>
      <x:c r="E1547" s="2" t="n">
        <x:v>3</x:v>
      </x:c>
      <x:c r="F1547" s="2" t="n">
        <x:v>0</x:v>
      </x:c>
      <x:c r="G1547" s="12" t="n">
        <x:v>529256.29</x:v>
      </x:c>
      <x:c r="H1547" s="12" t="n">
        <x:v>15020.679126</x:v>
      </x:c>
      <x:c r="I1547" s="13" t="n">
        <x:v>0.0306</x:v>
      </x:c>
      <x:c r="J1547" s="2" t="n">
        <x:v>1</x:v>
      </x:c>
      <x:c r="K1547" s="2" t="n">
        <x:v>2</x:v>
      </x:c>
      <x:c r="L1547" s="12" t="n">
        <x:v>1040.2848</x:v>
      </x:c>
      <x:c r="M1547" s="13" t="n">
        <x:v>0.6168001139863637</x:v>
      </x:c>
      <x:c r="N1547" s="13" t="n">
        <x:f>H1547/G1547</x:f>
        <x:v>0.028380728599371016</x:v>
      </x:c>
      <x:c r="O1547" s="13" t="n">
        <x:f>F1547/E1547</x:f>
        <x:v>0</x:v>
      </x:c>
      <x:c r="P1547" s="2" t="str">
        <x:f>IF(AND(E1547&gt;='Итоги'!$F$5,N1547&lt;='Итоги'!$B$5,O1547&gt;='Итоги'!$D$5),"Да","Нет")</x:f>
        <x:v>Нет</x:v>
      </x:c>
    </x:row>
    <x:row r="1548" ht="60" customHeight="1">
      <x:c r="A1548" s="14" t="str">
        <x:v>Аксессуары</x:v>
      </x:c>
      <x:c r="B1548" s="14" t="str">
        <x:v>Аксессуары</x:v>
      </x:c>
      <x:c r="C1548" s="14" t="str">
        <x:v>Аксессуары для путешествий</x:v>
      </x:c>
      <x:c r="D1548" s="14" t="str">
        <x:v>Весы портативные для багажа</x:v>
      </x:c>
      <x:c r="E1548" s="2" t="n">
        <x:v>1</x:v>
      </x:c>
      <x:c r="F1548" s="2" t="n">
        <x:v>0</x:v>
      </x:c>
      <x:c r="G1548" s="12" t="n">
        <x:v>140294.43</x:v>
      </x:c>
      <x:c r="H1548" s="12" t="n">
        <x:v>3984.361812</x:v>
      </x:c>
      <x:c r="I1548" s="13" t="n">
        <x:v>0.0284</x:v>
      </x:c>
      <x:c r="J1548" s="2" t="n">
        <x:v>0</x:v>
      </x:c>
      <x:c r="K1548" s="2" t="n">
        <x:v>1</x:v>
      </x:c>
      <x:c r="L1548" s="12" t="n">
        <x:v>987.9889</x:v>
      </x:c>
      <x:c r="M1548" s="13" t="n">
        <x:v>1</x:v>
      </x:c>
      <x:c r="N1548" s="13" t="n">
        <x:f>H1548/G1548</x:f>
        <x:v>0.0284</x:v>
      </x:c>
      <x:c r="O1548" s="13" t="n">
        <x:f>F1548/E1548</x:f>
        <x:v>0</x:v>
      </x:c>
      <x:c r="P1548" s="2" t="str">
        <x:f>IF(AND(E1548&gt;='Итоги'!$F$5,N1548&lt;='Итоги'!$B$5,O1548&gt;='Итоги'!$D$5),"Да","Нет")</x:f>
        <x:v>Нет</x:v>
      </x:c>
    </x:row>
    <x:row r="1549" ht="60" customHeight="1">
      <x:c r="A1549" s="14" t="str">
        <x:v>Товары для красоты и здоровья</x:v>
      </x:c>
      <x:c r="B1549" s="14" t="str">
        <x:v>Косметические средства для детей и беременных</x:v>
      </x:c>
      <x:c r="C1549" s="14" t="str">
        <x:v>Детские косметические аксессуары</x:v>
      </x:c>
      <x:c r="D1549" s="14" t="str">
        <x:v>Расческа, щетка, гребень детские</x:v>
      </x:c>
      <x:c r="E1549" s="2" t="n">
        <x:v>18</x:v>
      </x:c>
      <x:c r="F1549" s="2" t="n">
        <x:v>0</x:v>
      </x:c>
      <x:c r="G1549" s="12" t="n">
        <x:v>2560556.5843</x:v>
      </x:c>
      <x:c r="H1549" s="12" t="n">
        <x:v>72744.12775489</x:v>
      </x:c>
      <x:c r="I1549" s="13" t="n">
        <x:v>0.0275</x:v>
      </x:c>
      <x:c r="J1549" s="2" t="n">
        <x:v>6</x:v>
      </x:c>
      <x:c r="K1549" s="2" t="n">
        <x:v>3</x:v>
      </x:c>
      <x:c r="L1549" s="12" t="n">
        <x:v>1313.25645</x:v>
      </x:c>
      <x:c r="M1549" s="13" t="n">
        <x:v>0.5837332360724272</x:v>
      </x:c>
      <x:c r="N1549" s="13" t="n">
        <x:f>H1549/G1549</x:f>
        <x:v>0.028409498232110593</x:v>
      </x:c>
      <x:c r="O1549" s="13" t="n">
        <x:f>F1549/E1549</x:f>
        <x:v>0</x:v>
      </x:c>
      <x:c r="P1549" s="2" t="str">
        <x:f>IF(AND(E1549&gt;='Итоги'!$F$5,N1549&lt;='Итоги'!$B$5,O1549&gt;='Итоги'!$D$5),"Да","Нет")</x:f>
        <x:v>Нет</x:v>
      </x:c>
    </x:row>
    <x:row r="1550" ht="60" customHeight="1">
      <x:c r="A1550" s="14" t="str">
        <x:v>Мебель</x:v>
      </x:c>
      <x:c r="B1550" s="14" t="str">
        <x:v>Мебель для сна</x:v>
      </x:c>
      <x:c r="C1550" s="14" t="str">
        <x:v>Кровать</x:v>
      </x:c>
      <x:c r="D1550" s="14" t="str">
        <x:v>Односпальные кровати</x:v>
      </x:c>
      <x:c r="E1550" s="2" t="n">
        <x:v>134</x:v>
      </x:c>
      <x:c r="F1550" s="2" t="n">
        <x:v>0</x:v>
      </x:c>
      <x:c r="G1550" s="12" t="n">
        <x:v>25617538.2377</x:v>
      </x:c>
      <x:c r="H1550" s="12" t="n">
        <x:v>727935.0746338799</x:v>
      </x:c>
      <x:c r="I1550" s="13" t="n">
        <x:v>0.0347962686567164</x:v>
      </x:c>
      <x:c r="J1550" s="2" t="n">
        <x:v>46</x:v>
      </x:c>
      <x:c r="K1550" s="2" t="n">
        <x:v>13</x:v>
      </x:c>
      <x:c r="L1550" s="12" t="n">
        <x:v>7341.02645</x:v>
      </x:c>
      <x:c r="M1550" s="13" t="n">
        <x:v>0.6687740718031687</x:v>
      </x:c>
      <x:c r="N1550" s="13" t="n">
        <x:f>H1550/G1550</x:f>
        <x:v>0.028415496753806564</x:v>
      </x:c>
      <x:c r="O1550" s="13" t="n">
        <x:f>F1550/E1550</x:f>
        <x:v>0</x:v>
      </x:c>
      <x:c r="P1550" s="2" t="str">
        <x:f>IF(AND(E1550&gt;='Итоги'!$F$5,N1550&lt;='Итоги'!$B$5,O1550&gt;='Итоги'!$D$5),"Да","Нет")</x:f>
        <x:v>Нет</x:v>
      </x:c>
    </x:row>
    <x:row r="1551" ht="60" customHeight="1">
      <x:c r="A1551" s="14" t="str">
        <x:v>Товары для дома</x:v>
      </x:c>
      <x:c r="B1551" s="14" t="str">
        <x:v>Аксессуары для уборки и стирки</x:v>
      </x:c>
      <x:c r="C1551" s="14" t="str">
        <x:v>Аксессуар для уборки</x:v>
      </x:c>
      <x:c r="D1551" s="14" t="str">
        <x:v>Ершик, щетка для мытья посуды</x:v>
      </x:c>
      <x:c r="E1551" s="2" t="n">
        <x:v>1</x:v>
      </x:c>
      <x:c r="F1551" s="2" t="n">
        <x:v>0</x:v>
      </x:c>
      <x:c r="G1551" s="12" t="n">
        <x:v>132863.2309</x:v>
      </x:c>
      <x:c r="H1551" s="12" t="n">
        <x:v>3786.60208065</x:v>
      </x:c>
      <x:c r="I1551" s="13" t="n">
        <x:v>0.0285</x:v>
      </x:c>
      <x:c r="J1551" s="2" t="n">
        <x:v>0</x:v>
      </x:c>
      <x:c r="K1551" s="2" t="n">
        <x:v>1</x:v>
      </x:c>
      <x:c r="L1551" s="12" t="n">
        <x:v>1544.9213</x:v>
      </x:c>
      <x:c r="M1551" s="13" t="n">
        <x:v>1</x:v>
      </x:c>
      <x:c r="N1551" s="13" t="n">
        <x:f>H1551/G1551</x:f>
        <x:v>0.0285</x:v>
      </x:c>
      <x:c r="O1551" s="13" t="n">
        <x:f>F1551/E1551</x:f>
        <x:v>0</x:v>
      </x:c>
      <x:c r="P1551" s="2" t="str">
        <x:f>IF(AND(E1551&gt;='Итоги'!$F$5,N1551&lt;='Итоги'!$B$5,O1551&gt;='Итоги'!$D$5),"Да","Нет")</x:f>
        <x:v>Нет</x:v>
      </x:c>
    </x:row>
    <x:row r="1552" ht="60" customHeight="1">
      <x:c r="A1552" s="14" t="str">
        <x:v>Школьные принадлежности и канцелярия</x:v>
      </x:c>
      <x:c r="B1552" s="14" t="str">
        <x:v>Товары для школы, канцелярия, оборудование</x:v>
      </x:c>
      <x:c r="C1552" s="14" t="str">
        <x:v>Папка</x:v>
      </x:c>
      <x:c r="D1552" s="14" t="str">
        <x:v>Файл с перфорацией</x:v>
      </x:c>
      <x:c r="E1552" s="2" t="n">
        <x:v>1</x:v>
      </x:c>
      <x:c r="F1552" s="2" t="n">
        <x:v>0</x:v>
      </x:c>
      <x:c r="G1552" s="12" t="n">
        <x:v>89784.88</x:v>
      </x:c>
      <x:c r="H1552" s="12" t="n">
        <x:v>2558.8690800000004</x:v>
      </x:c>
      <x:c r="I1552" s="13" t="n">
        <x:v>0.0285</x:v>
      </x:c>
      <x:c r="J1552" s="2" t="n">
        <x:v>0</x:v>
      </x:c>
      <x:c r="K1552" s="2" t="n">
        <x:v>1</x:v>
      </x:c>
      <x:c r="L1552" s="12" t="n">
        <x:v>863.3162</x:v>
      </x:c>
      <x:c r="M1552" s="13" t="n">
        <x:v>1</x:v>
      </x:c>
      <x:c r="N1552" s="13" t="n">
        <x:f>H1552/G1552</x:f>
        <x:v>0.028500000000000004</x:v>
      </x:c>
      <x:c r="O1552" s="13" t="n">
        <x:f>F1552/E1552</x:f>
        <x:v>0</x:v>
      </x:c>
      <x:c r="P1552" s="2" t="str">
        <x:f>IF(AND(E1552&gt;='Итоги'!$F$5,N1552&lt;='Итоги'!$B$5,O1552&gt;='Итоги'!$D$5),"Да","Нет")</x:f>
        <x:v>Нет</x:v>
      </x:c>
    </x:row>
    <x:row r="1553" ht="60" customHeight="1">
      <x:c r="A1553" s="14" t="str">
        <x:v>Книги</x:v>
      </x:c>
      <x:c r="B1553" s="14" t="str">
        <x:v>Печатные книги: Нехудожественная литература</x:v>
      </x:c>
      <x:c r="C1553" s="14" t="str">
        <x:v>Печатная книга: Публицистика, биографии, мемуары</x:v>
      </x:c>
      <x:c r="D1553" s="14" t="str">
        <x:v>Печатная книга: Публицистика, биографии, мемуары</x:v>
      </x:c>
      <x:c r="E1553" s="2" t="n">
        <x:v>9</x:v>
      </x:c>
      <x:c r="F1553" s="2" t="n">
        <x:v>0</x:v>
      </x:c>
      <x:c r="G1553" s="12" t="n">
        <x:v>718634.773</x:v>
      </x:c>
      <x:c r="H1553" s="12" t="n">
        <x:v>20488.60772766</x:v>
      </x:c>
      <x:c r="I1553" s="13" t="n">
        <x:v>0.0262555555555555</x:v>
      </x:c>
      <x:c r="J1553" s="2" t="n">
        <x:v>4</x:v>
      </x:c>
      <x:c r="K1553" s="2" t="n">
        <x:v>4</x:v>
      </x:c>
      <x:c r="L1553" s="12" t="n">
        <x:v>1177.7498</x:v>
      </x:c>
      <x:c r="M1553" s="13" t="n">
        <x:v>0.690135493624381</x:v>
      </x:c>
      <x:c r="N1553" s="13" t="n">
        <x:f>H1553/G1553</x:f>
        <x:v>0.02851045969029389</x:v>
      </x:c>
      <x:c r="O1553" s="13" t="n">
        <x:f>F1553/E1553</x:f>
        <x:v>0</x:v>
      </x:c>
      <x:c r="P1553" s="2" t="str">
        <x:f>IF(AND(E1553&gt;='Итоги'!$F$5,N1553&lt;='Итоги'!$B$5,O1553&gt;='Итоги'!$D$5),"Да","Нет")</x:f>
        <x:v>Нет</x:v>
      </x:c>
    </x:row>
    <x:row r="1554" ht="60" customHeight="1">
      <x:c r="A1554" s="14" t="str">
        <x:v>Бакалея и кондитерские изделия</x:v>
      </x:c>
      <x:c r="B1554" s="14" t="str">
        <x:v>Бакалея</x:v>
      </x:c>
      <x:c r="C1554" s="14" t="str">
        <x:v>Приправы, специи, травы</x:v>
      </x:c>
      <x:c r="D1554" s="14" t="str">
        <x:v>Сухари панировочные</x:v>
      </x:c>
      <x:c r="E1554" s="2" t="n">
        <x:v>1</x:v>
      </x:c>
      <x:c r="F1554" s="2" t="n">
        <x:v>0</x:v>
      </x:c>
      <x:c r="G1554" s="12" t="n">
        <x:v>192468.3525</x:v>
      </x:c>
      <x:c r="H1554" s="12" t="n">
        <x:v>5504.5948815</x:v>
      </x:c>
      <x:c r="I1554" s="13" t="n">
        <x:v>0.0286</x:v>
      </x:c>
      <x:c r="J1554" s="2" t="n">
        <x:v>0</x:v>
      </x:c>
      <x:c r="K1554" s="2" t="n">
        <x:v>1</x:v>
      </x:c>
      <x:c r="L1554" s="12" t="n">
        <x:v>1905.6273</x:v>
      </x:c>
      <x:c r="M1554" s="13" t="n">
        <x:v>1</x:v>
      </x:c>
      <x:c r="N1554" s="13" t="n">
        <x:f>H1554/G1554</x:f>
        <x:v>0.0286</x:v>
      </x:c>
      <x:c r="O1554" s="13" t="n">
        <x:f>F1554/E1554</x:f>
        <x:v>0</x:v>
      </x:c>
      <x:c r="P1554" s="2" t="str">
        <x:f>IF(AND(E1554&gt;='Итоги'!$F$5,N1554&lt;='Итоги'!$B$5,O1554&gt;='Итоги'!$D$5),"Да","Нет")</x:f>
        <x:v>Нет</x:v>
      </x:c>
    </x:row>
    <x:row r="1555" ht="60" customHeight="1">
      <x:c r="A1555" s="14" t="str">
        <x:v>Строительство и ремонт (DIY)</x:v>
      </x:c>
      <x:c r="B1555" s="14" t="str">
        <x:v>Ремонт и строительство</x:v>
      </x:c>
      <x:c r="C1555" s="14" t="str">
        <x:v>Аксессуары для ремонта</x:v>
      </x:c>
      <x:c r="D1555" s="14" t="str">
        <x:v>Лестница телескопическая</x:v>
      </x:c>
      <x:c r="E1555" s="2" t="n">
        <x:v>112</x:v>
      </x:c>
      <x:c r="F1555" s="2" t="n">
        <x:v>0</x:v>
      </x:c>
      <x:c r="G1555" s="12" t="n">
        <x:v>26974624.0539</x:v>
      </x:c>
      <x:c r="H1555" s="12" t="n">
        <x:v>771809.9284792</x:v>
      </x:c>
      <x:c r="I1555" s="13" t="n">
        <x:v>0.0302857142857142</x:v>
      </x:c>
      <x:c r="J1555" s="2" t="n">
        <x:v>65</x:v>
      </x:c>
      <x:c r="K1555" s="2" t="n">
        <x:v>12</x:v>
      </x:c>
      <x:c r="L1555" s="12" t="n">
        <x:v>12401.9095</x:v>
      </x:c>
      <x:c r="M1555" s="13" t="n">
        <x:v>0.7286991752627623</x:v>
      </x:c>
      <x:c r="N1555" s="13" t="n">
        <x:f>H1555/G1555</x:f>
        <x:v>0.02861244430828727</x:v>
      </x:c>
      <x:c r="O1555" s="13" t="n">
        <x:f>F1555/E1555</x:f>
        <x:v>0</x:v>
      </x:c>
      <x:c r="P1555" s="2" t="str">
        <x:f>IF(AND(E1555&gt;='Итоги'!$F$5,N1555&lt;='Итоги'!$B$5,O1555&gt;='Итоги'!$D$5),"Да","Нет")</x:f>
        <x:v>Нет</x:v>
      </x:c>
    </x:row>
    <x:row r="1556" ht="60" customHeight="1">
      <x:c r="A1556" s="14" t="str">
        <x:v>Строительство и ремонт (DIY)</x:v>
      </x:c>
      <x:c r="B1556" s="14" t="str">
        <x:v>Сад и огород</x:v>
      </x:c>
      <x:c r="C1556" s="14" t="str">
        <x:v>Полив</x:v>
      </x:c>
      <x:c r="D1556" s="14" t="str">
        <x:v>Бочка садовая</x:v>
      </x:c>
      <x:c r="E1556" s="2" t="n">
        <x:v>6</x:v>
      </x:c>
      <x:c r="F1556" s="2" t="n">
        <x:v>0</x:v>
      </x:c>
      <x:c r="G1556" s="12" t="n">
        <x:v>553443.1</x:v>
      </x:c>
      <x:c r="H1556" s="12" t="n">
        <x:v>15866.513358</x:v>
      </x:c>
      <x:c r="I1556" s="13" t="n">
        <x:v>0.0258833333333333</x:v>
      </x:c>
      <x:c r="J1556" s="2" t="n">
        <x:v>5</x:v>
      </x:c>
      <x:c r="K1556" s="2" t="n">
        <x:v>4</x:v>
      </x:c>
      <x:c r="L1556" s="12" t="n">
        <x:v>3400.10215</x:v>
      </x:c>
      <x:c r="M1556" s="13" t="n">
        <x:v>0.3748519766530651</x:v>
      </x:c>
      <x:c r="N1556" s="13" t="n">
        <x:f>H1556/G1556</x:f>
        <x:v>0.028668734614272003</x:v>
      </x:c>
      <x:c r="O1556" s="13" t="n">
        <x:f>F1556/E1556</x:f>
        <x:v>0</x:v>
      </x:c>
      <x:c r="P1556" s="2" t="str">
        <x:f>IF(AND(E1556&gt;='Итоги'!$F$5,N1556&lt;='Итоги'!$B$5,O1556&gt;='Итоги'!$D$5),"Да","Нет")</x:f>
        <x:v>Нет</x:v>
      </x:c>
    </x:row>
    <x:row r="1557" ht="60" customHeight="1">
      <x:c r="A1557" s="14" t="str">
        <x:v>Обувь</x:v>
      </x:c>
      <x:c r="B1557" s="14" t="str">
        <x:v>Обувь мужская</x:v>
      </x:c>
      <x:c r="C1557" s="14" t="str">
        <x:v>Обувь мужская демисезон</x:v>
      </x:c>
      <x:c r="D1557" s="14" t="str">
        <x:v>Мужские Ботинки демисезонные</x:v>
      </x:c>
      <x:c r="E1557" s="2" t="n">
        <x:v>279</x:v>
      </x:c>
      <x:c r="F1557" s="2" t="n">
        <x:v>0</x:v>
      </x:c>
      <x:c r="G1557" s="12" t="n">
        <x:v>25732440.1585</x:v>
      </x:c>
      <x:c r="H1557" s="12" t="n">
        <x:v>738348.78536706</x:v>
      </x:c>
      <x:c r="I1557" s="13" t="n">
        <x:v>0.0236247311827957</x:v>
      </x:c>
      <x:c r="J1557" s="2" t="n">
        <x:v>154</x:v>
      </x:c>
      <x:c r="K1557" s="2" t="n">
        <x:v>21</x:v>
      </x:c>
      <x:c r="L1557" s="12" t="n">
        <x:v>3881.2167</x:v>
      </x:c>
      <x:c r="M1557" s="13" t="n">
        <x:v>0.6069282222712605</x:v>
      </x:c>
      <x:c r="N1557" s="13" t="n">
        <x:f>H1557/G1557</x:f>
        <x:v>0.02869330622432894</x:v>
      </x:c>
      <x:c r="O1557" s="13" t="n">
        <x:f>F1557/E1557</x:f>
        <x:v>0</x:v>
      </x:c>
      <x:c r="P1557" s="2" t="str">
        <x:f>IF(AND(E1557&gt;='Итоги'!$F$5,N1557&lt;='Итоги'!$B$5,O1557&gt;='Итоги'!$D$5),"Да","Нет")</x:f>
        <x:v>Нет</x:v>
      </x:c>
    </x:row>
    <x:row r="1558" ht="60" customHeight="1">
      <x:c r="A1558" s="14" t="str">
        <x:v>Товары для животных</x:v>
      </x:c>
      <x:c r="B1558" s="14" t="str">
        <x:v>Спальное место животного</x:v>
      </x:c>
      <x:c r="C1558" s="14" t="str">
        <x:v>Аквариум Химия</x:v>
      </x:c>
      <x:c r="D1558" s="14" t="str">
        <x:v>Химия для аквариума</x:v>
      </x:c>
      <x:c r="E1558" s="2" t="n">
        <x:v>6</x:v>
      </x:c>
      <x:c r="F1558" s="2" t="n">
        <x:v>0</x:v>
      </x:c>
      <x:c r="G1558" s="12" t="n">
        <x:v>287200.04</x:v>
      </x:c>
      <x:c r="H1558" s="12" t="n">
        <x:v>8241.162699999999</x:v>
      </x:c>
      <x:c r="I1558" s="13" t="n">
        <x:v>0.0243499999999999</x:v>
      </x:c>
      <x:c r="J1558" s="2" t="n">
        <x:v>3</x:v>
      </x:c>
      <x:c r="K1558" s="2" t="n">
        <x:v>3</x:v>
      </x:c>
      <x:c r="L1558" s="12" t="n">
        <x:v>1057.7212</x:v>
      </x:c>
      <x:c r="M1558" s="13" t="n">
        <x:v>0.685299486727091</x:v>
      </x:c>
      <x:c r="N1558" s="13" t="n">
        <x:f>H1558/G1558</x:f>
        <x:v>0.028694852201274067</x:v>
      </x:c>
      <x:c r="O1558" s="13" t="n">
        <x:f>F1558/E1558</x:f>
        <x:v>0</x:v>
      </x:c>
      <x:c r="P1558" s="2" t="str">
        <x:f>IF(AND(E1558&gt;='Итоги'!$F$5,N1558&lt;='Итоги'!$B$5,O1558&gt;='Итоги'!$D$5),"Да","Нет")</x:f>
        <x:v>Нет</x:v>
      </x:c>
    </x:row>
    <x:row r="1559" ht="60" customHeight="1">
      <x:c r="A1559" s="14" t="str">
        <x:v>Мебель</x:v>
      </x:c>
      <x:c r="B1559" s="14" t="str">
        <x:v>Корпусная мебель и мебель для хранения</x:v>
      </x:c>
      <x:c r="C1559" s="14" t="str">
        <x:v>Мебель для бизнеса</x:v>
      </x:c>
      <x:c r="D1559" s="14" t="str">
        <x:v>Полка производственная</x:v>
      </x:c>
      <x:c r="E1559" s="2" t="n">
        <x:v>9</x:v>
      </x:c>
      <x:c r="F1559" s="2" t="n">
        <x:v>0</x:v>
      </x:c>
      <x:c r="G1559" s="12" t="n">
        <x:v>1603113.8924</x:v>
      </x:c>
      <x:c r="H1559" s="12" t="n">
        <x:v>46075.21162652</x:v>
      </x:c>
      <x:c r="I1559" s="13" t="n">
        <x:v>0.0270777777777777</x:v>
      </x:c>
      <x:c r="J1559" s="2" t="n">
        <x:v>2</x:v>
      </x:c>
      <x:c r="K1559" s="2" t="n">
        <x:v>2</x:v>
      </x:c>
      <x:c r="L1559" s="12" t="n">
        <x:v>1638.623</x:v>
      </x:c>
      <x:c r="M1559" s="13" t="n">
        <x:v>0.5588179331156796</x:v>
      </x:c>
      <x:c r="N1559" s="13" t="n">
        <x:f>H1559/G1559</x:f>
        <x:v>0.02874107188824958</x:v>
      </x:c>
      <x:c r="O1559" s="13" t="n">
        <x:f>F1559/E1559</x:f>
        <x:v>0</x:v>
      </x:c>
      <x:c r="P1559" s="2" t="str">
        <x:f>IF(AND(E1559&gt;='Итоги'!$F$5,N1559&lt;='Итоги'!$B$5,O1559&gt;='Итоги'!$D$5),"Да","Нет")</x:f>
        <x:v>Нет</x:v>
      </x:c>
    </x:row>
    <x:row r="1560" ht="60" customHeight="1">
      <x:c r="A1560" s="14" t="str">
        <x:v>Одежда</x:v>
      </x:c>
      <x:c r="B1560" s="14" t="str">
        <x:v>Основная одежда мужская</x:v>
      </x:c>
      <x:c r="C1560" s="14" t="str">
        <x:v>Основная одежда мужская верха</x:v>
      </x:c>
      <x:c r="D1560" s="14" t="str">
        <x:v>Кардиган мужской</x:v>
      </x:c>
      <x:c r="E1560" s="2" t="n">
        <x:v>30</x:v>
      </x:c>
      <x:c r="F1560" s="2" t="n">
        <x:v>0</x:v>
      </x:c>
      <x:c r="G1560" s="12" t="n">
        <x:v>1953836.8434</x:v>
      </x:c>
      <x:c r="H1560" s="12" t="n">
        <x:v>56192.502266</x:v>
      </x:c>
      <x:c r="I1560" s="13" t="n">
        <x:v>0.0252233333333333</x:v>
      </x:c>
      <x:c r="J1560" s="2" t="n">
        <x:v>21</x:v>
      </x:c>
      <x:c r="K1560" s="2" t="n">
        <x:v>11</x:v>
      </x:c>
      <x:c r="L1560" s="12" t="n">
        <x:v>3212.60535</x:v>
      </x:c>
      <x:c r="M1560" s="13" t="n">
        <x:v>0.3250796821369839</x:v>
      </x:c>
      <x:c r="N1560" s="13" t="n">
        <x:f>H1560/G1560</x:f>
        <x:v>0.028760079151857805</x:v>
      </x:c>
      <x:c r="O1560" s="13" t="n">
        <x:f>F1560/E1560</x:f>
        <x:v>0</x:v>
      </x:c>
      <x:c r="P1560" s="2" t="str">
        <x:f>IF(AND(E1560&gt;='Итоги'!$F$5,N1560&lt;='Итоги'!$B$5,O1560&gt;='Итоги'!$D$5),"Да","Нет")</x:f>
        <x:v>Нет</x:v>
      </x:c>
    </x:row>
    <x:row r="1561" ht="60" customHeight="1">
      <x:c r="A1561" s="14" t="str">
        <x:v>Бакалея и кондитерские изделия</x:v>
      </x:c>
      <x:c r="B1561" s="14" t="str">
        <x:v>Бакалея</x:v>
      </x:c>
      <x:c r="C1561" s="14" t="str">
        <x:v>Снэки, чипсы, готовые завтраки</x:v>
      </x:c>
      <x:c r="D1561" s="14" t="str">
        <x:v>Ореховая паста</x:v>
      </x:c>
      <x:c r="E1561" s="2" t="n">
        <x:v>7</x:v>
      </x:c>
      <x:c r="F1561" s="2" t="n">
        <x:v>0</x:v>
      </x:c>
      <x:c r="G1561" s="12" t="n">
        <x:v>1013363.8677</x:v>
      </x:c>
      <x:c r="H1561" s="12" t="n">
        <x:v>29162.36536337</x:v>
      </x:c>
      <x:c r="I1561" s="13" t="n">
        <x:v>0.0336714285714285</x:v>
      </x:c>
      <x:c r="J1561" s="2" t="n">
        <x:v>1</x:v>
      </x:c>
      <x:c r="K1561" s="2" t="n">
        <x:v>4</x:v>
      </x:c>
      <x:c r="L1561" s="12" t="n">
        <x:v>1042.2774</x:v>
      </x:c>
      <x:c r="M1561" s="13" t="n">
        <x:v>0.5968240018984446</x:v>
      </x:c>
      <x:c r="N1561" s="13" t="n">
        <x:f>H1561/G1561</x:f>
        <x:v>0.0287777828802589</x:v>
      </x:c>
      <x:c r="O1561" s="13" t="n">
        <x:f>F1561/E1561</x:f>
        <x:v>0</x:v>
      </x:c>
      <x:c r="P1561" s="2" t="str">
        <x:f>IF(AND(E1561&gt;='Итоги'!$F$5,N1561&lt;='Итоги'!$B$5,O1561&gt;='Итоги'!$D$5),"Да","Нет")</x:f>
        <x:v>Нет</x:v>
      </x:c>
    </x:row>
    <x:row r="1562" ht="60" customHeight="1">
      <x:c r="A1562" s="14" t="str">
        <x:v>Строительство и ремонт (DIY)</x:v>
      </x:c>
      <x:c r="B1562" s="14" t="str">
        <x:v>Инструменты</x:v>
      </x:c>
      <x:c r="C1562" s="14" t="str">
        <x:v>Измерительный инструмент</x:v>
      </x:c>
      <x:c r="D1562" s="14" t="str">
        <x:v>Детектор проводки</x:v>
      </x:c>
      <x:c r="E1562" s="2" t="n">
        <x:v>13</x:v>
      </x:c>
      <x:c r="F1562" s="2" t="n">
        <x:v>0</x:v>
      </x:c>
      <x:c r="G1562" s="12" t="n">
        <x:v>2727148.7573</x:v>
      </x:c>
      <x:c r="H1562" s="12" t="n">
        <x:v>78488.34994884</x:v>
      </x:c>
      <x:c r="I1562" s="13" t="n">
        <x:v>0.0507615384615384</x:v>
      </x:c>
      <x:c r="J1562" s="2" t="n">
        <x:v>4</x:v>
      </x:c>
      <x:c r="K1562" s="2" t="n">
        <x:v>11</x:v>
      </x:c>
      <x:c r="L1562" s="12" t="n">
        <x:v>2072.4274</x:v>
      </x:c>
      <x:c r="M1562" s="13" t="n">
        <x:v>0.2612554052626705</x:v>
      </x:c>
      <x:c r="N1562" s="13" t="n">
        <x:f>H1562/G1562</x:f>
        <x:v>0.028780369878519934</x:v>
      </x:c>
      <x:c r="O1562" s="13" t="n">
        <x:f>F1562/E1562</x:f>
        <x:v>0</x:v>
      </x:c>
      <x:c r="P1562" s="2" t="str">
        <x:f>IF(AND(E1562&gt;='Итоги'!$F$5,N1562&lt;='Итоги'!$B$5,O1562&gt;='Итоги'!$D$5),"Да","Нет")</x:f>
        <x:v>Нет</x:v>
      </x:c>
    </x:row>
    <x:row r="1563" ht="60" customHeight="1">
      <x:c r="A1563" s="14" t="str">
        <x:v>Аксессуары</x:v>
      </x:c>
      <x:c r="B1563" s="14" t="str">
        <x:v>Ювелирные изделия</x:v>
      </x:c>
      <x:c r="C1563" s="14" t="str">
        <x:v>Серьги ювелирные</x:v>
      </x:c>
      <x:c r="D1563" s="14" t="str">
        <x:v>Золото серьги</x:v>
      </x:c>
      <x:c r="E1563" s="2" t="n">
        <x:v>518</x:v>
      </x:c>
      <x:c r="F1563" s="2" t="n">
        <x:v>0</x:v>
      </x:c>
      <x:c r="G1563" s="12" t="n">
        <x:v>61252373.21</x:v>
      </x:c>
      <x:c r="H1563" s="12" t="n">
        <x:v>1766292.19844</x:v>
      </x:c>
      <x:c r="I1563" s="13" t="n">
        <x:v>0.0284027027027027</x:v>
      </x:c>
      <x:c r="J1563" s="2" t="n">
        <x:v>352</x:v>
      </x:c>
      <x:c r="K1563" s="2" t="n">
        <x:v>21</x:v>
      </x:c>
      <x:c r="L1563" s="12" t="n">
        <x:v>14350.5</x:v>
      </x:c>
      <x:c r="M1563" s="13" t="n">
        <x:v>0.9339507609586056</x:v>
      </x:c>
      <x:c r="N1563" s="13" t="n">
        <x:f>H1563/G1563</x:f>
        <x:v>0.028836306348235287</x:v>
      </x:c>
      <x:c r="O1563" s="13" t="n">
        <x:f>F1563/E1563</x:f>
        <x:v>0</x:v>
      </x:c>
      <x:c r="P1563" s="2" t="str">
        <x:f>IF(AND(E1563&gt;='Итоги'!$F$5,N1563&lt;='Итоги'!$B$5,O1563&gt;='Итоги'!$D$5),"Да","Нет")</x:f>
        <x:v>Нет</x:v>
      </x:c>
    </x:row>
    <x:row r="1564" ht="60" customHeight="1">
      <x:c r="A1564" s="14" t="str">
        <x:v>Строительство и ремонт (DIY)</x:v>
      </x:c>
      <x:c r="B1564" s="14" t="str">
        <x:v>Инструменты</x:v>
      </x:c>
      <x:c r="C1564" s="14" t="str">
        <x:v>Техника для строительства, ремонта</x:v>
      </x:c>
      <x:c r="D1564" s="14" t="str">
        <x:v>Резчик швов</x:v>
      </x:c>
      <x:c r="E1564" s="2" t="n">
        <x:v>3</x:v>
      </x:c>
      <x:c r="F1564" s="2" t="n">
        <x:v>0</x:v>
      </x:c>
      <x:c r="G1564" s="12" t="n">
        <x:v>657279</x:v>
      </x:c>
      <x:c r="H1564" s="12" t="n">
        <x:v>19036.7685</x:v>
      </x:c>
      <x:c r="I1564" s="13" t="n">
        <x:v>0.0355</x:v>
      </x:c>
      <x:c r="J1564" s="2" t="n">
        <x:v>2</x:v>
      </x:c>
      <x:c r="K1564" s="2" t="n">
        <x:v>1</x:v>
      </x:c>
      <x:c r="L1564" s="12" t="n">
        <x:v>9916</x:v>
      </x:c>
      <x:c r="M1564" s="13" t="n">
        <x:v>1</x:v>
      </x:c>
      <x:c r="N1564" s="13" t="n">
        <x:f>H1564/G1564</x:f>
        <x:v>0.02896299516643617</x:v>
      </x:c>
      <x:c r="O1564" s="13" t="n">
        <x:f>F1564/E1564</x:f>
        <x:v>0</x:v>
      </x:c>
      <x:c r="P1564" s="2" t="str">
        <x:f>IF(AND(E1564&gt;='Итоги'!$F$5,N1564&lt;='Итоги'!$B$5,O1564&gt;='Итоги'!$D$5),"Да","Нет")</x:f>
        <x:v>Нет</x:v>
      </x:c>
    </x:row>
    <x:row r="1565" ht="60" customHeight="1">
      <x:c r="A1565" s="14" t="str">
        <x:v>Аксессуары</x:v>
      </x:c>
      <x:c r="B1565" s="14" t="str">
        <x:v>Аксессуары</x:v>
      </x:c>
      <x:c r="C1565" s="14" t="str">
        <x:v>Аксессуары и уход для обуви</x:v>
      </x:c>
      <x:c r="D1565" s="14" t="str">
        <x:v>Чехол-дождевик для обуви</x:v>
      </x:c>
      <x:c r="E1565" s="2" t="n">
        <x:v>6</x:v>
      </x:c>
      <x:c r="F1565" s="2" t="n">
        <x:v>0</x:v>
      </x:c>
      <x:c r="G1565" s="12" t="n">
        <x:v>647383.9417</x:v>
      </x:c>
      <x:c r="H1565" s="12" t="n">
        <x:v>18752.23769046</x:v>
      </x:c>
      <x:c r="I1565" s="13" t="n">
        <x:v>0.0296166666666666</x:v>
      </x:c>
      <x:c r="J1565" s="2" t="n">
        <x:v>0</x:v>
      </x:c>
      <x:c r="K1565" s="2" t="n">
        <x:v>4</x:v>
      </x:c>
      <x:c r="L1565" s="12" t="n">
        <x:v>838.67005</x:v>
      </x:c>
      <x:c r="M1565" s="13" t="n">
        <x:v>0.5669958398042854</x:v>
      </x:c>
      <x:c r="N1565" s="13" t="n">
        <x:f>H1565/G1565</x:f>
        <x:v>0.028966176765548895</x:v>
      </x:c>
      <x:c r="O1565" s="13" t="n">
        <x:f>F1565/E1565</x:f>
        <x:v>0</x:v>
      </x:c>
      <x:c r="P1565" s="2" t="str">
        <x:f>IF(AND(E1565&gt;='Итоги'!$F$5,N1565&lt;='Итоги'!$B$5,O1565&gt;='Итоги'!$D$5),"Да","Нет")</x:f>
        <x:v>Нет</x:v>
      </x:c>
    </x:row>
    <x:row r="1566" ht="60" customHeight="1">
      <x:c r="A1566" s="14" t="str">
        <x:v>Аптека</x:v>
      </x:c>
      <x:c r="B1566" s="14" t="str">
        <x:v>Средства реабилитации</x:v>
      </x:c>
      <x:c r="C1566" s="14" t="str">
        <x:v>Средства реабилитации</x:v>
      </x:c>
      <x:c r="D1566" s="14" t="str">
        <x:v>Костыли</x:v>
      </x:c>
      <x:c r="E1566" s="2" t="n">
        <x:v>33</x:v>
      </x:c>
      <x:c r="F1566" s="2" t="n">
        <x:v>0</x:v>
      </x:c>
      <x:c r="G1566" s="12" t="n">
        <x:v>5676890.69</x:v>
      </x:c>
      <x:c r="H1566" s="12" t="n">
        <x:v>164443.820564</x:v>
      </x:c>
      <x:c r="I1566" s="13" t="n">
        <x:v>0.0295333333333333</x:v>
      </x:c>
      <x:c r="J1566" s="2" t="n">
        <x:v>13</x:v>
      </x:c>
      <x:c r="K1566" s="2" t="n">
        <x:v>6</x:v>
      </x:c>
      <x:c r="L1566" s="12" t="n">
        <x:v>1777.2651</x:v>
      </x:c>
      <x:c r="M1566" s="13" t="n">
        <x:v>0.7338586714975129</x:v>
      </x:c>
      <x:c r="N1566" s="13" t="n">
        <x:f>H1566/G1566</x:f>
        <x:v>0.02896723392149726</x:v>
      </x:c>
      <x:c r="O1566" s="13" t="n">
        <x:f>F1566/E1566</x:f>
        <x:v>0</x:v>
      </x:c>
      <x:c r="P1566" s="2" t="str">
        <x:f>IF(AND(E1566&gt;='Итоги'!$F$5,N1566&lt;='Итоги'!$B$5,O1566&gt;='Итоги'!$D$5),"Да","Нет")</x:f>
        <x:v>Нет</x:v>
      </x:c>
    </x:row>
    <x:row r="1567" ht="60" customHeight="1">
      <x:c r="A1567" s="14" t="str">
        <x:v>Хобби и творчество</x:v>
      </x:c>
      <x:c r="B1567" s="14" t="str">
        <x:v>Детское творчество и хобби</x:v>
      </x:c>
      <x:c r="C1567" s="14" t="str">
        <x:v>Рукоделие для детей</x:v>
      </x:c>
      <x:c r="D1567" s="14" t="str">
        <x:v>Набор для плетения</x:v>
      </x:c>
      <x:c r="E1567" s="2" t="n">
        <x:v>9</x:v>
      </x:c>
      <x:c r="F1567" s="2" t="n">
        <x:v>0</x:v>
      </x:c>
      <x:c r="G1567" s="12" t="n">
        <x:v>633708.6447000001</x:v>
      </x:c>
      <x:c r="H1567" s="12" t="n">
        <x:v>18403.239854630003</x:v>
      </x:c>
      <x:c r="I1567" s="13" t="n">
        <x:v>0.0342222222222222</x:v>
      </x:c>
      <x:c r="J1567" s="2" t="n">
        <x:v>6</x:v>
      </x:c>
      <x:c r="K1567" s="2" t="n">
        <x:v>5</x:v>
      </x:c>
      <x:c r="L1567" s="12" t="n">
        <x:v>941.4639</x:v>
      </x:c>
      <x:c r="M1567" s="13" t="n">
        <x:v>0.632642326648065</x:v>
      </x:c>
      <x:c r="N1567" s="13" t="n">
        <x:f>H1567/G1567</x:f>
        <x:v>0.029040537806363936</x:v>
      </x:c>
      <x:c r="O1567" s="13" t="n">
        <x:f>F1567/E1567</x:f>
        <x:v>0</x:v>
      </x:c>
      <x:c r="P1567" s="2" t="str">
        <x:f>IF(AND(E1567&gt;='Итоги'!$F$5,N1567&lt;='Итоги'!$B$5,O1567&gt;='Итоги'!$D$5),"Да","Нет")</x:f>
        <x:v>Нет</x:v>
      </x:c>
    </x:row>
    <x:row r="1568" ht="60" customHeight="1">
      <x:c r="A1568" s="14" t="str">
        <x:v>Мелкая бытовая техника</x:v>
      </x:c>
      <x:c r="B1568" s="14" t="str">
        <x:v>Мелкая бытовая техника SDA</x:v>
      </x:c>
      <x:c r="C1568" s="14" t="str">
        <x:v>Электронная кухонная техника SDA</x:v>
      </x:c>
      <x:c r="D1568" s="14" t="str">
        <x:v>Пароварка электрическая</x:v>
      </x:c>
      <x:c r="E1568" s="2" t="n">
        <x:v>25</x:v>
      </x:c>
      <x:c r="F1568" s="2" t="n">
        <x:v>0</x:v>
      </x:c>
      <x:c r="G1568" s="12" t="n">
        <x:v>4929808.5907000005</x:v>
      </x:c>
      <x:c r="H1568" s="12" t="n">
        <x:v>143258.8047554</x:v>
      </x:c>
      <x:c r="I1568" s="13" t="n">
        <x:v>0.041904</x:v>
      </x:c>
      <x:c r="J1568" s="2" t="n">
        <x:v>10</x:v>
      </x:c>
      <x:c r="K1568" s="2" t="n">
        <x:v>5</x:v>
      </x:c>
      <x:c r="L1568" s="12" t="n">
        <x:v>3886.9864</x:v>
      </x:c>
      <x:c r="M1568" s="13" t="n">
        <x:v>0.8554398214680362</x:v>
      </x:c>
      <x:c r="N1568" s="13" t="n">
        <x:f>H1568/G1568</x:f>
        <x:v>0.029059709341586866</x:v>
      </x:c>
      <x:c r="O1568" s="13" t="n">
        <x:f>F1568/E1568</x:f>
        <x:v>0</x:v>
      </x:c>
      <x:c r="P1568" s="2" t="str">
        <x:f>IF(AND(E1568&gt;='Итоги'!$F$5,N1568&lt;='Итоги'!$B$5,O1568&gt;='Итоги'!$D$5),"Да","Нет")</x:f>
        <x:v>Нет</x:v>
      </x:c>
    </x:row>
    <x:row r="1569" ht="60" customHeight="1">
      <x:c r="A1569" s="14" t="str">
        <x:v>Автотовары</x:v>
      </x:c>
      <x:c r="B1569" s="14" t="str">
        <x:v>Универсальные авто и мото аксессуары</x:v>
      </x:c>
      <x:c r="C1569" s="14" t="str">
        <x:v>Мотоэкипировка</x:v>
      </x:c>
      <x:c r="D1569" s="14" t="str">
        <x:v>Мотозащита</x:v>
      </x:c>
      <x:c r="E1569" s="2" t="n">
        <x:v>111</x:v>
      </x:c>
      <x:c r="F1569" s="2" t="n">
        <x:v>0</x:v>
      </x:c>
      <x:c r="G1569" s="12" t="n">
        <x:v>11778571.4665</x:v>
      </x:c>
      <x:c r="H1569" s="12" t="n">
        <x:v>342705.31051875</x:v>
      </x:c>
      <x:c r="I1569" s="13" t="n">
        <x:v>0.0300585585585585</x:v>
      </x:c>
      <x:c r="J1569" s="2" t="n">
        <x:v>45</x:v>
      </x:c>
      <x:c r="K1569" s="2" t="n">
        <x:v>26</x:v>
      </x:c>
      <x:c r="L1569" s="12" t="n">
        <x:v>3687.4548</x:v>
      </x:c>
      <x:c r="M1569" s="13" t="n">
        <x:v>0.3110776279042921</x:v>
      </x:c>
      <x:c r="N1569" s="13" t="n">
        <x:f>H1569/G1569</x:f>
        <x:v>0.029095659986735627</x:v>
      </x:c>
      <x:c r="O1569" s="13" t="n">
        <x:f>F1569/E1569</x:f>
        <x:v>0</x:v>
      </x:c>
      <x:c r="P1569" s="2" t="str">
        <x:f>IF(AND(E1569&gt;='Итоги'!$F$5,N1569&lt;='Итоги'!$B$5,O1569&gt;='Итоги'!$D$5),"Да","Нет")</x:f>
        <x:v>Нет</x:v>
      </x:c>
    </x:row>
    <x:row r="1570" ht="60" customHeight="1">
      <x:c r="A1570" s="14" t="str">
        <x:v>Хобби и творчество</x:v>
      </x:c>
      <x:c r="B1570" s="14" t="str">
        <x:v>Взрослое творчество и хобби</x:v>
      </x:c>
      <x:c r="C1570" s="14" t="str">
        <x:v>Гадание и аксессуары</x:v>
      </x:c>
      <x:c r="D1570" s="14" t="str">
        <x:v>Гадальные карты, Оракул</x:v>
      </x:c>
      <x:c r="E1570" s="2" t="n">
        <x:v>6</x:v>
      </x:c>
      <x:c r="F1570" s="2" t="n">
        <x:v>0</x:v>
      </x:c>
      <x:c r="G1570" s="12" t="n">
        <x:v>526385.4512</x:v>
      </x:c>
      <x:c r="H1570" s="12" t="n">
        <x:v>15349.99004406</x:v>
      </x:c>
      <x:c r="I1570" s="13" t="n">
        <x:v>0.0219</x:v>
      </x:c>
      <x:c r="J1570" s="2" t="n">
        <x:v>5</x:v>
      </x:c>
      <x:c r="K1570" s="2" t="n">
        <x:v>1</x:v>
      </x:c>
      <x:c r="L1570" s="12" t="n">
        <x:v>2338.0566</x:v>
      </x:c>
      <x:c r="M1570" s="13" t="n">
        <x:v>1</x:v>
      </x:c>
      <x:c r="N1570" s="13" t="n">
        <x:f>H1570/G1570</x:f>
        <x:v>0.02916112139700414</x:v>
      </x:c>
      <x:c r="O1570" s="13" t="n">
        <x:f>F1570/E1570</x:f>
        <x:v>0</x:v>
      </x:c>
      <x:c r="P1570" s="2" t="str">
        <x:f>IF(AND(E1570&gt;='Итоги'!$F$5,N1570&lt;='Итоги'!$B$5,O1570&gt;='Итоги'!$D$5),"Да","Нет")</x:f>
        <x:v>Нет</x:v>
      </x:c>
    </x:row>
    <x:row r="1571" ht="60" customHeight="1">
      <x:c r="A1571" s="14" t="str">
        <x:v>Аптека</x:v>
      </x:c>
      <x:c r="B1571" s="14" t="str">
        <x:v>Профессиональные стоматологические приборы и материалы</x:v>
      </x:c>
      <x:c r="C1571" s="14" t="str">
        <x:v>Профессиональные стоматологические материалы</x:v>
      </x:c>
      <x:c r="D1571" s="14" t="str">
        <x:v>Гипс зуботехнический</x:v>
      </x:c>
      <x:c r="E1571" s="2" t="n">
        <x:v>3</x:v>
      </x:c>
      <x:c r="F1571" s="2" t="n">
        <x:v>0</x:v>
      </x:c>
      <x:c r="G1571" s="12" t="n">
        <x:v>353523.80000000005</x:v>
      </x:c>
      <x:c r="H1571" s="12" t="n">
        <x:v>10316.26768</x:v>
      </x:c>
      <x:c r="I1571" s="13" t="n">
        <x:v>0.0292333333333333</x:v>
      </x:c>
      <x:c r="J1571" s="2" t="n">
        <x:v>0</x:v>
      </x:c>
      <x:c r="K1571" s="2" t="n">
        <x:v>1</x:v>
      </x:c>
      <x:c r="L1571" s="12" t="n">
        <x:v>2691.542</x:v>
      </x:c>
      <x:c r="M1571" s="13" t="n">
        <x:v>1</x:v>
      </x:c>
      <x:c r="N1571" s="13" t="n">
        <x:f>H1571/G1571</x:f>
        <x:v>0.02918125365251222</x:v>
      </x:c>
      <x:c r="O1571" s="13" t="n">
        <x:f>F1571/E1571</x:f>
        <x:v>0</x:v>
      </x:c>
      <x:c r="P1571" s="2" t="str">
        <x:f>IF(AND(E1571&gt;='Итоги'!$F$5,N1571&lt;='Итоги'!$B$5,O1571&gt;='Итоги'!$D$5),"Да","Нет")</x:f>
        <x:v>Нет</x:v>
      </x:c>
    </x:row>
    <x:row r="1572" ht="60" customHeight="1">
      <x:c r="A1572" s="14" t="str">
        <x:v>Строительство и ремонт (DIY)</x:v>
      </x:c>
      <x:c r="B1572" s="14" t="str">
        <x:v>Сад и огород</x:v>
      </x:c>
      <x:c r="C1572" s="14" t="str">
        <x:v>Полив</x:v>
      </x:c>
      <x:c r="D1572" s="14" t="str">
        <x:v>Комплектующие для насосов</x:v>
      </x:c>
      <x:c r="E1572" s="2" t="n">
        <x:v>78</x:v>
      </x:c>
      <x:c r="F1572" s="2" t="n">
        <x:v>0</x:v>
      </x:c>
      <x:c r="G1572" s="12" t="n">
        <x:v>12103310.0032</x:v>
      </x:c>
      <x:c r="H1572" s="12" t="n">
        <x:v>353777.18153768</x:v>
      </x:c>
      <x:c r="I1572" s="13" t="n">
        <x:v>0.0316538461538461</x:v>
      </x:c>
      <x:c r="J1572" s="2" t="n">
        <x:v>34</x:v>
      </x:c>
      <x:c r="K1572" s="2" t="n">
        <x:v>22</x:v>
      </x:c>
      <x:c r="L1572" s="12" t="n">
        <x:v>2017.71005</x:v>
      </x:c>
      <x:c r="M1572" s="13" t="n">
        <x:v>0.5507768912254181</x:v>
      </x:c>
      <x:c r="N1572" s="13" t="n">
        <x:f>H1572/G1572</x:f>
        <x:v>0.029229787673301325</x:v>
      </x:c>
      <x:c r="O1572" s="13" t="n">
        <x:f>F1572/E1572</x:f>
        <x:v>0</x:v>
      </x:c>
      <x:c r="P1572" s="2" t="str">
        <x:f>IF(AND(E1572&gt;='Итоги'!$F$5,N1572&lt;='Итоги'!$B$5,O1572&gt;='Итоги'!$D$5),"Да","Нет")</x:f>
        <x:v>Нет</x:v>
      </x:c>
    </x:row>
    <x:row r="1573" ht="60" customHeight="1">
      <x:c r="A1573" s="14" t="str">
        <x:v>Строительство и ремонт (DIY)</x:v>
      </x:c>
      <x:c r="B1573" s="14" t="str">
        <x:v>Инструменты</x:v>
      </x:c>
      <x:c r="C1573" s="14" t="str">
        <x:v>Инструмент ручной для строительства, ремонта</x:v>
      </x:c>
      <x:c r="D1573" s="14" t="str">
        <x:v>Молоток</x:v>
      </x:c>
      <x:c r="E1573" s="2" t="n">
        <x:v>9</x:v>
      </x:c>
      <x:c r="F1573" s="2" t="n">
        <x:v>0</x:v>
      </x:c>
      <x:c r="G1573" s="12" t="n">
        <x:v>1041815.4704</x:v>
      </x:c>
      <x:c r="H1573" s="12" t="n">
        <x:v>30465.1244394</x:v>
      </x:c>
      <x:c r="I1573" s="13" t="n">
        <x:v>0.0491666666666666</x:v>
      </x:c>
      <x:c r="J1573" s="2" t="n">
        <x:v>3</x:v>
      </x:c>
      <x:c r="K1573" s="2" t="n">
        <x:v>2</x:v>
      </x:c>
      <x:c r="L1573" s="12" t="n">
        <x:v>2021</x:v>
      </x:c>
      <x:c r="M1573" s="13" t="n">
        <x:v>0.9840173231507044</x:v>
      </x:c>
      <x:c r="N1573" s="13" t="n">
        <x:f>H1573/G1573</x:f>
        <x:v>0.02924234214692844</x:v>
      </x:c>
      <x:c r="O1573" s="13" t="n">
        <x:f>F1573/E1573</x:f>
        <x:v>0</x:v>
      </x:c>
      <x:c r="P1573" s="2" t="str">
        <x:f>IF(AND(E1573&gt;='Итоги'!$F$5,N1573&lt;='Итоги'!$B$5,O1573&gt;='Итоги'!$D$5),"Да","Нет")</x:f>
        <x:v>Нет</x:v>
      </x:c>
    </x:row>
    <x:row r="1574" ht="60" customHeight="1">
      <x:c r="A1574" s="14" t="str">
        <x:v>Школьные принадлежности и канцелярия</x:v>
      </x:c>
      <x:c r="B1574" s="14" t="str">
        <x:v>Товары для школы, канцелярия, оборудование</x:v>
      </x:c>
      <x:c r="C1574" s="14" t="str">
        <x:v>Демонстрационное оборудование и аксессуары</x:v>
      </x:c>
      <x:c r="D1574" s="14" t="str">
        <x:v>Доска магнитно-маркерная</x:v>
      </x:c>
      <x:c r="E1574" s="2" t="n">
        <x:v>32</x:v>
      </x:c>
      <x:c r="F1574" s="2" t="n">
        <x:v>0</x:v>
      </x:c>
      <x:c r="G1574" s="12" t="n">
        <x:v>3127597.991</x:v>
      </x:c>
      <x:c r="H1574" s="12" t="n">
        <x:v>91657.20934592</x:v>
      </x:c>
      <x:c r="I1574" s="13" t="n">
        <x:v>0.0294749999999999</x:v>
      </x:c>
      <x:c r="J1574" s="2" t="n">
        <x:v>12</x:v>
      </x:c>
      <x:c r="K1574" s="2" t="n">
        <x:v>7</x:v>
      </x:c>
      <x:c r="L1574" s="12" t="n">
        <x:v>3394.1827000000003</x:v>
      </x:c>
      <x:c r="M1574" s="13" t="n">
        <x:v>0.6199021793015341</x:v>
      </x:c>
      <x:c r="N1574" s="13" t="n">
        <x:f>H1574/G1574</x:f>
        <x:v>0.029305943286085198</x:v>
      </x:c>
      <x:c r="O1574" s="13" t="n">
        <x:f>F1574/E1574</x:f>
        <x:v>0</x:v>
      </x:c>
      <x:c r="P1574" s="2" t="str">
        <x:f>IF(AND(E1574&gt;='Итоги'!$F$5,N1574&lt;='Итоги'!$B$5,O1574&gt;='Итоги'!$D$5),"Да","Нет")</x:f>
        <x:v>Нет</x:v>
      </x:c>
    </x:row>
    <x:row r="1575" ht="60" customHeight="1">
      <x:c r="A1575" s="14" t="str">
        <x:v>Спорт и отдых</x:v>
      </x:c>
      <x:c r="B1575" s="14" t="str">
        <x:v>Колесный транспорт</x:v>
      </x:c>
      <x:c r="C1575" s="14" t="str">
        <x:v>Ролики</x:v>
      </x:c>
      <x:c r="D1575" s="14" t="str">
        <x:v>Шлем роликовый</x:v>
      </x:c>
      <x:c r="E1575" s="2" t="n">
        <x:v>2</x:v>
      </x:c>
      <x:c r="F1575" s="2" t="n">
        <x:v>0</x:v>
      </x:c>
      <x:c r="G1575" s="12" t="n">
        <x:v>313606.04</x:v>
      </x:c>
      <x:c r="H1575" s="12" t="n">
        <x:v>9206.901074</x:v>
      </x:c>
      <x:c r="I1575" s="13" t="n">
        <x:v>0.03685</x:v>
      </x:c>
      <x:c r="J1575" s="2" t="n">
        <x:v>0</x:v>
      </x:c>
      <x:c r="K1575" s="2" t="n">
        <x:v>1</x:v>
      </x:c>
      <x:c r="L1575" s="12" t="n">
        <x:v>1388.44415</x:v>
      </x:c>
      <x:c r="M1575" s="13" t="n">
        <x:v>1</x:v>
      </x:c>
      <x:c r="N1575" s="13" t="n">
        <x:f>H1575/G1575</x:f>
        <x:v>0.029358175225196556</x:v>
      </x:c>
      <x:c r="O1575" s="13" t="n">
        <x:f>F1575/E1575</x:f>
        <x:v>0</x:v>
      </x:c>
      <x:c r="P1575" s="2" t="str">
        <x:f>IF(AND(E1575&gt;='Итоги'!$F$5,N1575&lt;='Итоги'!$B$5,O1575&gt;='Итоги'!$D$5),"Да","Нет")</x:f>
        <x:v>Нет</x:v>
      </x:c>
    </x:row>
    <x:row r="1576" ht="60" customHeight="1">
      <x:c r="A1576" s="14" t="str">
        <x:v>Строительство и ремонт (DIY)</x:v>
      </x:c>
      <x:c r="B1576" s="14" t="str">
        <x:v>Ремонт и строительство</x:v>
      </x:c>
      <x:c r="C1576" s="14" t="str">
        <x:v>Строительная химия</x:v>
      </x:c>
      <x:c r="D1576" s="14" t="str">
        <x:v>Жидкие обои</x:v>
      </x:c>
      <x:c r="E1576" s="2" t="n">
        <x:v>1</x:v>
      </x:c>
      <x:c r="F1576" s="2" t="n">
        <x:v>0</x:v>
      </x:c>
      <x:c r="G1576" s="12" t="n">
        <x:v>152825.07</x:v>
      </x:c>
      <x:c r="H1576" s="12" t="n">
        <x:v>4493.057058</x:v>
      </x:c>
      <x:c r="I1576" s="13" t="n">
        <x:v>0.0294</x:v>
      </x:c>
      <x:c r="J1576" s="2" t="n">
        <x:v>0</x:v>
      </x:c>
      <x:c r="K1576" s="2" t="n">
        <x:v>1</x:v>
      </x:c>
      <x:c r="L1576" s="12" t="n">
        <x:v>2065.2036</x:v>
      </x:c>
      <x:c r="M1576" s="13" t="n">
        <x:v>1</x:v>
      </x:c>
      <x:c r="N1576" s="13" t="n">
        <x:f>H1576/G1576</x:f>
        <x:v>0.0294</x:v>
      </x:c>
      <x:c r="O1576" s="13" t="n">
        <x:f>F1576/E1576</x:f>
        <x:v>0</x:v>
      </x:c>
      <x:c r="P1576" s="2" t="str">
        <x:f>IF(AND(E1576&gt;='Итоги'!$F$5,N1576&lt;='Итоги'!$B$5,O1576&gt;='Итоги'!$D$5),"Да","Нет")</x:f>
        <x:v>Нет</x:v>
      </x:c>
    </x:row>
    <x:row r="1577" ht="60" customHeight="1">
      <x:c r="A1577" s="14" t="str">
        <x:v>Одежда</x:v>
      </x:c>
      <x:c r="B1577" s="14" t="str">
        <x:v>Основная одежда женская</x:v>
      </x:c>
      <x:c r="C1577" s="14" t="str">
        <x:v>Основная одежда женская верха</x:v>
      </x:c>
      <x:c r="D1577" s="14" t="str">
        <x:v>Платье, сарафан женские</x:v>
      </x:c>
      <x:c r="E1577" s="2" t="n">
        <x:v>16058</x:v>
      </x:c>
      <x:c r="F1577" s="2" t="n">
        <x:v>0</x:v>
      </x:c>
      <x:c r="G1577" s="12" t="n">
        <x:v>1620300490.0552</x:v>
      </x:c>
      <x:c r="H1577" s="12" t="n">
        <x:v>47641175.8163089</x:v>
      </x:c>
      <x:c r="I1577" s="13" t="n">
        <x:v>0.024731990285216</x:v>
      </x:c>
      <x:c r="J1577" s="2" t="n">
        <x:v>9420</x:v>
      </x:c>
      <x:c r="K1577" s="2" t="n">
        <x:v>814</x:v>
      </x:c>
      <x:c r="L1577" s="12" t="n">
        <x:v>2197.5447</x:v>
      </x:c>
      <x:c r="M1577" s="13" t="n">
        <x:v>0.4062223917559122</x:v>
      </x:c>
      <x:c r="N1577" s="13" t="n">
        <x:f>H1577/G1577</x:f>
        <x:v>0.029402679384912037</x:v>
      </x:c>
      <x:c r="O1577" s="13" t="n">
        <x:f>F1577/E1577</x:f>
        <x:v>0</x:v>
      </x:c>
      <x:c r="P1577" s="2" t="str">
        <x:f>IF(AND(E1577&gt;='Итоги'!$F$5,N1577&lt;='Итоги'!$B$5,O1577&gt;='Итоги'!$D$5),"Да","Нет")</x:f>
        <x:v>Нет</x:v>
      </x:c>
    </x:row>
    <x:row r="1578" ht="60" customHeight="1">
      <x:c r="A1578" s="14" t="str">
        <x:v>Товары для красоты и здоровья</x:v>
      </x:c>
      <x:c r="B1578" s="14" t="str">
        <x:v>Косметика для ухода за кожей</x:v>
      </x:c>
      <x:c r="C1578" s="14" t="str">
        <x:v>Лицо</x:v>
      </x:c>
      <x:c r="D1578" s="14" t="str">
        <x:v>Термальная вода</x:v>
      </x:c>
      <x:c r="E1578" s="2" t="n">
        <x:v>15</x:v>
      </x:c>
      <x:c r="F1578" s="2" t="n">
        <x:v>0</x:v>
      </x:c>
      <x:c r="G1578" s="12" t="n">
        <x:v>3563626.5251</x:v>
      </x:c>
      <x:c r="H1578" s="12" t="n">
        <x:v>104824.10874165</x:v>
      </x:c>
      <x:c r="I1578" s="13" t="n">
        <x:v>0.02924</x:v>
      </x:c>
      <x:c r="J1578" s="2" t="n">
        <x:v>4</x:v>
      </x:c>
      <x:c r="K1578" s="2" t="n">
        <x:v>2</x:v>
      </x:c>
      <x:c r="L1578" s="12" t="n">
        <x:v>1351.3826</x:v>
      </x:c>
      <x:c r="M1578" s="13" t="n">
        <x:v>0.5185222185279776</x:v>
      </x:c>
      <x:c r="N1578" s="13" t="n">
        <x:f>H1578/G1578</x:f>
        <x:v>0.02941500968278613</x:v>
      </x:c>
      <x:c r="O1578" s="13" t="n">
        <x:f>F1578/E1578</x:f>
        <x:v>0</x:v>
      </x:c>
      <x:c r="P1578" s="2" t="str">
        <x:f>IF(AND(E1578&gt;='Итоги'!$F$5,N1578&lt;='Итоги'!$B$5,O1578&gt;='Итоги'!$D$5),"Да","Нет")</x:f>
        <x:v>Нет</x:v>
      </x:c>
    </x:row>
    <x:row r="1579" ht="60" customHeight="1">
      <x:c r="A1579" s="14" t="str">
        <x:v>Автотовары</x:v>
      </x:c>
      <x:c r="B1579" s="14" t="str">
        <x:v>Авто и мото запчасти</x:v>
      </x:c>
      <x:c r="C1579" s="14" t="str">
        <x:v>Запчасти для ТО</x:v>
      </x:c>
      <x:c r="D1579" s="14" t="str">
        <x:v>Фильтр топливный</x:v>
      </x:c>
      <x:c r="E1579" s="2" t="n">
        <x:v>15</x:v>
      </x:c>
      <x:c r="F1579" s="2" t="n">
        <x:v>0</x:v>
      </x:c>
      <x:c r="G1579" s="12" t="n">
        <x:v>1823212.4771</x:v>
      </x:c>
      <x:c r="H1579" s="12" t="n">
        <x:v>53630.747004</x:v>
      </x:c>
      <x:c r="I1579" s="13" t="n">
        <x:v>0.0244466666666666</x:v>
      </x:c>
      <x:c r="J1579" s="2" t="n">
        <x:v>9</x:v>
      </x:c>
      <x:c r="K1579" s="2" t="n">
        <x:v>9</x:v>
      </x:c>
      <x:c r="L1579" s="12" t="n">
        <x:v>1042.7008</x:v>
      </x:c>
      <x:c r="M1579" s="13" t="n">
        <x:v>0.479951488699693</x:v>
      </x:c>
      <x:c r="N1579" s="13" t="n">
        <x:f>H1579/G1579</x:f>
        <x:v>0.02941552214984016</x:v>
      </x:c>
      <x:c r="O1579" s="13" t="n">
        <x:f>F1579/E1579</x:f>
        <x:v>0</x:v>
      </x:c>
      <x:c r="P1579" s="2" t="str">
        <x:f>IF(AND(E1579&gt;='Итоги'!$F$5,N1579&lt;='Итоги'!$B$5,O1579&gt;='Итоги'!$D$5),"Да","Нет")</x:f>
        <x:v>Нет</x:v>
      </x:c>
    </x:row>
    <x:row r="1580" ht="60" customHeight="1">
      <x:c r="A1580" s="14" t="str">
        <x:v>Игрушки</x:v>
      </x:c>
      <x:c r="B1580" s="14" t="str">
        <x:v>Игрушки</x:v>
      </x:c>
      <x:c r="C1580" s="14" t="str">
        <x:v>Игрушки для самых маленьких</x:v>
      </x:c>
      <x:c r="D1580" s="14" t="str">
        <x:v>Коврик-пазл</x:v>
      </x:c>
      <x:c r="E1580" s="2" t="n">
        <x:v>21</x:v>
      </x:c>
      <x:c r="F1580" s="2" t="n">
        <x:v>0</x:v>
      </x:c>
      <x:c r="G1580" s="12" t="n">
        <x:v>2233356.5827</x:v>
      </x:c>
      <x:c r="H1580" s="12" t="n">
        <x:v>65861.10212814</x:v>
      </x:c>
      <x:c r="I1580" s="13" t="n">
        <x:v>0.0325666666666666</x:v>
      </x:c>
      <x:c r="J1580" s="2" t="n">
        <x:v>11</x:v>
      </x:c>
      <x:c r="K1580" s="2" t="n">
        <x:v>5</x:v>
      </x:c>
      <x:c r="L1580" s="12" t="n">
        <x:v>1304.1869</x:v>
      </x:c>
      <x:c r="M1580" s="13" t="n">
        <x:v>0.8520561941342337</x:v>
      </x:c>
      <x:c r="N1580" s="13" t="n">
        <x:f>H1580/G1580</x:f>
        <x:v>0.029489738735996068</x:v>
      </x:c>
      <x:c r="O1580" s="13" t="n">
        <x:f>F1580/E1580</x:f>
        <x:v>0</x:v>
      </x:c>
      <x:c r="P1580" s="2" t="str">
        <x:f>IF(AND(E1580&gt;='Итоги'!$F$5,N1580&lt;='Итоги'!$B$5,O1580&gt;='Итоги'!$D$5),"Да","Нет")</x:f>
        <x:v>Нет</x:v>
      </x:c>
    </x:row>
    <x:row r="1581" ht="60" customHeight="1">
      <x:c r="A1581" s="14" t="str">
        <x:v>Одежда</x:v>
      </x:c>
      <x:c r="B1581" s="14" t="str">
        <x:v>Основная одежда женская</x:v>
      </x:c>
      <x:c r="C1581" s="14" t="str">
        <x:v>Основная одежда для беременных и кормящих</x:v>
      </x:c>
      <x:c r="D1581" s="14" t="str">
        <x:v>Джемпер, кардиган для беременных и кормящих</x:v>
      </x:c>
      <x:c r="E1581" s="2" t="n">
        <x:v>39</x:v>
      </x:c>
      <x:c r="F1581" s="2" t="n">
        <x:v>0</x:v>
      </x:c>
      <x:c r="G1581" s="12" t="n">
        <x:v>2297041.8127</x:v>
      </x:c>
      <x:c r="H1581" s="12" t="n">
        <x:v>67813.6114898</x:v>
      </x:c>
      <x:c r="I1581" s="13" t="n">
        <x:v>0.0100435897435897</x:v>
      </x:c>
      <x:c r="J1581" s="2" t="n">
        <x:v>31</x:v>
      </x:c>
      <x:c r="K1581" s="2" t="n">
        <x:v>3</x:v>
      </x:c>
      <x:c r="L1581" s="12" t="n">
        <x:v>1416.5938</x:v>
      </x:c>
      <x:c r="M1581" s="13" t="n">
        <x:v>0.7184157971248583</x:v>
      </x:c>
      <x:c r="N1581" s="13" t="n">
        <x:f>H1581/G1581</x:f>
        <x:v>0.02952214936396399</x:v>
      </x:c>
      <x:c r="O1581" s="13" t="n">
        <x:f>F1581/E1581</x:f>
        <x:v>0</x:v>
      </x:c>
      <x:c r="P1581" s="2" t="str">
        <x:f>IF(AND(E1581&gt;='Итоги'!$F$5,N1581&lt;='Итоги'!$B$5,O1581&gt;='Итоги'!$D$5),"Да","Нет")</x:f>
        <x:v>Нет</x:v>
      </x:c>
    </x:row>
    <x:row r="1582" ht="60" customHeight="1">
      <x:c r="A1582" s="14" t="str">
        <x:v>Товары для детей и спорта</x:v>
      </x:c>
      <x:c r="B1582" s="14" t="str">
        <x:v>КГТ и аксессуары для детей</x:v>
      </x:c>
      <x:c r="C1582" s="14" t="str">
        <x:v>Коляска детская</x:v>
      </x:c>
      <x:c r="D1582" s="14" t="str">
        <x:v>Коляска-трансформер</x:v>
      </x:c>
      <x:c r="E1582" s="2" t="n">
        <x:v>18</x:v>
      </x:c>
      <x:c r="F1582" s="2" t="n">
        <x:v>0</x:v>
      </x:c>
      <x:c r="G1582" s="12" t="n">
        <x:v>2126486.1293</x:v>
      </x:c>
      <x:c r="H1582" s="12" t="n">
        <x:v>62782.9048</x:v>
      </x:c>
      <x:c r="I1582" s="13" t="n">
        <x:v>0.0350277777777777</x:v>
      </x:c>
      <x:c r="J1582" s="2" t="n">
        <x:v>14</x:v>
      </x:c>
      <x:c r="K1582" s="2" t="n">
        <x:v>4</x:v>
      </x:c>
      <x:c r="L1582" s="12" t="n">
        <x:v>16426.1921</x:v>
      </x:c>
      <x:c r="M1582" s="13" t="n">
        <x:v>0.7980746908321721</x:v>
      </x:c>
      <x:c r="N1582" s="13" t="n">
        <x:f>H1582/G1582</x:f>
        <x:v>0.029524248446740148</x:v>
      </x:c>
      <x:c r="O1582" s="13" t="n">
        <x:f>F1582/E1582</x:f>
        <x:v>0</x:v>
      </x:c>
      <x:c r="P1582" s="2" t="str">
        <x:f>IF(AND(E1582&gt;='Итоги'!$F$5,N1582&lt;='Итоги'!$B$5,O1582&gt;='Итоги'!$D$5),"Да","Нет")</x:f>
        <x:v>Нет</x:v>
      </x:c>
    </x:row>
    <x:row r="1583" ht="60" customHeight="1">
      <x:c r="A1583" s="14" t="str">
        <x:v>Игрушки</x:v>
      </x:c>
      <x:c r="B1583" s="14" t="str">
        <x:v>Игрушки</x:v>
      </x:c>
      <x:c r="C1583" s="14" t="str">
        <x:v>Куклы и аксессуары</x:v>
      </x:c>
      <x:c r="D1583" s="14" t="str">
        <x:v>Игровой набор с куклой</x:v>
      </x:c>
      <x:c r="E1583" s="2" t="n">
        <x:v>13</x:v>
      </x:c>
      <x:c r="F1583" s="2" t="n">
        <x:v>0</x:v>
      </x:c>
      <x:c r="G1583" s="12" t="n">
        <x:v>1041073.8444</x:v>
      </x:c>
      <x:c r="H1583" s="12" t="n">
        <x:v>30754.81957328</x:v>
      </x:c>
      <x:c r="I1583" s="13" t="n">
        <x:v>0.0332615384615384</x:v>
      </x:c>
      <x:c r="J1583" s="2" t="n">
        <x:v>5</x:v>
      </x:c>
      <x:c r="K1583" s="2" t="n">
        <x:v>6</x:v>
      </x:c>
      <x:c r="L1583" s="12" t="n">
        <x:v>2424.7835</x:v>
      </x:c>
      <x:c r="M1583" s="13" t="n">
        <x:v>0.3888420432205798</x:v>
      </x:c>
      <x:c r="N1583" s="13" t="n">
        <x:f>H1583/G1583</x:f>
        <x:v>0.02954143910032133</x:v>
      </x:c>
      <x:c r="O1583" s="13" t="n">
        <x:f>F1583/E1583</x:f>
        <x:v>0</x:v>
      </x:c>
      <x:c r="P1583" s="2" t="str">
        <x:f>IF(AND(E1583&gt;='Итоги'!$F$5,N1583&lt;='Итоги'!$B$5,O1583&gt;='Итоги'!$D$5),"Да","Нет")</x:f>
        <x:v>Нет</x:v>
      </x:c>
    </x:row>
    <x:row r="1584" ht="60" customHeight="1">
      <x:c r="A1584" s="14" t="str">
        <x:v>Детская одежда</x:v>
      </x:c>
      <x:c r="B1584" s="14" t="str">
        <x:v>Детская одежда</x:v>
      </x:c>
      <x:c r="C1584" s="14" t="str">
        <x:v>Одежда спортивная для девочки</x:v>
      </x:c>
      <x:c r="D1584" s="14" t="str">
        <x:v>Брюки спортивные для девочки</x:v>
      </x:c>
      <x:c r="E1584" s="2" t="n">
        <x:v>7</x:v>
      </x:c>
      <x:c r="F1584" s="2" t="n">
        <x:v>0</x:v>
      </x:c>
      <x:c r="G1584" s="12" t="n">
        <x:v>664620.1649</x:v>
      </x:c>
      <x:c r="H1584" s="12" t="n">
        <x:v>19641.426357</x:v>
      </x:c>
      <x:c r="I1584" s="13" t="n">
        <x:v>0.0243142857142857</x:v>
      </x:c>
      <x:c r="J1584" s="2" t="n">
        <x:v>5</x:v>
      </x:c>
      <x:c r="K1584" s="2" t="n">
        <x:v>3</x:v>
      </x:c>
      <x:c r="L1584" s="12" t="n">
        <x:v>1097.0144</x:v>
      </x:c>
      <x:c r="M1584" s="13" t="n">
        <x:v>0.6825133421406968</x:v>
      </x:c>
      <x:c r="N1584" s="13" t="n">
        <x:f>H1584/G1584</x:f>
        <x:v>0.02955285950427834</x:v>
      </x:c>
      <x:c r="O1584" s="13" t="n">
        <x:f>F1584/E1584</x:f>
        <x:v>0</x:v>
      </x:c>
      <x:c r="P1584" s="2" t="str">
        <x:f>IF(AND(E1584&gt;='Итоги'!$F$5,N1584&lt;='Итоги'!$B$5,O1584&gt;='Итоги'!$D$5),"Да","Нет")</x:f>
        <x:v>Нет</x:v>
      </x:c>
    </x:row>
    <x:row r="1585" ht="60" customHeight="1">
      <x:c r="A1585" s="14" t="str">
        <x:v>Школьные принадлежности и канцелярия</x:v>
      </x:c>
      <x:c r="B1585" s="14" t="str">
        <x:v>Товары для школы, канцелярия, оборудование</x:v>
      </x:c>
      <x:c r="C1585" s="14" t="str">
        <x:v>Демонстрационное оборудование и аксессуары</x:v>
      </x:c>
      <x:c r="D1585" s="14" t="str">
        <x:v>Флипчарт</x:v>
      </x:c>
      <x:c r="E1585" s="2" t="n">
        <x:v>6</x:v>
      </x:c>
      <x:c r="F1585" s="2" t="n">
        <x:v>0</x:v>
      </x:c>
      <x:c r="G1585" s="12" t="n">
        <x:v>582112.11</x:v>
      </x:c>
      <x:c r="H1585" s="12" t="n">
        <x:v>17237.914840999998</x:v>
      </x:c>
      <x:c r="I1585" s="13" t="n">
        <x:v>0.0697499999999999</x:v>
      </x:c>
      <x:c r="J1585" s="2" t="n">
        <x:v>0</x:v>
      </x:c>
      <x:c r="K1585" s="2" t="n">
        <x:v>1</x:v>
      </x:c>
      <x:c r="L1585" s="12" t="n">
        <x:v>6216.9079</x:v>
      </x:c>
      <x:c r="M1585" s="13" t="n">
        <x:v>1</x:v>
      </x:c>
      <x:c r="N1585" s="13" t="n">
        <x:f>H1585/G1585</x:f>
        <x:v>0.029612706117727046</x:v>
      </x:c>
      <x:c r="O1585" s="13" t="n">
        <x:f>F1585/E1585</x:f>
        <x:v>0</x:v>
      </x:c>
      <x:c r="P1585" s="2" t="str">
        <x:f>IF(AND(E1585&gt;='Итоги'!$F$5,N1585&lt;='Итоги'!$B$5,O1585&gt;='Итоги'!$D$5),"Да","Нет")</x:f>
        <x:v>Нет</x:v>
      </x:c>
    </x:row>
    <x:row r="1586" ht="60" customHeight="1">
      <x:c r="A1586" s="14" t="str">
        <x:v>Строительство и ремонт (DIY)</x:v>
      </x:c>
      <x:c r="B1586" s="14" t="str">
        <x:v>Освещение</x:v>
      </x:c>
      <x:c r="C1586" s="14" t="str">
        <x:v>Светильник домашний</x:v>
      </x:c>
      <x:c r="D1586" s="14" t="str">
        <x:v>Светильник промышленный</x:v>
      </x:c>
      <x:c r="E1586" s="2" t="n">
        <x:v>5</x:v>
      </x:c>
      <x:c r="F1586" s="2" t="n">
        <x:v>0</x:v>
      </x:c>
      <x:c r="G1586" s="12" t="n">
        <x:v>766699.35</x:v>
      </x:c>
      <x:c r="H1586" s="12" t="n">
        <x:v>22772.443715</x:v>
      </x:c>
      <x:c r="I1586" s="13" t="n">
        <x:v>0.039</x:v>
      </x:c>
      <x:c r="J1586" s="2" t="n">
        <x:v>0</x:v>
      </x:c>
      <x:c r="K1586" s="2" t="n">
        <x:v>2</x:v>
      </x:c>
      <x:c r="L1586" s="12" t="n">
        <x:v>1479.8657</x:v>
      </x:c>
      <x:c r="M1586" s="13" t="n">
        <x:v>0.8415358640906635</x:v>
      </x:c>
      <x:c r="N1586" s="13" t="n">
        <x:f>H1586/G1586</x:f>
        <x:v>0.029701921248531125</x:v>
      </x:c>
      <x:c r="O1586" s="13" t="n">
        <x:f>F1586/E1586</x:f>
        <x:v>0</x:v>
      </x:c>
      <x:c r="P1586" s="2" t="str">
        <x:f>IF(AND(E1586&gt;='Итоги'!$F$5,N1586&lt;='Итоги'!$B$5,O1586&gt;='Итоги'!$D$5),"Да","Нет")</x:f>
        <x:v>Нет</x:v>
      </x:c>
    </x:row>
    <x:row r="1587" ht="60" customHeight="1">
      <x:c r="A1587" s="14" t="str">
        <x:v>Спорт и отдых</x:v>
      </x:c>
      <x:c r="B1587" s="14" t="str">
        <x:v>Зимние виды спорта</x:v>
      </x:c>
      <x:c r="C1587" s="14" t="str">
        <x:v>Хоккей</x:v>
      </x:c>
      <x:c r="D1587" s="14" t="str">
        <x:v>Шлем, визор хоккейный</x:v>
      </x:c>
      <x:c r="E1587" s="2" t="n">
        <x:v>1</x:v>
      </x:c>
      <x:c r="F1587" s="2" t="n">
        <x:v>0</x:v>
      </x:c>
      <x:c r="G1587" s="12" t="n">
        <x:v>84984</x:v>
      </x:c>
      <x:c r="H1587" s="12" t="n">
        <x:v>2532.5232</x:v>
      </x:c>
      <x:c r="I1587" s="13" t="n">
        <x:v>0.0298</x:v>
      </x:c>
      <x:c r="J1587" s="2" t="n">
        <x:v>0</x:v>
      </x:c>
      <x:c r="K1587" s="2" t="n">
        <x:v>1</x:v>
      </x:c>
      <x:c r="L1587" s="12" t="n">
        <x:v>12140.5714</x:v>
      </x:c>
      <x:c r="M1587" s="13" t="n">
        <x:v>1</x:v>
      </x:c>
      <x:c r="N1587" s="13" t="n">
        <x:f>H1587/G1587</x:f>
        <x:v>0.0298</x:v>
      </x:c>
      <x:c r="O1587" s="13" t="n">
        <x:f>F1587/E1587</x:f>
        <x:v>0</x:v>
      </x:c>
      <x:c r="P1587" s="2" t="str">
        <x:f>IF(AND(E1587&gt;='Итоги'!$F$5,N1587&lt;='Итоги'!$B$5,O1587&gt;='Итоги'!$D$5),"Да","Нет")</x:f>
        <x:v>Нет</x:v>
      </x:c>
    </x:row>
    <x:row r="1588" ht="60" customHeight="1">
      <x:c r="A1588" s="14" t="str">
        <x:v>Аксессуары для электроники</x:v>
      </x:c>
      <x:c r="B1588" s="14" t="str">
        <x:v>Компьютерная периферия Access</x:v>
      </x:c>
      <x:c r="C1588" s="14" t="str">
        <x:v>Электронные носители информации Access</x:v>
      </x:c>
      <x:c r="D1588" s="14" t="str">
        <x:v>Мобильный кошелек для криптовалют</x:v>
      </x:c>
      <x:c r="E1588" s="2" t="n">
        <x:v>26</x:v>
      </x:c>
      <x:c r="F1588" s="2" t="n">
        <x:v>0</x:v>
      </x:c>
      <x:c r="G1588" s="12" t="n">
        <x:v>3330142.67</x:v>
      </x:c>
      <x:c r="H1588" s="12" t="n">
        <x:v>99276.748166</x:v>
      </x:c>
      <x:c r="I1588" s="13" t="n">
        <x:v>0.029326923076923</x:v>
      </x:c>
      <x:c r="J1588" s="2" t="n">
        <x:v>10</x:v>
      </x:c>
      <x:c r="K1588" s="2" t="n">
        <x:v>5</x:v>
      </x:c>
      <x:c r="L1588" s="12" t="n">
        <x:v>9048.00665</x:v>
      </x:c>
      <x:c r="M1588" s="13" t="n">
        <x:v>0.6991348121430485</x:v>
      </x:c>
      <x:c r="N1588" s="13" t="n">
        <x:f>H1588/G1588</x:f>
        <x:v>0.02981156004526377</x:v>
      </x:c>
      <x:c r="O1588" s="13" t="n">
        <x:f>F1588/E1588</x:f>
        <x:v>0</x:v>
      </x:c>
      <x:c r="P1588" s="2" t="str">
        <x:f>IF(AND(E1588&gt;='Итоги'!$F$5,N1588&lt;='Итоги'!$B$5,O1588&gt;='Итоги'!$D$5),"Да","Нет")</x:f>
        <x:v>Нет</x:v>
      </x:c>
    </x:row>
    <x:row r="1589" ht="60" customHeight="1">
      <x:c r="A1589" s="14" t="str">
        <x:v>Напитки</x:v>
      </x:c>
      <x:c r="B1589" s="14" t="str">
        <x:v>Напитки холодные</x:v>
      </x:c>
      <x:c r="C1589" s="14" t="str">
        <x:v>Кисель, компот, сок</x:v>
      </x:c>
      <x:c r="D1589" s="14" t="str">
        <x:v>Сок</x:v>
      </x:c>
      <x:c r="E1589" s="2" t="n">
        <x:v>43</x:v>
      </x:c>
      <x:c r="F1589" s="2" t="n">
        <x:v>0</x:v>
      </x:c>
      <x:c r="G1589" s="12" t="n">
        <x:v>6415701.6787</x:v>
      </x:c>
      <x:c r="H1589" s="12" t="n">
        <x:v>191399.39178867</x:v>
      </x:c>
      <x:c r="I1589" s="13" t="n">
        <x:v>0.0339720930232558</x:v>
      </x:c>
      <x:c r="J1589" s="2" t="n">
        <x:v>20</x:v>
      </x:c>
      <x:c r="K1589" s="2" t="n">
        <x:v>15</x:v>
      </x:c>
      <x:c r="L1589" s="12" t="n">
        <x:v>1476.8864</x:v>
      </x:c>
      <x:c r="M1589" s="13" t="n">
        <x:v>0.3312089302803386</x:v>
      </x:c>
      <x:c r="N1589" s="13" t="n">
        <x:f>H1589/G1589</x:f>
        <x:v>0.02983296315414916</x:v>
      </x:c>
      <x:c r="O1589" s="13" t="n">
        <x:f>F1589/E1589</x:f>
        <x:v>0</x:v>
      </x:c>
      <x:c r="P1589" s="2" t="str">
        <x:f>IF(AND(E1589&gt;='Итоги'!$F$5,N1589&lt;='Итоги'!$B$5,O1589&gt;='Итоги'!$D$5),"Да","Нет")</x:f>
        <x:v>Нет</x:v>
      </x:c>
    </x:row>
    <x:row r="1590" ht="60" customHeight="1">
      <x:c r="A1590" s="14" t="str">
        <x:v>Бакалея и кондитерские изделия</x:v>
      </x:c>
      <x:c r="B1590" s="14" t="str">
        <x:v>Кондитерские изделия</x:v>
      </x:c>
      <x:c r="C1590" s="14" t="str">
        <x:v>Конфеты</x:v>
      </x:c>
      <x:c r="D1590" s="14" t="str">
        <x:v>Конфеты</x:v>
      </x:c>
      <x:c r="E1590" s="2" t="n">
        <x:v>91</x:v>
      </x:c>
      <x:c r="F1590" s="2" t="n">
        <x:v>0</x:v>
      </x:c>
      <x:c r="G1590" s="12" t="n">
        <x:v>11183573.3164</x:v>
      </x:c>
      <x:c r="H1590" s="12" t="n">
        <x:v>333832.9323594</x:v>
      </x:c>
      <x:c r="I1590" s="13" t="n">
        <x:v>0.0292725274725274</x:v>
      </x:c>
      <x:c r="J1590" s="2" t="n">
        <x:v>47</x:v>
      </x:c>
      <x:c r="K1590" s="2" t="n">
        <x:v>28</x:v>
      </x:c>
      <x:c r="L1590" s="12" t="n">
        <x:v>1146.5056</x:v>
      </x:c>
      <x:c r="M1590" s="13" t="n">
        <x:v>0.5193686094481408</x:v>
      </x:c>
      <x:c r="N1590" s="13" t="n">
        <x:f>H1590/G1590</x:f>
        <x:v>0.029850292291628756</x:v>
      </x:c>
      <x:c r="O1590" s="13" t="n">
        <x:f>F1590/E1590</x:f>
        <x:v>0</x:v>
      </x:c>
      <x:c r="P1590" s="2" t="str">
        <x:f>IF(AND(E1590&gt;='Итоги'!$F$5,N1590&lt;='Итоги'!$B$5,O1590&gt;='Итоги'!$D$5),"Да","Нет")</x:f>
        <x:v>Нет</x:v>
      </x:c>
    </x:row>
    <x:row r="1591" ht="60" customHeight="1">
      <x:c r="A1591" s="14" t="str">
        <x:v>Строительство и ремонт (DIY)</x:v>
      </x:c>
      <x:c r="B1591" s="14" t="str">
        <x:v>Ремонт и строительство</x:v>
      </x:c>
      <x:c r="C1591" s="14" t="str">
        <x:v>Скобяные изделия</x:v>
      </x:c>
      <x:c r="D1591" s="14" t="str">
        <x:v>Гвозди</x:v>
      </x:c>
      <x:c r="E1591" s="2" t="n">
        <x:v>42</x:v>
      </x:c>
      <x:c r="F1591" s="2" t="n">
        <x:v>0</x:v>
      </x:c>
      <x:c r="G1591" s="12" t="n">
        <x:v>7184869.0431</x:v>
      </x:c>
      <x:c r="H1591" s="12" t="n">
        <x:v>214604.62914091</x:v>
      </x:c>
      <x:c r="I1591" s="13" t="n">
        <x:v>0.024945238095238</x:v>
      </x:c>
      <x:c r="J1591" s="2" t="n">
        <x:v>9</x:v>
      </x:c>
      <x:c r="K1591" s="2" t="n">
        <x:v>11</x:v>
      </x:c>
      <x:c r="L1591" s="12" t="n">
        <x:v>3071.664</x:v>
      </x:c>
      <x:c r="M1591" s="13" t="n">
        <x:v>0.4323544940158994</x:v>
      </x:c>
      <x:c r="N1591" s="13" t="n">
        <x:f>H1591/G1591</x:f>
        <x:v>0.029868968780580055</x:v>
      </x:c>
      <x:c r="O1591" s="13" t="n">
        <x:f>F1591/E1591</x:f>
        <x:v>0</x:v>
      </x:c>
      <x:c r="P1591" s="2" t="str">
        <x:f>IF(AND(E1591&gt;='Итоги'!$F$5,N1591&lt;='Итоги'!$B$5,O1591&gt;='Итоги'!$D$5),"Да","Нет")</x:f>
        <x:v>Нет</x:v>
      </x:c>
    </x:row>
    <x:row r="1592" ht="60" customHeight="1">
      <x:c r="A1592" s="14" t="str">
        <x:v>Спорт и отдых</x:v>
      </x:c>
      <x:c r="B1592" s="14" t="str">
        <x:v>Товары для рыбалки</x:v>
      </x:c>
      <x:c r="C1592" s="14" t="str">
        <x:v>Удилища, спиннинги</x:v>
      </x:c>
      <x:c r="D1592" s="14" t="str">
        <x:v>Удочка для зимней рыбалки</x:v>
      </x:c>
      <x:c r="E1592" s="2" t="n">
        <x:v>2</x:v>
      </x:c>
      <x:c r="F1592" s="2" t="n">
        <x:v>0</x:v>
      </x:c>
      <x:c r="G1592" s="12" t="n">
        <x:v>147906.8221</x:v>
      </x:c>
      <x:c r="H1592" s="12" t="n">
        <x:v>4422.492499999999</x:v>
      </x:c>
      <x:c r="I1592" s="13" t="n">
        <x:v>0.07375</x:v>
      </x:c>
      <x:c r="J1592" s="2" t="n">
        <x:v>1</x:v>
      </x:c>
      <x:c r="K1592" s="2" t="n">
        <x:v>2</x:v>
      </x:c>
      <x:c r="L1592" s="12" t="n">
        <x:v>1085.2804999999998</x:v>
      </x:c>
      <x:c r="M1592" s="13" t="n">
        <x:v>0.7972845364784564</x:v>
      </x:c>
      <x:c r="N1592" s="13" t="n">
        <x:f>H1592/G1592</x:f>
        <x:v>0.02990053086942769</x:v>
      </x:c>
      <x:c r="O1592" s="13" t="n">
        <x:f>F1592/E1592</x:f>
        <x:v>0</x:v>
      </x:c>
      <x:c r="P1592" s="2" t="str">
        <x:f>IF(AND(E1592&gt;='Итоги'!$F$5,N1592&lt;='Итоги'!$B$5,O1592&gt;='Итоги'!$D$5),"Да","Нет")</x:f>
        <x:v>Нет</x:v>
      </x:c>
    </x:row>
    <x:row r="1593" ht="60" customHeight="1">
      <x:c r="A1593" s="14" t="str">
        <x:v>Спорт и отдых</x:v>
      </x:c>
      <x:c r="B1593" s="14" t="str">
        <x:v>Тренажеры и фитнес</x:v>
      </x:c>
      <x:c r="C1593" s="14" t="str">
        <x:v>Мини тренажеры</x:v>
      </x:c>
      <x:c r="D1593" s="14" t="str">
        <x:v>Вибротренажер</x:v>
      </x:c>
      <x:c r="E1593" s="2" t="n">
        <x:v>2</x:v>
      </x:c>
      <x:c r="F1593" s="2" t="n">
        <x:v>0</x:v>
      </x:c>
      <x:c r="G1593" s="12" t="n">
        <x:v>776337.09</x:v>
      </x:c>
      <x:c r="H1593" s="12" t="n">
        <x:v>23215.001359</x:v>
      </x:c>
      <x:c r="I1593" s="13" t="n">
        <x:v>0.0282</x:v>
      </x:c>
      <x:c r="J1593" s="2" t="n">
        <x:v>0</x:v>
      </x:c>
      <x:c r="K1593" s="2" t="n">
        <x:v>2</x:v>
      </x:c>
      <x:c r="L1593" s="12" t="n">
        <x:v>6839.24625</x:v>
      </x:c>
      <x:c r="M1593" s="13" t="n">
        <x:v>0.7747175907826329</x:v>
      </x:c>
      <x:c r="N1593" s="13" t="n">
        <x:f>H1593/G1593</x:f>
        <x:v>0.029903249062852327</x:v>
      </x:c>
      <x:c r="O1593" s="13" t="n">
        <x:f>F1593/E1593</x:f>
        <x:v>0</x:v>
      </x:c>
      <x:c r="P1593" s="2" t="str">
        <x:f>IF(AND(E1593&gt;='Итоги'!$F$5,N1593&lt;='Итоги'!$B$5,O1593&gt;='Итоги'!$D$5),"Да","Нет")</x:f>
        <x:v>Нет</x:v>
      </x:c>
    </x:row>
    <x:row r="1594" ht="60" customHeight="1">
      <x:c r="A1594" s="14" t="str">
        <x:v>Детская одежда</x:v>
      </x:c>
      <x:c r="B1594" s="14" t="str">
        <x:v>Детская одежда</x:v>
      </x:c>
      <x:c r="C1594" s="14" t="str">
        <x:v>Одежда для мальчика</x:v>
      </x:c>
      <x:c r="D1594" s="14" t="str">
        <x:v>Худи для мальчика</x:v>
      </x:c>
      <x:c r="E1594" s="2" t="n">
        <x:v>2</x:v>
      </x:c>
      <x:c r="F1594" s="2" t="n">
        <x:v>0</x:v>
      </x:c>
      <x:c r="G1594" s="12" t="n">
        <x:v>21330.2964</x:v>
      </x:c>
      <x:c r="H1594" s="12" t="n">
        <x:v>638.98847456</x:v>
      </x:c>
      <x:c r="I1594" s="13" t="n">
        <x:v>0.0202</x:v>
      </x:c>
      <x:c r="J1594" s="2" t="n">
        <x:v>1</x:v>
      </x:c>
      <x:c r="K1594" s="2" t="n">
        <x:v>2</x:v>
      </x:c>
      <x:c r="L1594" s="12" t="n">
        <x:v>810.0642</x:v>
      </x:c>
      <x:c r="M1594" s="13" t="n">
        <x:v>0.7415061705377897</x:v>
      </x:c>
      <x:c r="N1594" s="13" t="n">
        <x:f>H1594/G1594</x:f>
        <x:v>0.0299568492897267</x:v>
      </x:c>
      <x:c r="O1594" s="13" t="n">
        <x:f>F1594/E1594</x:f>
        <x:v>0</x:v>
      </x:c>
      <x:c r="P1594" s="2" t="str">
        <x:f>IF(AND(E1594&gt;='Итоги'!$F$5,N1594&lt;='Итоги'!$B$5,O1594&gt;='Итоги'!$D$5),"Да","Нет")</x:f>
        <x:v>Нет</x:v>
      </x:c>
    </x:row>
    <x:row r="1595" ht="60" customHeight="1">
      <x:c r="A1595" s="14" t="str">
        <x:v>Одежда</x:v>
      </x:c>
      <x:c r="B1595" s="14" t="str">
        <x:v>Основная одежда женская</x:v>
      </x:c>
      <x:c r="C1595" s="14" t="str">
        <x:v>Основная одежда женская низы</x:v>
      </x:c>
      <x:c r="D1595" s="14" t="str">
        <x:v>Бриджи, капри женские</x:v>
      </x:c>
      <x:c r="E1595" s="2" t="n">
        <x:v>213</x:v>
      </x:c>
      <x:c r="F1595" s="2" t="n">
        <x:v>0</x:v>
      </x:c>
      <x:c r="G1595" s="12" t="n">
        <x:v>23338764.6396</x:v>
      </x:c>
      <x:c r="H1595" s="12" t="n">
        <x:v>701371.80675471</x:v>
      </x:c>
      <x:c r="I1595" s="13" t="n">
        <x:v>0.0268014084507042</x:v>
      </x:c>
      <x:c r="J1595" s="2" t="n">
        <x:v>70</x:v>
      </x:c>
      <x:c r="K1595" s="2" t="n">
        <x:v>17</x:v>
      </x:c>
      <x:c r="L1595" s="12" t="n">
        <x:v>1233.6042</x:v>
      </x:c>
      <x:c r="M1595" s="13" t="n">
        <x:v>0.6402399057594719</x:v>
      </x:c>
      <x:c r="N1595" s="13" t="n">
        <x:f>H1595/G1595</x:f>
        <x:v>0.030051796553304234</x:v>
      </x:c>
      <x:c r="O1595" s="13" t="n">
        <x:f>F1595/E1595</x:f>
        <x:v>0</x:v>
      </x:c>
      <x:c r="P1595" s="2" t="str">
        <x:f>IF(AND(E1595&gt;='Итоги'!$F$5,N1595&lt;='Итоги'!$B$5,O1595&gt;='Итоги'!$D$5),"Да","Нет")</x:f>
        <x:v>Нет</x:v>
      </x:c>
    </x:row>
    <x:row r="1596" ht="60" customHeight="1">
      <x:c r="A1596" s="14" t="str">
        <x:v>Школьные принадлежности и канцелярия</x:v>
      </x:c>
      <x:c r="B1596" s="14" t="str">
        <x:v>Товары для школы, канцелярия, оборудование</x:v>
      </x:c>
      <x:c r="C1596" s="14" t="str">
        <x:v>Демонстрационное оборудование и аксессуары</x:v>
      </x:c>
      <x:c r="D1596" s="14" t="str">
        <x:v>Доска пробковая</x:v>
      </x:c>
      <x:c r="E1596" s="2" t="n">
        <x:v>15</x:v>
      </x:c>
      <x:c r="F1596" s="2" t="n">
        <x:v>0</x:v>
      </x:c>
      <x:c r="G1596" s="12" t="n">
        <x:v>1718221.7808</x:v>
      </x:c>
      <x:c r="H1596" s="12" t="n">
        <x:v>51708.50803515</x:v>
      </x:c>
      <x:c r="I1596" s="13" t="n">
        <x:v>0.0376333333333333</x:v>
      </x:c>
      <x:c r="J1596" s="2" t="n">
        <x:v>3</x:v>
      </x:c>
      <x:c r="K1596" s="2" t="n">
        <x:v>5</x:v>
      </x:c>
      <x:c r="L1596" s="12" t="n">
        <x:v>1826.6446</x:v>
      </x:c>
      <x:c r="M1596" s="13" t="n">
        <x:v>0.6895543574406073</x:v>
      </x:c>
      <x:c r="N1596" s="13" t="n">
        <x:f>H1596/G1596</x:f>
        <x:v>0.030094198905495563</x:v>
      </x:c>
      <x:c r="O1596" s="13" t="n">
        <x:f>F1596/E1596</x:f>
        <x:v>0</x:v>
      </x:c>
      <x:c r="P1596" s="2" t="str">
        <x:f>IF(AND(E1596&gt;='Итоги'!$F$5,N1596&lt;='Итоги'!$B$5,O1596&gt;='Итоги'!$D$5),"Да","Нет")</x:f>
        <x:v>Нет</x:v>
      </x:c>
    </x:row>
    <x:row r="1597" ht="60" customHeight="1">
      <x:c r="A1597" s="14" t="str">
        <x:v>Аксессуары для электроники</x:v>
      </x:c>
      <x:c r="B1597" s="14" t="str">
        <x:v>Аксессуары для мобильных устройств Access</x:v>
      </x:c>
      <x:c r="C1597" s="14" t="str">
        <x:v>Аксессуары для зарядки и передачи информации Access</x:v>
      </x:c>
      <x:c r="D1597" s="14" t="str">
        <x:v>Кабель для мобильного устройства Apple</x:v>
      </x:c>
      <x:c r="E1597" s="2" t="n">
        <x:v>13</x:v>
      </x:c>
      <x:c r="F1597" s="2" t="n">
        <x:v>0</x:v>
      </x:c>
      <x:c r="G1597" s="12" t="n">
        <x:v>2466530.09</x:v>
      </x:c>
      <x:c r="H1597" s="12" t="n">
        <x:v>74287.94828499999</x:v>
      </x:c>
      <x:c r="I1597" s="13" t="n">
        <x:v>0.0425923076923076</x:v>
      </x:c>
      <x:c r="J1597" s="2" t="n">
        <x:v>4</x:v>
      </x:c>
      <x:c r="K1597" s="2" t="n">
        <x:v>2</x:v>
      </x:c>
      <x:c r="L1597" s="12" t="n">
        <x:v>1344.3971</x:v>
      </x:c>
      <x:c r="M1597" s="13" t="n">
        <x:v>0.9916656196154492</x:v>
      </x:c>
      <x:c r="N1597" s="13" t="n">
        <x:f>H1597/G1597</x:f>
        <x:v>0.03011840341465285</x:v>
      </x:c>
      <x:c r="O1597" s="13" t="n">
        <x:f>F1597/E1597</x:f>
        <x:v>0</x:v>
      </x:c>
      <x:c r="P1597" s="2" t="str">
        <x:f>IF(AND(E1597&gt;='Итоги'!$F$5,N1597&lt;='Итоги'!$B$5,O1597&gt;='Итоги'!$D$5),"Да","Нет")</x:f>
        <x:v>Нет</x:v>
      </x:c>
    </x:row>
    <x:row r="1598" ht="60" customHeight="1">
      <x:c r="A1598" s="14" t="str">
        <x:v>Одежда</x:v>
      </x:c>
      <x:c r="B1598" s="14" t="str">
        <x:v>Основная одежда женская</x:v>
      </x:c>
      <x:c r="C1598" s="14" t="str">
        <x:v>Основная одежда женская комплект</x:v>
      </x:c>
      <x:c r="D1598" s="14" t="str">
        <x:v>Костюм женский</x:v>
      </x:c>
      <x:c r="E1598" s="2" t="n">
        <x:v>3916</x:v>
      </x:c>
      <x:c r="F1598" s="2" t="n">
        <x:v>0</x:v>
      </x:c>
      <x:c r="G1598" s="12" t="n">
        <x:v>463571484.4022</x:v>
      </x:c>
      <x:c r="H1598" s="12" t="n">
        <x:v>13966244.29160448</x:v>
      </x:c>
      <x:c r="I1598" s="13" t="n">
        <x:v>0.0263365679264555</x:v>
      </x:c>
      <x:c r="J1598" s="2" t="n">
        <x:v>1903</x:v>
      </x:c>
      <x:c r="K1598" s="2" t="n">
        <x:v>332</x:v>
      </x:c>
      <x:c r="L1598" s="12" t="n">
        <x:v>3006.64205</x:v>
      </x:c>
      <x:c r="M1598" s="13" t="n">
        <x:v>0.4240183298290622</x:v>
      </x:c>
      <x:c r="N1598" s="13" t="n">
        <x:f>H1598/G1598</x:f>
        <x:v>0.03012748790969033</x:v>
      </x:c>
      <x:c r="O1598" s="13" t="n">
        <x:f>F1598/E1598</x:f>
        <x:v>0</x:v>
      </x:c>
      <x:c r="P1598" s="2" t="str">
        <x:f>IF(AND(E1598&gt;='Итоги'!$F$5,N1598&lt;='Итоги'!$B$5,O1598&gt;='Итоги'!$D$5),"Да","Нет")</x:f>
        <x:v>Нет</x:v>
      </x:c>
    </x:row>
    <x:row r="1599" ht="60" customHeight="1">
      <x:c r="A1599" s="14" t="str">
        <x:v>Спорт и отдых</x:v>
      </x:c>
      <x:c r="B1599" s="14" t="str">
        <x:v>Товары для охоты</x:v>
      </x:c>
      <x:c r="C1599" s="14" t="str">
        <x:v>Аксессуары для охоты</x:v>
      </x:c>
      <x:c r="D1599" s="14" t="str">
        <x:v>Аксессуары для спортивной стрельбы</x:v>
      </x:c>
      <x:c r="E1599" s="2" t="n">
        <x:v>10</x:v>
      </x:c>
      <x:c r="F1599" s="2" t="n">
        <x:v>0</x:v>
      </x:c>
      <x:c r="G1599" s="12" t="n">
        <x:v>1486132.89</x:v>
      </x:c>
      <x:c r="H1599" s="12" t="n">
        <x:v>44794.833616</x:v>
      </x:c>
      <x:c r="I1599" s="13" t="n">
        <x:v>0.04654</x:v>
      </x:c>
      <x:c r="J1599" s="2" t="n">
        <x:v>5</x:v>
      </x:c>
      <x:c r="K1599" s="2" t="n">
        <x:v>7</x:v>
      </x:c>
      <x:c r="L1599" s="12" t="n">
        <x:v>3820.4388</x:v>
      </x:c>
      <x:c r="M1599" s="13" t="n">
        <x:v>0.4409397062735082</x:v>
      </x:c>
      <x:c r="N1599" s="13" t="n">
        <x:f>H1599/G1599</x:f>
        <x:v>0.03014187621942746</x:v>
      </x:c>
      <x:c r="O1599" s="13" t="n">
        <x:f>F1599/E1599</x:f>
        <x:v>0</x:v>
      </x:c>
      <x:c r="P1599" s="2" t="str">
        <x:f>IF(AND(E1599&gt;='Итоги'!$F$5,N1599&lt;='Итоги'!$B$5,O1599&gt;='Итоги'!$D$5),"Да","Нет")</x:f>
        <x:v>Нет</x:v>
      </x:c>
    </x:row>
    <x:row r="1600" ht="60" customHeight="1">
      <x:c r="A1600" s="14" t="str">
        <x:v>Спорт и отдых</x:v>
      </x:c>
      <x:c r="B1600" s="14" t="str">
        <x:v>Колесный транспорт</x:v>
      </x:c>
      <x:c r="C1600" s="14" t="str">
        <x:v>Ролики</x:v>
      </x:c>
      <x:c r="D1600" s="14" t="str">
        <x:v>Роликовые коньки женские</x:v>
      </x:c>
      <x:c r="E1600" s="2" t="n">
        <x:v>6</x:v>
      </x:c>
      <x:c r="F1600" s="2" t="n">
        <x:v>0</x:v>
      </x:c>
      <x:c r="G1600" s="12" t="n">
        <x:v>657269.0700000001</x:v>
      </x:c>
      <x:c r="H1600" s="12" t="n">
        <x:v>19855.703673</x:v>
      </x:c>
      <x:c r="I1600" s="13" t="n">
        <x:v>0.0250833333333333</x:v>
      </x:c>
      <x:c r="J1600" s="2" t="n">
        <x:v>1</x:v>
      </x:c>
      <x:c r="K1600" s="2" t="n">
        <x:v>1</x:v>
      </x:c>
      <x:c r="L1600" s="12" t="n">
        <x:v>7023.4244</x:v>
      </x:c>
      <x:c r="M1600" s="13" t="n">
        <x:v>1</x:v>
      </x:c>
      <x:c r="N1600" s="13" t="n">
        <x:f>H1600/G1600</x:f>
        <x:v>0.03020939913238272</x:v>
      </x:c>
      <x:c r="O1600" s="13" t="n">
        <x:f>F1600/E1600</x:f>
        <x:v>0</x:v>
      </x:c>
      <x:c r="P1600" s="2" t="str">
        <x:f>IF(AND(E1600&gt;='Итоги'!$F$5,N1600&lt;='Итоги'!$B$5,O1600&gt;='Итоги'!$D$5),"Да","Нет")</x:f>
        <x:v>Нет</x:v>
      </x:c>
    </x:row>
    <x:row r="1601" ht="60" customHeight="1">
      <x:c r="A1601" s="14" t="str">
        <x:v>Спорт и отдых</x:v>
      </x:c>
      <x:c r="B1601" s="14" t="str">
        <x:v>Товары для охоты</x:v>
      </x:c>
      <x:c r="C1601" s="14" t="str">
        <x:v>Аксессуары для охоты</x:v>
      </x:c>
      <x:c r="D1601" s="14" t="str">
        <x:v>Хронограф/таймер для стрельбы</x:v>
      </x:c>
      <x:c r="E1601" s="2" t="n">
        <x:v>3</x:v>
      </x:c>
      <x:c r="F1601" s="2" t="n">
        <x:v>0</x:v>
      </x:c>
      <x:c r="G1601" s="12" t="n">
        <x:v>395633.2632</x:v>
      </x:c>
      <x:c r="H1601" s="12" t="n">
        <x:v>11968.65874097</x:v>
      </x:c>
      <x:c r="I1601" s="13" t="n">
        <x:v>0.0270333333333333</x:v>
      </x:c>
      <x:c r="J1601" s="2" t="n">
        <x:v>2</x:v>
      </x:c>
      <x:c r="K1601" s="2" t="n">
        <x:v>3</x:v>
      </x:c>
      <x:c r="L1601" s="12" t="n">
        <x:v>1967.7203</x:v>
      </x:c>
      <x:c r="M1601" s="13" t="n">
        <x:v>0.3730197544724546</x:v>
      </x:c>
      <x:c r="N1601" s="13" t="n">
        <x:f>H1601/G1601</x:f>
        <x:v>0.030251902087716068</x:v>
      </x:c>
      <x:c r="O1601" s="13" t="n">
        <x:f>F1601/E1601</x:f>
        <x:v>0</x:v>
      </x:c>
      <x:c r="P1601" s="2" t="str">
        <x:f>IF(AND(E1601&gt;='Итоги'!$F$5,N1601&lt;='Итоги'!$B$5,O1601&gt;='Итоги'!$D$5),"Да","Нет")</x:f>
        <x:v>Нет</x:v>
      </x:c>
    </x:row>
    <x:row r="1602" ht="60" customHeight="1">
      <x:c r="A1602" s="14" t="str">
        <x:v>Товары для дома</x:v>
      </x:c>
      <x:c r="B1602" s="14" t="str">
        <x:v>Интерьер и декор</x:v>
      </x:c>
      <x:c r="C1602" s="14" t="str">
        <x:v>Принадлежности для праздника</x:v>
      </x:c>
      <x:c r="D1602" s="14" t="str">
        <x:v>Хлопушка, конфетти, бумфети для праздника</x:v>
      </x:c>
      <x:c r="E1602" s="2" t="n">
        <x:v>7</x:v>
      </x:c>
      <x:c r="F1602" s="2" t="n">
        <x:v>0</x:v>
      </x:c>
      <x:c r="G1602" s="12" t="n">
        <x:v>1070745.0326</x:v>
      </x:c>
      <x:c r="H1602" s="12" t="n">
        <x:v>32479.672763820003</x:v>
      </x:c>
      <x:c r="I1602" s="13" t="n">
        <x:v>0.0332857142857142</x:v>
      </x:c>
      <x:c r="J1602" s="2" t="n">
        <x:v>2</x:v>
      </x:c>
      <x:c r="K1602" s="2" t="n">
        <x:v>3</x:v>
      </x:c>
      <x:c r="L1602" s="12" t="n">
        <x:v>1023.7901</x:v>
      </x:c>
      <x:c r="M1602" s="13" t="n">
        <x:v>0.7789601916477759</x:v>
      </x:c>
      <x:c r="N1602" s="13" t="n">
        <x:f>H1602/G1602</x:f>
        <x:v>0.030333713232320442</x:v>
      </x:c>
      <x:c r="O1602" s="13" t="n">
        <x:f>F1602/E1602</x:f>
        <x:v>0</x:v>
      </x:c>
      <x:c r="P1602" s="2" t="str">
        <x:f>IF(AND(E1602&gt;='Итоги'!$F$5,N1602&lt;='Итоги'!$B$5,O1602&gt;='Итоги'!$D$5),"Да","Нет")</x:f>
        <x:v>Нет</x:v>
      </x:c>
    </x:row>
    <x:row r="1603" ht="60" customHeight="1">
      <x:c r="A1603" s="14" t="str">
        <x:v>Спорт и отдых</x:v>
      </x:c>
      <x:c r="B1603" s="14" t="str">
        <x:v>Водные виды спорта</x:v>
      </x:c>
      <x:c r="C1603" s="14" t="str">
        <x:v>SUP-доска</x:v>
      </x:c>
      <x:c r="D1603" s="14" t="str">
        <x:v>Аксессуары для sup-доски</x:v>
      </x:c>
      <x:c r="E1603" s="2" t="n">
        <x:v>34</x:v>
      </x:c>
      <x:c r="F1603" s="2" t="n">
        <x:v>0</x:v>
      </x:c>
      <x:c r="G1603" s="12" t="n">
        <x:v>3440610.0042</x:v>
      </x:c>
      <x:c r="H1603" s="12" t="n">
        <x:v>104371.17478853</x:v>
      </x:c>
      <x:c r="I1603" s="13" t="n">
        <x:v>0.0229235294117647</x:v>
      </x:c>
      <x:c r="J1603" s="2" t="n">
        <x:v>25</x:v>
      </x:c>
      <x:c r="K1603" s="2" t="n">
        <x:v>21</x:v>
      </x:c>
      <x:c r="L1603" s="12" t="n">
        <x:v>1784.6791</x:v>
      </x:c>
      <x:c r="M1603" s="13" t="n">
        <x:v>0.1107847705885595</x:v>
      </x:c>
      <x:c r="N1603" s="13" t="n">
        <x:f>H1603/G1603</x:f>
        <x:v>0.030335078564883166</x:v>
      </x:c>
      <x:c r="O1603" s="13" t="n">
        <x:f>F1603/E1603</x:f>
        <x:v>0</x:v>
      </x:c>
      <x:c r="P1603" s="2" t="str">
        <x:f>IF(AND(E1603&gt;='Итоги'!$F$5,N1603&lt;='Итоги'!$B$5,O1603&gt;='Итоги'!$D$5),"Да","Нет")</x:f>
        <x:v>Нет</x:v>
      </x:c>
    </x:row>
    <x:row r="1604" ht="60" customHeight="1">
      <x:c r="A1604" s="14" t="str">
        <x:v>Аптека</x:v>
      </x:c>
      <x:c r="B1604" s="14" t="str">
        <x:v>Средства реабилитации</x:v>
      </x:c>
      <x:c r="C1604" s="14" t="str">
        <x:v>Товары по уходу за стомой</x:v>
      </x:c>
      <x:c r="D1604" s="14" t="str">
        <x:v>Очиститель для стомы</x:v>
      </x:c>
      <x:c r="E1604" s="2" t="n">
        <x:v>4</x:v>
      </x:c>
      <x:c r="F1604" s="2" t="n">
        <x:v>0</x:v>
      </x:c>
      <x:c r="G1604" s="12" t="n">
        <x:v>436884.41</x:v>
      </x:c>
      <x:c r="H1604" s="12" t="n">
        <x:v>13259.972987</x:v>
      </x:c>
      <x:c r="I1604" s="13" t="n">
        <x:v>0.030175</x:v>
      </x:c>
      <x:c r="J1604" s="2" t="n">
        <x:v>1</x:v>
      </x:c>
      <x:c r="K1604" s="2" t="n">
        <x:v>3</x:v>
      </x:c>
      <x:c r="L1604" s="12" t="n">
        <x:v>988.64345</x:v>
      </x:c>
      <x:c r="M1604" s="13" t="n">
        <x:v>0.43306406836536</x:v>
      </x:c>
      <x:c r="N1604" s="13" t="n">
        <x:f>H1604/G1604</x:f>
        <x:v>0.0303512157529265</x:v>
      </x:c>
      <x:c r="O1604" s="13" t="n">
        <x:f>F1604/E1604</x:f>
        <x:v>0</x:v>
      </x:c>
      <x:c r="P1604" s="2" t="str">
        <x:f>IF(AND(E1604&gt;='Итоги'!$F$5,N1604&lt;='Итоги'!$B$5,O1604&gt;='Итоги'!$D$5),"Да","Нет")</x:f>
        <x:v>Нет</x:v>
      </x:c>
    </x:row>
    <x:row r="1605" ht="60" customHeight="1">
      <x:c r="A1605" s="14" t="str">
        <x:v>Товары для дома</x:v>
      </x:c>
      <x:c r="B1605" s="14" t="str">
        <x:v>Кухня</x:v>
      </x:c>
      <x:c r="C1605" s="14" t="str">
        <x:v>Посуда для приготовления пищи</x:v>
      </x:c>
      <x:c r="D1605" s="14" t="str">
        <x:v>Казан</x:v>
      </x:c>
      <x:c r="E1605" s="2" t="n">
        <x:v>212</x:v>
      </x:c>
      <x:c r="F1605" s="2" t="n">
        <x:v>0</x:v>
      </x:c>
      <x:c r="G1605" s="12" t="n">
        <x:v>35437261.7226</x:v>
      </x:c>
      <x:c r="H1605" s="12" t="n">
        <x:v>1076515.84621407</x:v>
      </x:c>
      <x:c r="I1605" s="13" t="n">
        <x:v>0.0364141509433962</x:v>
      </x:c>
      <x:c r="J1605" s="2" t="n">
        <x:v>94</x:v>
      </x:c>
      <x:c r="K1605" s="2" t="n">
        <x:v>19</x:v>
      </x:c>
      <x:c r="L1605" s="12" t="n">
        <x:v>2615.2096</x:v>
      </x:c>
      <x:c r="M1605" s="13" t="n">
        <x:v>0.7244857391034427</x:v>
      </x:c>
      <x:c r="N1605" s="13" t="n">
        <x:f>H1605/G1605</x:f>
        <x:v>0.030378076462028822</x:v>
      </x:c>
      <x:c r="O1605" s="13" t="n">
        <x:f>F1605/E1605</x:f>
        <x:v>0</x:v>
      </x:c>
      <x:c r="P1605" s="2" t="str">
        <x:f>IF(AND(E1605&gt;='Итоги'!$F$5,N1605&lt;='Итоги'!$B$5,O1605&gt;='Итоги'!$D$5),"Да","Нет")</x:f>
        <x:v>Нет</x:v>
      </x:c>
    </x:row>
    <x:row r="1606" ht="60" customHeight="1">
      <x:c r="A1606" s="14" t="str">
        <x:v>Строительство и ремонт (DIY)</x:v>
      </x:c>
      <x:c r="B1606" s="14" t="str">
        <x:v>Сад и огород</x:v>
      </x:c>
      <x:c r="C1606" s="14" t="str">
        <x:v>Аксессуары для садовых растений</x:v>
      </x:c>
      <x:c r="D1606" s="14" t="str">
        <x:v>Компостер садовый</x:v>
      </x:c>
      <x:c r="E1606" s="2" t="n">
        <x:v>31</x:v>
      </x:c>
      <x:c r="F1606" s="2" t="n">
        <x:v>0</x:v>
      </x:c>
      <x:c r="G1606" s="12" t="n">
        <x:v>9788910.2582</x:v>
      </x:c>
      <x:c r="H1606" s="12" t="n">
        <x:v>297519.40654702</x:v>
      </x:c>
      <x:c r="I1606" s="13" t="n">
        <x:v>0.0437</x:v>
      </x:c>
      <x:c r="J1606" s="2" t="n">
        <x:v>9</x:v>
      </x:c>
      <x:c r="K1606" s="2" t="n">
        <x:v>4</x:v>
      </x:c>
      <x:c r="L1606" s="12" t="n">
        <x:v>4623.4523</x:v>
      </x:c>
      <x:c r="M1606" s="13" t="n">
        <x:v>0.9604028720893316</x:v>
      </x:c>
      <x:c r="N1606" s="13" t="n">
        <x:f>H1606/G1606</x:f>
        <x:v>0.030393516612106358</x:v>
      </x:c>
      <x:c r="O1606" s="13" t="n">
        <x:f>F1606/E1606</x:f>
        <x:v>0</x:v>
      </x:c>
      <x:c r="P1606" s="2" t="str">
        <x:f>IF(AND(E1606&gt;='Итоги'!$F$5,N1606&lt;='Итоги'!$B$5,O1606&gt;='Итоги'!$D$5),"Да","Нет")</x:f>
        <x:v>Нет</x:v>
      </x:c>
    </x:row>
    <x:row r="1607" ht="60" customHeight="1">
      <x:c r="A1607" s="14" t="str">
        <x:v>Детская одежда</x:v>
      </x:c>
      <x:c r="B1607" s="14" t="str">
        <x:v>Детская одежда</x:v>
      </x:c>
      <x:c r="C1607" s="14" t="str">
        <x:v>Одежда спортивная для девочки</x:v>
      </x:c>
      <x:c r="D1607" s="14" t="str">
        <x:v>Юбка спортивная для девочки</x:v>
      </x:c>
      <x:c r="E1607" s="2" t="n">
        <x:v>5</x:v>
      </x:c>
      <x:c r="F1607" s="2" t="n">
        <x:v>0</x:v>
      </x:c>
      <x:c r="G1607" s="12" t="n">
        <x:v>402507.62</x:v>
      </x:c>
      <x:c r="H1607" s="12" t="n">
        <x:v>12236.306389</x:v>
      </x:c>
      <x:c r="I1607" s="13" t="n">
        <x:v>0.03188</x:v>
      </x:c>
      <x:c r="J1607" s="2" t="n">
        <x:v>0</x:v>
      </x:c>
      <x:c r="K1607" s="2" t="n">
        <x:v>1</x:v>
      </x:c>
      <x:c r="L1607" s="12" t="n">
        <x:v>1292.9348</x:v>
      </x:c>
      <x:c r="M1607" s="13" t="n">
        <x:v>1</x:v>
      </x:c>
      <x:c r="N1607" s="13" t="n">
        <x:f>H1607/G1607</x:f>
        <x:v>0.03040018568841007</x:v>
      </x:c>
      <x:c r="O1607" s="13" t="n">
        <x:f>F1607/E1607</x:f>
        <x:v>0</x:v>
      </x:c>
      <x:c r="P1607" s="2" t="str">
        <x:f>IF(AND(E1607&gt;='Итоги'!$F$5,N1607&lt;='Итоги'!$B$5,O1607&gt;='Итоги'!$D$5),"Да","Нет")</x:f>
        <x:v>Нет</x:v>
      </x:c>
    </x:row>
    <x:row r="1608" ht="60" customHeight="1">
      <x:c r="A1608" s="14" t="str">
        <x:v>Обувь</x:v>
      </x:c>
      <x:c r="B1608" s="14" t="str">
        <x:v>Обувь женская</x:v>
      </x:c>
      <x:c r="C1608" s="14" t="str">
        <x:v>Спортивная обувь женская</x:v>
      </x:c>
      <x:c r="D1608" s="14" t="str">
        <x:v>Спортивные сланцы, шлепанцы женские</x:v>
      </x:c>
      <x:c r="E1608" s="2" t="n">
        <x:v>173</x:v>
      </x:c>
      <x:c r="F1608" s="2" t="n">
        <x:v>0</x:v>
      </x:c>
      <x:c r="G1608" s="12" t="n">
        <x:v>15464692.8148</x:v>
      </x:c>
      <x:c r="H1608" s="12" t="n">
        <x:v>471480.04801648</x:v>
      </x:c>
      <x:c r="I1608" s="13" t="n">
        <x:v>0.0252410404624277</x:v>
      </x:c>
      <x:c r="J1608" s="2" t="n">
        <x:v>104</x:v>
      </x:c>
      <x:c r="K1608" s="2" t="n">
        <x:v>17</x:v>
      </x:c>
      <x:c r="L1608" s="12" t="n">
        <x:v>1825.1182</x:v>
      </x:c>
      <x:c r="M1608" s="13" t="n">
        <x:v>0.4998439353610897</x:v>
      </x:c>
      <x:c r="N1608" s="13" t="n">
        <x:f>H1608/G1608</x:f>
        <x:v>0.03048751460263503</x:v>
      </x:c>
      <x:c r="O1608" s="13" t="n">
        <x:f>F1608/E1608</x:f>
        <x:v>0</x:v>
      </x:c>
      <x:c r="P1608" s="2" t="str">
        <x:f>IF(AND(E1608&gt;='Итоги'!$F$5,N1608&lt;='Итоги'!$B$5,O1608&gt;='Итоги'!$D$5),"Да","Нет")</x:f>
        <x:v>Нет</x:v>
      </x:c>
    </x:row>
    <x:row r="1609" ht="60" customHeight="1">
      <x:c r="A1609" s="14" t="str">
        <x:v>Мебель</x:v>
      </x:c>
      <x:c r="B1609" s="14" t="str">
        <x:v>Мебель для сна</x:v>
      </x:c>
      <x:c r="C1609" s="14" t="str">
        <x:v>Кровать</x:v>
      </x:c>
      <x:c r="D1609" s="14" t="str">
        <x:v>Двуспальные кровати</x:v>
      </x:c>
      <x:c r="E1609" s="2" t="n">
        <x:v>200</x:v>
      </x:c>
      <x:c r="F1609" s="2" t="n">
        <x:v>0</x:v>
      </x:c>
      <x:c r="G1609" s="12" t="n">
        <x:v>44480522.7542</x:v>
      </x:c>
      <x:c r="H1609" s="12" t="n">
        <x:v>1357632.1374627</x:v>
      </x:c>
      <x:c r="I1609" s="13" t="n">
        <x:v>0.0391585</x:v>
      </x:c>
      <x:c r="J1609" s="2" t="n">
        <x:v>57</x:v>
      </x:c>
      <x:c r="K1609" s="2" t="n">
        <x:v>19</x:v>
      </x:c>
      <x:c r="L1609" s="12" t="n">
        <x:v>8954.9375</x:v>
      </x:c>
      <x:c r="M1609" s="13" t="n">
        <x:v>0.7955175868961393</x:v>
      </x:c>
      <x:c r="N1609" s="13" t="n">
        <x:f>H1609/G1609</x:f>
        <x:v>0.030521946537476516</x:v>
      </x:c>
      <x:c r="O1609" s="13" t="n">
        <x:f>F1609/E1609</x:f>
        <x:v>0</x:v>
      </x:c>
      <x:c r="P1609" s="2" t="str">
        <x:f>IF(AND(E1609&gt;='Итоги'!$F$5,N1609&lt;='Итоги'!$B$5,O1609&gt;='Итоги'!$D$5),"Да","Нет")</x:f>
        <x:v>Нет</x:v>
      </x:c>
    </x:row>
    <x:row r="1610" ht="60" customHeight="1">
      <x:c r="A1610" s="14" t="str">
        <x:v>Автотовары</x:v>
      </x:c>
      <x:c r="B1610" s="14" t="str">
        <x:v>Электронные устройства для авто</x:v>
      </x:c>
      <x:c r="C1610" s="14" t="str">
        <x:v>Автоэлектроника</x:v>
      </x:c>
      <x:c r="D1610" s="14" t="str">
        <x:v>Автомобильный монитор</x:v>
      </x:c>
      <x:c r="E1610" s="2" t="n">
        <x:v>12</x:v>
      </x:c>
      <x:c r="F1610" s="2" t="n">
        <x:v>0</x:v>
      </x:c>
      <x:c r="G1610" s="12" t="n">
        <x:v>1036213.98</x:v>
      </x:c>
      <x:c r="H1610" s="12" t="n">
        <x:v>31627.6595</x:v>
      </x:c>
      <x:c r="I1610" s="13" t="n">
        <x:v>0.038625</x:v>
      </x:c>
      <x:c r="J1610" s="2" t="n">
        <x:v>5</x:v>
      </x:c>
      <x:c r="K1610" s="2" t="n">
        <x:v>7</x:v>
      </x:c>
      <x:c r="L1610" s="12" t="n">
        <x:v>1839.7148</x:v>
      </x:c>
      <x:c r="M1610" s="13" t="n">
        <x:v>0.3068497300142582</x:v>
      </x:c>
      <x:c r="N1610" s="13" t="n">
        <x:f>H1610/G1610</x:f>
        <x:v>0.030522324645726167</x:v>
      </x:c>
      <x:c r="O1610" s="13" t="n">
        <x:f>F1610/E1610</x:f>
        <x:v>0</x:v>
      </x:c>
      <x:c r="P1610" s="2" t="str">
        <x:f>IF(AND(E1610&gt;='Итоги'!$F$5,N1610&lt;='Итоги'!$B$5,O1610&gt;='Итоги'!$D$5),"Да","Нет")</x:f>
        <x:v>Нет</x:v>
      </x:c>
    </x:row>
    <x:row r="1611" ht="60" customHeight="1">
      <x:c r="A1611" s="14" t="str">
        <x:v>Обувь</x:v>
      </x:c>
      <x:c r="B1611" s="14" t="str">
        <x:v>Обувь женская</x:v>
      </x:c>
      <x:c r="C1611" s="14" t="str">
        <x:v>Обувь женская зимняя</x:v>
      </x:c>
      <x:c r="D1611" s="14" t="str">
        <x:v>Женские Валенки</x:v>
      </x:c>
      <x:c r="E1611" s="2" t="n">
        <x:v>3</x:v>
      </x:c>
      <x:c r="F1611" s="2" t="n">
        <x:v>0</x:v>
      </x:c>
      <x:c r="G1611" s="12" t="n">
        <x:v>11289</x:v>
      </x:c>
      <x:c r="H1611" s="12" t="n">
        <x:v>345.5794</x:v>
      </x:c>
      <x:c r="I1611" s="13" t="n">
        <x:v>0.0386</x:v>
      </x:c>
      <x:c r="J1611" s="2" t="n">
        <x:v>1</x:v>
      </x:c>
      <x:c r="K1611" s="2" t="n">
        <x:v>3</x:v>
      </x:c>
      <x:c r="L1611" s="12" t="n">
        <x:v>4131</x:v>
      </x:c>
      <x:c r="M1611" s="13" t="n">
        <x:v>0.3703605279475596</x:v>
      </x:c>
      <x:c r="N1611" s="13" t="n">
        <x:f>H1611/G1611</x:f>
        <x:v>0.03061204712552042</x:v>
      </x:c>
      <x:c r="O1611" s="13" t="n">
        <x:f>F1611/E1611</x:f>
        <x:v>0</x:v>
      </x:c>
      <x:c r="P1611" s="2" t="str">
        <x:f>IF(AND(E1611&gt;='Итоги'!$F$5,N1611&lt;='Итоги'!$B$5,O1611&gt;='Итоги'!$D$5),"Да","Нет")</x:f>
        <x:v>Нет</x:v>
      </x:c>
    </x:row>
    <x:row r="1612" ht="60" customHeight="1">
      <x:c r="A1612" s="14" t="str">
        <x:v>Спорт и отдых</x:v>
      </x:c>
      <x:c r="B1612" s="14" t="str">
        <x:v>Страйкбол и пневматика</x:v>
      </x:c>
      <x:c r="C1612" s="14" t="str">
        <x:v>Оружие для страйкбола</x:v>
      </x:c>
      <x:c r="D1612" s="14" t="str">
        <x:v>Пистолет страйкбольный</x:v>
      </x:c>
      <x:c r="E1612" s="2" t="n">
        <x:v>5</x:v>
      </x:c>
      <x:c r="F1612" s="2" t="n">
        <x:v>0</x:v>
      </x:c>
      <x:c r="G1612" s="12" t="n">
        <x:v>1236318.92</x:v>
      </x:c>
      <x:c r="H1612" s="12" t="n">
        <x:v>37878.561754</x:v>
      </x:c>
      <x:c r="I1612" s="13" t="n">
        <x:v>0.05212</x:v>
      </x:c>
      <x:c r="J1612" s="2" t="n">
        <x:v>0</x:v>
      </x:c>
      <x:c r="K1612" s="2" t="n">
        <x:v>3</x:v>
      </x:c>
      <x:c r="L1612" s="12" t="n">
        <x:v>1418.8522</x:v>
      </x:c>
      <x:c r="M1612" s="13" t="n">
        <x:v>0.8460567116452445</x:v>
      </x:c>
      <x:c r="N1612" s="13" t="n">
        <x:f>H1612/G1612</x:f>
        <x:v>0.030638180117796794</x:v>
      </x:c>
      <x:c r="O1612" s="13" t="n">
        <x:f>F1612/E1612</x:f>
        <x:v>0</x:v>
      </x:c>
      <x:c r="P1612" s="2" t="str">
        <x:f>IF(AND(E1612&gt;='Итоги'!$F$5,N1612&lt;='Итоги'!$B$5,O1612&gt;='Итоги'!$D$5),"Да","Нет")</x:f>
        <x:v>Нет</x:v>
      </x:c>
    </x:row>
    <x:row r="1613" ht="60" customHeight="1">
      <x:c r="A1613" s="14" t="str">
        <x:v>Аптека</x:v>
      </x:c>
      <x:c r="B1613" s="14" t="str">
        <x:v>Медицинская техника</x:v>
      </x:c>
      <x:c r="C1613" s="14" t="str">
        <x:v>Приборы и средства диагностики</x:v>
      </x:c>
      <x:c r="D1613" s="14" t="str">
        <x:v>Пульсоксиметр</x:v>
      </x:c>
      <x:c r="E1613" s="2" t="n">
        <x:v>8</x:v>
      </x:c>
      <x:c r="F1613" s="2" t="n">
        <x:v>0</x:v>
      </x:c>
      <x:c r="G1613" s="12" t="n">
        <x:v>1454782.75</x:v>
      </x:c>
      <x:c r="H1613" s="12" t="n">
        <x:v>44719.31415599999</x:v>
      </x:c>
      <x:c r="I1613" s="13" t="n">
        <x:v>0.036625</x:v>
      </x:c>
      <x:c r="J1613" s="2" t="n">
        <x:v>4</x:v>
      </x:c>
      <x:c r="K1613" s="2" t="n">
        <x:v>3</x:v>
      </x:c>
      <x:c r="L1613" s="12" t="n">
        <x:v>2008.5622</x:v>
      </x:c>
      <x:c r="M1613" s="13" t="n">
        <x:v>0.7825998417976843</x:v>
      </x:c>
      <x:c r="N1613" s="13" t="n">
        <x:f>H1613/G1613</x:f>
        <x:v>0.03073951361878603</x:v>
      </x:c>
      <x:c r="O1613" s="13" t="n">
        <x:f>F1613/E1613</x:f>
        <x:v>0</x:v>
      </x:c>
      <x:c r="P1613" s="2" t="str">
        <x:f>IF(AND(E1613&gt;='Итоги'!$F$5,N1613&lt;='Итоги'!$B$5,O1613&gt;='Итоги'!$D$5),"Да","Нет")</x:f>
        <x:v>Нет</x:v>
      </x:c>
    </x:row>
    <x:row r="1614" ht="60" customHeight="1">
      <x:c r="A1614" s="14" t="str">
        <x:v>Автотовары</x:v>
      </x:c>
      <x:c r="B1614" s="14" t="str">
        <x:v>Дополнительное оборудование для авто и мото техники</x:v>
      </x:c>
      <x:c r="C1614" s="14" t="str">
        <x:v>Дополнительное электрооборудование для авто</x:v>
      </x:c>
      <x:c r="D1614" s="14" t="str">
        <x:v>Предпусковые подогреватели</x:v>
      </x:c>
      <x:c r="E1614" s="2" t="n">
        <x:v>25</x:v>
      </x:c>
      <x:c r="F1614" s="2" t="n">
        <x:v>0</x:v>
      </x:c>
      <x:c r="G1614" s="12" t="n">
        <x:v>4974817.3571</x:v>
      </x:c>
      <x:c r="H1614" s="12" t="n">
        <x:v>153411.81065019</x:v>
      </x:c>
      <x:c r="I1614" s="13" t="n">
        <x:v>0.0453559999999999</x:v>
      </x:c>
      <x:c r="J1614" s="2" t="n">
        <x:v>2</x:v>
      </x:c>
      <x:c r="K1614" s="2" t="n">
        <x:v>5</x:v>
      </x:c>
      <x:c r="L1614" s="12" t="n">
        <x:v>26972.2</x:v>
      </x:c>
      <x:c r="M1614" s="13" t="n">
        <x:v>0.5317081633609869</x:v>
      </x:c>
      <x:c r="N1614" s="13" t="n">
        <x:f>H1614/G1614</x:f>
        <x:v>0.03083767697144549</x:v>
      </x:c>
      <x:c r="O1614" s="13" t="n">
        <x:f>F1614/E1614</x:f>
        <x:v>0</x:v>
      </x:c>
      <x:c r="P1614" s="2" t="str">
        <x:f>IF(AND(E1614&gt;='Итоги'!$F$5,N1614&lt;='Итоги'!$B$5,O1614&gt;='Итоги'!$D$5),"Да","Нет")</x:f>
        <x:v>Нет</x:v>
      </x:c>
    </x:row>
    <x:row r="1615" ht="60" customHeight="1">
      <x:c r="A1615" s="14" t="str">
        <x:v>Обувь</x:v>
      </x:c>
      <x:c r="B1615" s="14" t="str">
        <x:v>Специальная обувь</x:v>
      </x:c>
      <x:c r="C1615" s="14" t="str">
        <x:v>Спецобувь мужская</x:v>
      </x:c>
      <x:c r="D1615" s="14" t="str">
        <x:v>Рабочие полуботинки мужские</x:v>
      </x:c>
      <x:c r="E1615" s="2" t="n">
        <x:v>99</x:v>
      </x:c>
      <x:c r="F1615" s="2" t="n">
        <x:v>0</x:v>
      </x:c>
      <x:c r="G1615" s="12" t="n">
        <x:v>9681986.9693</x:v>
      </x:c>
      <x:c r="H1615" s="12" t="n">
        <x:v>298716.50819271</x:v>
      </x:c>
      <x:c r="I1615" s="13" t="n">
        <x:v>0.034220202020202</x:v>
      </x:c>
      <x:c r="J1615" s="2" t="n">
        <x:v>36</x:v>
      </x:c>
      <x:c r="K1615" s="2" t="n">
        <x:v>4</x:v>
      </x:c>
      <x:c r="L1615" s="12" t="n">
        <x:v>2348.3333</x:v>
      </x:c>
      <x:c r="M1615" s="13" t="n">
        <x:v>0.5108654427839626</x:v>
      </x:c>
      <x:c r="N1615" s="13" t="n">
        <x:f>H1615/G1615</x:f>
        <x:v>0.03085281039314464</x:v>
      </x:c>
      <x:c r="O1615" s="13" t="n">
        <x:f>F1615/E1615</x:f>
        <x:v>0</x:v>
      </x:c>
      <x:c r="P1615" s="2" t="str">
        <x:f>IF(AND(E1615&gt;='Итоги'!$F$5,N1615&lt;='Итоги'!$B$5,O1615&gt;='Итоги'!$D$5),"Да","Нет")</x:f>
        <x:v>Нет</x:v>
      </x:c>
    </x:row>
    <x:row r="1616" ht="60" customHeight="1">
      <x:c r="A1616" s="14" t="str">
        <x:v>Строительство и ремонт (DIY)</x:v>
      </x:c>
      <x:c r="B1616" s="14" t="str">
        <x:v>Инструменты</x:v>
      </x:c>
      <x:c r="C1616" s="14" t="str">
        <x:v>Техника для строительства, ремонта</x:v>
      </x:c>
      <x:c r="D1616" s="14" t="str">
        <x:v>Аксессуары для генератора (электростанции)</x:v>
      </x:c>
      <x:c r="E1616" s="2" t="n">
        <x:v>12</x:v>
      </x:c>
      <x:c r="F1616" s="2" t="n">
        <x:v>0</x:v>
      </x:c>
      <x:c r="G1616" s="12" t="n">
        <x:v>1765680.67</x:v>
      </x:c>
      <x:c r="H1616" s="12" t="n">
        <x:v>54540.0416</x:v>
      </x:c>
      <x:c r="I1616" s="13" t="n">
        <x:v>0.0398416666666666</x:v>
      </x:c>
      <x:c r="J1616" s="2" t="n">
        <x:v>4</x:v>
      </x:c>
      <x:c r="K1616" s="2" t="n">
        <x:v>1</x:v>
      </x:c>
      <x:c r="L1616" s="12" t="n">
        <x:v>2870.90445</x:v>
      </x:c>
      <x:c r="M1616" s="13" t="n">
        <x:v>1</x:v>
      </x:c>
      <x:c r="N1616" s="13" t="n">
        <x:f>H1616/G1616</x:f>
        <x:v>0.03088896113927554</x:v>
      </x:c>
      <x:c r="O1616" s="13" t="n">
        <x:f>F1616/E1616</x:f>
        <x:v>0</x:v>
      </x:c>
      <x:c r="P1616" s="2" t="str">
        <x:f>IF(AND(E1616&gt;='Итоги'!$F$5,N1616&lt;='Итоги'!$B$5,O1616&gt;='Итоги'!$D$5),"Да","Нет")</x:f>
        <x:v>Нет</x:v>
      </x:c>
    </x:row>
    <x:row r="1617" ht="60" customHeight="1">
      <x:c r="A1617" s="14" t="str">
        <x:v>Товары для детей и спорта</x:v>
      </x:c>
      <x:c r="B1617" s="14" t="str">
        <x:v>Текстиль детский</x:v>
      </x:c>
      <x:c r="C1617" s="14" t="str">
        <x:v>Постельное белье для новорожденных и малышей</x:v>
      </x:c>
      <x:c r="D1617" s="14" t="str">
        <x:v>Наматрасник в кроватку для новорожденных и малышей</x:v>
      </x:c>
      <x:c r="E1617" s="2" t="n">
        <x:v>4</x:v>
      </x:c>
      <x:c r="F1617" s="2" t="n">
        <x:v>0</x:v>
      </x:c>
      <x:c r="G1617" s="12" t="n">
        <x:v>451402.3124</x:v>
      </x:c>
      <x:c r="H1617" s="12" t="n">
        <x:v>13998.68936411</x:v>
      </x:c>
      <x:c r="I1617" s="13" t="n">
        <x:v>0.036375</x:v>
      </x:c>
      <x:c r="J1617" s="2" t="n">
        <x:v>2</x:v>
      </x:c>
      <x:c r="K1617" s="2" t="n">
        <x:v>1</x:v>
      </x:c>
      <x:c r="L1617" s="12" t="n">
        <x:v>1286.73745</x:v>
      </x:c>
      <x:c r="M1617" s="13" t="n">
        <x:v>1</x:v>
      </x:c>
      <x:c r="N1617" s="13" t="n">
        <x:f>H1617/G1617</x:f>
        <x:v>0.031011558823618467</x:v>
      </x:c>
      <x:c r="O1617" s="13" t="n">
        <x:f>F1617/E1617</x:f>
        <x:v>0</x:v>
      </x:c>
      <x:c r="P1617" s="2" t="str">
        <x:f>IF(AND(E1617&gt;='Итоги'!$F$5,N1617&lt;='Итоги'!$B$5,O1617&gt;='Итоги'!$D$5),"Да","Нет")</x:f>
        <x:v>Нет</x:v>
      </x:c>
    </x:row>
    <x:row r="1618" ht="60" customHeight="1">
      <x:c r="A1618" s="14" t="str">
        <x:v>Товары для дома</x:v>
      </x:c>
      <x:c r="B1618" s="14" t="str">
        <x:v>Интерьер и декор</x:v>
      </x:c>
      <x:c r="C1618" s="14" t="str">
        <x:v>Украшение интерьера</x:v>
      </x:c>
      <x:c r="D1618" s="14" t="str">
        <x:v>Фонтан домашний декоративный</x:v>
      </x:c>
      <x:c r="E1618" s="2" t="n">
        <x:v>5</x:v>
      </x:c>
      <x:c r="F1618" s="2" t="n">
        <x:v>0</x:v>
      </x:c>
      <x:c r="G1618" s="12" t="n">
        <x:v>648106.101</x:v>
      </x:c>
      <x:c r="H1618" s="12" t="n">
        <x:v>20114.87694792</x:v>
      </x:c>
      <x:c r="I1618" s="13" t="n">
        <x:v>0.0148799999999999</x:v>
      </x:c>
      <x:c r="J1618" s="2" t="n">
        <x:v>4</x:v>
      </x:c>
      <x:c r="K1618" s="2" t="n">
        <x:v>3</x:v>
      </x:c>
      <x:c r="L1618" s="12" t="n">
        <x:v>1321.5481</x:v>
      </x:c>
      <x:c r="M1618" s="13" t="n">
        <x:v>0.5661385552980622</x:v>
      </x:c>
      <x:c r="N1618" s="13" t="n">
        <x:f>H1618/G1618</x:f>
        <x:v>0.031036394992862436</x:v>
      </x:c>
      <x:c r="O1618" s="13" t="n">
        <x:f>F1618/E1618</x:f>
        <x:v>0</x:v>
      </x:c>
      <x:c r="P1618" s="2" t="str">
        <x:f>IF(AND(E1618&gt;='Итоги'!$F$5,N1618&lt;='Итоги'!$B$5,O1618&gt;='Итоги'!$D$5),"Да","Нет")</x:f>
        <x:v>Нет</x:v>
      </x:c>
    </x:row>
    <x:row r="1619" ht="60" customHeight="1">
      <x:c r="A1619" s="14" t="str">
        <x:v>Автотовары</x:v>
      </x:c>
      <x:c r="B1619" s="14" t="str">
        <x:v>Масла и автохимия</x:v>
      </x:c>
      <x:c r="C1619" s="14" t="str">
        <x:v>Дополнительная авто-мото химия</x:v>
      </x:c>
      <x:c r="D1619" s="14" t="str">
        <x:v>Автохимия - Для ремонта ЛКП</x:v>
      </x:c>
      <x:c r="E1619" s="2" t="n">
        <x:v>155</x:v>
      </x:c>
      <x:c r="F1619" s="2" t="n">
        <x:v>0</x:v>
      </x:c>
      <x:c r="G1619" s="12" t="n">
        <x:v>25136517.3857</x:v>
      </x:c>
      <x:c r="H1619" s="12" t="n">
        <x:v>780829.72877754</x:v>
      </x:c>
      <x:c r="I1619" s="13" t="n">
        <x:v>0.0279638709677419</x:v>
      </x:c>
      <x:c r="J1619" s="2" t="n">
        <x:v>84</x:v>
      </x:c>
      <x:c r="K1619" s="2" t="n">
        <x:v>19</x:v>
      </x:c>
      <x:c r="L1619" s="12" t="n">
        <x:v>1290.4745</x:v>
      </x:c>
      <x:c r="M1619" s="13" t="n">
        <x:v>0.5513144878010745</x:v>
      </x:c>
      <x:c r="N1619" s="13" t="n">
        <x:f>H1619/G1619</x:f>
        <x:v>0.031063560508256764</x:v>
      </x:c>
      <x:c r="O1619" s="13" t="n">
        <x:f>F1619/E1619</x:f>
        <x:v>0</x:v>
      </x:c>
      <x:c r="P1619" s="2" t="str">
        <x:f>IF(AND(E1619&gt;='Итоги'!$F$5,N1619&lt;='Итоги'!$B$5,O1619&gt;='Итоги'!$D$5),"Да","Нет")</x:f>
        <x:v>Нет</x:v>
      </x:c>
    </x:row>
    <x:row r="1620" ht="60" customHeight="1">
      <x:c r="A1620" s="14" t="str">
        <x:v>Обувь</x:v>
      </x:c>
      <x:c r="B1620" s="14" t="str">
        <x:v>Обувь женская</x:v>
      </x:c>
      <x:c r="C1620" s="14" t="str">
        <x:v>Обувь женская повседневная</x:v>
      </x:c>
      <x:c r="D1620" s="14" t="str">
        <x:v>Женские Кроссовки</x:v>
      </x:c>
      <x:c r="E1620" s="2" t="n">
        <x:v>1611</x:v>
      </x:c>
      <x:c r="F1620" s="2" t="n">
        <x:v>0</x:v>
      </x:c>
      <x:c r="G1620" s="12" t="n">
        <x:v>150283346.8154</x:v>
      </x:c>
      <x:c r="H1620" s="12" t="n">
        <x:v>4668818.39350025</x:v>
      </x:c>
      <x:c r="I1620" s="13" t="n">
        <x:v>0.0266682805710738</x:v>
      </x:c>
      <x:c r="J1620" s="2" t="n">
        <x:v>893</x:v>
      </x:c>
      <x:c r="K1620" s="2" t="n">
        <x:v>83</x:v>
      </x:c>
      <x:c r="L1620" s="12" t="n">
        <x:v>2957.9313</x:v>
      </x:c>
      <x:c r="M1620" s="13" t="n">
        <x:v>0.5645401839021733</x:v>
      </x:c>
      <x:c r="N1620" s="13" t="n">
        <x:f>H1620/G1620</x:f>
        <x:v>0.031066771484901622</x:v>
      </x:c>
      <x:c r="O1620" s="13" t="n">
        <x:f>F1620/E1620</x:f>
        <x:v>0</x:v>
      </x:c>
      <x:c r="P1620" s="2" t="str">
        <x:f>IF(AND(E1620&gt;='Итоги'!$F$5,N1620&lt;='Итоги'!$B$5,O1620&gt;='Итоги'!$D$5),"Да","Нет")</x:f>
        <x:v>Нет</x:v>
      </x:c>
    </x:row>
    <x:row r="1621" ht="60" customHeight="1">
      <x:c r="A1621" s="14" t="str">
        <x:v>Хобби и творчество</x:v>
      </x:c>
      <x:c r="B1621" s="14" t="str">
        <x:v>Детское творчество и хобби</x:v>
      </x:c>
      <x:c r="C1621" s="14" t="str">
        <x:v>Хобби для развития и обучения</x:v>
      </x:c>
      <x:c r="D1621" s="14" t="str">
        <x:v>Бинокль детский</x:v>
      </x:c>
      <x:c r="E1621" s="2" t="n">
        <x:v>1</x:v>
      </x:c>
      <x:c r="F1621" s="2" t="n">
        <x:v>0</x:v>
      </x:c>
      <x:c r="G1621" s="12" t="n">
        <x:v>117123.7262</x:v>
      </x:c>
      <x:c r="H1621" s="12" t="n">
        <x:v>3642.54788482</x:v>
      </x:c>
      <x:c r="I1621" s="13" t="n">
        <x:v>0.0311</x:v>
      </x:c>
      <x:c r="J1621" s="2" t="n">
        <x:v>0</x:v>
      </x:c>
      <x:c r="K1621" s="2" t="n">
        <x:v>1</x:v>
      </x:c>
      <x:c r="L1621" s="12" t="n">
        <x:v>1361.9038</x:v>
      </x:c>
      <x:c r="M1621" s="13" t="n">
        <x:v>1</x:v>
      </x:c>
      <x:c r="N1621" s="13" t="n">
        <x:f>H1621/G1621</x:f>
        <x:v>0.0311</x:v>
      </x:c>
      <x:c r="O1621" s="13" t="n">
        <x:f>F1621/E1621</x:f>
        <x:v>0</x:v>
      </x:c>
      <x:c r="P1621" s="2" t="str">
        <x:f>IF(AND(E1621&gt;='Итоги'!$F$5,N1621&lt;='Итоги'!$B$5,O1621&gt;='Итоги'!$D$5),"Да","Нет")</x:f>
        <x:v>Нет</x:v>
      </x:c>
    </x:row>
    <x:row r="1622" ht="60" customHeight="1">
      <x:c r="A1622" s="14" t="str">
        <x:v>Товары для детей и спорта</x:v>
      </x:c>
      <x:c r="B1622" s="14" t="str">
        <x:v>Спорт детский</x:v>
      </x:c>
      <x:c r="C1622" s="14" t="str">
        <x:v>Игровой комплекс для детей</x:v>
      </x:c>
      <x:c r="D1622" s="14" t="str">
        <x:v>Качели, качалка детские</x:v>
      </x:c>
      <x:c r="E1622" s="2" t="n">
        <x:v>41</x:v>
      </x:c>
      <x:c r="F1622" s="2" t="n">
        <x:v>0</x:v>
      </x:c>
      <x:c r="G1622" s="12" t="n">
        <x:v>4688604.7496</x:v>
      </x:c>
      <x:c r="H1622" s="12" t="n">
        <x:v>146119.03751752</x:v>
      </x:c>
      <x:c r="I1622" s="13" t="n">
        <x:v>0.0286292682926829</x:v>
      </x:c>
      <x:c r="J1622" s="2" t="n">
        <x:v>24</x:v>
      </x:c>
      <x:c r="K1622" s="2" t="n">
        <x:v>14</x:v>
      </x:c>
      <x:c r="L1622" s="12" t="n">
        <x:v>2511.8725</x:v>
      </x:c>
      <x:c r="M1622" s="13" t="n">
        <x:v>0.3464810616716183</x:v>
      </x:c>
      <x:c r="N1622" s="13" t="n">
        <x:f>H1622/G1622</x:f>
        <x:v>0.031164716439359894</x:v>
      </x:c>
      <x:c r="O1622" s="13" t="n">
        <x:f>F1622/E1622</x:f>
        <x:v>0</x:v>
      </x:c>
      <x:c r="P1622" s="2" t="str">
        <x:f>IF(AND(E1622&gt;='Итоги'!$F$5,N1622&lt;='Итоги'!$B$5,O1622&gt;='Итоги'!$D$5),"Да","Нет")</x:f>
        <x:v>Нет</x:v>
      </x:c>
    </x:row>
    <x:row r="1623" ht="60" customHeight="1">
      <x:c r="A1623" s="14" t="str">
        <x:v>Спорт и отдых</x:v>
      </x:c>
      <x:c r="B1623" s="14" t="str">
        <x:v>Колесный транспорт</x:v>
      </x:c>
      <x:c r="C1623" s="14" t="str">
        <x:v>Велоаксессуары</x:v>
      </x:c>
      <x:c r="D1623" s="14" t="str">
        <x:v>Зеркало для велосипеда</x:v>
      </x:c>
      <x:c r="E1623" s="2" t="n">
        <x:v>5</x:v>
      </x:c>
      <x:c r="F1623" s="2" t="n">
        <x:v>0</x:v>
      </x:c>
      <x:c r="G1623" s="12" t="n">
        <x:v>1324985.0172</x:v>
      </x:c>
      <x:c r="H1623" s="12" t="n">
        <x:v>41356.38388088</x:v>
      </x:c>
      <x:c r="I1623" s="13" t="n">
        <x:v>0.0502399999999999</x:v>
      </x:c>
      <x:c r="J1623" s="2" t="n">
        <x:v>1</x:v>
      </x:c>
      <x:c r="K1623" s="2" t="n">
        <x:v>5</x:v>
      </x:c>
      <x:c r="L1623" s="12" t="n">
        <x:v>857.062</x:v>
      </x:c>
      <x:c r="M1623" s="13" t="n">
        <x:v>0.4714765440292557</x:v>
      </x:c>
      <x:c r="N1623" s="13" t="n">
        <x:f>H1623/G1623</x:f>
        <x:v>0.031212718139466675</x:v>
      </x:c>
      <x:c r="O1623" s="13" t="n">
        <x:f>F1623/E1623</x:f>
        <x:v>0</x:v>
      </x:c>
      <x:c r="P1623" s="2" t="str">
        <x:f>IF(AND(E1623&gt;='Итоги'!$F$5,N1623&lt;='Итоги'!$B$5,O1623&gt;='Итоги'!$D$5),"Да","Нет")</x:f>
        <x:v>Нет</x:v>
      </x:c>
    </x:row>
    <x:row r="1624" ht="60" customHeight="1">
      <x:c r="A1624" s="14" t="str">
        <x:v>Напитки</x:v>
      </x:c>
      <x:c r="B1624" s="14" t="str">
        <x:v>Напитки горячие</x:v>
      </x:c>
      <x:c r="C1624" s="14" t="str">
        <x:v>Чай</x:v>
      </x:c>
      <x:c r="D1624" s="14" t="str">
        <x:v>Чай в стиках</x:v>
      </x:c>
      <x:c r="E1624" s="2" t="n">
        <x:v>11</x:v>
      </x:c>
      <x:c r="F1624" s="2" t="n">
        <x:v>0</x:v>
      </x:c>
      <x:c r="G1624" s="12" t="n">
        <x:v>1491767.5</x:v>
      </x:c>
      <x:c r="H1624" s="12" t="n">
        <x:v>46589.760078</x:v>
      </x:c>
      <x:c r="I1624" s="13" t="n">
        <x:v>0.0341181818181818</x:v>
      </x:c>
      <x:c r="J1624" s="2" t="n">
        <x:v>0</x:v>
      </x:c>
      <x:c r="K1624" s="2" t="n">
        <x:v>1</x:v>
      </x:c>
      <x:c r="L1624" s="12" t="n">
        <x:v>970.7787</x:v>
      </x:c>
      <x:c r="M1624" s="13" t="n">
        <x:v>1</x:v>
      </x:c>
      <x:c r="N1624" s="13" t="n">
        <x:f>H1624/G1624</x:f>
        <x:v>0.03123124754896457</x:v>
      </x:c>
      <x:c r="O1624" s="13" t="n">
        <x:f>F1624/E1624</x:f>
        <x:v>0</x:v>
      </x:c>
      <x:c r="P1624" s="2" t="str">
        <x:f>IF(AND(E1624&gt;='Итоги'!$F$5,N1624&lt;='Итоги'!$B$5,O1624&gt;='Итоги'!$D$5),"Да","Нет")</x:f>
        <x:v>Нет</x:v>
      </x:c>
    </x:row>
    <x:row r="1625" ht="60" customHeight="1">
      <x:c r="A1625" s="14" t="str">
        <x:v>Автотовары</x:v>
      </x:c>
      <x:c r="B1625" s="14" t="str">
        <x:v>Электронные устройства для авто</x:v>
      </x:c>
      <x:c r="C1625" s="14" t="str">
        <x:v>Бытовая техника для авто</x:v>
      </x:c>
      <x:c r="D1625" s="14" t="str">
        <x:v>Холодильник автомобильный</x:v>
      </x:c>
      <x:c r="E1625" s="2" t="n">
        <x:v>175</x:v>
      </x:c>
      <x:c r="F1625" s="2" t="n">
        <x:v>0</x:v>
      </x:c>
      <x:c r="G1625" s="12" t="n">
        <x:v>41615099.9509</x:v>
      </x:c>
      <x:c r="H1625" s="12" t="n">
        <x:v>1301535.46326327</x:v>
      </x:c>
      <x:c r="I1625" s="13" t="n">
        <x:v>0.0279965714285714</x:v>
      </x:c>
      <x:c r="J1625" s="2" t="n">
        <x:v>65</x:v>
      </x:c>
      <x:c r="K1625" s="2" t="n">
        <x:v>12</x:v>
      </x:c>
      <x:c r="L1625" s="12" t="n">
        <x:v>16216.3684</x:v>
      </x:c>
      <x:c r="M1625" s="13" t="n">
        <x:v>0.797671142687766</x:v>
      </x:c>
      <x:c r="N1625" s="13" t="n">
        <x:f>H1625/G1625</x:f>
        <x:v>0.03127555778548891</x:v>
      </x:c>
      <x:c r="O1625" s="13" t="n">
        <x:f>F1625/E1625</x:f>
        <x:v>0</x:v>
      </x:c>
      <x:c r="P1625" s="2" t="str">
        <x:f>IF(AND(E1625&gt;='Итоги'!$F$5,N1625&lt;='Итоги'!$B$5,O1625&gt;='Итоги'!$D$5),"Да","Нет")</x:f>
        <x:v>Нет</x:v>
      </x:c>
    </x:row>
    <x:row r="1626" ht="60" customHeight="1">
      <x:c r="A1626" s="14" t="str">
        <x:v>Хобби и творчество</x:v>
      </x:c>
      <x:c r="B1626" s="14" t="str">
        <x:v>Взрослое творчество и хобби</x:v>
      </x:c>
      <x:c r="C1626" s="14" t="str">
        <x:v>Глина, пластика</x:v>
      </x:c>
      <x:c r="D1626" s="14" t="str">
        <x:v>Аксессуары для работы с глиной, пластикой</x:v>
      </x:c>
      <x:c r="E1626" s="2" t="n">
        <x:v>1</x:v>
      </x:c>
      <x:c r="F1626" s="2" t="n">
        <x:v>0</x:v>
      </x:c>
      <x:c r="G1626" s="12" t="n">
        <x:v>42959</x:v>
      </x:c>
      <x:c r="H1626" s="12" t="n">
        <x:v>1344.6167</x:v>
      </x:c>
      <x:c r="I1626" s="13" t="n">
        <x:v>0.0313</x:v>
      </x:c>
      <x:c r="J1626" s="2" t="n">
        <x:v>0</x:v>
      </x:c>
      <x:c r="K1626" s="2" t="n">
        <x:v>1</x:v>
      </x:c>
      <x:c r="L1626" s="12" t="n">
        <x:v>2045.6667</x:v>
      </x:c>
      <x:c r="M1626" s="13" t="n">
        <x:v>1</x:v>
      </x:c>
      <x:c r="N1626" s="13" t="n">
        <x:f>H1626/G1626</x:f>
        <x:v>0.0313</x:v>
      </x:c>
      <x:c r="O1626" s="13" t="n">
        <x:f>F1626/E1626</x:f>
        <x:v>0</x:v>
      </x:c>
      <x:c r="P1626" s="2" t="str">
        <x:f>IF(AND(E1626&gt;='Итоги'!$F$5,N1626&lt;='Итоги'!$B$5,O1626&gt;='Итоги'!$D$5),"Да","Нет")</x:f>
        <x:v>Нет</x:v>
      </x:c>
    </x:row>
    <x:row r="1627" ht="60" customHeight="1">
      <x:c r="A1627" s="14" t="str">
        <x:v>Спорт и отдых</x:v>
      </x:c>
      <x:c r="B1627" s="14" t="str">
        <x:v>Товары для рыбалки</x:v>
      </x:c>
      <x:c r="C1627" s="14" t="str">
        <x:v>Лодки</x:v>
      </x:c>
      <x:c r="D1627" s="14" t="str">
        <x:v>Лодка</x:v>
      </x:c>
      <x:c r="E1627" s="2" t="n">
        <x:v>143</x:v>
      </x:c>
      <x:c r="F1627" s="2" t="n">
        <x:v>0</x:v>
      </x:c>
      <x:c r="G1627" s="12" t="n">
        <x:v>28224061.1451</x:v>
      </x:c>
      <x:c r="H1627" s="12" t="n">
        <x:v>884537.70832806</x:v>
      </x:c>
      <x:c r="I1627" s="13" t="n">
        <x:v>0.0267258741258741</x:v>
      </x:c>
      <x:c r="J1627" s="2" t="n">
        <x:v>92</x:v>
      </x:c>
      <x:c r="K1627" s="2" t="n">
        <x:v>17</x:v>
      </x:c>
      <x:c r="L1627" s="12" t="n">
        <x:v>15599.1111</x:v>
      </x:c>
      <x:c r="M1627" s="13" t="n">
        <x:v>0.4347157187132903</x:v>
      </x:c>
      <x:c r="N1627" s="13" t="n">
        <x:f>H1627/G1627</x:f>
        <x:v>0.03133984523986993</x:v>
      </x:c>
      <x:c r="O1627" s="13" t="n">
        <x:f>F1627/E1627</x:f>
        <x:v>0</x:v>
      </x:c>
      <x:c r="P1627" s="2" t="str">
        <x:f>IF(AND(E1627&gt;='Итоги'!$F$5,N1627&lt;='Итоги'!$B$5,O1627&gt;='Итоги'!$D$5),"Да","Нет")</x:f>
        <x:v>Нет</x:v>
      </x:c>
    </x:row>
    <x:row r="1628" ht="60" customHeight="1">
      <x:c r="A1628" s="14" t="str">
        <x:v>Одежда</x:v>
      </x:c>
      <x:c r="B1628" s="14" t="str">
        <x:v>Основная одежда мужская</x:v>
      </x:c>
      <x:c r="C1628" s="14" t="str">
        <x:v>Основная одежда мужская верха</x:v>
      </x:c>
      <x:c r="D1628" s="14" t="str">
        <x:v>Рубашка мужская</x:v>
      </x:c>
      <x:c r="E1628" s="2" t="n">
        <x:v>1659</x:v>
      </x:c>
      <x:c r="F1628" s="2" t="n">
        <x:v>0</x:v>
      </x:c>
      <x:c r="G1628" s="12" t="n">
        <x:v>157716685.4889</x:v>
      </x:c>
      <x:c r="H1628" s="12" t="n">
        <x:v>4943531.65613147</x:v>
      </x:c>
      <x:c r="I1628" s="13" t="n">
        <x:v>0.0259250753465943</x:v>
      </x:c>
      <x:c r="J1628" s="2" t="n">
        <x:v>998</x:v>
      </x:c>
      <x:c r="K1628" s="2" t="n">
        <x:v>119</x:v>
      </x:c>
      <x:c r="L1628" s="12" t="n">
        <x:v>1646.9866</x:v>
      </x:c>
      <x:c r="M1628" s="13" t="n">
        <x:v>0.3796297445263893</x:v>
      </x:c>
      <x:c r="N1628" s="13" t="n">
        <x:f>H1628/G1628</x:f>
        <x:v>0.031344379580430584</x:v>
      </x:c>
      <x:c r="O1628" s="13" t="n">
        <x:f>F1628/E1628</x:f>
        <x:v>0</x:v>
      </x:c>
      <x:c r="P1628" s="2" t="str">
        <x:f>IF(AND(E1628&gt;='Итоги'!$F$5,N1628&lt;='Итоги'!$B$5,O1628&gt;='Итоги'!$D$5),"Да","Нет")</x:f>
        <x:v>Нет</x:v>
      </x:c>
    </x:row>
    <x:row r="1629" ht="60" customHeight="1">
      <x:c r="A1629" s="14" t="str">
        <x:v>Товары для красоты и здоровья</x:v>
      </x:c>
      <x:c r="B1629" s="14" t="str">
        <x:v>Косметические аксессуары</x:v>
      </x:c>
      <x:c r="C1629" s="14" t="str">
        <x:v>Парикмахерские принадлежности</x:v>
      </x:c>
      <x:c r="D1629" s="14" t="str">
        <x:v>Прочие парикмахерские принадлежности</x:v>
      </x:c>
      <x:c r="E1629" s="2" t="n">
        <x:v>12</x:v>
      </x:c>
      <x:c r="F1629" s="2" t="n">
        <x:v>0</x:v>
      </x:c>
      <x:c r="G1629" s="12" t="n">
        <x:v>1755484.3919</x:v>
      </x:c>
      <x:c r="H1629" s="12" t="n">
        <x:v>55025.66193016</x:v>
      </x:c>
      <x:c r="I1629" s="13" t="n">
        <x:v>0.03525</x:v>
      </x:c>
      <x:c r="J1629" s="2" t="n">
        <x:v>4</x:v>
      </x:c>
      <x:c r="K1629" s="2" t="n">
        <x:v>6</x:v>
      </x:c>
      <x:c r="L1629" s="12" t="n">
        <x:v>1095.39235</x:v>
      </x:c>
      <x:c r="M1629" s="13" t="n">
        <x:v>0.4603288642318119</x:v>
      </x:c>
      <x:c r="N1629" s="13" t="n">
        <x:f>H1629/G1629</x:f>
        <x:v>0.031345002088343545</x:v>
      </x:c>
      <x:c r="O1629" s="13" t="n">
        <x:f>F1629/E1629</x:f>
        <x:v>0</x:v>
      </x:c>
      <x:c r="P1629" s="2" t="str">
        <x:f>IF(AND(E1629&gt;='Итоги'!$F$5,N1629&lt;='Итоги'!$B$5,O1629&gt;='Итоги'!$D$5),"Да","Нет")</x:f>
        <x:v>Нет</x:v>
      </x:c>
    </x:row>
    <x:row r="1630" ht="60" customHeight="1">
      <x:c r="A1630" s="14" t="str">
        <x:v>Бытовая химия и гигиена рта</x:v>
      </x:c>
      <x:c r="B1630" s="14" t="str">
        <x:v>Бытовая химия</x:v>
      </x:c>
      <x:c r="C1630" s="14" t="str">
        <x:v>Одноразовая посуда</x:v>
      </x:c>
      <x:c r="D1630" s="14" t="str">
        <x:v>Стакан одноразовый</x:v>
      </x:c>
      <x:c r="E1630" s="2" t="n">
        <x:v>23</x:v>
      </x:c>
      <x:c r="F1630" s="2" t="n">
        <x:v>0</x:v>
      </x:c>
      <x:c r="G1630" s="12" t="n">
        <x:v>6348735.3231</x:v>
      </x:c>
      <x:c r="H1630" s="12" t="n">
        <x:v>199019.90063706</x:v>
      </x:c>
      <x:c r="I1630" s="13" t="n">
        <x:v>0.0346608695652173</x:v>
      </x:c>
      <x:c r="J1630" s="2" t="n">
        <x:v>4</x:v>
      </x:c>
      <x:c r="K1630" s="2" t="n">
        <x:v>5</x:v>
      </x:c>
      <x:c r="L1630" s="12" t="n">
        <x:v>3170.2813</x:v>
      </x:c>
      <x:c r="M1630" s="13" t="n">
        <x:v>0.8684774436474255</x:v>
      </x:c>
      <x:c r="N1630" s="13" t="n">
        <x:f>H1630/G1630</x:f>
        <x:v>0.031347959949270865</x:v>
      </x:c>
      <x:c r="O1630" s="13" t="n">
        <x:f>F1630/E1630</x:f>
        <x:v>0</x:v>
      </x:c>
      <x:c r="P1630" s="2" t="str">
        <x:f>IF(AND(E1630&gt;='Итоги'!$F$5,N1630&lt;='Итоги'!$B$5,O1630&gt;='Итоги'!$D$5),"Да","Нет")</x:f>
        <x:v>Нет</x:v>
      </x:c>
    </x:row>
    <x:row r="1631" ht="60" customHeight="1">
      <x:c r="A1631" s="14" t="str">
        <x:v>Мебель</x:v>
      </x:c>
      <x:c r="B1631" s="14" t="str">
        <x:v>Мебель для сна</x:v>
      </x:c>
      <x:c r="C1631" s="14" t="str">
        <x:v>Кровать</x:v>
      </x:c>
      <x:c r="D1631" s="14" t="str">
        <x:v>Кровати с подъемным механизмом</x:v>
      </x:c>
      <x:c r="E1631" s="2" t="n">
        <x:v>15</x:v>
      </x:c>
      <x:c r="F1631" s="2" t="n">
        <x:v>0</x:v>
      </x:c>
      <x:c r="G1631" s="12" t="n">
        <x:v>6490319.6188</x:v>
      </x:c>
      <x:c r="H1631" s="12" t="n">
        <x:v>203537.51655544</x:v>
      </x:c>
      <x:c r="I1631" s="13" t="n">
        <x:v>0.03594</x:v>
      </x:c>
      <x:c r="J1631" s="2" t="n">
        <x:v>0</x:v>
      </x:c>
      <x:c r="K1631" s="2" t="n">
        <x:v>1</x:v>
      </x:c>
      <x:c r="L1631" s="12" t="n">
        <x:v>14950.4286</x:v>
      </x:c>
      <x:c r="M1631" s="13" t="n">
        <x:v>1</x:v>
      </x:c>
      <x:c r="N1631" s="13" t="n">
        <x:f>H1631/G1631</x:f>
        <x:v>0.03136016845239313</x:v>
      </x:c>
      <x:c r="O1631" s="13" t="n">
        <x:f>F1631/E1631</x:f>
        <x:v>0</x:v>
      </x:c>
      <x:c r="P1631" s="2" t="str">
        <x:f>IF(AND(E1631&gt;='Итоги'!$F$5,N1631&lt;='Итоги'!$B$5,O1631&gt;='Итоги'!$D$5),"Да","Нет")</x:f>
        <x:v>Нет</x:v>
      </x:c>
    </x:row>
    <x:row r="1632" ht="60" customHeight="1">
      <x:c r="A1632" s="14" t="str">
        <x:v>Аптека</x:v>
      </x:c>
      <x:c r="B1632" s="14" t="str">
        <x:v>Тату</x:v>
      </x:c>
      <x:c r="C1632" s="14" t="str">
        <x:v>Тату аксессуары</x:v>
      </x:c>
      <x:c r="D1632" s="14" t="str">
        <x:v>Тату все для переноса</x:v>
      </x:c>
      <x:c r="E1632" s="2" t="n">
        <x:v>5</x:v>
      </x:c>
      <x:c r="F1632" s="2" t="n">
        <x:v>0</x:v>
      </x:c>
      <x:c r="G1632" s="12" t="n">
        <x:v>723025.4796</x:v>
      </x:c>
      <x:c r="H1632" s="12" t="n">
        <x:v>22714.49481992</x:v>
      </x:c>
      <x:c r="I1632" s="13" t="n">
        <x:v>0.02532</x:v>
      </x:c>
      <x:c r="J1632" s="2" t="n">
        <x:v>2</x:v>
      </x:c>
      <x:c r="K1632" s="2" t="n">
        <x:v>3</x:v>
      </x:c>
      <x:c r="L1632" s="12" t="n">
        <x:v>4683.0417</x:v>
      </x:c>
      <x:c r="M1632" s="13" t="n">
        <x:v>0.6297271015288297</x:v>
      </x:c>
      <x:c r="N1632" s="13" t="n">
        <x:f>H1632/G1632</x:f>
        <x:v>0.03141589814025138</x:v>
      </x:c>
      <x:c r="O1632" s="13" t="n">
        <x:f>F1632/E1632</x:f>
        <x:v>0</x:v>
      </x:c>
      <x:c r="P1632" s="2" t="str">
        <x:f>IF(AND(E1632&gt;='Итоги'!$F$5,N1632&lt;='Итоги'!$B$5,O1632&gt;='Итоги'!$D$5),"Да","Нет")</x:f>
        <x:v>Нет</x:v>
      </x:c>
    </x:row>
    <x:row r="1633" ht="60" customHeight="1">
      <x:c r="A1633" s="14" t="str">
        <x:v>Товары для красоты и здоровья</x:v>
      </x:c>
      <x:c r="B1633" s="14" t="str">
        <x:v>Косметическая техника</x:v>
      </x:c>
      <x:c r="C1633" s="14" t="str">
        <x:v>Оборудование для салона красоты</x:v>
      </x:c>
      <x:c r="D1633" s="14" t="str">
        <x:v>Парикмахерская, косметологическая, маникюрно-педикюрная тележка</x:v>
      </x:c>
      <x:c r="E1633" s="2" t="n">
        <x:v>30</x:v>
      </x:c>
      <x:c r="F1633" s="2" t="n">
        <x:v>0</x:v>
      </x:c>
      <x:c r="G1633" s="12" t="n">
        <x:v>4537191.3831</x:v>
      </x:c>
      <x:c r="H1633" s="12" t="n">
        <x:v>142969.2635203</x:v>
      </x:c>
      <x:c r="I1633" s="13" t="n">
        <x:v>0.0254466666666666</x:v>
      </x:c>
      <x:c r="J1633" s="2" t="n">
        <x:v>15</x:v>
      </x:c>
      <x:c r="K1633" s="2" t="n">
        <x:v>12</x:v>
      </x:c>
      <x:c r="L1633" s="12" t="n">
        <x:v>3663.8003</x:v>
      </x:c>
      <x:c r="M1633" s="13" t="n">
        <x:v>0.4721477512452521</x:v>
      </x:c>
      <x:c r="N1633" s="13" t="n">
        <x:f>H1633/G1633</x:f>
        <x:v>0.03151052081532814</x:v>
      </x:c>
      <x:c r="O1633" s="13" t="n">
        <x:f>F1633/E1633</x:f>
        <x:v>0</x:v>
      </x:c>
      <x:c r="P1633" s="2" t="str">
        <x:f>IF(AND(E1633&gt;='Итоги'!$F$5,N1633&lt;='Итоги'!$B$5,O1633&gt;='Итоги'!$D$5),"Да","Нет")</x:f>
        <x:v>Нет</x:v>
      </x:c>
    </x:row>
    <x:row r="1634" ht="60" customHeight="1">
      <x:c r="A1634" s="14" t="str">
        <x:v>Спорт и отдых</x:v>
      </x:c>
      <x:c r="B1634" s="14" t="str">
        <x:v>Водные виды спорта</x:v>
      </x:c>
      <x:c r="C1634" s="14" t="str">
        <x:v>Дайвинг</x:v>
      </x:c>
      <x:c r="D1634" s="14" t="str">
        <x:v>Гидроодежда для дайвинга</x:v>
      </x:c>
      <x:c r="E1634" s="2" t="n">
        <x:v>18</x:v>
      </x:c>
      <x:c r="F1634" s="2" t="n">
        <x:v>0</x:v>
      </x:c>
      <x:c r="G1634" s="12" t="n">
        <x:v>1286725.8673</x:v>
      </x:c>
      <x:c r="H1634" s="12" t="n">
        <x:v>40664.75497807</x:v>
      </x:c>
      <x:c r="I1634" s="13" t="n">
        <x:v>0.0200722222222222</x:v>
      </x:c>
      <x:c r="J1634" s="2" t="n">
        <x:v>14</x:v>
      </x:c>
      <x:c r="K1634" s="2" t="n">
        <x:v>8</x:v>
      </x:c>
      <x:c r="L1634" s="12" t="n">
        <x:v>1395.68145</x:v>
      </x:c>
      <x:c r="M1634" s="13" t="n">
        <x:v>0.2770472976097292</x:v>
      </x:c>
      <x:c r="N1634" s="13" t="n">
        <x:f>H1634/G1634</x:f>
        <x:v>0.03160327775441311</x:v>
      </x:c>
      <x:c r="O1634" s="13" t="n">
        <x:f>F1634/E1634</x:f>
        <x:v>0</x:v>
      </x:c>
      <x:c r="P1634" s="2" t="str">
        <x:f>IF(AND(E1634&gt;='Итоги'!$F$5,N1634&lt;='Итоги'!$B$5,O1634&gt;='Итоги'!$D$5),"Да","Нет")</x:f>
        <x:v>Нет</x:v>
      </x:c>
    </x:row>
    <x:row r="1635" ht="60" customHeight="1">
      <x:c r="A1635" s="14" t="str">
        <x:v>Автотовары</x:v>
      </x:c>
      <x:c r="B1635" s="14" t="str">
        <x:v>Масла и автохимия</x:v>
      </x:c>
      <x:c r="C1635" s="14" t="str">
        <x:v>Товары для детейлинга</x:v>
      </x:c>
      <x:c r="D1635" s="14" t="str">
        <x:v>Автохимия - Для шин и дисков</x:v>
      </x:c>
      <x:c r="E1635" s="2" t="n">
        <x:v>8</x:v>
      </x:c>
      <x:c r="F1635" s="2" t="n">
        <x:v>0</x:v>
      </x:c>
      <x:c r="G1635" s="12" t="n">
        <x:v>1339897.6899</x:v>
      </x:c>
      <x:c r="H1635" s="12" t="n">
        <x:v>42356.944566900005</x:v>
      </x:c>
      <x:c r="I1635" s="13" t="n">
        <x:v>0.018325</x:v>
      </x:c>
      <x:c r="J1635" s="2" t="n">
        <x:v>4</x:v>
      </x:c>
      <x:c r="K1635" s="2" t="n">
        <x:v>2</x:v>
      </x:c>
      <x:c r="L1635" s="12" t="n">
        <x:v>973.36295</x:v>
      </x:c>
      <x:c r="M1635" s="13" t="n">
        <x:v>0.9670355801544096</x:v>
      </x:c>
      <x:c r="N1635" s="13" t="n">
        <x:f>H1635/G1635</x:f>
        <x:v>0.031612073732331915</x:v>
      </x:c>
      <x:c r="O1635" s="13" t="n">
        <x:f>F1635/E1635</x:f>
        <x:v>0</x:v>
      </x:c>
      <x:c r="P1635" s="2" t="str">
        <x:f>IF(AND(E1635&gt;='Итоги'!$F$5,N1635&lt;='Итоги'!$B$5,O1635&gt;='Итоги'!$D$5),"Да","Нет")</x:f>
        <x:v>Нет</x:v>
      </x:c>
    </x:row>
    <x:row r="1636" ht="60" customHeight="1">
      <x:c r="A1636" s="14" t="str">
        <x:v>Товары для животных</x:v>
      </x:c>
      <x:c r="B1636" s="14" t="str">
        <x:v>Гигиена и уход животных</x:v>
      </x:c>
      <x:c r="C1636" s="14" t="str">
        <x:v>Ветеринарные средства лечебные нелицензированные</x:v>
      </x:c>
      <x:c r="D1636" s="14" t="str">
        <x:v>Витамины ветеринарные нелицензированные</x:v>
      </x:c>
      <x:c r="E1636" s="2" t="n">
        <x:v>43</x:v>
      </x:c>
      <x:c r="F1636" s="2" t="n">
        <x:v>0</x:v>
      </x:c>
      <x:c r="G1636" s="12" t="n">
        <x:v>5393450.18</x:v>
      </x:c>
      <x:c r="H1636" s="12" t="n">
        <x:v>170809.200312</x:v>
      </x:c>
      <x:c r="I1636" s="13" t="n">
        <x:v>0.0313697674418604</x:v>
      </x:c>
      <x:c r="J1636" s="2" t="n">
        <x:v>33</x:v>
      </x:c>
      <x:c r="K1636" s="2" t="n">
        <x:v>14</x:v>
      </x:c>
      <x:c r="L1636" s="12" t="n">
        <x:v>1300.2708</x:v>
      </x:c>
      <x:c r="M1636" s="13" t="n">
        <x:v>0.468090062157578</x:v>
      </x:c>
      <x:c r="N1636" s="13" t="n">
        <x:f>H1636/G1636</x:f>
        <x:v>0.031669746565082764</x:v>
      </x:c>
      <x:c r="O1636" s="13" t="n">
        <x:f>F1636/E1636</x:f>
        <x:v>0</x:v>
      </x:c>
      <x:c r="P1636" s="2" t="str">
        <x:f>IF(AND(E1636&gt;='Итоги'!$F$5,N1636&lt;='Итоги'!$B$5,O1636&gt;='Итоги'!$D$5),"Да","Нет")</x:f>
        <x:v>Нет</x:v>
      </x:c>
    </x:row>
    <x:row r="1637" ht="60" customHeight="1">
      <x:c r="A1637" s="14" t="str">
        <x:v>Аудио и видеотехника</x:v>
      </x:c>
      <x:c r="B1637" s="14" t="str">
        <x:v>Music</x:v>
      </x:c>
      <x:c r="C1637" s="14" t="str">
        <x:v>Музыка (кроме пластинок)</x:v>
      </x:c>
      <x:c r="D1637" s="14" t="str">
        <x:v>Музыка (кроме пластинок)</x:v>
      </x:c>
      <x:c r="E1637" s="2" t="n">
        <x:v>3</x:v>
      </x:c>
      <x:c r="F1637" s="2" t="n">
        <x:v>0</x:v>
      </x:c>
      <x:c r="G1637" s="12" t="n">
        <x:v>294299.33</x:v>
      </x:c>
      <x:c r="H1637" s="12" t="n">
        <x:v>9334.1472</x:v>
      </x:c>
      <x:c r="I1637" s="13" t="n">
        <x:v>0.0373333333333333</x:v>
      </x:c>
      <x:c r="J1637" s="2" t="n">
        <x:v>2</x:v>
      </x:c>
      <x:c r="K1637" s="2" t="n">
        <x:v>3</x:v>
      </x:c>
      <x:c r="L1637" s="12" t="n">
        <x:v>2525.4727</x:v>
      </x:c>
      <x:c r="M1637" s="13" t="n">
        <x:v>0.3880189941309074</x:v>
      </x:c>
      <x:c r="N1637" s="13" t="n">
        <x:f>H1637/G1637</x:f>
        <x:v>0.03171650849493948</x:v>
      </x:c>
      <x:c r="O1637" s="13" t="n">
        <x:f>F1637/E1637</x:f>
        <x:v>0</x:v>
      </x:c>
      <x:c r="P1637" s="2" t="str">
        <x:f>IF(AND(E1637&gt;='Итоги'!$F$5,N1637&lt;='Итоги'!$B$5,O1637&gt;='Итоги'!$D$5),"Да","Нет")</x:f>
        <x:v>Нет</x:v>
      </x:c>
    </x:row>
    <x:row r="1638" ht="60" customHeight="1">
      <x:c r="A1638" s="14" t="str">
        <x:v>Аксессуары для электроники</x:v>
      </x:c>
      <x:c r="B1638" s="14" t="str">
        <x:v>Аксессуары для мобильных устройств Access</x:v>
      </x:c>
      <x:c r="C1638" s="14" t="str">
        <x:v>Аксессуары для смартфонов Access</x:v>
      </x:c>
      <x:c r="D1638" s="14" t="str">
        <x:v>Bluetooth метка Apple</x:v>
      </x:c>
      <x:c r="E1638" s="2" t="n">
        <x:v>4</x:v>
      </x:c>
      <x:c r="F1638" s="2" t="n">
        <x:v>0</x:v>
      </x:c>
      <x:c r="G1638" s="12" t="n">
        <x:v>389528.3637</x:v>
      </x:c>
      <x:c r="H1638" s="12" t="n">
        <x:v>12363.29535051</x:v>
      </x:c>
      <x:c r="I1638" s="13" t="n">
        <x:v>0.055575</x:v>
      </x:c>
      <x:c r="J1638" s="2" t="n">
        <x:v>3</x:v>
      </x:c>
      <x:c r="K1638" s="2" t="n">
        <x:v>3</x:v>
      </x:c>
      <x:c r="L1638" s="12" t="n">
        <x:v>2823.28285</x:v>
      </x:c>
      <x:c r="M1638" s="13" t="n">
        <x:v>0.6251277767991713</x:v>
      </x:c>
      <x:c r="N1638" s="13" t="n">
        <x:f>H1638/G1638</x:f>
        <x:v>0.03173914020811009</x:v>
      </x:c>
      <x:c r="O1638" s="13" t="n">
        <x:f>F1638/E1638</x:f>
        <x:v>0</x:v>
      </x:c>
      <x:c r="P1638" s="2" t="str">
        <x:f>IF(AND(E1638&gt;='Итоги'!$F$5,N1638&lt;='Итоги'!$B$5,O1638&gt;='Итоги'!$D$5),"Да","Нет")</x:f>
        <x:v>Нет</x:v>
      </x:c>
    </x:row>
    <x:row r="1639" ht="60" customHeight="1">
      <x:c r="A1639" s="14" t="str">
        <x:v>Строительство и ремонт (DIY)</x:v>
      </x:c>
      <x:c r="B1639" s="14" t="str">
        <x:v>Ремонт и строительство</x:v>
      </x:c>
      <x:c r="C1639" s="14" t="str">
        <x:v>Строительная химия</x:v>
      </x:c>
      <x:c r="D1639" s="14" t="str">
        <x:v>Клей специальный для ремонта, строительства</x:v>
      </x:c>
      <x:c r="E1639" s="2" t="n">
        <x:v>11</x:v>
      </x:c>
      <x:c r="F1639" s="2" t="n">
        <x:v>0</x:v>
      </x:c>
      <x:c r="G1639" s="12" t="n">
        <x:v>1268598.0512</x:v>
      </x:c>
      <x:c r="H1639" s="12" t="n">
        <x:v>40304.24097344</x:v>
      </x:c>
      <x:c r="I1639" s="13" t="n">
        <x:v>0.0301272727272727</x:v>
      </x:c>
      <x:c r="J1639" s="2" t="n">
        <x:v>6</x:v>
      </x:c>
      <x:c r="K1639" s="2" t="n">
        <x:v>5</x:v>
      </x:c>
      <x:c r="L1639" s="12" t="n">
        <x:v>1125.4217</x:v>
      </x:c>
      <x:c r="M1639" s="13" t="n">
        <x:v>0.5607747459702229</x:v>
      </x:c>
      <x:c r="N1639" s="13" t="n">
        <x:f>H1639/G1639</x:f>
        <x:v>0.03177069437818792</x:v>
      </x:c>
      <x:c r="O1639" s="13" t="n">
        <x:f>F1639/E1639</x:f>
        <x:v>0</x:v>
      </x:c>
      <x:c r="P1639" s="2" t="str">
        <x:f>IF(AND(E1639&gt;='Итоги'!$F$5,N1639&lt;='Итоги'!$B$5,O1639&gt;='Итоги'!$D$5),"Да","Нет")</x:f>
        <x:v>Нет</x:v>
      </x:c>
    </x:row>
    <x:row r="1640" ht="60" customHeight="1">
      <x:c r="A1640" s="14" t="str">
        <x:v>Одежда</x:v>
      </x:c>
      <x:c r="B1640" s="14" t="str">
        <x:v>Основная одежда мужская</x:v>
      </x:c>
      <x:c r="C1640" s="14" t="str">
        <x:v>Основная одежда мужская верха</x:v>
      </x:c>
      <x:c r="D1640" s="14" t="str">
        <x:v>Комплект футболок мужских</x:v>
      </x:c>
      <x:c r="E1640" s="2" t="n">
        <x:v>265</x:v>
      </x:c>
      <x:c r="F1640" s="2" t="n">
        <x:v>0</x:v>
      </x:c>
      <x:c r="G1640" s="12" t="n">
        <x:v>35176954.3408</x:v>
      </x:c>
      <x:c r="H1640" s="12" t="n">
        <x:v>1119836.53906032</x:v>
      </x:c>
      <x:c r="I1640" s="13" t="n">
        <x:v>0.0332762264150943</x:v>
      </x:c>
      <x:c r="J1640" s="2" t="n">
        <x:v>141</x:v>
      </x:c>
      <x:c r="K1640" s="2" t="n">
        <x:v>15</x:v>
      </x:c>
      <x:c r="L1640" s="12" t="n">
        <x:v>1108.5395</x:v>
      </x:c>
      <x:c r="M1640" s="13" t="n">
        <x:v>0.5634344335692494</x:v>
      </x:c>
      <x:c r="N1640" s="13" t="n">
        <x:f>H1640/G1640</x:f>
        <x:v>0.031834380208450204</x:v>
      </x:c>
      <x:c r="O1640" s="13" t="n">
        <x:f>F1640/E1640</x:f>
        <x:v>0</x:v>
      </x:c>
      <x:c r="P1640" s="2" t="str">
        <x:f>IF(AND(E1640&gt;='Итоги'!$F$5,N1640&lt;='Итоги'!$B$5,O1640&gt;='Итоги'!$D$5),"Да","Нет")</x:f>
        <x:v>Нет</x:v>
      </x:c>
    </x:row>
    <x:row r="1641" ht="60" customHeight="1">
      <x:c r="A1641" s="14" t="str">
        <x:v>Аптека</x:v>
      </x:c>
      <x:c r="B1641" s="14" t="str">
        <x:v>Витамины и БАДы</x:v>
      </x:c>
      <x:c r="C1641" s="14" t="str">
        <x:v>Женское здоровье</x:v>
      </x:c>
      <x:c r="D1641" s="14" t="str">
        <x:v>БАД при воспалительных гинекологических заболеваниях</x:v>
      </x:c>
      <x:c r="E1641" s="2" t="n">
        <x:v>28</x:v>
      </x:c>
      <x:c r="F1641" s="2" t="n">
        <x:v>0</x:v>
      </x:c>
      <x:c r="G1641" s="12" t="n">
        <x:v>5297525.919</x:v>
      </x:c>
      <x:c r="H1641" s="12" t="n">
        <x:v>168800.19732487</x:v>
      </x:c>
      <x:c r="I1641" s="13" t="n">
        <x:v>0.0467892857142857</x:v>
      </x:c>
      <x:c r="J1641" s="2" t="n">
        <x:v>17</x:v>
      </x:c>
      <x:c r="K1641" s="2" t="n">
        <x:v>16</x:v>
      </x:c>
      <x:c r="L1641" s="12" t="n">
        <x:v>1803.19795</x:v>
      </x:c>
      <x:c r="M1641" s="13" t="n">
        <x:v>0.2525441014647351</x:v>
      </x:c>
      <x:c r="N1641" s="13" t="n">
        <x:f>H1641/G1641</x:f>
        <x:v>0.03186396818172321</x:v>
      </x:c>
      <x:c r="O1641" s="13" t="n">
        <x:f>F1641/E1641</x:f>
        <x:v>0</x:v>
      </x:c>
      <x:c r="P1641" s="2" t="str">
        <x:f>IF(AND(E1641&gt;='Итоги'!$F$5,N1641&lt;='Итоги'!$B$5,O1641&gt;='Итоги'!$D$5),"Да","Нет")</x:f>
        <x:v>Нет</x:v>
      </x:c>
    </x:row>
    <x:row r="1642" ht="60" customHeight="1">
      <x:c r="A1642" s="14" t="str">
        <x:v>Строительство и ремонт (DIY)</x:v>
      </x:c>
      <x:c r="B1642" s="14" t="str">
        <x:v>Сантехника</x:v>
      </x:c>
      <x:c r="C1642" s="14" t="str">
        <x:v>Аксессуары для сантехники</x:v>
      </x:c>
      <x:c r="D1642" s="14" t="str">
        <x:v>Стеклянные шторки и дверки для ванны</x:v>
      </x:c>
      <x:c r="E1642" s="2" t="n">
        <x:v>3</x:v>
      </x:c>
      <x:c r="F1642" s="2" t="n">
        <x:v>0</x:v>
      </x:c>
      <x:c r="G1642" s="12" t="n">
        <x:v>495388.4737</x:v>
      </x:c>
      <x:c r="H1642" s="12" t="n">
        <x:v>15794.12279808</x:v>
      </x:c>
      <x:c r="I1642" s="13" t="n">
        <x:v>0.0414333333333333</x:v>
      </x:c>
      <x:c r="J1642" s="2" t="n">
        <x:v>1</x:v>
      </x:c>
      <x:c r="K1642" s="2" t="n">
        <x:v>1</x:v>
      </x:c>
      <x:c r="L1642" s="12" t="n">
        <x:v>6655.72</x:v>
      </x:c>
      <x:c r="M1642" s="13" t="n">
        <x:v>1</x:v>
      </x:c>
      <x:c r="N1642" s="13" t="n">
        <x:f>H1642/G1642</x:f>
        <x:v>0.03188229770490116</x:v>
      </x:c>
      <x:c r="O1642" s="13" t="n">
        <x:f>F1642/E1642</x:f>
        <x:v>0</x:v>
      </x:c>
      <x:c r="P1642" s="2" t="str">
        <x:f>IF(AND(E1642&gt;='Итоги'!$F$5,N1642&lt;='Итоги'!$B$5,O1642&gt;='Итоги'!$D$5),"Да","Нет")</x:f>
        <x:v>Нет</x:v>
      </x:c>
    </x:row>
    <x:row r="1643" ht="60" customHeight="1">
      <x:c r="A1643" s="14" t="str">
        <x:v>Мелкая бытовая техника</x:v>
      </x:c>
      <x:c r="B1643" s="14" t="str">
        <x:v>Мелкая бытовая техника SDA</x:v>
      </x:c>
      <x:c r="C1643" s="14" t="str">
        <x:v>Электронная кухонная техника SDA</x:v>
      </x:c>
      <x:c r="D1643" s="14" t="str">
        <x:v>Плита электрическая настольная</x:v>
      </x:c>
      <x:c r="E1643" s="2" t="n">
        <x:v>81</x:v>
      </x:c>
      <x:c r="F1643" s="2" t="n">
        <x:v>0</x:v>
      </x:c>
      <x:c r="G1643" s="12" t="n">
        <x:v>18849105.2339</x:v>
      </x:c>
      <x:c r="H1643" s="12" t="n">
        <x:v>601069.96350452</x:v>
      </x:c>
      <x:c r="I1643" s="13" t="n">
        <x:v>0.0305222222222222</x:v>
      </x:c>
      <x:c r="J1643" s="2" t="n">
        <x:v>45</x:v>
      </x:c>
      <x:c r="K1643" s="2" t="n">
        <x:v>12</x:v>
      </x:c>
      <x:c r="L1643" s="12" t="n">
        <x:v>1748.8338</x:v>
      </x:c>
      <x:c r="M1643" s="13" t="n">
        <x:v>0.7333324337242296</x:v>
      </x:c>
      <x:c r="N1643" s="13" t="n">
        <x:f>H1643/G1643</x:f>
        <x:v>0.03188851439077858</x:v>
      </x:c>
      <x:c r="O1643" s="13" t="n">
        <x:f>F1643/E1643</x:f>
        <x:v>0</x:v>
      </x:c>
      <x:c r="P1643" s="2" t="str">
        <x:f>IF(AND(E1643&gt;='Итоги'!$F$5,N1643&lt;='Итоги'!$B$5,O1643&gt;='Итоги'!$D$5),"Да","Нет")</x:f>
        <x:v>Нет</x:v>
      </x:c>
    </x:row>
    <x:row r="1644" ht="60" customHeight="1">
      <x:c r="A1644" s="14" t="str">
        <x:v>Товары для красоты и здоровья</x:v>
      </x:c>
      <x:c r="B1644" s="14" t="str">
        <x:v>Косметика для ухода за волосами</x:v>
      </x:c>
      <x:c r="C1644" s="14" t="str">
        <x:v>Уход за волосами для мужчин</x:v>
      </x:c>
      <x:c r="D1644" s="14" t="str">
        <x:v>Бальзам, кондиционер для волос мужской</x:v>
      </x:c>
      <x:c r="E1644" s="2" t="n">
        <x:v>11</x:v>
      </x:c>
      <x:c r="F1644" s="2" t="n">
        <x:v>0</x:v>
      </x:c>
      <x:c r="G1644" s="12" t="n">
        <x:v>1482931.7832</x:v>
      </x:c>
      <x:c r="H1644" s="12" t="n">
        <x:v>47303.12655606</x:v>
      </x:c>
      <x:c r="I1644" s="13" t="n">
        <x:v>0.0246636363636363</x:v>
      </x:c>
      <x:c r="J1644" s="2" t="n">
        <x:v>5</x:v>
      </x:c>
      <x:c r="K1644" s="2" t="n">
        <x:v>5</x:v>
      </x:c>
      <x:c r="L1644" s="12" t="n">
        <x:v>1949.4724</x:v>
      </x:c>
      <x:c r="M1644" s="13" t="n">
        <x:v>0.6522613205529683</x:v>
      </x:c>
      <x:c r="N1644" s="13" t="n">
        <x:f>H1644/G1644</x:f>
        <x:v>0.031898383386176524</x:v>
      </x:c>
      <x:c r="O1644" s="13" t="n">
        <x:f>F1644/E1644</x:f>
        <x:v>0</x:v>
      </x:c>
      <x:c r="P1644" s="2" t="str">
        <x:f>IF(AND(E1644&gt;='Итоги'!$F$5,N1644&lt;='Итоги'!$B$5,O1644&gt;='Итоги'!$D$5),"Да","Нет")</x:f>
        <x:v>Нет</x:v>
      </x:c>
    </x:row>
    <x:row r="1645" ht="60" customHeight="1">
      <x:c r="A1645" s="14" t="str">
        <x:v>Обувь</x:v>
      </x:c>
      <x:c r="B1645" s="14" t="str">
        <x:v>Обувь мужская</x:v>
      </x:c>
      <x:c r="C1645" s="14" t="str">
        <x:v>Обувь мужская летняя</x:v>
      </x:c>
      <x:c r="D1645" s="14" t="str">
        <x:v>Мужские Шлепанцы</x:v>
      </x:c>
      <x:c r="E1645" s="2" t="n">
        <x:v>486</x:v>
      </x:c>
      <x:c r="F1645" s="2" t="n">
        <x:v>0</x:v>
      </x:c>
      <x:c r="G1645" s="12" t="n">
        <x:v>36909320.2152</x:v>
      </x:c>
      <x:c r="H1645" s="12" t="n">
        <x:v>1177755.15337921</x:v>
      </x:c>
      <x:c r="I1645" s="13" t="n">
        <x:v>0.0205681069958847</x:v>
      </x:c>
      <x:c r="J1645" s="2" t="n">
        <x:v>336</x:v>
      </x:c>
      <x:c r="K1645" s="2" t="n">
        <x:v>34</x:v>
      </x:c>
      <x:c r="L1645" s="12" t="n">
        <x:v>1423.92035</x:v>
      </x:c>
      <x:c r="M1645" s="13" t="n">
        <x:v>0.5740590178215828</x:v>
      </x:c>
      <x:c r="N1645" s="13" t="n">
        <x:f>H1645/G1645</x:f>
        <x:v>0.031909424137651465</x:v>
      </x:c>
      <x:c r="O1645" s="13" t="n">
        <x:f>F1645/E1645</x:f>
        <x:v>0</x:v>
      </x:c>
      <x:c r="P1645" s="2" t="str">
        <x:f>IF(AND(E1645&gt;='Итоги'!$F$5,N1645&lt;='Итоги'!$B$5,O1645&gt;='Итоги'!$D$5),"Да","Нет")</x:f>
        <x:v>Нет</x:v>
      </x:c>
    </x:row>
    <x:row r="1646" ht="60" customHeight="1">
      <x:c r="A1646" s="14" t="str">
        <x:v>Аксессуары</x:v>
      </x:c>
      <x:c r="B1646" s="14" t="str">
        <x:v>Ювелирные изделия</x:v>
      </x:c>
      <x:c r="C1646" s="14" t="str">
        <x:v>Брошь ювелирная</x:v>
      </x:c>
      <x:c r="D1646" s="14" t="str">
        <x:v>Золото брошь</x:v>
      </x:c>
      <x:c r="E1646" s="2" t="n">
        <x:v>6</x:v>
      </x:c>
      <x:c r="F1646" s="2" t="n">
        <x:v>0</x:v>
      </x:c>
      <x:c r="G1646" s="12" t="n">
        <x:v>695422.52</x:v>
      </x:c>
      <x:c r="H1646" s="12" t="n">
        <x:v>22206.3804</x:v>
      </x:c>
      <x:c r="I1646" s="13" t="n">
        <x:v>0.0332333333333333</x:v>
      </x:c>
      <x:c r="J1646" s="2" t="n">
        <x:v>5</x:v>
      </x:c>
      <x:c r="K1646" s="2" t="n">
        <x:v>3</x:v>
      </x:c>
      <x:c r="L1646" s="12" t="n">
        <x:v>10753.2038</x:v>
      </x:c>
      <x:c r="M1646" s="13" t="n">
        <x:v>0.786354344693928</x:v>
      </x:c>
      <x:c r="N1646" s="13" t="n">
        <x:f>H1646/G1646</x:f>
        <x:v>0.031932213526821074</x:v>
      </x:c>
      <x:c r="O1646" s="13" t="n">
        <x:f>F1646/E1646</x:f>
        <x:v>0</x:v>
      </x:c>
      <x:c r="P1646" s="2" t="str">
        <x:f>IF(AND(E1646&gt;='Итоги'!$F$5,N1646&lt;='Итоги'!$B$5,O1646&gt;='Итоги'!$D$5),"Да","Нет")</x:f>
        <x:v>Нет</x:v>
      </x:c>
    </x:row>
    <x:row r="1647" ht="60" customHeight="1">
      <x:c r="A1647" s="14" t="str">
        <x:v>Школьные принадлежности и канцелярия</x:v>
      </x:c>
      <x:c r="B1647" s="14" t="str">
        <x:v>Товары для школы, канцелярия, оборудование</x:v>
      </x:c>
      <x:c r="C1647" s="14" t="str">
        <x:v>Офисные принадлежности</x:v>
      </x:c>
      <x:c r="D1647" s="14" t="str">
        <x:v>Ящик, шкафчик канцелярские</x:v>
      </x:c>
      <x:c r="E1647" s="2" t="n">
        <x:v>1</x:v>
      </x:c>
      <x:c r="F1647" s="2" t="n">
        <x:v>0</x:v>
      </x:c>
      <x:c r="G1647" s="12" t="n">
        <x:v>110496</x:v>
      </x:c>
      <x:c r="H1647" s="12" t="n">
        <x:v>3535.8720000000003</x:v>
      </x:c>
      <x:c r="I1647" s="13" t="n">
        <x:v>0.032</x:v>
      </x:c>
      <x:c r="J1647" s="2" t="n">
        <x:v>0</x:v>
      </x:c>
      <x:c r="K1647" s="2" t="n">
        <x:v>1</x:v>
      </x:c>
      <x:c r="L1647" s="12" t="n">
        <x:v>2569.6744</x:v>
      </x:c>
      <x:c r="M1647" s="13" t="n">
        <x:v>1</x:v>
      </x:c>
      <x:c r="N1647" s="13" t="n">
        <x:f>H1647/G1647</x:f>
        <x:v>0.032</x:v>
      </x:c>
      <x:c r="O1647" s="13" t="n">
        <x:f>F1647/E1647</x:f>
        <x:v>0</x:v>
      </x:c>
      <x:c r="P1647" s="2" t="str">
        <x:f>IF(AND(E1647&gt;='Итоги'!$F$5,N1647&lt;='Итоги'!$B$5,O1647&gt;='Итоги'!$D$5),"Да","Нет")</x:f>
        <x:v>Нет</x:v>
      </x:c>
    </x:row>
    <x:row r="1648" ht="60" customHeight="1">
      <x:c r="A1648" s="14" t="str">
        <x:v>Мебель</x:v>
      </x:c>
      <x:c r="B1648" s="14" t="str">
        <x:v>Мебель для сада</x:v>
      </x:c>
      <x:c r="C1648" s="14" t="str">
        <x:v>Садовый стол</x:v>
      </x:c>
      <x:c r="D1648" s="14" t="str">
        <x:v>Столы для сада</x:v>
      </x:c>
      <x:c r="E1648" s="2" t="n">
        <x:v>67</x:v>
      </x:c>
      <x:c r="F1648" s="2" t="n">
        <x:v>0</x:v>
      </x:c>
      <x:c r="G1648" s="12" t="n">
        <x:v>12530234.6519</x:v>
      </x:c>
      <x:c r="H1648" s="12" t="n">
        <x:v>401432.56432768</x:v>
      </x:c>
      <x:c r="I1648" s="13" t="n">
        <x:v>0.0354880597014925</x:v>
      </x:c>
      <x:c r="J1648" s="2" t="n">
        <x:v>23</x:v>
      </x:c>
      <x:c r="K1648" s="2" t="n">
        <x:v>22</x:v>
      </x:c>
      <x:c r="L1648" s="12" t="n">
        <x:v>5814.2941</x:v>
      </x:c>
      <x:c r="M1648" s="13" t="n">
        <x:v>0.493764067408095</x:v>
      </x:c>
      <x:c r="N1648" s="13" t="n">
        <x:f>H1648/G1648</x:f>
        <x:v>0.03203711466543122</x:v>
      </x:c>
      <x:c r="O1648" s="13" t="n">
        <x:f>F1648/E1648</x:f>
        <x:v>0</x:v>
      </x:c>
      <x:c r="P1648" s="2" t="str">
        <x:f>IF(AND(E1648&gt;='Итоги'!$F$5,N1648&lt;='Итоги'!$B$5,O1648&gt;='Итоги'!$D$5),"Да","Нет")</x:f>
        <x:v>Нет</x:v>
      </x:c>
    </x:row>
    <x:row r="1649" ht="60" customHeight="1">
      <x:c r="A1649" s="14" t="str">
        <x:v>Аптека</x:v>
      </x:c>
      <x:c r="B1649" s="14" t="str">
        <x:v>Медицинская техника</x:v>
      </x:c>
      <x:c r="C1649" s="14" t="str">
        <x:v>Медицинская техника</x:v>
      </x:c>
      <x:c r="D1649" s="14" t="str">
        <x:v>Лечебный прибор</x:v>
      </x:c>
      <x:c r="E1649" s="2" t="n">
        <x:v>62</x:v>
      </x:c>
      <x:c r="F1649" s="2" t="n">
        <x:v>0</x:v>
      </x:c>
      <x:c r="G1649" s="12" t="n">
        <x:v>14148965.09</x:v>
      </x:c>
      <x:c r="H1649" s="12" t="n">
        <x:v>454205.598741</x:v>
      </x:c>
      <x:c r="I1649" s="13" t="n">
        <x:v>0.0288838709677419</x:v>
      </x:c>
      <x:c r="J1649" s="2" t="n">
        <x:v>27</x:v>
      </x:c>
      <x:c r="K1649" s="2" t="n">
        <x:v>20</x:v>
      </x:c>
      <x:c r="L1649" s="12" t="n">
        <x:v>14002.0719</x:v>
      </x:c>
      <x:c r="M1649" s="13" t="n">
        <x:v>0.6007087201032878</x:v>
      </x:c>
      <x:c r="N1649" s="13" t="n">
        <x:f>H1649/G1649</x:f>
        <x:v>0.03210168346955756</x:v>
      </x:c>
      <x:c r="O1649" s="13" t="n">
        <x:f>F1649/E1649</x:f>
        <x:v>0</x:v>
      </x:c>
      <x:c r="P1649" s="2" t="str">
        <x:f>IF(AND(E1649&gt;='Итоги'!$F$5,N1649&lt;='Итоги'!$B$5,O1649&gt;='Итоги'!$D$5),"Да","Нет")</x:f>
        <x:v>Нет</x:v>
      </x:c>
    </x:row>
    <x:row r="1650" ht="60" customHeight="1">
      <x:c r="A1650" s="14" t="str">
        <x:v>Детская одежда</x:v>
      </x:c>
      <x:c r="B1650" s="14" t="str">
        <x:v>Детская обувь</x:v>
      </x:c>
      <x:c r="C1650" s="14" t="str">
        <x:v>Обувь для девочки</x:v>
      </x:c>
      <x:c r="D1650" s="14" t="str">
        <x:v>Сапоги для девочки</x:v>
      </x:c>
      <x:c r="E1650" s="2" t="n">
        <x:v>15</x:v>
      </x:c>
      <x:c r="F1650" s="2" t="n">
        <x:v>0</x:v>
      </x:c>
      <x:c r="G1650" s="12" t="n">
        <x:v>1122882.08</x:v>
      </x:c>
      <x:c r="H1650" s="12" t="n">
        <x:v>36071.384218</x:v>
      </x:c>
      <x:c r="I1650" s="13" t="n">
        <x:v>0.0291533333333333</x:v>
      </x:c>
      <x:c r="J1650" s="2" t="n">
        <x:v>2</x:v>
      </x:c>
      <x:c r="K1650" s="2" t="n">
        <x:v>2</x:v>
      </x:c>
      <x:c r="L1650" s="12" t="n">
        <x:v>1875.5</x:v>
      </x:c>
      <x:c r="M1650" s="13" t="n">
        <x:v>0.9966594889465152</x:v>
      </x:c>
      <x:c r="N1650" s="13" t="n">
        <x:f>H1650/G1650</x:f>
        <x:v>0.032123929004192496</x:v>
      </x:c>
      <x:c r="O1650" s="13" t="n">
        <x:f>F1650/E1650</x:f>
        <x:v>0</x:v>
      </x:c>
      <x:c r="P1650" s="2" t="str">
        <x:f>IF(AND(E1650&gt;='Итоги'!$F$5,N1650&lt;='Итоги'!$B$5,O1650&gt;='Итоги'!$D$5),"Да","Нет")</x:f>
        <x:v>Нет</x:v>
      </x:c>
    </x:row>
    <x:row r="1651" ht="60" customHeight="1">
      <x:c r="A1651" s="14" t="str">
        <x:v>Аксессуары для электроники</x:v>
      </x:c>
      <x:c r="B1651" s="14" t="str">
        <x:v>Фото и видео Access</x:v>
      </x:c>
      <x:c r="C1651" s="14" t="str">
        <x:v>Аксессуар к фото и видео Access</x:v>
      </x:c>
      <x:c r="D1651" s="14" t="str">
        <x:v>Аквабокс</x:v>
      </x:c>
      <x:c r="E1651" s="2" t="n">
        <x:v>5</x:v>
      </x:c>
      <x:c r="F1651" s="2" t="n">
        <x:v>0</x:v>
      </x:c>
      <x:c r="G1651" s="12" t="n">
        <x:v>534257.5779</x:v>
      </x:c>
      <x:c r="H1651" s="12" t="n">
        <x:v>17163.58759712</x:v>
      </x:c>
      <x:c r="I1651" s="13" t="n">
        <x:v>0.05968</x:v>
      </x:c>
      <x:c r="J1651" s="2" t="n">
        <x:v>3</x:v>
      </x:c>
      <x:c r="K1651" s="2" t="n">
        <x:v>3</x:v>
      </x:c>
      <x:c r="L1651" s="12" t="n">
        <x:v>1077.1115</x:v>
      </x:c>
      <x:c r="M1651" s="13" t="n">
        <x:v>0.5986331380775722</x:v>
      </x:c>
      <x:c r="N1651" s="13" t="n">
        <x:f>H1651/G1651</x:f>
        <x:v>0.03212605362489141</x:v>
      </x:c>
      <x:c r="O1651" s="13" t="n">
        <x:f>F1651/E1651</x:f>
        <x:v>0</x:v>
      </x:c>
      <x:c r="P1651" s="2" t="str">
        <x:f>IF(AND(E1651&gt;='Итоги'!$F$5,N1651&lt;='Итоги'!$B$5,O1651&gt;='Итоги'!$D$5),"Да","Нет")</x:f>
        <x:v>Нет</x:v>
      </x:c>
    </x:row>
    <x:row r="1652" ht="60" customHeight="1">
      <x:c r="A1652" s="14" t="str">
        <x:v>Автотовары</x:v>
      </x:c>
      <x:c r="B1652" s="14" t="str">
        <x:v>Масла и автохимия</x:v>
      </x:c>
      <x:c r="C1652" s="14" t="str">
        <x:v>Дополнительная авто-мото химия</x:v>
      </x:c>
      <x:c r="D1652" s="14" t="str">
        <x:v>Автохимия - Смазка</x:v>
      </x:c>
      <x:c r="E1652" s="2" t="n">
        <x:v>39</x:v>
      </x:c>
      <x:c r="F1652" s="2" t="n">
        <x:v>0</x:v>
      </x:c>
      <x:c r="G1652" s="12" t="n">
        <x:v>5557388.1506</x:v>
      </x:c>
      <x:c r="H1652" s="12" t="n">
        <x:v>178588.183725</x:v>
      </x:c>
      <x:c r="I1652" s="13" t="n">
        <x:v>0.0324307692307692</x:v>
      </x:c>
      <x:c r="J1652" s="2" t="n">
        <x:v>23</x:v>
      </x:c>
      <x:c r="K1652" s="2" t="n">
        <x:v>9</x:v>
      </x:c>
      <x:c r="L1652" s="12" t="n">
        <x:v>1199.1429</x:v>
      </x:c>
      <x:c r="M1652" s="13" t="n">
        <x:v>0.8167509678282863</x:v>
      </x:c>
      <x:c r="N1652" s="13" t="n">
        <x:f>H1652/G1652</x:f>
        <x:v>0.03213527270102932</x:v>
      </x:c>
      <x:c r="O1652" s="13" t="n">
        <x:f>F1652/E1652</x:f>
        <x:v>0</x:v>
      </x:c>
      <x:c r="P1652" s="2" t="str">
        <x:f>IF(AND(E1652&gt;='Итоги'!$F$5,N1652&lt;='Итоги'!$B$5,O1652&gt;='Итоги'!$D$5),"Да","Нет")</x:f>
        <x:v>Нет</x:v>
      </x:c>
    </x:row>
    <x:row r="1653" ht="60" customHeight="1">
      <x:c r="A1653" s="14" t="str">
        <x:v>Строительство и ремонт (DIY)</x:v>
      </x:c>
      <x:c r="B1653" s="14" t="str">
        <x:v>Инструменты</x:v>
      </x:c>
      <x:c r="C1653" s="14" t="str">
        <x:v>Инструмент ручной для строительства, ремонта</x:v>
      </x:c>
      <x:c r="D1653" s="14" t="str">
        <x:v>Ножницы строительные</x:v>
      </x:c>
      <x:c r="E1653" s="2" t="n">
        <x:v>18</x:v>
      </x:c>
      <x:c r="F1653" s="2" t="n">
        <x:v>0</x:v>
      </x:c>
      <x:c r="G1653" s="12" t="n">
        <x:v>2884951.9523</x:v>
      </x:c>
      <x:c r="H1653" s="12" t="n">
        <x:v>92951.92404647</x:v>
      </x:c>
      <x:c r="I1653" s="13" t="n">
        <x:v>0.0368666666666666</x:v>
      </x:c>
      <x:c r="J1653" s="2" t="n">
        <x:v>7</x:v>
      </x:c>
      <x:c r="K1653" s="2" t="n">
        <x:v>5</x:v>
      </x:c>
      <x:c r="L1653" s="12" t="n">
        <x:v>1333.77685</x:v>
      </x:c>
      <x:c r="M1653" s="13" t="n">
        <x:v>0.7727918795051608</x:v>
      </x:c>
      <x:c r="N1653" s="13" t="n">
        <x:f>H1653/G1653</x:f>
        <x:v>0.03221957439269135</x:v>
      </x:c>
      <x:c r="O1653" s="13" t="n">
        <x:f>F1653/E1653</x:f>
        <x:v>0</x:v>
      </x:c>
      <x:c r="P1653" s="2" t="str">
        <x:f>IF(AND(E1653&gt;='Итоги'!$F$5,N1653&lt;='Итоги'!$B$5,O1653&gt;='Итоги'!$D$5),"Да","Нет")</x:f>
        <x:v>Нет</x:v>
      </x:c>
    </x:row>
    <x:row r="1654" ht="60" customHeight="1">
      <x:c r="A1654" s="14" t="str">
        <x:v>Строительство и ремонт (DIY)</x:v>
      </x:c>
      <x:c r="B1654" s="14" t="str">
        <x:v>Инструменты</x:v>
      </x:c>
      <x:c r="C1654" s="14" t="str">
        <x:v>Инструмент ручной для строительства, ремонта</x:v>
      </x:c>
      <x:c r="D1654" s="14" t="str">
        <x:v>Специнструмент</x:v>
      </x:c>
      <x:c r="E1654" s="2" t="n">
        <x:v>13</x:v>
      </x:c>
      <x:c r="F1654" s="2" t="n">
        <x:v>0</x:v>
      </x:c>
      <x:c r="G1654" s="12" t="n">
        <x:v>1569451.132</x:v>
      </x:c>
      <x:c r="H1654" s="12" t="n">
        <x:v>50770.66801419</x:v>
      </x:c>
      <x:c r="I1654" s="13" t="n">
        <x:v>0.0340384615384615</x:v>
      </x:c>
      <x:c r="J1654" s="2" t="n">
        <x:v>8</x:v>
      </x:c>
      <x:c r="K1654" s="2" t="n">
        <x:v>10</x:v>
      </x:c>
      <x:c r="L1654" s="12" t="n">
        <x:v>2024.8751</x:v>
      </x:c>
      <x:c r="M1654" s="13" t="n">
        <x:v>0.2907896093065483</x:v>
      </x:c>
      <x:c r="N1654" s="13" t="n">
        <x:f>H1654/G1654</x:f>
        <x:v>0.0323493143424551</x:v>
      </x:c>
      <x:c r="O1654" s="13" t="n">
        <x:f>F1654/E1654</x:f>
        <x:v>0</x:v>
      </x:c>
      <x:c r="P1654" s="2" t="str">
        <x:f>IF(AND(E1654&gt;='Итоги'!$F$5,N1654&lt;='Итоги'!$B$5,O1654&gt;='Итоги'!$D$5),"Да","Нет")</x:f>
        <x:v>Нет</x:v>
      </x:c>
    </x:row>
    <x:row r="1655" ht="60" customHeight="1">
      <x:c r="A1655" s="14" t="str">
        <x:v>Автотовары</x:v>
      </x:c>
      <x:c r="B1655" s="14" t="str">
        <x:v>Авто и мото запчасти</x:v>
      </x:c>
      <x:c r="C1655" s="14" t="str">
        <x:v>Система охлаждения автомобиля</x:v>
      </x:c>
      <x:c r="D1655" s="14" t="str">
        <x:v>Насос водяной и составляющие</x:v>
      </x:c>
      <x:c r="E1655" s="2" t="n">
        <x:v>18</x:v>
      </x:c>
      <x:c r="F1655" s="2" t="n">
        <x:v>0</x:v>
      </x:c>
      <x:c r="G1655" s="12" t="n">
        <x:v>1972258.4645</x:v>
      </x:c>
      <x:c r="H1655" s="12" t="n">
        <x:v>63808.96166171</x:v>
      </x:c>
      <x:c r="I1655" s="13" t="n">
        <x:v>0.0338611111111111</x:v>
      </x:c>
      <x:c r="J1655" s="2" t="n">
        <x:v>9</x:v>
      </x:c>
      <x:c r="K1655" s="2" t="n">
        <x:v>8</x:v>
      </x:c>
      <x:c r="L1655" s="12" t="n">
        <x:v>1642.22205</x:v>
      </x:c>
      <x:c r="M1655" s="13" t="n">
        <x:v>0.5575575698587654</x:v>
      </x:c>
      <x:c r="N1655" s="13" t="n">
        <x:f>H1655/G1655</x:f>
        <x:v>0.03235324518071551</x:v>
      </x:c>
      <x:c r="O1655" s="13" t="n">
        <x:f>F1655/E1655</x:f>
        <x:v>0</x:v>
      </x:c>
      <x:c r="P1655" s="2" t="str">
        <x:f>IF(AND(E1655&gt;='Итоги'!$F$5,N1655&lt;='Итоги'!$B$5,O1655&gt;='Итоги'!$D$5),"Да","Нет")</x:f>
        <x:v>Нет</x:v>
      </x:c>
    </x:row>
    <x:row r="1656" ht="60" customHeight="1">
      <x:c r="A1656" s="14" t="str">
        <x:v>Товары для животных</x:v>
      </x:c>
      <x:c r="B1656" s="14" t="str">
        <x:v>Спальное место животного</x:v>
      </x:c>
      <x:c r="C1656" s="14" t="str">
        <x:v>Аксессуары для кормления животных</x:v>
      </x:c>
      <x:c r="D1656" s="14" t="str">
        <x:v>Подставка для мисок для животных</x:v>
      </x:c>
      <x:c r="E1656" s="2" t="n">
        <x:v>3</x:v>
      </x:c>
      <x:c r="F1656" s="2" t="n">
        <x:v>0</x:v>
      </x:c>
      <x:c r="G1656" s="12" t="n">
        <x:v>589162.9299999999</x:v>
      </x:c>
      <x:c r="H1656" s="12" t="n">
        <x:v>19069.359142</x:v>
      </x:c>
      <x:c r="I1656" s="13" t="n">
        <x:v>0.0426</x:v>
      </x:c>
      <x:c r="J1656" s="2" t="n">
        <x:v>1</x:v>
      </x:c>
      <x:c r="K1656" s="2" t="n">
        <x:v>1</x:v>
      </x:c>
      <x:c r="L1656" s="12" t="n">
        <x:v>1224.1208</x:v>
      </x:c>
      <x:c r="M1656" s="13" t="n">
        <x:v>1</x:v>
      </x:c>
      <x:c r="N1656" s="13" t="n">
        <x:f>H1656/G1656</x:f>
        <x:v>0.03236686860458109</x:v>
      </x:c>
      <x:c r="O1656" s="13" t="n">
        <x:f>F1656/E1656</x:f>
        <x:v>0</x:v>
      </x:c>
      <x:c r="P1656" s="2" t="str">
        <x:f>IF(AND(E1656&gt;='Итоги'!$F$5,N1656&lt;='Итоги'!$B$5,O1656&gt;='Итоги'!$D$5),"Да","Нет")</x:f>
        <x:v>Нет</x:v>
      </x:c>
    </x:row>
    <x:row r="1657" ht="60" customHeight="1">
      <x:c r="A1657" s="14" t="str">
        <x:v>Одежда</x:v>
      </x:c>
      <x:c r="B1657" s="14" t="str">
        <x:v>Верхняя одежда</x:v>
      </x:c>
      <x:c r="C1657" s="14" t="str">
        <x:v>Верхняя одежда мужская</x:v>
      </x:c>
      <x:c r="D1657" s="14" t="str">
        <x:v>Пуховик мужской</x:v>
      </x:c>
      <x:c r="E1657" s="2" t="n">
        <x:v>84</x:v>
      </x:c>
      <x:c r="F1657" s="2" t="n">
        <x:v>0</x:v>
      </x:c>
      <x:c r="G1657" s="12" t="n">
        <x:v>5313587.2028</x:v>
      </x:c>
      <x:c r="H1657" s="12" t="n">
        <x:v>172032.814461</x:v>
      </x:c>
      <x:c r="I1657" s="13" t="n">
        <x:v>0.0229928571428571</x:v>
      </x:c>
      <x:c r="J1657" s="2" t="n">
        <x:v>60</x:v>
      </x:c>
      <x:c r="K1657" s="2" t="n">
        <x:v>13</x:v>
      </x:c>
      <x:c r="L1657" s="12" t="n">
        <x:v>7051.1915</x:v>
      </x:c>
      <x:c r="M1657" s="13" t="n">
        <x:v>0.3500400123328903</x:v>
      </x:c>
      <x:c r="N1657" s="13" t="n">
        <x:f>H1657/G1657</x:f>
        <x:v>0.032376021677097376</x:v>
      </x:c>
      <x:c r="O1657" s="13" t="n">
        <x:f>F1657/E1657</x:f>
        <x:v>0</x:v>
      </x:c>
      <x:c r="P1657" s="2" t="str">
        <x:f>IF(AND(E1657&gt;='Итоги'!$F$5,N1657&lt;='Итоги'!$B$5,O1657&gt;='Итоги'!$D$5),"Да","Нет")</x:f>
        <x:v>Нет</x:v>
      </x:c>
    </x:row>
    <x:row r="1658" ht="60" customHeight="1">
      <x:c r="A1658" s="14" t="str">
        <x:v>Товары для красоты и здоровья</x:v>
      </x:c>
      <x:c r="B1658" s="14" t="str">
        <x:v>Косметическая техника</x:v>
      </x:c>
      <x:c r="C1658" s="14" t="str">
        <x:v>Оборудование для салона красоты</x:v>
      </x:c>
      <x:c r="D1658" s="14" t="str">
        <x:v>Оборудование для стерилизации и дезинфекции для салона красоты</x:v>
      </x:c>
      <x:c r="E1658" s="2" t="n">
        <x:v>30</x:v>
      </x:c>
      <x:c r="F1658" s="2" t="n">
        <x:v>0</x:v>
      </x:c>
      <x:c r="G1658" s="12" t="n">
        <x:v>4137027.8443</x:v>
      </x:c>
      <x:c r="H1658" s="12" t="n">
        <x:v>134055.30284042002</x:v>
      </x:c>
      <x:c r="I1658" s="13" t="n">
        <x:v>0.03822</x:v>
      </x:c>
      <x:c r="J1658" s="2" t="n">
        <x:v>11</x:v>
      </x:c>
      <x:c r="K1658" s="2" t="n">
        <x:v>11</x:v>
      </x:c>
      <x:c r="L1658" s="12" t="n">
        <x:v>2714.49445</x:v>
      </x:c>
      <x:c r="M1658" s="13" t="n">
        <x:v>0.6851607145949999</x:v>
      </x:c>
      <x:c r="N1658" s="13" t="n">
        <x:f>H1658/G1658</x:f>
        <x:v>0.03240377098866316</x:v>
      </x:c>
      <x:c r="O1658" s="13" t="n">
        <x:f>F1658/E1658</x:f>
        <x:v>0</x:v>
      </x:c>
      <x:c r="P1658" s="2" t="str">
        <x:f>IF(AND(E1658&gt;='Итоги'!$F$5,N1658&lt;='Итоги'!$B$5,O1658&gt;='Итоги'!$D$5),"Да","Нет")</x:f>
        <x:v>Нет</x:v>
      </x:c>
    </x:row>
    <x:row r="1659" ht="60" customHeight="1">
      <x:c r="A1659" s="14" t="str">
        <x:v>Мебель</x:v>
      </x:c>
      <x:c r="B1659" s="14" t="str">
        <x:v>Мягкая мебель</x:v>
      </x:c>
      <x:c r="C1659" s="14" t="str">
        <x:v>Диван</x:v>
      </x:c>
      <x:c r="D1659" s="14" t="str">
        <x:v>Диван-кровати</x:v>
      </x:c>
      <x:c r="E1659" s="2" t="n">
        <x:v>237</x:v>
      </x:c>
      <x:c r="F1659" s="2" t="n">
        <x:v>0</x:v>
      </x:c>
      <x:c r="G1659" s="12" t="n">
        <x:v>53026378.9803</x:v>
      </x:c>
      <x:c r="H1659" s="12" t="n">
        <x:v>1719819.00952774</x:v>
      </x:c>
      <x:c r="I1659" s="13" t="n">
        <x:v>0.0319822784810126</x:v>
      </x:c>
      <x:c r="J1659" s="2" t="n">
        <x:v>94</x:v>
      </x:c>
      <x:c r="K1659" s="2" t="n">
        <x:v>10</x:v>
      </x:c>
      <x:c r="L1659" s="12" t="n">
        <x:v>21309.25</x:v>
      </x:c>
      <x:c r="M1659" s="13" t="n">
        <x:v>0.8694623024462674</x:v>
      </x:c>
      <x:c r="N1659" s="13" t="n">
        <x:f>H1659/G1659</x:f>
        <x:v>0.032433272695589405</x:v>
      </x:c>
      <x:c r="O1659" s="13" t="n">
        <x:f>F1659/E1659</x:f>
        <x:v>0</x:v>
      </x:c>
      <x:c r="P1659" s="2" t="str">
        <x:f>IF(AND(E1659&gt;='Итоги'!$F$5,N1659&lt;='Итоги'!$B$5,O1659&gt;='Итоги'!$D$5),"Да","Нет")</x:f>
        <x:v>Нет</x:v>
      </x:c>
    </x:row>
    <x:row r="1660" ht="60" customHeight="1">
      <x:c r="A1660" s="14" t="str">
        <x:v>Спорт и отдых</x:v>
      </x:c>
      <x:c r="B1660" s="14" t="str">
        <x:v>Товары для рыбалки</x:v>
      </x:c>
      <x:c r="C1660" s="14" t="str">
        <x:v>Обувь для рыбалки</x:v>
      </x:c>
      <x:c r="D1660" s="14" t="str">
        <x:v>Сапоги для рыбалки утепленные</x:v>
      </x:c>
      <x:c r="E1660" s="2" t="n">
        <x:v>4</x:v>
      </x:c>
      <x:c r="F1660" s="2" t="n">
        <x:v>0</x:v>
      </x:c>
      <x:c r="G1660" s="12" t="n">
        <x:v>464400.87</x:v>
      </x:c>
      <x:c r="H1660" s="12" t="n">
        <x:v>15072.108821999998</x:v>
      </x:c>
      <x:c r="I1660" s="13" t="n">
        <x:v>0.02305</x:v>
      </x:c>
      <x:c r="J1660" s="2" t="n">
        <x:v>0</x:v>
      </x:c>
      <x:c r="K1660" s="2" t="n">
        <x:v>1</x:v>
      </x:c>
      <x:c r="L1660" s="12" t="n">
        <x:v>2476.4599</x:v>
      </x:c>
      <x:c r="M1660" s="13" t="n">
        <x:v>1</x:v>
      </x:c>
      <x:c r="N1660" s="13" t="n">
        <x:f>H1660/G1660</x:f>
        <x:v>0.03245495388929827</x:v>
      </x:c>
      <x:c r="O1660" s="13" t="n">
        <x:f>F1660/E1660</x:f>
        <x:v>0</x:v>
      </x:c>
      <x:c r="P1660" s="2" t="str">
        <x:f>IF(AND(E1660&gt;='Итоги'!$F$5,N1660&lt;='Итоги'!$B$5,O1660&gt;='Итоги'!$D$5),"Да","Нет")</x:f>
        <x:v>Нет</x:v>
      </x:c>
    </x:row>
    <x:row r="1661" ht="60" customHeight="1">
      <x:c r="A1661" s="14" t="str">
        <x:v>Товары для детей и спорта</x:v>
      </x:c>
      <x:c r="B1661" s="14" t="str">
        <x:v>КГТ и аксессуары для детей</x:v>
      </x:c>
      <x:c r="C1661" s="14" t="str">
        <x:v>Автокресла и аксессуары</x:v>
      </x:c>
      <x:c r="D1661" s="14" t="str">
        <x:v>Детское автокресло группы 2-3 (15-36 кг)</x:v>
      </x:c>
      <x:c r="E1661" s="2" t="n">
        <x:v>32</x:v>
      </x:c>
      <x:c r="F1661" s="2" t="n">
        <x:v>0</x:v>
      </x:c>
      <x:c r="G1661" s="12" t="n">
        <x:v>3957901.812</x:v>
      </x:c>
      <x:c r="H1661" s="12" t="n">
        <x:v>128528.37683076</x:v>
      </x:c>
      <x:c r="I1661" s="13" t="n">
        <x:v>0.027878125</x:v>
      </x:c>
      <x:c r="J1661" s="2" t="n">
        <x:v>9</x:v>
      </x:c>
      <x:c r="K1661" s="2" t="n">
        <x:v>2</x:v>
      </x:c>
      <x:c r="L1661" s="12" t="n">
        <x:v>21780.65495</x:v>
      </x:c>
      <x:c r="M1661" s="13" t="n">
        <x:v>0.9771785647319136</x:v>
      </x:c>
      <x:c r="N1661" s="13" t="n">
        <x:f>H1661/G1661</x:f>
        <x:v>0.03247386694664168</x:v>
      </x:c>
      <x:c r="O1661" s="13" t="n">
        <x:f>F1661/E1661</x:f>
        <x:v>0</x:v>
      </x:c>
      <x:c r="P1661" s="2" t="str">
        <x:f>IF(AND(E1661&gt;='Итоги'!$F$5,N1661&lt;='Итоги'!$B$5,O1661&gt;='Итоги'!$D$5),"Да","Нет")</x:f>
        <x:v>Нет</x:v>
      </x:c>
    </x:row>
    <x:row r="1662" ht="60" customHeight="1">
      <x:c r="A1662" s="14" t="str">
        <x:v>Строительство и ремонт (DIY)</x:v>
      </x:c>
      <x:c r="B1662" s="14" t="str">
        <x:v>Ремонт и строительство</x:v>
      </x:c>
      <x:c r="C1662" s="14" t="str">
        <x:v>Изоляционные материалы</x:v>
      </x:c>
      <x:c r="D1662" s="14" t="str">
        <x:v>Теплоизоляция (листовая)</x:v>
      </x:c>
      <x:c r="E1662" s="2" t="n">
        <x:v>34</x:v>
      </x:c>
      <x:c r="F1662" s="2" t="n">
        <x:v>0</x:v>
      </x:c>
      <x:c r="G1662" s="12" t="n">
        <x:v>5381773.0684</x:v>
      </x:c>
      <x:c r="H1662" s="12" t="n">
        <x:v>174865.3827865</x:v>
      </x:c>
      <x:c r="I1662" s="13" t="n">
        <x:v>0.0335029411764705</x:v>
      </x:c>
      <x:c r="J1662" s="2" t="n">
        <x:v>13</x:v>
      </x:c>
      <x:c r="K1662" s="2" t="n">
        <x:v>16</x:v>
      </x:c>
      <x:c r="L1662" s="12" t="n">
        <x:v>1790.6956</x:v>
      </x:c>
      <x:c r="M1662" s="13" t="n">
        <x:v>0.2410903887082226</x:v>
      </x:c>
      <x:c r="N1662" s="13" t="n">
        <x:f>H1662/G1662</x:f>
        <x:v>0.032492150925733376</x:v>
      </x:c>
      <x:c r="O1662" s="13" t="n">
        <x:f>F1662/E1662</x:f>
        <x:v>0</x:v>
      </x:c>
      <x:c r="P1662" s="2" t="str">
        <x:f>IF(AND(E1662&gt;='Итоги'!$F$5,N1662&lt;='Итоги'!$B$5,O1662&gt;='Итоги'!$D$5),"Да","Нет")</x:f>
        <x:v>Нет</x:v>
      </x:c>
    </x:row>
    <x:row r="1663" ht="60" customHeight="1">
      <x:c r="A1663" s="14" t="str">
        <x:v>Одежда</x:v>
      </x:c>
      <x:c r="B1663" s="14" t="str">
        <x:v>Спецодежда и одежда для мероприятий</x:v>
      </x:c>
      <x:c r="C1663" s="14" t="str">
        <x:v>Спецодежда женская</x:v>
      </x:c>
      <x:c r="D1663" s="14" t="str">
        <x:v>Медицинский костюм женский</x:v>
      </x:c>
      <x:c r="E1663" s="2" t="n">
        <x:v>43</x:v>
      </x:c>
      <x:c r="F1663" s="2" t="n">
        <x:v>0</x:v>
      </x:c>
      <x:c r="G1663" s="12" t="n">
        <x:v>3496608.3604</x:v>
      </x:c>
      <x:c r="H1663" s="12" t="n">
        <x:v>113675.51016356</x:v>
      </x:c>
      <x:c r="I1663" s="13" t="n">
        <x:v>0.0242348837209302</x:v>
      </x:c>
      <x:c r="J1663" s="2" t="n">
        <x:v>25</x:v>
      </x:c>
      <x:c r="K1663" s="2" t="n">
        <x:v>13</x:v>
      </x:c>
      <x:c r="L1663" s="12" t="n">
        <x:v>2203.65</x:v>
      </x:c>
      <x:c r="M1663" s="13" t="n">
        <x:v>0.4139877477826555</x:v>
      </x:c>
      <x:c r="N1663" s="13" t="n">
        <x:f>H1663/G1663</x:f>
        <x:v>0.032510220890324674</x:v>
      </x:c>
      <x:c r="O1663" s="13" t="n">
        <x:f>F1663/E1663</x:f>
        <x:v>0</x:v>
      </x:c>
      <x:c r="P1663" s="2" t="str">
        <x:f>IF(AND(E1663&gt;='Итоги'!$F$5,N1663&lt;='Итоги'!$B$5,O1663&gt;='Итоги'!$D$5),"Да","Нет")</x:f>
        <x:v>Нет</x:v>
      </x:c>
    </x:row>
    <x:row r="1664" ht="60" customHeight="1">
      <x:c r="A1664" s="14" t="str">
        <x:v>Ноутбуки и компьютеры</x:v>
      </x:c>
      <x:c r="B1664" s="14" t="str">
        <x:v>Компьютерная офисная техника Lap&amp;Comp</x:v>
      </x:c>
      <x:c r="C1664" s="14" t="str">
        <x:v>Компьютерная офисная техника Lap&amp;Comp</x:v>
      </x:c>
      <x:c r="D1664" s="14" t="str">
        <x:v>Принтер</x:v>
      </x:c>
      <x:c r="E1664" s="2" t="n">
        <x:v>62</x:v>
      </x:c>
      <x:c r="F1664" s="2" t="n">
        <x:v>0</x:v>
      </x:c>
      <x:c r="G1664" s="12" t="n">
        <x:v>17112240.4396</x:v>
      </x:c>
      <x:c r="H1664" s="12" t="n">
        <x:v>556545.7726455</x:v>
      </x:c>
      <x:c r="I1664" s="13" t="n">
        <x:v>0.0213983870967741</x:v>
      </x:c>
      <x:c r="J1664" s="2" t="n">
        <x:v>22</x:v>
      </x:c>
      <x:c r="K1664" s="2" t="n">
        <x:v>9</x:v>
      </x:c>
      <x:c r="L1664" s="12" t="n">
        <x:v>15084.02775</x:v>
      </x:c>
      <x:c r="M1664" s="13" t="n">
        <x:v>0.4235998965293548</x:v>
      </x:c>
      <x:c r="N1664" s="13" t="n">
        <x:f>H1664/G1664</x:f>
        <x:v>0.032523255771791236</x:v>
      </x:c>
      <x:c r="O1664" s="13" t="n">
        <x:f>F1664/E1664</x:f>
        <x:v>0</x:v>
      </x:c>
      <x:c r="P1664" s="2" t="str">
        <x:f>IF(AND(E1664&gt;='Итоги'!$F$5,N1664&lt;='Итоги'!$B$5,O1664&gt;='Итоги'!$D$5),"Да","Нет")</x:f>
        <x:v>Нет</x:v>
      </x:c>
    </x:row>
    <x:row r="1665" ht="60" customHeight="1">
      <x:c r="A1665" s="14" t="str">
        <x:v>Аудио и видеотехника</x:v>
      </x:c>
      <x:c r="B1665" s="14" t="str">
        <x:v>Система безопасности TV&amp;Audio</x:v>
      </x:c>
      <x:c r="C1665" s="14" t="str">
        <x:v>Сигнализация TV&amp;Audio</x:v>
      </x:c>
      <x:c r="D1665" s="14" t="str">
        <x:v>Сирена для сигнализации</x:v>
      </x:c>
      <x:c r="E1665" s="2" t="n">
        <x:v>9</x:v>
      </x:c>
      <x:c r="F1665" s="2" t="n">
        <x:v>0</x:v>
      </x:c>
      <x:c r="G1665" s="12" t="n">
        <x:v>838246.55</x:v>
      </x:c>
      <x:c r="H1665" s="12" t="n">
        <x:v>27266.9594</x:v>
      </x:c>
      <x:c r="I1665" s="13" t="n">
        <x:v>0.0329111111111111</x:v>
      </x:c>
      <x:c r="J1665" s="2" t="n">
        <x:v>3</x:v>
      </x:c>
      <x:c r="K1665" s="2" t="n">
        <x:v>5</x:v>
      </x:c>
      <x:c r="L1665" s="12" t="n">
        <x:v>5324</x:v>
      </x:c>
      <x:c r="M1665" s="13" t="n">
        <x:v>0.6215605659218042</x:v>
      </x:c>
      <x:c r="N1665" s="13" t="n">
        <x:f>H1665/G1665</x:f>
        <x:v>0.03252856740060547</x:v>
      </x:c>
      <x:c r="O1665" s="13" t="n">
        <x:f>F1665/E1665</x:f>
        <x:v>0</x:v>
      </x:c>
      <x:c r="P1665" s="2" t="str">
        <x:f>IF(AND(E1665&gt;='Итоги'!$F$5,N1665&lt;='Итоги'!$B$5,O1665&gt;='Итоги'!$D$5),"Да","Нет")</x:f>
        <x:v>Нет</x:v>
      </x:c>
    </x:row>
    <x:row r="1666" ht="60" customHeight="1">
      <x:c r="A1666" s="14" t="str">
        <x:v>Аксессуары</x:v>
      </x:c>
      <x:c r="B1666" s="14" t="str">
        <x:v>Ювелирные изделия</x:v>
      </x:c>
      <x:c r="C1666" s="14" t="str">
        <x:v>Аксессуар ювелирный</x:v>
      </x:c>
      <x:c r="D1666" s="14" t="str">
        <x:v>Серебро сувенир ювелирный</x:v>
      </x:c>
      <x:c r="E1666" s="2" t="n">
        <x:v>8</x:v>
      </x:c>
      <x:c r="F1666" s="2" t="n">
        <x:v>0</x:v>
      </x:c>
      <x:c r="G1666" s="12" t="n">
        <x:v>313812</x:v>
      </x:c>
      <x:c r="H1666" s="12" t="n">
        <x:v>10221.6933</x:v>
      </x:c>
      <x:c r="I1666" s="13" t="n">
        <x:v>0.0222625</x:v>
      </x:c>
      <x:c r="J1666" s="2" t="n">
        <x:v>7</x:v>
      </x:c>
      <x:c r="K1666" s="2" t="n">
        <x:v>2</x:v>
      </x:c>
      <x:c r="L1666" s="12" t="n">
        <x:v>4088.5833</x:v>
      </x:c>
      <x:c r="M1666" s="13" t="n">
        <x:v>0.8171102443501205</x:v>
      </x:c>
      <x:c r="N1666" s="13" t="n">
        <x:f>H1666/G1666</x:f>
        <x:v>0.03257266548124355</x:v>
      </x:c>
      <x:c r="O1666" s="13" t="n">
        <x:f>F1666/E1666</x:f>
        <x:v>0</x:v>
      </x:c>
      <x:c r="P1666" s="2" t="str">
        <x:f>IF(AND(E1666&gt;='Итоги'!$F$5,N1666&lt;='Итоги'!$B$5,O1666&gt;='Итоги'!$D$5),"Да","Нет")</x:f>
        <x:v>Нет</x:v>
      </x:c>
    </x:row>
    <x:row r="1667" ht="60" customHeight="1">
      <x:c r="A1667" s="14" t="str">
        <x:v>Детская одежда</x:v>
      </x:c>
      <x:c r="B1667" s="14" t="str">
        <x:v>Детская обувь</x:v>
      </x:c>
      <x:c r="C1667" s="14" t="str">
        <x:v>Обувь для мальчика</x:v>
      </x:c>
      <x:c r="D1667" s="14" t="str">
        <x:v>Ортопедические туфли для мальчика</x:v>
      </x:c>
      <x:c r="E1667" s="2" t="n">
        <x:v>11</x:v>
      </x:c>
      <x:c r="F1667" s="2" t="n">
        <x:v>0</x:v>
      </x:c>
      <x:c r="G1667" s="12" t="n">
        <x:v>1076595.7298</x:v>
      </x:c>
      <x:c r="H1667" s="12" t="n">
        <x:v>35104.5124926</x:v>
      </x:c>
      <x:c r="I1667" s="13" t="n">
        <x:v>0.0336</x:v>
      </x:c>
      <x:c r="J1667" s="2" t="n">
        <x:v>5</x:v>
      </x:c>
      <x:c r="K1667" s="2" t="n">
        <x:v>5</x:v>
      </x:c>
      <x:c r="L1667" s="12" t="n">
        <x:v>2422.44</x:v>
      </x:c>
      <x:c r="M1667" s="13" t="n">
        <x:v>0.4560978800196612</x:v>
      </x:c>
      <x:c r="N1667" s="13" t="n">
        <x:f>H1667/G1667</x:f>
        <x:v>0.03260695869481239</x:v>
      </x:c>
      <x:c r="O1667" s="13" t="n">
        <x:f>F1667/E1667</x:f>
        <x:v>0</x:v>
      </x:c>
      <x:c r="P1667" s="2" t="str">
        <x:f>IF(AND(E1667&gt;='Итоги'!$F$5,N1667&lt;='Итоги'!$B$5,O1667&gt;='Итоги'!$D$5),"Да","Нет")</x:f>
        <x:v>Нет</x:v>
      </x:c>
    </x:row>
    <x:row r="1668" ht="60" customHeight="1">
      <x:c r="A1668" s="14" t="str">
        <x:v>Мебель</x:v>
      </x:c>
      <x:c r="B1668" s="14" t="str">
        <x:v>Корпусная мебель и мебель для хранения</x:v>
      </x:c>
      <x:c r="C1668" s="14" t="str">
        <x:v>Мебель для кухни</x:v>
      </x:c>
      <x:c r="D1668" s="14" t="str">
        <x:v>Настенные модули для кухни</x:v>
      </x:c>
      <x:c r="E1668" s="2" t="n">
        <x:v>87</x:v>
      </x:c>
      <x:c r="F1668" s="2" t="n">
        <x:v>0</x:v>
      </x:c>
      <x:c r="G1668" s="12" t="n">
        <x:v>14192543.9182</x:v>
      </x:c>
      <x:c r="H1668" s="12" t="n">
        <x:v>462778.1835332</x:v>
      </x:c>
      <x:c r="I1668" s="13" t="n">
        <x:v>0.041783908045977</x:v>
      </x:c>
      <x:c r="J1668" s="2" t="n">
        <x:v>18</x:v>
      </x:c>
      <x:c r="K1668" s="2" t="n">
        <x:v>7</x:v>
      </x:c>
      <x:c r="L1668" s="12" t="n">
        <x:v>2459.8333</x:v>
      </x:c>
      <x:c r="M1668" s="13" t="n">
        <x:v>0.7063089351828729</x:v>
      </x:c>
      <x:c r="N1668" s="13" t="n">
        <x:f>H1668/G1668</x:f>
        <x:v>0.03260713415441683</x:v>
      </x:c>
      <x:c r="O1668" s="13" t="n">
        <x:f>F1668/E1668</x:f>
        <x:v>0</x:v>
      </x:c>
      <x:c r="P1668" s="2" t="str">
        <x:f>IF(AND(E1668&gt;='Итоги'!$F$5,N1668&lt;='Итоги'!$B$5,O1668&gt;='Итоги'!$D$5),"Да","Нет")</x:f>
        <x:v>Нет</x:v>
      </x:c>
    </x:row>
    <x:row r="1669" ht="60" customHeight="1">
      <x:c r="A1669" s="14" t="str">
        <x:v>Ноутбуки и компьютеры</x:v>
      </x:c>
      <x:c r="B1669" s="14" t="str">
        <x:v>Компьютерная периферия Lap&amp;Comp</x:v>
      </x:c>
      <x:c r="C1669" s="14" t="str">
        <x:v>Периферийное оборудование Lap&amp;Comp</x:v>
      </x:c>
      <x:c r="D1669" s="14" t="str">
        <x:v>Веб-камера</x:v>
      </x:c>
      <x:c r="E1669" s="2" t="n">
        <x:v>53</x:v>
      </x:c>
      <x:c r="F1669" s="2" t="n">
        <x:v>0</x:v>
      </x:c>
      <x:c r="G1669" s="12" t="n">
        <x:v>11906124.2249</x:v>
      </x:c>
      <x:c r="H1669" s="12" t="n">
        <x:v>388370.09291084</x:v>
      </x:c>
      <x:c r="I1669" s="13" t="n">
        <x:v>0.0572339622641509</x:v>
      </x:c>
      <x:c r="J1669" s="2" t="n">
        <x:v>22</x:v>
      </x:c>
      <x:c r="K1669" s="2" t="n">
        <x:v>20</x:v>
      </x:c>
      <x:c r="L1669" s="12" t="n">
        <x:v>1867.7808</x:v>
      </x:c>
      <x:c r="M1669" s="13" t="n">
        <x:v>0.4145056055587603</x:v>
      </x:c>
      <x:c r="N1669" s="13" t="n">
        <x:f>H1669/G1669</x:f>
        <x:v>0.03261935501215568</x:v>
      </x:c>
      <x:c r="O1669" s="13" t="n">
        <x:f>F1669/E1669</x:f>
        <x:v>0</x:v>
      </x:c>
      <x:c r="P1669" s="2" t="str">
        <x:f>IF(AND(E1669&gt;='Итоги'!$F$5,N1669&lt;='Итоги'!$B$5,O1669&gt;='Итоги'!$D$5),"Да","Нет")</x:f>
        <x:v>Нет</x:v>
      </x:c>
    </x:row>
    <x:row r="1670" ht="60" customHeight="1">
      <x:c r="A1670" s="14" t="str">
        <x:v>Напитки</x:v>
      </x:c>
      <x:c r="B1670" s="14" t="str">
        <x:v>Напитки горячие</x:v>
      </x:c>
      <x:c r="C1670" s="14" t="str">
        <x:v>Кофе</x:v>
      </x:c>
      <x:c r="D1670" s="14" t="str">
        <x:v>Кофе молотый</x:v>
      </x:c>
      <x:c r="E1670" s="2" t="n">
        <x:v>72</x:v>
      </x:c>
      <x:c r="F1670" s="2" t="n">
        <x:v>0</x:v>
      </x:c>
      <x:c r="G1670" s="12" t="n">
        <x:v>13190551.35</x:v>
      </x:c>
      <x:c r="H1670" s="12" t="n">
        <x:v>430547.88038654</x:v>
      </x:c>
      <x:c r="I1670" s="13" t="n">
        <x:v>0.0383</x:v>
      </x:c>
      <x:c r="J1670" s="2" t="n">
        <x:v>30</x:v>
      </x:c>
      <x:c r="K1670" s="2" t="n">
        <x:v>19</x:v>
      </x:c>
      <x:c r="L1670" s="12" t="n">
        <x:v>1162.2278</x:v>
      </x:c>
      <x:c r="M1670" s="13" t="n">
        <x:v>0.5637461678506713</x:v>
      </x:c>
      <x:c r="N1670" s="13" t="n">
        <x:f>H1670/G1670</x:f>
        <x:v>0.032640628049754726</x:v>
      </x:c>
      <x:c r="O1670" s="13" t="n">
        <x:f>F1670/E1670</x:f>
        <x:v>0</x:v>
      </x:c>
      <x:c r="P1670" s="2" t="str">
        <x:f>IF(AND(E1670&gt;='Итоги'!$F$5,N1670&lt;='Итоги'!$B$5,O1670&gt;='Итоги'!$D$5),"Да","Нет")</x:f>
        <x:v>Нет</x:v>
      </x:c>
    </x:row>
    <x:row r="1671" ht="60" customHeight="1">
      <x:c r="A1671" s="14" t="str">
        <x:v>Ноутбуки и компьютеры</x:v>
      </x:c>
      <x:c r="B1671" s="14" t="str">
        <x:v>Компьютерная офисная техника Lap&amp;Comp</x:v>
      </x:c>
      <x:c r="C1671" s="14" t="str">
        <x:v>Компьютерная офисная техника Lap&amp;Comp</x:v>
      </x:c>
      <x:c r="D1671" s="14" t="str">
        <x:v>Уничтожитель бумаги</x:v>
      </x:c>
      <x:c r="E1671" s="2" t="n">
        <x:v>21</x:v>
      </x:c>
      <x:c r="F1671" s="2" t="n">
        <x:v>0</x:v>
      </x:c>
      <x:c r="G1671" s="12" t="n">
        <x:v>3333956.4347</x:v>
      </x:c>
      <x:c r="H1671" s="12" t="n">
        <x:v>108888.72596235</x:v>
      </x:c>
      <x:c r="I1671" s="13" t="n">
        <x:v>0.0412904761904761</x:v>
      </x:c>
      <x:c r="J1671" s="2" t="n">
        <x:v>5</x:v>
      </x:c>
      <x:c r="K1671" s="2" t="n">
        <x:v>5</x:v>
      </x:c>
      <x:c r="L1671" s="12" t="n">
        <x:v>6260.875</x:v>
      </x:c>
      <x:c r="M1671" s="13" t="n">
        <x:v>0.6553571153657283</x:v>
      </x:c>
      <x:c r="N1671" s="13" t="n">
        <x:f>H1671/G1671</x:f>
        <x:v>0.03266051254570402</x:v>
      </x:c>
      <x:c r="O1671" s="13" t="n">
        <x:f>F1671/E1671</x:f>
        <x:v>0</x:v>
      </x:c>
      <x:c r="P1671" s="2" t="str">
        <x:f>IF(AND(E1671&gt;='Итоги'!$F$5,N1671&lt;='Итоги'!$B$5,O1671&gt;='Итоги'!$D$5),"Да","Нет")</x:f>
        <x:v>Нет</x:v>
      </x:c>
    </x:row>
    <x:row r="1672" ht="60" customHeight="1">
      <x:c r="A1672" s="14" t="str">
        <x:v>Одежда</x:v>
      </x:c>
      <x:c r="B1672" s="14" t="str">
        <x:v>Верхняя одежда</x:v>
      </x:c>
      <x:c r="C1672" s="14" t="str">
        <x:v>Верхняя одежда мужская</x:v>
      </x:c>
      <x:c r="D1672" s="14" t="str">
        <x:v>Куртка мужская</x:v>
      </x:c>
      <x:c r="E1672" s="2" t="n">
        <x:v>506</x:v>
      </x:c>
      <x:c r="F1672" s="2" t="n">
        <x:v>0</x:v>
      </x:c>
      <x:c r="G1672" s="12" t="n">
        <x:v>34526517.6573</x:v>
      </x:c>
      <x:c r="H1672" s="12" t="n">
        <x:v>1128463.99838643</x:v>
      </x:c>
      <x:c r="I1672" s="13" t="n">
        <x:v>0.0209596837944664</x:v>
      </x:c>
      <x:c r="J1672" s="2" t="n">
        <x:v>346</x:v>
      </x:c>
      <x:c r="K1672" s="2" t="n">
        <x:v>61</x:v>
      </x:c>
      <x:c r="L1672" s="12" t="n">
        <x:v>4402.7701</x:v>
      </x:c>
      <x:c r="M1672" s="13" t="n">
        <x:v>0.3812501948431186</x:v>
      </x:c>
      <x:c r="N1672" s="13" t="n">
        <x:f>H1672/G1672</x:f>
        <x:v>0.03268397958888382</x:v>
      </x:c>
      <x:c r="O1672" s="13" t="n">
        <x:f>F1672/E1672</x:f>
        <x:v>0</x:v>
      </x:c>
      <x:c r="P1672" s="2" t="str">
        <x:f>IF(AND(E1672&gt;='Итоги'!$F$5,N1672&lt;='Итоги'!$B$5,O1672&gt;='Итоги'!$D$5),"Да","Нет")</x:f>
        <x:v>Нет</x:v>
      </x:c>
    </x:row>
    <x:row r="1673" ht="60" customHeight="1">
      <x:c r="A1673" s="14" t="str">
        <x:v>Одежда</x:v>
      </x:c>
      <x:c r="B1673" s="14" t="str">
        <x:v>Верхняя одежда</x:v>
      </x:c>
      <x:c r="C1673" s="14" t="str">
        <x:v>Верхняя одежда мужская</x:v>
      </x:c>
      <x:c r="D1673" s="14" t="str">
        <x:v>Парка мужская</x:v>
      </x:c>
      <x:c r="E1673" s="2" t="n">
        <x:v>27</x:v>
      </x:c>
      <x:c r="F1673" s="2" t="n">
        <x:v>0</x:v>
      </x:c>
      <x:c r="G1673" s="12" t="n">
        <x:v>1895883.5906</x:v>
      </x:c>
      <x:c r="H1673" s="12" t="n">
        <x:v>61982.05105</x:v>
      </x:c>
      <x:c r="I1673" s="13" t="n">
        <x:v>0.0202555555555555</x:v>
      </x:c>
      <x:c r="J1673" s="2" t="n">
        <x:v>23</x:v>
      </x:c>
      <x:c r="K1673" s="2" t="n">
        <x:v>6</x:v>
      </x:c>
      <x:c r="L1673" s="12" t="n">
        <x:v>9447.58</x:v>
      </x:c>
      <x:c r="M1673" s="13" t="n">
        <x:v>0.5638068423081377</x:v>
      </x:c>
      <x:c r="N1673" s="13" t="n">
        <x:f>H1673/G1673</x:f>
        <x:v>0.03269296245682691</x:v>
      </x:c>
      <x:c r="O1673" s="13" t="n">
        <x:f>F1673/E1673</x:f>
        <x:v>0</x:v>
      </x:c>
      <x:c r="P1673" s="2" t="str">
        <x:f>IF(AND(E1673&gt;='Итоги'!$F$5,N1673&lt;='Итоги'!$B$5,O1673&gt;='Итоги'!$D$5),"Да","Нет")</x:f>
        <x:v>Нет</x:v>
      </x:c>
    </x:row>
    <x:row r="1674" ht="60" customHeight="1">
      <x:c r="A1674" s="14" t="str">
        <x:v>Напитки</x:v>
      </x:c>
      <x:c r="B1674" s="14" t="str">
        <x:v>Напитки холодные</x:v>
      </x:c>
      <x:c r="C1674" s="14" t="str">
        <x:v>Сироп, топпинг</x:v>
      </x:c>
      <x:c r="D1674" s="14" t="str">
        <x:v>Сироп</x:v>
      </x:c>
      <x:c r="E1674" s="2" t="n">
        <x:v>46</x:v>
      </x:c>
      <x:c r="F1674" s="2" t="n">
        <x:v>0</x:v>
      </x:c>
      <x:c r="G1674" s="12" t="n">
        <x:v>9072833.763</x:v>
      </x:c>
      <x:c r="H1674" s="12" t="n">
        <x:v>297017.81620485</x:v>
      </x:c>
      <x:c r="I1674" s="13" t="n">
        <x:v>0.036641304347826</x:v>
      </x:c>
      <x:c r="J1674" s="2" t="n">
        <x:v>23</x:v>
      </x:c>
      <x:c r="K1674" s="2" t="n">
        <x:v>13</x:v>
      </x:c>
      <x:c r="L1674" s="12" t="n">
        <x:v>1480.8752</x:v>
      </x:c>
      <x:c r="M1674" s="13" t="n">
        <x:v>0.3219154209471875</x:v>
      </x:c>
      <x:c r="N1674" s="13" t="n">
        <x:f>H1674/G1674</x:f>
        <x:v>0.03273705040382431</x:v>
      </x:c>
      <x:c r="O1674" s="13" t="n">
        <x:f>F1674/E1674</x:f>
        <x:v>0</x:v>
      </x:c>
      <x:c r="P1674" s="2" t="str">
        <x:f>IF(AND(E1674&gt;='Итоги'!$F$5,N1674&lt;='Итоги'!$B$5,O1674&gt;='Итоги'!$D$5),"Да","Нет")</x:f>
        <x:v>Нет</x:v>
      </x:c>
    </x:row>
    <x:row r="1675" ht="60" customHeight="1">
      <x:c r="A1675" s="14" t="str">
        <x:v>Строительство и ремонт (DIY)</x:v>
      </x:c>
      <x:c r="B1675" s="14" t="str">
        <x:v>Сад и огород</x:v>
      </x:c>
      <x:c r="C1675" s="14" t="str">
        <x:v>Товары для бани и сауны</x:v>
      </x:c>
      <x:c r="D1675" s="14" t="str">
        <x:v>Печь для бани, сауны</x:v>
      </x:c>
      <x:c r="E1675" s="2" t="n">
        <x:v>33</x:v>
      </x:c>
      <x:c r="F1675" s="2" t="n">
        <x:v>0</x:v>
      </x:c>
      <x:c r="G1675" s="12" t="n">
        <x:v>6014303.2068</x:v>
      </x:c>
      <x:c r="H1675" s="12" t="n">
        <x:v>197149.26154911</x:v>
      </x:c>
      <x:c r="I1675" s="13" t="n">
        <x:v>0.0420151515151515</x:v>
      </x:c>
      <x:c r="J1675" s="2" t="n">
        <x:v>9</x:v>
      </x:c>
      <x:c r="K1675" s="2" t="n">
        <x:v>6</x:v>
      </x:c>
      <x:c r="L1675" s="12" t="n">
        <x:v>15809.625</x:v>
      </x:c>
      <x:c r="M1675" s="13" t="n">
        <x:v>0.5092246806807599</x:v>
      </x:c>
      <x:c r="N1675" s="13" t="n">
        <x:f>H1675/G1675</x:f>
        <x:v>0.03278006691219118</x:v>
      </x:c>
      <x:c r="O1675" s="13" t="n">
        <x:f>F1675/E1675</x:f>
        <x:v>0</x:v>
      </x:c>
      <x:c r="P1675" s="2" t="str">
        <x:f>IF(AND(E1675&gt;='Итоги'!$F$5,N1675&lt;='Итоги'!$B$5,O1675&gt;='Итоги'!$D$5),"Да","Нет")</x:f>
        <x:v>Нет</x:v>
      </x:c>
    </x:row>
    <x:row r="1676" ht="60" customHeight="1">
      <x:c r="A1676" s="14" t="str">
        <x:v>Товары для дома</x:v>
      </x:c>
      <x:c r="B1676" s="14" t="str">
        <x:v>Ванная комната</x:v>
      </x:c>
      <x:c r="C1676" s="14" t="str">
        <x:v>Аксессуары для ванной</x:v>
      </x:c>
      <x:c r="D1676" s="14" t="str">
        <x:v>Крючок для ванной</x:v>
      </x:c>
      <x:c r="E1676" s="2" t="n">
        <x:v>6</x:v>
      </x:c>
      <x:c r="F1676" s="2" t="n">
        <x:v>0</x:v>
      </x:c>
      <x:c r="G1676" s="12" t="n">
        <x:v>631206.0622</x:v>
      </x:c>
      <x:c r="H1676" s="12" t="n">
        <x:v>20691.86378282</x:v>
      </x:c>
      <x:c r="I1676" s="13" t="n">
        <x:v>0.0299833333333333</x:v>
      </x:c>
      <x:c r="J1676" s="2" t="n">
        <x:v>1</x:v>
      </x:c>
      <x:c r="K1676" s="2" t="n">
        <x:v>1</x:v>
      </x:c>
      <x:c r="L1676" s="12" t="n">
        <x:v>1382.66595</x:v>
      </x:c>
      <x:c r="M1676" s="13" t="n">
        <x:v>1</x:v>
      </x:c>
      <x:c r="N1676" s="13" t="n">
        <x:f>H1676/G1676</x:f>
        <x:v>0.03278147188685223</x:v>
      </x:c>
      <x:c r="O1676" s="13" t="n">
        <x:f>F1676/E1676</x:f>
        <x:v>0</x:v>
      </x:c>
      <x:c r="P1676" s="2" t="str">
        <x:f>IF(AND(E1676&gt;='Итоги'!$F$5,N1676&lt;='Итоги'!$B$5,O1676&gt;='Итоги'!$D$5),"Да","Нет")</x:f>
        <x:v>Нет</x:v>
      </x:c>
    </x:row>
    <x:row r="1677" ht="60" customHeight="1">
      <x:c r="A1677" s="14" t="str">
        <x:v>Строительство и ремонт (DIY)</x:v>
      </x:c>
      <x:c r="B1677" s="14" t="str">
        <x:v>Сантехника</x:v>
      </x:c>
      <x:c r="C1677" s="14" t="str">
        <x:v>Полотенцесушитель</x:v>
      </x:c>
      <x:c r="D1677" s="14" t="str">
        <x:v>Комплектующие к полотенцесушителю</x:v>
      </x:c>
      <x:c r="E1677" s="2" t="n">
        <x:v>1</x:v>
      </x:c>
      <x:c r="F1677" s="2" t="n">
        <x:v>0</x:v>
      </x:c>
      <x:c r="G1677" s="12" t="n">
        <x:v>105561</x:v>
      </x:c>
      <x:c r="H1677" s="12" t="n">
        <x:v>3462.4008000000003</x:v>
      </x:c>
      <x:c r="I1677" s="13" t="n">
        <x:v>0.0328</x:v>
      </x:c>
      <x:c r="J1677" s="2" t="n">
        <x:v>0</x:v>
      </x:c>
      <x:c r="K1677" s="2" t="n">
        <x:v>1</x:v>
      </x:c>
      <x:c r="L1677" s="12" t="n">
        <x:v>2853</x:v>
      </x:c>
      <x:c r="M1677" s="13" t="n">
        <x:v>1</x:v>
      </x:c>
      <x:c r="N1677" s="13" t="n">
        <x:f>H1677/G1677</x:f>
        <x:v>0.0328</x:v>
      </x:c>
      <x:c r="O1677" s="13" t="n">
        <x:f>F1677/E1677</x:f>
        <x:v>0</x:v>
      </x:c>
      <x:c r="P1677" s="2" t="str">
        <x:f>IF(AND(E1677&gt;='Итоги'!$F$5,N1677&lt;='Итоги'!$B$5,O1677&gt;='Итоги'!$D$5),"Да","Нет")</x:f>
        <x:v>Нет</x:v>
      </x:c>
    </x:row>
    <x:row r="1678" ht="60" customHeight="1">
      <x:c r="A1678" s="14" t="str">
        <x:v>Спорт и отдых</x:v>
      </x:c>
      <x:c r="B1678" s="14" t="str">
        <x:v>Колесный транспорт</x:v>
      </x:c>
      <x:c r="C1678" s="14" t="str">
        <x:v>Ролики</x:v>
      </x:c>
      <x:c r="D1678" s="14" t="str">
        <x:v>Роликовые коньки мужские</x:v>
      </x:c>
      <x:c r="E1678" s="2" t="n">
        <x:v>15</x:v>
      </x:c>
      <x:c r="F1678" s="2" t="n">
        <x:v>0</x:v>
      </x:c>
      <x:c r="G1678" s="12" t="n">
        <x:v>1122026.03</x:v>
      </x:c>
      <x:c r="H1678" s="12" t="n">
        <x:v>36919.521139</x:v>
      </x:c>
      <x:c r="I1678" s="13" t="n">
        <x:v>0.02116</x:v>
      </x:c>
      <x:c r="J1678" s="2" t="n">
        <x:v>5</x:v>
      </x:c>
      <x:c r="K1678" s="2" t="n">
        <x:v>6</x:v>
      </x:c>
      <x:c r="L1678" s="12" t="n">
        <x:v>7276.561</x:v>
      </x:c>
      <x:c r="M1678" s="13" t="n">
        <x:v>0.8017719784985737</x:v>
      </x:c>
      <x:c r="N1678" s="13" t="n">
        <x:f>H1678/G1678</x:f>
        <x:v>0.03290433568550989</x:v>
      </x:c>
      <x:c r="O1678" s="13" t="n">
        <x:f>F1678/E1678</x:f>
        <x:v>0</x:v>
      </x:c>
      <x:c r="P1678" s="2" t="str">
        <x:f>IF(AND(E1678&gt;='Итоги'!$F$5,N1678&lt;='Итоги'!$B$5,O1678&gt;='Итоги'!$D$5),"Да","Нет")</x:f>
        <x:v>Нет</x:v>
      </x:c>
    </x:row>
    <x:row r="1679" ht="60" customHeight="1">
      <x:c r="A1679" s="14" t="str">
        <x:v>Товары для дома</x:v>
      </x:c>
      <x:c r="B1679" s="14" t="str">
        <x:v>Кухня</x:v>
      </x:c>
      <x:c r="C1679" s="14" t="str">
        <x:v>Питьевое стекло, аксессуар для бара, сосуд для жидкости</x:v>
      </x:c>
      <x:c r="D1679" s="14" t="str">
        <x:v>Бочки и емкости для алкоголя</x:v>
      </x:c>
      <x:c r="E1679" s="2" t="n">
        <x:v>41</x:v>
      </x:c>
      <x:c r="F1679" s="2" t="n">
        <x:v>0</x:v>
      </x:c>
      <x:c r="G1679" s="12" t="n">
        <x:v>5204639.9672</x:v>
      </x:c>
      <x:c r="H1679" s="12" t="n">
        <x:v>171438.02151543</x:v>
      </x:c>
      <x:c r="I1679" s="13" t="n">
        <x:v>0.0260853658536585</x:v>
      </x:c>
      <x:c r="J1679" s="2" t="n">
        <x:v>13</x:v>
      </x:c>
      <x:c r="K1679" s="2" t="n">
        <x:v>9</x:v>
      </x:c>
      <x:c r="L1679" s="12" t="n">
        <x:v>6219.0963</x:v>
      </x:c>
      <x:c r="M1679" s="13" t="n">
        <x:v>0.4217966932842485</x:v>
      </x:c>
      <x:c r="N1679" s="13" t="n">
        <x:f>H1679/G1679</x:f>
        <x:v>0.03293945836711939</x:v>
      </x:c>
      <x:c r="O1679" s="13" t="n">
        <x:f>F1679/E1679</x:f>
        <x:v>0</x:v>
      </x:c>
      <x:c r="P1679" s="2" t="str">
        <x:f>IF(AND(E1679&gt;='Итоги'!$F$5,N1679&lt;='Итоги'!$B$5,O1679&gt;='Итоги'!$D$5),"Да","Нет")</x:f>
        <x:v>Нет</x:v>
      </x:c>
    </x:row>
    <x:row r="1680" ht="60" customHeight="1">
      <x:c r="A1680" s="14" t="str">
        <x:v>Одежда</x:v>
      </x:c>
      <x:c r="B1680" s="14" t="str">
        <x:v>Белье, домашняя одежда и ЧНИ</x:v>
      </x:c>
      <x:c r="C1680" s="14" t="str">
        <x:v>Спортивное белье, носки</x:v>
      </x:c>
      <x:c r="D1680" s="14" t="str">
        <x:v>Спортивные термоноски</x:v>
      </x:c>
      <x:c r="E1680" s="2" t="n">
        <x:v>10</x:v>
      </x:c>
      <x:c r="F1680" s="2" t="n">
        <x:v>0</x:v>
      </x:c>
      <x:c r="G1680" s="12" t="n">
        <x:v>986244.0909</x:v>
      </x:c>
      <x:c r="H1680" s="12" t="n">
        <x:v>32523.33101634</x:v>
      </x:c>
      <x:c r="I1680" s="13" t="n">
        <x:v>0.03602</x:v>
      </x:c>
      <x:c r="J1680" s="2" t="n">
        <x:v>2</x:v>
      </x:c>
      <x:c r="K1680" s="2" t="n">
        <x:v>3</x:v>
      </x:c>
      <x:c r="L1680" s="12" t="n">
        <x:v>1570.302</x:v>
      </x:c>
      <x:c r="M1680" s="13" t="n">
        <x:v>0.7528157956540615</x:v>
      </x:c>
      <x:c r="N1680" s="13" t="n">
        <x:f>H1680/G1680</x:f>
        <x:v>0.03297695906766928</x:v>
      </x:c>
      <x:c r="O1680" s="13" t="n">
        <x:f>F1680/E1680</x:f>
        <x:v>0</x:v>
      </x:c>
      <x:c r="P1680" s="2" t="str">
        <x:f>IF(AND(E1680&gt;='Итоги'!$F$5,N1680&lt;='Итоги'!$B$5,O1680&gt;='Итоги'!$D$5),"Да","Нет")</x:f>
        <x:v>Нет</x:v>
      </x:c>
    </x:row>
    <x:row r="1681" ht="60" customHeight="1">
      <x:c r="A1681" s="14" t="str">
        <x:v>Автотовары</x:v>
      </x:c>
      <x:c r="B1681" s="14" t="str">
        <x:v>Авто и мото запчасти</x:v>
      </x:c>
      <x:c r="C1681" s="14" t="str">
        <x:v>Система питания автомобиля</x:v>
      </x:c>
      <x:c r="D1681" s="14" t="str">
        <x:v>Форсунки топливные</x:v>
      </x:c>
      <x:c r="E1681" s="2" t="n">
        <x:v>13</x:v>
      </x:c>
      <x:c r="F1681" s="2" t="n">
        <x:v>0</x:v>
      </x:c>
      <x:c r="G1681" s="12" t="n">
        <x:v>2126291.7828</x:v>
      </x:c>
      <x:c r="H1681" s="12" t="n">
        <x:v>70246.71694319</x:v>
      </x:c>
      <x:c r="I1681" s="13" t="n">
        <x:v>0.0374692307692307</x:v>
      </x:c>
      <x:c r="J1681" s="2" t="n">
        <x:v>5</x:v>
      </x:c>
      <x:c r="K1681" s="2" t="n">
        <x:v>5</x:v>
      </x:c>
      <x:c r="L1681" s="12" t="n">
        <x:v>2064.5111</x:v>
      </x:c>
      <x:c r="M1681" s="13" t="n">
        <x:v>0.3959462167940801</x:v>
      </x:c>
      <x:c r="N1681" s="13" t="n">
        <x:f>H1681/G1681</x:f>
        <x:v>0.033037195323534496</x:v>
      </x:c>
      <x:c r="O1681" s="13" t="n">
        <x:f>F1681/E1681</x:f>
        <x:v>0</x:v>
      </x:c>
      <x:c r="P1681" s="2" t="str">
        <x:f>IF(AND(E1681&gt;='Итоги'!$F$5,N1681&lt;='Итоги'!$B$5,O1681&gt;='Итоги'!$D$5),"Да","Нет")</x:f>
        <x:v>Нет</x:v>
      </x:c>
    </x:row>
    <x:row r="1682" ht="60" customHeight="1">
      <x:c r="A1682" s="14" t="str">
        <x:v>Аптека</x:v>
      </x:c>
      <x:c r="B1682" s="14" t="str">
        <x:v>Тату</x:v>
      </x:c>
      <x:c r="C1682" s="14" t="str">
        <x:v>Тату машинки</x:v>
      </x:c>
      <x:c r="D1682" s="14" t="str">
        <x:v>Роторная тату машинка</x:v>
      </x:c>
      <x:c r="E1682" s="2" t="n">
        <x:v>18</x:v>
      </x:c>
      <x:c r="F1682" s="2" t="n">
        <x:v>0</x:v>
      </x:c>
      <x:c r="G1682" s="12" t="n">
        <x:v>1727417.3742</x:v>
      </x:c>
      <x:c r="H1682" s="12" t="n">
        <x:v>57128.0536</x:v>
      </x:c>
      <x:c r="I1682" s="13" t="n">
        <x:v>0.0216166666666666</x:v>
      </x:c>
      <x:c r="J1682" s="2" t="n">
        <x:v>14</x:v>
      </x:c>
      <x:c r="K1682" s="2" t="n">
        <x:v>7</x:v>
      </x:c>
      <x:c r="L1682" s="12" t="n">
        <x:v>10106.35625</x:v>
      </x:c>
      <x:c r="M1682" s="13" t="n">
        <x:v>0.2773518382735275</x:v>
      </x:c>
      <x:c r="N1682" s="13" t="n">
        <x:f>H1682/G1682</x:f>
        <x:v>0.033071366800659335</x:v>
      </x:c>
      <x:c r="O1682" s="13" t="n">
        <x:f>F1682/E1682</x:f>
        <x:v>0</x:v>
      </x:c>
      <x:c r="P1682" s="2" t="str">
        <x:f>IF(AND(E1682&gt;='Итоги'!$F$5,N1682&lt;='Итоги'!$B$5,O1682&gt;='Итоги'!$D$5),"Да","Нет")</x:f>
        <x:v>Нет</x:v>
      </x:c>
    </x:row>
    <x:row r="1683" ht="60" customHeight="1">
      <x:c r="A1683" s="14" t="str">
        <x:v>Аптека</x:v>
      </x:c>
      <x:c r="B1683" s="14" t="str">
        <x:v>Медицинская техника</x:v>
      </x:c>
      <x:c r="C1683" s="14" t="str">
        <x:v>Медицинская техника</x:v>
      </x:c>
      <x:c r="D1683" s="14" t="str">
        <x:v>Аппарат магнитотерапии</x:v>
      </x:c>
      <x:c r="E1683" s="2" t="n">
        <x:v>32</x:v>
      </x:c>
      <x:c r="F1683" s="2" t="n">
        <x:v>0</x:v>
      </x:c>
      <x:c r="G1683" s="12" t="n">
        <x:v>8234209.02</x:v>
      </x:c>
      <x:c r="H1683" s="12" t="n">
        <x:v>272318.569154</x:v>
      </x:c>
      <x:c r="I1683" s="13" t="n">
        <x:v>0.0330625</x:v>
      </x:c>
      <x:c r="J1683" s="2" t="n">
        <x:v>9</x:v>
      </x:c>
      <x:c r="K1683" s="2" t="n">
        <x:v>13</x:v>
      </x:c>
      <x:c r="L1683" s="12" t="n">
        <x:v>8005.911400000001</x:v>
      </x:c>
      <x:c r="M1683" s="13" t="n">
        <x:v>0.2714957252809694</x:v>
      </x:c>
      <x:c r="N1683" s="13" t="n">
        <x:f>H1683/G1683</x:f>
        <x:v>0.03307161240291178</x:v>
      </x:c>
      <x:c r="O1683" s="13" t="n">
        <x:f>F1683/E1683</x:f>
        <x:v>0</x:v>
      </x:c>
      <x:c r="P1683" s="2" t="str">
        <x:f>IF(AND(E1683&gt;='Итоги'!$F$5,N1683&lt;='Итоги'!$B$5,O1683&gt;='Итоги'!$D$5),"Да","Нет")</x:f>
        <x:v>Нет</x:v>
      </x:c>
    </x:row>
    <x:row r="1684" ht="60" customHeight="1">
      <x:c r="A1684" s="14" t="str">
        <x:v>Строительство и ремонт (DIY)</x:v>
      </x:c>
      <x:c r="B1684" s="14" t="str">
        <x:v>Ремонт и строительство</x:v>
      </x:c>
      <x:c r="C1684" s="14" t="str">
        <x:v>Скобяные изделия</x:v>
      </x:c>
      <x:c r="D1684" s="14" t="str">
        <x:v>Винт, болт</x:v>
      </x:c>
      <x:c r="E1684" s="2" t="n">
        <x:v>3</x:v>
      </x:c>
      <x:c r="F1684" s="2" t="n">
        <x:v>0</x:v>
      </x:c>
      <x:c r="G1684" s="12" t="n">
        <x:v>394959</x:v>
      </x:c>
      <x:c r="H1684" s="12" t="n">
        <x:v>13096.328</x:v>
      </x:c>
      <x:c r="I1684" s="13" t="n">
        <x:v>0.0261333333333333</x:v>
      </x:c>
      <x:c r="J1684" s="2" t="n">
        <x:v>2</x:v>
      </x:c>
      <x:c r="K1684" s="2" t="n">
        <x:v>2</x:v>
      </x:c>
      <x:c r="L1684" s="12" t="n">
        <x:v>1358.0894</x:v>
      </x:c>
      <x:c r="M1684" s="13" t="n">
        <x:v>0.9755037864689752</x:v>
      </x:c>
      <x:c r="N1684" s="13" t="n">
        <x:f>H1684/G1684</x:f>
        <x:v>0.03315870254887216</x:v>
      </x:c>
      <x:c r="O1684" s="13" t="n">
        <x:f>F1684/E1684</x:f>
        <x:v>0</x:v>
      </x:c>
      <x:c r="P1684" s="2" t="str">
        <x:f>IF(AND(E1684&gt;='Итоги'!$F$5,N1684&lt;='Итоги'!$B$5,O1684&gt;='Итоги'!$D$5),"Да","Нет")</x:f>
        <x:v>Нет</x:v>
      </x:c>
    </x:row>
    <x:row r="1685" ht="60" customHeight="1">
      <x:c r="A1685" s="14" t="str">
        <x:v>Аксессуары для электроники</x:v>
      </x:c>
      <x:c r="B1685" s="14" t="str">
        <x:v>Домашняя Аудио и Видеотехника Access</x:v>
      </x:c>
      <x:c r="C1685" s="14" t="str">
        <x:v>Аксессуар к TV и аудиотехнике Access</x:v>
      </x:c>
      <x:c r="D1685" s="14" t="str">
        <x:v>Часы проекционные</x:v>
      </x:c>
      <x:c r="E1685" s="2" t="n">
        <x:v>1</x:v>
      </x:c>
      <x:c r="F1685" s="2" t="n">
        <x:v>0</x:v>
      </x:c>
      <x:c r="G1685" s="12" t="n">
        <x:v>217588</x:v>
      </x:c>
      <x:c r="H1685" s="12" t="n">
        <x:v>7223.9216</x:v>
      </x:c>
      <x:c r="I1685" s="13" t="n">
        <x:v>0.0332</x:v>
      </x:c>
      <x:c r="J1685" s="2" t="n">
        <x:v>0</x:v>
      </x:c>
      <x:c r="K1685" s="2" t="n">
        <x:v>1</x:v>
      </x:c>
      <x:c r="L1685" s="12" t="n">
        <x:v>1623.791</x:v>
      </x:c>
      <x:c r="M1685" s="13" t="n">
        <x:v>1</x:v>
      </x:c>
      <x:c r="N1685" s="13" t="n">
        <x:f>H1685/G1685</x:f>
        <x:v>0.0332</x:v>
      </x:c>
      <x:c r="O1685" s="13" t="n">
        <x:f>F1685/E1685</x:f>
        <x:v>0</x:v>
      </x:c>
      <x:c r="P1685" s="2" t="str">
        <x:f>IF(AND(E1685&gt;='Итоги'!$F$5,N1685&lt;='Итоги'!$B$5,O1685&gt;='Итоги'!$D$5),"Да","Нет")</x:f>
        <x:v>Нет</x:v>
      </x:c>
    </x:row>
    <x:row r="1686" ht="60" customHeight="1">
      <x:c r="A1686" s="14" t="str">
        <x:v>Крупная бытовая техника</x:v>
      </x:c>
      <x:c r="B1686" s="14" t="str">
        <x:v>MDA Встраиваемая техника</x:v>
      </x:c>
      <x:c r="C1686" s="14" t="str">
        <x:v>MDA Встраиваемая посудомоечная машина</x:v>
      </x:c>
      <x:c r="D1686" s="14" t="str">
        <x:v>Встраиваемая посудомоечная машина компактная</x:v>
      </x:c>
      <x:c r="E1686" s="2" t="n">
        <x:v>15</x:v>
      </x:c>
      <x:c r="F1686" s="2" t="n">
        <x:v>0</x:v>
      </x:c>
      <x:c r="G1686" s="12" t="n">
        <x:v>5401065.35</x:v>
      </x:c>
      <x:c r="H1686" s="12" t="n">
        <x:v>179712.13928499998</x:v>
      </x:c>
      <x:c r="I1686" s="13" t="n">
        <x:v>0.02578</x:v>
      </x:c>
      <x:c r="J1686" s="2" t="n">
        <x:v>7</x:v>
      </x:c>
      <x:c r="K1686" s="2" t="n">
        <x:v>1</x:v>
      </x:c>
      <x:c r="L1686" s="12" t="n">
        <x:v>25912.2121</x:v>
      </x:c>
      <x:c r="M1686" s="13" t="n">
        <x:v>1</x:v>
      </x:c>
      <x:c r="N1686" s="13" t="n">
        <x:f>H1686/G1686</x:f>
        <x:v>0.03327346137091269</x:v>
      </x:c>
      <x:c r="O1686" s="13" t="n">
        <x:f>F1686/E1686</x:f>
        <x:v>0</x:v>
      </x:c>
      <x:c r="P1686" s="2" t="str">
        <x:f>IF(AND(E1686&gt;='Итоги'!$F$5,N1686&lt;='Итоги'!$B$5,O1686&gt;='Итоги'!$D$5),"Да","Нет")</x:f>
        <x:v>Нет</x:v>
      </x:c>
    </x:row>
    <x:row r="1687" ht="60" customHeight="1">
      <x:c r="A1687" s="14" t="str">
        <x:v>Бакалея и кондитерские изделия</x:v>
      </x:c>
      <x:c r="B1687" s="14" t="str">
        <x:v>Кондитерские изделия</x:v>
      </x:c>
      <x:c r="C1687" s="14" t="str">
        <x:v>Шоколадные изделия</x:v>
      </x:c>
      <x:c r="D1687" s="14" t="str">
        <x:v>Плиточный шоколад</x:v>
      </x:c>
      <x:c r="E1687" s="2" t="n">
        <x:v>77</x:v>
      </x:c>
      <x:c r="F1687" s="2" t="n">
        <x:v>0</x:v>
      </x:c>
      <x:c r="G1687" s="12" t="n">
        <x:v>10388299.5863</x:v>
      </x:c>
      <x:c r="H1687" s="12" t="n">
        <x:v>346819.35538118</x:v>
      </x:c>
      <x:c r="I1687" s="13" t="n">
        <x:v>0.0311480519480519</x:v>
      </x:c>
      <x:c r="J1687" s="2" t="n">
        <x:v>38</x:v>
      </x:c>
      <x:c r="K1687" s="2" t="n">
        <x:v>26</x:v>
      </x:c>
      <x:c r="L1687" s="12" t="n">
        <x:v>1462.3448</x:v>
      </x:c>
      <x:c r="M1687" s="13" t="n">
        <x:v>0.4256927978792594</x:v>
      </x:c>
      <x:c r="N1687" s="13" t="n">
        <x:f>H1687/G1687</x:f>
        <x:v>0.03338557504045824</x:v>
      </x:c>
      <x:c r="O1687" s="13" t="n">
        <x:f>F1687/E1687</x:f>
        <x:v>0</x:v>
      </x:c>
      <x:c r="P1687" s="2" t="str">
        <x:f>IF(AND(E1687&gt;='Итоги'!$F$5,N1687&lt;='Итоги'!$B$5,O1687&gt;='Итоги'!$D$5),"Да","Нет")</x:f>
        <x:v>Нет</x:v>
      </x:c>
    </x:row>
    <x:row r="1688" ht="60" customHeight="1">
      <x:c r="A1688" s="14" t="str">
        <x:v>Строительство и ремонт (DIY)</x:v>
      </x:c>
      <x:c r="B1688" s="14" t="str">
        <x:v>Сантехника</x:v>
      </x:c>
      <x:c r="C1688" s="14" t="str">
        <x:v>Аксессуары для сантехники</x:v>
      </x:c>
      <x:c r="D1688" s="14" t="str">
        <x:v>Решетка для раковины/мойки</x:v>
      </x:c>
      <x:c r="E1688" s="2" t="n">
        <x:v>1</x:v>
      </x:c>
      <x:c r="F1688" s="2" t="n">
        <x:v>0</x:v>
      </x:c>
      <x:c r="G1688" s="12" t="n">
        <x:v>85958.59</x:v>
      </x:c>
      <x:c r="H1688" s="12" t="n">
        <x:v>2871.016906</x:v>
      </x:c>
      <x:c r="I1688" s="13" t="n">
        <x:v>0.0334</x:v>
      </x:c>
      <x:c r="J1688" s="2" t="n">
        <x:v>0</x:v>
      </x:c>
      <x:c r="K1688" s="2" t="n">
        <x:v>1</x:v>
      </x:c>
      <x:c r="L1688" s="12" t="n">
        <x:v>1023.3165</x:v>
      </x:c>
      <x:c r="M1688" s="13" t="n">
        <x:v>1</x:v>
      </x:c>
      <x:c r="N1688" s="13" t="n">
        <x:f>H1688/G1688</x:f>
        <x:v>0.0334</x:v>
      </x:c>
      <x:c r="O1688" s="13" t="n">
        <x:f>F1688/E1688</x:f>
        <x:v>0</x:v>
      </x:c>
      <x:c r="P1688" s="2" t="str">
        <x:f>IF(AND(E1688&gt;='Итоги'!$F$5,N1688&lt;='Итоги'!$B$5,O1688&gt;='Итоги'!$D$5),"Да","Нет")</x:f>
        <x:v>Нет</x:v>
      </x:c>
    </x:row>
    <x:row r="1689" ht="60" customHeight="1">
      <x:c r="A1689" s="14" t="str">
        <x:v>Товары для животных</x:v>
      </x:c>
      <x:c r="B1689" s="14" t="str">
        <x:v>Гигиена и уход животных</x:v>
      </x:c>
      <x:c r="C1689" s="14" t="str">
        <x:v>Ветеринарные средства лечебные нелицензированные</x:v>
      </x:c>
      <x:c r="D1689" s="14" t="str">
        <x:v>Средства от экто- и эндопаразитов нелицензированные</x:v>
      </x:c>
      <x:c r="E1689" s="2" t="n">
        <x:v>1</x:v>
      </x:c>
      <x:c r="F1689" s="2" t="n">
        <x:v>0</x:v>
      </x:c>
      <x:c r="G1689" s="12" t="n">
        <x:v>187956.1244</x:v>
      </x:c>
      <x:c r="H1689" s="12" t="n">
        <x:v>6277.73455496</x:v>
      </x:c>
      <x:c r="I1689" s="13" t="n">
        <x:v>0.0334</x:v>
      </x:c>
      <x:c r="J1689" s="2" t="n">
        <x:v>0</x:v>
      </x:c>
      <x:c r="K1689" s="2" t="n">
        <x:v>1</x:v>
      </x:c>
      <x:c r="L1689" s="12" t="n">
        <x:v>299.2932</x:v>
      </x:c>
      <x:c r="M1689" s="13" t="n">
        <x:v>1</x:v>
      </x:c>
      <x:c r="N1689" s="13" t="n">
        <x:f>H1689/G1689</x:f>
        <x:v>0.0334</x:v>
      </x:c>
      <x:c r="O1689" s="13" t="n">
        <x:f>F1689/E1689</x:f>
        <x:v>0</x:v>
      </x:c>
      <x:c r="P1689" s="2" t="str">
        <x:f>IF(AND(E1689&gt;='Итоги'!$F$5,N1689&lt;='Итоги'!$B$5,O1689&gt;='Итоги'!$D$5),"Да","Нет")</x:f>
        <x:v>Нет</x:v>
      </x:c>
    </x:row>
    <x:row r="1690" ht="60" customHeight="1">
      <x:c r="A1690" s="14" t="str">
        <x:v>Бакалея и кондитерские изделия</x:v>
      </x:c>
      <x:c r="B1690" s="14" t="str">
        <x:v>Бакалея</x:v>
      </x:c>
      <x:c r="C1690" s="14" t="str">
        <x:v>Приправы, специи, травы</x:v>
      </x:c>
      <x:c r="D1690" s="14" t="str">
        <x:v>Сухая смесь пищевая (для приготовления и выпечки)</x:v>
      </x:c>
      <x:c r="E1690" s="2" t="n">
        <x:v>16</x:v>
      </x:c>
      <x:c r="F1690" s="2" t="n">
        <x:v>0</x:v>
      </x:c>
      <x:c r="G1690" s="12" t="n">
        <x:v>1918538.388</x:v>
      </x:c>
      <x:c r="H1690" s="12" t="n">
        <x:v>64269.41920998</x:v>
      </x:c>
      <x:c r="I1690" s="13" t="n">
        <x:v>0.03593125</x:v>
      </x:c>
      <x:c r="J1690" s="2" t="n">
        <x:v>9</x:v>
      </x:c>
      <x:c r="K1690" s="2" t="n">
        <x:v>9</x:v>
      </x:c>
      <x:c r="L1690" s="12" t="n">
        <x:v>1253.1044</x:v>
      </x:c>
      <x:c r="M1690" s="13" t="n">
        <x:v>0.2702806279214257</x:v>
      </x:c>
      <x:c r="N1690" s="13" t="n">
        <x:f>H1690/G1690</x:f>
        <x:v>0.033499157281381434</x:v>
      </x:c>
      <x:c r="O1690" s="13" t="n">
        <x:f>F1690/E1690</x:f>
        <x:v>0</x:v>
      </x:c>
      <x:c r="P1690" s="2" t="str">
        <x:f>IF(AND(E1690&gt;='Итоги'!$F$5,N1690&lt;='Итоги'!$B$5,O1690&gt;='Итоги'!$D$5),"Да","Нет")</x:f>
        <x:v>Нет</x:v>
      </x:c>
    </x:row>
    <x:row r="1691" ht="60" customHeight="1">
      <x:c r="A1691" s="14" t="str">
        <x:v>Автотовары</x:v>
      </x:c>
      <x:c r="B1691" s="14" t="str">
        <x:v>Авто и мото запчасти</x:v>
      </x:c>
      <x:c r="C1691" s="14" t="str">
        <x:v>Отопление и кондиционирование для авто</x:v>
      </x:c>
      <x:c r="D1691" s="14" t="str">
        <x:v>Воздушный отопитель авто</x:v>
      </x:c>
      <x:c r="E1691" s="2" t="n">
        <x:v>43</x:v>
      </x:c>
      <x:c r="F1691" s="2" t="n">
        <x:v>0</x:v>
      </x:c>
      <x:c r="G1691" s="12" t="n">
        <x:v>7677051.653</x:v>
      </x:c>
      <x:c r="H1691" s="12" t="n">
        <x:v>257470.0808626</x:v>
      </x:c>
      <x:c r="I1691" s="13" t="n">
        <x:v>0.0334558139534883</x:v>
      </x:c>
      <x:c r="J1691" s="2" t="n">
        <x:v>14</x:v>
      </x:c>
      <x:c r="K1691" s="2" t="n">
        <x:v>10</x:v>
      </x:c>
      <x:c r="L1691" s="12" t="n">
        <x:v>8069.9333</x:v>
      </x:c>
      <x:c r="M1691" s="13" t="n">
        <x:v>0.4982605658912322</x:v>
      </x:c>
      <x:c r="N1691" s="13" t="n">
        <x:f>H1691/G1691</x:f>
        <x:v>0.03353762518479176</x:v>
      </x:c>
      <x:c r="O1691" s="13" t="n">
        <x:f>F1691/E1691</x:f>
        <x:v>0</x:v>
      </x:c>
      <x:c r="P1691" s="2" t="str">
        <x:f>IF(AND(E1691&gt;='Итоги'!$F$5,N1691&lt;='Итоги'!$B$5,O1691&gt;='Итоги'!$D$5),"Да","Нет")</x:f>
        <x:v>Нет</x:v>
      </x:c>
    </x:row>
    <x:row r="1692" ht="60" customHeight="1">
      <x:c r="A1692" s="14" t="str">
        <x:v>Аксессуары для электроники</x:v>
      </x:c>
      <x:c r="B1692" s="14" t="str">
        <x:v>Аксессуары для МБТ (дом) Access</x:v>
      </x:c>
      <x:c r="C1692" s="14" t="str">
        <x:v>Аксессуары для пылесоса Access</x:v>
      </x:c>
      <x:c r="D1692" s="14" t="str">
        <x:v>Фильтр для пылесосов</x:v>
      </x:c>
      <x:c r="E1692" s="2" t="n">
        <x:v>9</x:v>
      </x:c>
      <x:c r="F1692" s="2" t="n">
        <x:v>0</x:v>
      </x:c>
      <x:c r="G1692" s="12" t="n">
        <x:v>1247953.7499</x:v>
      </x:c>
      <x:c r="H1692" s="12" t="n">
        <x:v>42000.17971202</x:v>
      </x:c>
      <x:c r="I1692" s="13" t="n">
        <x:v>0.0359777777777777</x:v>
      </x:c>
      <x:c r="J1692" s="2" t="n">
        <x:v>4</x:v>
      </x:c>
      <x:c r="K1692" s="2" t="n">
        <x:v>6</x:v>
      </x:c>
      <x:c r="L1692" s="12" t="n">
        <x:v>1352.1176</x:v>
      </x:c>
      <x:c r="M1692" s="13" t="n">
        <x:v>0.4084950033932343</x:v>
      </x:c>
      <x:c r="N1692" s="13" t="n">
        <x:f>H1692/G1692</x:f>
        <x:v>0.03365523739592555</x:v>
      </x:c>
      <x:c r="O1692" s="13" t="n">
        <x:f>F1692/E1692</x:f>
        <x:v>0</x:v>
      </x:c>
      <x:c r="P1692" s="2" t="str">
        <x:f>IF(AND(E1692&gt;='Итоги'!$F$5,N1692&lt;='Итоги'!$B$5,O1692&gt;='Итоги'!$D$5),"Да","Нет")</x:f>
        <x:v>Нет</x:v>
      </x:c>
    </x:row>
    <x:row r="1693" ht="60" customHeight="1">
      <x:c r="A1693" s="14" t="str">
        <x:v>Одежда</x:v>
      </x:c>
      <x:c r="B1693" s="14" t="str">
        <x:v>Основная одежда женская</x:v>
      </x:c>
      <x:c r="C1693" s="14" t="str">
        <x:v>Основная одежда женская верха</x:v>
      </x:c>
      <x:c r="D1693" s="14" t="str">
        <x:v>Жилет женский</x:v>
      </x:c>
      <x:c r="E1693" s="2" t="n">
        <x:v>518</x:v>
      </x:c>
      <x:c r="F1693" s="2" t="n">
        <x:v>0</x:v>
      </x:c>
      <x:c r="G1693" s="12" t="n">
        <x:v>45733435.7951</x:v>
      </x:c>
      <x:c r="H1693" s="12" t="n">
        <x:v>1541184.9008741</x:v>
      </x:c>
      <x:c r="I1693" s="13" t="n">
        <x:v>0.0231287644787644</x:v>
      </x:c>
      <x:c r="J1693" s="2" t="n">
        <x:v>328</x:v>
      </x:c>
      <x:c r="K1693" s="2" t="n">
        <x:v>66</x:v>
      </x:c>
      <x:c r="L1693" s="12" t="n">
        <x:v>2117.38</x:v>
      </x:c>
      <x:c r="M1693" s="13" t="n">
        <x:v>0.1891051718538631</x:v>
      </x:c>
      <x:c r="N1693" s="13" t="n">
        <x:f>H1693/G1693</x:f>
        <x:v>0.03369930279848396</x:v>
      </x:c>
      <x:c r="O1693" s="13" t="n">
        <x:f>F1693/E1693</x:f>
        <x:v>0</x:v>
      </x:c>
      <x:c r="P1693" s="2" t="str">
        <x:f>IF(AND(E1693&gt;='Итоги'!$F$5,N1693&lt;='Итоги'!$B$5,O1693&gt;='Итоги'!$D$5),"Да","Нет")</x:f>
        <x:v>Нет</x:v>
      </x:c>
    </x:row>
    <x:row r="1694" ht="60" customHeight="1">
      <x:c r="A1694" s="14" t="str">
        <x:v>Одежда</x:v>
      </x:c>
      <x:c r="B1694" s="14" t="str">
        <x:v>Основная одежда женская</x:v>
      </x:c>
      <x:c r="C1694" s="14" t="str">
        <x:v>Головные уборы, перчатки, шарфы женские</x:v>
      </x:c>
      <x:c r="D1694" s="14" t="str">
        <x:v>Женская бейсболка</x:v>
      </x:c>
      <x:c r="E1694" s="2" t="n">
        <x:v>25</x:v>
      </x:c>
      <x:c r="F1694" s="2" t="n">
        <x:v>0</x:v>
      </x:c>
      <x:c r="G1694" s="12" t="n">
        <x:v>1814150.8718</x:v>
      </x:c>
      <x:c r="H1694" s="12" t="n">
        <x:v>61151.67592557</x:v>
      </x:c>
      <x:c r="I1694" s="13" t="n">
        <x:v>0.021932</x:v>
      </x:c>
      <x:c r="J1694" s="2" t="n">
        <x:v>21</x:v>
      </x:c>
      <x:c r="K1694" s="2" t="n">
        <x:v>4</x:v>
      </x:c>
      <x:c r="L1694" s="12" t="n">
        <x:v>2878.7692</x:v>
      </x:c>
      <x:c r="M1694" s="13" t="n">
        <x:v>0.7558727388199136</x:v>
      </x:c>
      <x:c r="N1694" s="13" t="n">
        <x:f>H1694/G1694</x:f>
        <x:v>0.03370815342656442</x:v>
      </x:c>
      <x:c r="O1694" s="13" t="n">
        <x:f>F1694/E1694</x:f>
        <x:v>0</x:v>
      </x:c>
      <x:c r="P1694" s="2" t="str">
        <x:f>IF(AND(E1694&gt;='Итоги'!$F$5,N1694&lt;='Итоги'!$B$5,O1694&gt;='Итоги'!$D$5),"Да","Нет")</x:f>
        <x:v>Нет</x:v>
      </x:c>
    </x:row>
    <x:row r="1695" ht="60" customHeight="1">
      <x:c r="A1695" s="14" t="str">
        <x:v>Хобби и творчество</x:v>
      </x:c>
      <x:c r="B1695" s="14" t="str">
        <x:v>Взрослое творчество и хобби</x:v>
      </x:c>
      <x:c r="C1695" s="14" t="str">
        <x:v>Скрапбукинг</x:v>
      </x:c>
      <x:c r="D1695" s="14" t="str">
        <x:v>Брадсы, люверсы, заклепки для скрапбукинга</x:v>
      </x:c>
      <x:c r="E1695" s="2" t="n">
        <x:v>7</x:v>
      </x:c>
      <x:c r="F1695" s="2" t="n">
        <x:v>0</x:v>
      </x:c>
      <x:c r="G1695" s="12" t="n">
        <x:v>629705.6468</x:v>
      </x:c>
      <x:c r="H1695" s="12" t="n">
        <x:v>21230.44768597</x:v>
      </x:c>
      <x:c r="I1695" s="13" t="n">
        <x:v>0.0350857142857142</x:v>
      </x:c>
      <x:c r="J1695" s="2" t="n">
        <x:v>2</x:v>
      </x:c>
      <x:c r="K1695" s="2" t="n">
        <x:v>5</x:v>
      </x:c>
      <x:c r="L1695" s="12" t="n">
        <x:v>953.5429</x:v>
      </x:c>
      <x:c r="M1695" s="13" t="n">
        <x:v>0.3416517845969553</x:v>
      </x:c>
      <x:c r="N1695" s="13" t="n">
        <x:f>H1695/G1695</x:f>
        <x:v>0.03371487582151693</x:v>
      </x:c>
      <x:c r="O1695" s="13" t="n">
        <x:f>F1695/E1695</x:f>
        <x:v>0</x:v>
      </x:c>
      <x:c r="P1695" s="2" t="str">
        <x:f>IF(AND(E1695&gt;='Итоги'!$F$5,N1695&lt;='Итоги'!$B$5,O1695&gt;='Итоги'!$D$5),"Да","Нет")</x:f>
        <x:v>Нет</x:v>
      </x:c>
    </x:row>
    <x:row r="1696" ht="60" customHeight="1">
      <x:c r="A1696" s="14" t="str">
        <x:v>Аксессуары для электроники</x:v>
      </x:c>
      <x:c r="B1696" s="14" t="str">
        <x:v>Компьютерная периферия Access</x:v>
      </x:c>
      <x:c r="C1696" s="14" t="str">
        <x:v>Электронные носители информации Access</x:v>
      </x:c>
      <x:c r="D1696" s="14" t="str">
        <x:v>Карта памяти</x:v>
      </x:c>
      <x:c r="E1696" s="2" t="n">
        <x:v>154</x:v>
      </x:c>
      <x:c r="F1696" s="2" t="n">
        <x:v>0</x:v>
      </x:c>
      <x:c r="G1696" s="12" t="n">
        <x:v>21889904.6518</x:v>
      </x:c>
      <x:c r="H1696" s="12" t="n">
        <x:v>738354.40643927</x:v>
      </x:c>
      <x:c r="I1696" s="13" t="n">
        <x:v>0.0293350649350649</x:v>
      </x:c>
      <x:c r="J1696" s="2" t="n">
        <x:v>57</x:v>
      </x:c>
      <x:c r="K1696" s="2" t="n">
        <x:v>33</x:v>
      </x:c>
      <x:c r="L1696" s="12" t="n">
        <x:v>2063.13535</x:v>
      </x:c>
      <x:c r="M1696" s="13" t="n">
        <x:v>0.3888275325858996</x:v>
      </x:c>
      <x:c r="N1696" s="13" t="n">
        <x:f>H1696/G1696</x:f>
        <x:v>0.03373036192638488</x:v>
      </x:c>
      <x:c r="O1696" s="13" t="n">
        <x:f>F1696/E1696</x:f>
        <x:v>0</x:v>
      </x:c>
      <x:c r="P1696" s="2" t="str">
        <x:f>IF(AND(E1696&gt;='Итоги'!$F$5,N1696&lt;='Итоги'!$B$5,O1696&gt;='Итоги'!$D$5),"Да","Нет")</x:f>
        <x:v>Нет</x:v>
      </x:c>
    </x:row>
    <x:row r="1697" ht="60" customHeight="1">
      <x:c r="A1697" s="14" t="str">
        <x:v>Товары для дома</x:v>
      </x:c>
      <x:c r="B1697" s="14" t="str">
        <x:v>Кухня</x:v>
      </x:c>
      <x:c r="C1697" s="14" t="str">
        <x:v>Кухонная утварь и принадлежности</x:v>
      </x:c>
      <x:c r="D1697" s="14" t="str">
        <x:v>Сито</x:v>
      </x:c>
      <x:c r="E1697" s="2" t="n">
        <x:v>10</x:v>
      </x:c>
      <x:c r="F1697" s="2" t="n">
        <x:v>0</x:v>
      </x:c>
      <x:c r="G1697" s="12" t="n">
        <x:v>1164926.7229</x:v>
      </x:c>
      <x:c r="H1697" s="12" t="n">
        <x:v>39345.91838588</x:v>
      </x:c>
      <x:c r="I1697" s="13" t="n">
        <x:v>0.01848</x:v>
      </x:c>
      <x:c r="J1697" s="2" t="n">
        <x:v>4</x:v>
      </x:c>
      <x:c r="K1697" s="2" t="n">
        <x:v>3</x:v>
      </x:c>
      <x:c r="L1697" s="12" t="n">
        <x:v>1855.28135</x:v>
      </x:c>
      <x:c r="M1697" s="13" t="n">
        <x:v>0.5037861192153102</x:v>
      </x:c>
      <x:c r="N1697" s="13" t="n">
        <x:f>H1697/G1697</x:f>
        <x:v>0.03377544493779936</x:v>
      </x:c>
      <x:c r="O1697" s="13" t="n">
        <x:f>F1697/E1697</x:f>
        <x:v>0</x:v>
      </x:c>
      <x:c r="P1697" s="2" t="str">
        <x:f>IF(AND(E1697&gt;='Итоги'!$F$5,N1697&lt;='Итоги'!$B$5,O1697&gt;='Итоги'!$D$5),"Да","Нет")</x:f>
        <x:v>Нет</x:v>
      </x:c>
    </x:row>
    <x:row r="1698" ht="60" customHeight="1">
      <x:c r="A1698" s="14" t="str">
        <x:v>Аксессуары</x:v>
      </x:c>
      <x:c r="B1698" s="14" t="str">
        <x:v>Ювелирные изделия</x:v>
      </x:c>
      <x:c r="C1698" s="14" t="str">
        <x:v>Крестик ювелирный</x:v>
      </x:c>
      <x:c r="D1698" s="14" t="str">
        <x:v>Золото крестик</x:v>
      </x:c>
      <x:c r="E1698" s="2" t="n">
        <x:v>73</x:v>
      </x:c>
      <x:c r="F1698" s="2" t="n">
        <x:v>0</x:v>
      </x:c>
      <x:c r="G1698" s="12" t="n">
        <x:v>6665866.94</x:v>
      </x:c>
      <x:c r="H1698" s="12" t="n">
        <x:v>225209.107694</x:v>
      </x:c>
      <x:c r="I1698" s="13" t="n">
        <x:v>0.0273506849315068</x:v>
      </x:c>
      <x:c r="J1698" s="2" t="n">
        <x:v>33</x:v>
      </x:c>
      <x:c r="K1698" s="2" t="n">
        <x:v>8</x:v>
      </x:c>
      <x:c r="L1698" s="12" t="n">
        <x:v>7628.2025</x:v>
      </x:c>
      <x:c r="M1698" s="13" t="n">
        <x:v>0.7730695791536457</x:v>
      </x:c>
      <x:c r="N1698" s="13" t="n">
        <x:f>H1698/G1698</x:f>
        <x:v>0.03378541901918012</x:v>
      </x:c>
      <x:c r="O1698" s="13" t="n">
        <x:f>F1698/E1698</x:f>
        <x:v>0</x:v>
      </x:c>
      <x:c r="P1698" s="2" t="str">
        <x:f>IF(AND(E1698&gt;='Итоги'!$F$5,N1698&lt;='Итоги'!$B$5,O1698&gt;='Итоги'!$D$5),"Да","Нет")</x:f>
        <x:v>Нет</x:v>
      </x:c>
    </x:row>
    <x:row r="1699" ht="60" customHeight="1">
      <x:c r="A1699" s="14" t="str">
        <x:v>Аптека</x:v>
      </x:c>
      <x:c r="B1699" s="14" t="str">
        <x:v>Оптика</x:v>
      </x:c>
      <x:c r="C1699" s="14" t="str">
        <x:v>Контактные линзы</x:v>
      </x:c>
      <x:c r="D1699" s="14" t="str">
        <x:v>Контактные линзы цветные</x:v>
      </x:c>
      <x:c r="E1699" s="2" t="n">
        <x:v>3</x:v>
      </x:c>
      <x:c r="F1699" s="2" t="n">
        <x:v>0</x:v>
      </x:c>
      <x:c r="G1699" s="12" t="n">
        <x:v>154333.3752</x:v>
      </x:c>
      <x:c r="H1699" s="12" t="n">
        <x:v>5216.24606112</x:v>
      </x:c>
      <x:c r="I1699" s="13" t="n">
        <x:v>0.0185333333333333</x:v>
      </x:c>
      <x:c r="J1699" s="2" t="n">
        <x:v>2</x:v>
      </x:c>
      <x:c r="K1699" s="2" t="n">
        <x:v>2</x:v>
      </x:c>
      <x:c r="L1699" s="12" t="n">
        <x:v>2701.6667</x:v>
      </x:c>
      <x:c r="M1699" s="13" t="n">
        <x:v>0.6604039798126569</x:v>
      </x:c>
      <x:c r="N1699" s="13" t="n">
        <x:f>H1699/G1699</x:f>
        <x:v>0.033798561421729344</x:v>
      </x:c>
      <x:c r="O1699" s="13" t="n">
        <x:f>F1699/E1699</x:f>
        <x:v>0</x:v>
      </x:c>
      <x:c r="P1699" s="2" t="str">
        <x:f>IF(AND(E1699&gt;='Итоги'!$F$5,N1699&lt;='Итоги'!$B$5,O1699&gt;='Итоги'!$D$5),"Да","Нет")</x:f>
        <x:v>Нет</x:v>
      </x:c>
    </x:row>
    <x:row r="1700" ht="60" customHeight="1">
      <x:c r="A1700" s="14" t="str">
        <x:v>Школьные принадлежности и канцелярия</x:v>
      </x:c>
      <x:c r="B1700" s="14" t="str">
        <x:v>Товары для школы, канцелярия, оборудование</x:v>
      </x:c>
      <x:c r="C1700" s="14" t="str">
        <x:v>Бумага офисная и бумажная продукция</x:v>
      </x:c>
      <x:c r="D1700" s="14" t="str">
        <x:v>Бумага офисная белая</x:v>
      </x:c>
      <x:c r="E1700" s="2" t="n">
        <x:v>17</x:v>
      </x:c>
      <x:c r="F1700" s="2" t="n">
        <x:v>0</x:v>
      </x:c>
      <x:c r="G1700" s="12" t="n">
        <x:v>1800777.5676</x:v>
      </x:c>
      <x:c r="H1700" s="12" t="n">
        <x:v>60997.487496400005</x:v>
      </x:c>
      <x:c r="I1700" s="13" t="n">
        <x:v>0.0297705882352941</x:v>
      </x:c>
      <x:c r="J1700" s="2" t="n">
        <x:v>7</x:v>
      </x:c>
      <x:c r="K1700" s="2" t="n">
        <x:v>9</x:v>
      </x:c>
      <x:c r="L1700" s="12" t="n">
        <x:v>1668.5636</x:v>
      </x:c>
      <x:c r="M1700" s="13" t="n">
        <x:v>0.3291101081350454</x:v>
      </x:c>
      <x:c r="N1700" s="13" t="n">
        <x:f>H1700/G1700</x:f>
        <x:v>0.03387286058749325</x:v>
      </x:c>
      <x:c r="O1700" s="13" t="n">
        <x:f>F1700/E1700</x:f>
        <x:v>0</x:v>
      </x:c>
      <x:c r="P1700" s="2" t="str">
        <x:f>IF(AND(E1700&gt;='Итоги'!$F$5,N1700&lt;='Итоги'!$B$5,O1700&gt;='Итоги'!$D$5),"Да","Нет")</x:f>
        <x:v>Нет</x:v>
      </x:c>
    </x:row>
    <x:row r="1701" ht="60" customHeight="1">
      <x:c r="A1701" s="14" t="str">
        <x:v>Бакалея и кондитерские изделия</x:v>
      </x:c>
      <x:c r="B1701" s="14" t="str">
        <x:v>Бакалея</x:v>
      </x:c>
      <x:c r="C1701" s="14" t="str">
        <x:v>Сахар, соль</x:v>
      </x:c>
      <x:c r="D1701" s="14" t="str">
        <x:v>Сахар</x:v>
      </x:c>
      <x:c r="E1701" s="2" t="n">
        <x:v>23</x:v>
      </x:c>
      <x:c r="F1701" s="2" t="n">
        <x:v>0</x:v>
      </x:c>
      <x:c r="G1701" s="12" t="n">
        <x:v>3069740.04</x:v>
      </x:c>
      <x:c r="H1701" s="12" t="n">
        <x:v>104147.128635</x:v>
      </x:c>
      <x:c r="I1701" s="13" t="n">
        <x:v>0.0344739130434782</x:v>
      </x:c>
      <x:c r="J1701" s="2" t="n">
        <x:v>12</x:v>
      </x:c>
      <x:c r="K1701" s="2" t="n">
        <x:v>13</x:v>
      </x:c>
      <x:c r="L1701" s="12" t="n">
        <x:v>1367.588</x:v>
      </x:c>
      <x:c r="M1701" s="13" t="n">
        <x:v>0.2860884011533433</x:v>
      </x:c>
      <x:c r="N1701" s="13" t="n">
        <x:f>H1701/G1701</x:f>
        <x:v>0.03392701899115861</x:v>
      </x:c>
      <x:c r="O1701" s="13" t="n">
        <x:f>F1701/E1701</x:f>
        <x:v>0</x:v>
      </x:c>
      <x:c r="P1701" s="2" t="str">
        <x:f>IF(AND(E1701&gt;='Итоги'!$F$5,N1701&lt;='Итоги'!$B$5,O1701&gt;='Итоги'!$D$5),"Да","Нет")</x:f>
        <x:v>Нет</x:v>
      </x:c>
    </x:row>
    <x:row r="1702" ht="60" customHeight="1">
      <x:c r="A1702" s="14" t="str">
        <x:v>Мебель</x:v>
      </x:c>
      <x:c r="B1702" s="14" t="str">
        <x:v>Мебель для сада</x:v>
      </x:c>
      <x:c r="C1702" s="14" t="str">
        <x:v>Садовые диван, кресло, стул</x:v>
      </x:c>
      <x:c r="D1702" s="14" t="str">
        <x:v>Садовое подвесное кресло</x:v>
      </x:c>
      <x:c r="E1702" s="2" t="n">
        <x:v>38</x:v>
      </x:c>
      <x:c r="F1702" s="2" t="n">
        <x:v>0</x:v>
      </x:c>
      <x:c r="G1702" s="12" t="n">
        <x:v>6099950.7858</x:v>
      </x:c>
      <x:c r="H1702" s="12" t="n">
        <x:v>207243.39286018</x:v>
      </x:c>
      <x:c r="I1702" s="13" t="n">
        <x:v>0.0338763157894736</x:v>
      </x:c>
      <x:c r="J1702" s="2" t="n">
        <x:v>10</x:v>
      </x:c>
      <x:c r="K1702" s="2" t="n">
        <x:v>6</x:v>
      </x:c>
      <x:c r="L1702" s="12" t="n">
        <x:v>3975.565</x:v>
      </x:c>
      <x:c r="M1702" s="13" t="n">
        <x:v>0.6935482233149134</x:v>
      </x:c>
      <x:c r="N1702" s="13" t="n">
        <x:f>H1702/G1702</x:f>
        <x:v>0.03397460080212767</x:v>
      </x:c>
      <x:c r="O1702" s="13" t="n">
        <x:f>F1702/E1702</x:f>
        <x:v>0</x:v>
      </x:c>
      <x:c r="P1702" s="2" t="str">
        <x:f>IF(AND(E1702&gt;='Итоги'!$F$5,N1702&lt;='Итоги'!$B$5,O1702&gt;='Итоги'!$D$5),"Да","Нет")</x:f>
        <x:v>Нет</x:v>
      </x:c>
    </x:row>
    <x:row r="1703" ht="60" customHeight="1">
      <x:c r="A1703" s="14" t="str">
        <x:v>Спорт и отдых</x:v>
      </x:c>
      <x:c r="B1703" s="14" t="str">
        <x:v>Товары для рыбалки</x:v>
      </x:c>
      <x:c r="C1703" s="14" t="str">
        <x:v>Лодки</x:v>
      </x:c>
      <x:c r="D1703" s="14" t="str">
        <x:v>Жилет спасательный</x:v>
      </x:c>
      <x:c r="E1703" s="2" t="n">
        <x:v>242</x:v>
      </x:c>
      <x:c r="F1703" s="2" t="n">
        <x:v>0</x:v>
      </x:c>
      <x:c r="G1703" s="12" t="n">
        <x:v>38992743.3357</x:v>
      </x:c>
      <x:c r="H1703" s="12" t="n">
        <x:v>1325074.51671009</x:v>
      </x:c>
      <x:c r="I1703" s="13" t="n">
        <x:v>0.0321157024793388</x:v>
      </x:c>
      <x:c r="J1703" s="2" t="n">
        <x:v>91</x:v>
      </x:c>
      <x:c r="K1703" s="2" t="n">
        <x:v>37</x:v>
      </x:c>
      <x:c r="L1703" s="12" t="n">
        <x:v>1509.4942</x:v>
      </x:c>
      <x:c r="M1703" s="13" t="n">
        <x:v>0.2736814074256112</x:v>
      </x:c>
      <x:c r="N1703" s="13" t="n">
        <x:f>H1703/G1703</x:f>
        <x:v>0.033982592743017175</x:v>
      </x:c>
      <x:c r="O1703" s="13" t="n">
        <x:f>F1703/E1703</x:f>
        <x:v>0</x:v>
      </x:c>
      <x:c r="P1703" s="2" t="str">
        <x:f>IF(AND(E1703&gt;='Итоги'!$F$5,N1703&lt;='Итоги'!$B$5,O1703&gt;='Итоги'!$D$5),"Да","Нет")</x:f>
        <x:v>Нет</x:v>
      </x:c>
    </x:row>
    <x:row r="1704" ht="60" customHeight="1">
      <x:c r="A1704" s="14" t="str">
        <x:v>Товары для дома</x:v>
      </x:c>
      <x:c r="B1704" s="14" t="str">
        <x:v>Домашний текстиль</x:v>
      </x:c>
      <x:c r="C1704" s="14" t="str">
        <x:v>Коврики, покрытия</x:v>
      </x:c>
      <x:c r="D1704" s="14" t="str">
        <x:v>Ковровая дорожка</x:v>
      </x:c>
      <x:c r="E1704" s="2" t="n">
        <x:v>10</x:v>
      </x:c>
      <x:c r="F1704" s="2" t="n">
        <x:v>0</x:v>
      </x:c>
      <x:c r="G1704" s="12" t="n">
        <x:v>1093961.8577</x:v>
      </x:c>
      <x:c r="H1704" s="12" t="n">
        <x:v>37207.7537475</x:v>
      </x:c>
      <x:c r="I1704" s="13" t="n">
        <x:v>0.02898</x:v>
      </x:c>
      <x:c r="J1704" s="2" t="n">
        <x:v>8</x:v>
      </x:c>
      <x:c r="K1704" s="2" t="n">
        <x:v>3</x:v>
      </x:c>
      <x:c r="L1704" s="12" t="n">
        <x:v>2547.06165</x:v>
      </x:c>
      <x:c r="M1704" s="13" t="n">
        <x:v>0.7798716040189048</x:v>
      </x:c>
      <x:c r="N1704" s="13" t="n">
        <x:f>H1704/G1704</x:f>
        <x:v>0.03401192965331299</x:v>
      </x:c>
      <x:c r="O1704" s="13" t="n">
        <x:f>F1704/E1704</x:f>
        <x:v>0</x:v>
      </x:c>
      <x:c r="P1704" s="2" t="str">
        <x:f>IF(AND(E1704&gt;='Итоги'!$F$5,N1704&lt;='Итоги'!$B$5,O1704&gt;='Итоги'!$D$5),"Да","Нет")</x:f>
        <x:v>Нет</x:v>
      </x:c>
    </x:row>
    <x:row r="1705" ht="60" customHeight="1">
      <x:c r="A1705" s="14" t="str">
        <x:v>Товары для детей и спорта</x:v>
      </x:c>
      <x:c r="B1705" s="14" t="str">
        <x:v>Кормление детское</x:v>
      </x:c>
      <x:c r="C1705" s="14" t="str">
        <x:v>Кормление детское</x:v>
      </x:c>
      <x:c r="D1705" s="14" t="str">
        <x:v>Набор бутылочек для кормления</x:v>
      </x:c>
      <x:c r="E1705" s="2" t="n">
        <x:v>7</x:v>
      </x:c>
      <x:c r="F1705" s="2" t="n">
        <x:v>0</x:v>
      </x:c>
      <x:c r="G1705" s="12" t="n">
        <x:v>912599.2307</x:v>
      </x:c>
      <x:c r="H1705" s="12" t="n">
        <x:v>31050.57913749</x:v>
      </x:c>
      <x:c r="I1705" s="13" t="n">
        <x:v>0.0312714285714285</x:v>
      </x:c>
      <x:c r="J1705" s="2" t="n">
        <x:v>1</x:v>
      </x:c>
      <x:c r="K1705" s="2" t="n">
        <x:v>4</x:v>
      </x:c>
      <x:c r="L1705" s="12" t="n">
        <x:v>2079.0312</x:v>
      </x:c>
      <x:c r="M1705" s="13" t="n">
        <x:v>0.4166684126046568</x:v>
      </x:c>
      <x:c r="N1705" s="13" t="n">
        <x:f>H1705/G1705</x:f>
        <x:v>0.034024331922428826</x:v>
      </x:c>
      <x:c r="O1705" s="13" t="n">
        <x:f>F1705/E1705</x:f>
        <x:v>0</x:v>
      </x:c>
      <x:c r="P1705" s="2" t="str">
        <x:f>IF(AND(E1705&gt;='Итоги'!$F$5,N1705&lt;='Итоги'!$B$5,O1705&gt;='Итоги'!$D$5),"Да","Нет")</x:f>
        <x:v>Нет</x:v>
      </x:c>
    </x:row>
    <x:row r="1706" ht="60" customHeight="1">
      <x:c r="A1706" s="14" t="str">
        <x:v>Аптека</x:v>
      </x:c>
      <x:c r="B1706" s="14" t="str">
        <x:v>Медицинская техника</x:v>
      </x:c>
      <x:c r="C1706" s="14" t="str">
        <x:v>Медицинская техника</x:v>
      </x:c>
      <x:c r="D1706" s="14" t="str">
        <x:v>Спирометр</x:v>
      </x:c>
      <x:c r="E1706" s="2" t="n">
        <x:v>3</x:v>
      </x:c>
      <x:c r="F1706" s="2" t="n">
        <x:v>0</x:v>
      </x:c>
      <x:c r="G1706" s="12" t="n">
        <x:v>443511.25</x:v>
      </x:c>
      <x:c r="H1706" s="12" t="n">
        <x:v>15096.038</x:v>
      </x:c>
      <x:c r="I1706" s="13" t="n">
        <x:v>0.0446666666666666</x:v>
      </x:c>
      <x:c r="J1706" s="2" t="n">
        <x:v>2</x:v>
      </x:c>
      <x:c r="K1706" s="2" t="n">
        <x:v>2</x:v>
      </x:c>
      <x:c r="L1706" s="12" t="n">
        <x:v>1046.4794</x:v>
      </x:c>
      <x:c r="M1706" s="13" t="n">
        <x:v>0.7459884050291847</x:v>
      </x:c>
      <x:c r="N1706" s="13" t="n">
        <x:f>H1706/G1706</x:f>
        <x:v>0.03403755372608925</x:v>
      </x:c>
      <x:c r="O1706" s="13" t="n">
        <x:f>F1706/E1706</x:f>
        <x:v>0</x:v>
      </x:c>
      <x:c r="P1706" s="2" t="str">
        <x:f>IF(AND(E1706&gt;='Итоги'!$F$5,N1706&lt;='Итоги'!$B$5,O1706&gt;='Итоги'!$D$5),"Да","Нет")</x:f>
        <x:v>Нет</x:v>
      </x:c>
    </x:row>
    <x:row r="1707" ht="60" customHeight="1">
      <x:c r="A1707" s="14" t="str">
        <x:v>Товары для детей и спорта</x:v>
      </x:c>
      <x:c r="B1707" s="14" t="str">
        <x:v>КГТ и аксессуары для детей</x:v>
      </x:c>
      <x:c r="C1707" s="14" t="str">
        <x:v>Коляска детская</x:v>
      </x:c>
      <x:c r="D1707" s="14" t="str">
        <x:v>Коляска-трость</x:v>
      </x:c>
      <x:c r="E1707" s="2" t="n">
        <x:v>14</x:v>
      </x:c>
      <x:c r="F1707" s="2" t="n">
        <x:v>0</x:v>
      </x:c>
      <x:c r="G1707" s="12" t="n">
        <x:v>941610.2504</x:v>
      </x:c>
      <x:c r="H1707" s="12" t="n">
        <x:v>32060.055464</x:v>
      </x:c>
      <x:c r="I1707" s="13" t="n">
        <x:v>0.0155571428571428</x:v>
      </x:c>
      <x:c r="J1707" s="2" t="n">
        <x:v>10</x:v>
      </x:c>
      <x:c r="K1707" s="2" t="n">
        <x:v>2</x:v>
      </x:c>
      <x:c r="L1707" s="12" t="n">
        <x:v>5121.457</x:v>
      </x:c>
      <x:c r="M1707" s="13" t="n">
        <x:v>0.748346483803316</x:v>
      </x:c>
      <x:c r="N1707" s="13" t="n">
        <x:f>H1707/G1707</x:f>
        <x:v>0.03404811645835499</x:v>
      </x:c>
      <x:c r="O1707" s="13" t="n">
        <x:f>F1707/E1707</x:f>
        <x:v>0</x:v>
      </x:c>
      <x:c r="P1707" s="2" t="str">
        <x:f>IF(AND(E1707&gt;='Итоги'!$F$5,N1707&lt;='Итоги'!$B$5,O1707&gt;='Итоги'!$D$5),"Да","Нет")</x:f>
        <x:v>Нет</x:v>
      </x:c>
    </x:row>
    <x:row r="1708" ht="60" customHeight="1">
      <x:c r="A1708" s="14" t="str">
        <x:v>Бытовая химия и гигиена рта</x:v>
      </x:c>
      <x:c r="B1708" s="14" t="str">
        <x:v>Бытовая химия</x:v>
      </x:c>
      <x:c r="C1708" s="14" t="str">
        <x:v>Чистящее и моющее средство</x:v>
      </x:c>
      <x:c r="D1708" s="14" t="str">
        <x:v>Средство чистящее для стекол и зеркал</x:v>
      </x:c>
      <x:c r="E1708" s="2" t="n">
        <x:v>4</x:v>
      </x:c>
      <x:c r="F1708" s="2" t="n">
        <x:v>0</x:v>
      </x:c>
      <x:c r="G1708" s="12" t="n">
        <x:v>476390.2742</x:v>
      </x:c>
      <x:c r="H1708" s="12" t="n">
        <x:v>16221.425596</x:v>
      </x:c>
      <x:c r="I1708" s="13" t="n">
        <x:v>0.040825</x:v>
      </x:c>
      <x:c r="J1708" s="2" t="n">
        <x:v>2</x:v>
      </x:c>
      <x:c r="K1708" s="2" t="n">
        <x:v>3</x:v>
      </x:c>
      <x:c r="L1708" s="12" t="n">
        <x:v>885.6396500000001</x:v>
      </x:c>
      <x:c r="M1708" s="13" t="n">
        <x:v>0.4218424820646769</x:v>
      </x:c>
      <x:c r="N1708" s="13" t="n">
        <x:f>H1708/G1708</x:f>
        <x:v>0.034050706898331555</x:v>
      </x:c>
      <x:c r="O1708" s="13" t="n">
        <x:f>F1708/E1708</x:f>
        <x:v>0</x:v>
      </x:c>
      <x:c r="P1708" s="2" t="str">
        <x:f>IF(AND(E1708&gt;='Итоги'!$F$5,N1708&lt;='Итоги'!$B$5,O1708&gt;='Итоги'!$D$5),"Да","Нет")</x:f>
        <x:v>Нет</x:v>
      </x:c>
    </x:row>
    <x:row r="1709" ht="60" customHeight="1">
      <x:c r="A1709" s="14" t="str">
        <x:v>Автотовары</x:v>
      </x:c>
      <x:c r="B1709" s="14" t="str">
        <x:v>Масла и автохимия</x:v>
      </x:c>
      <x:c r="C1709" s="14" t="str">
        <x:v>Товары для детейлинга</x:v>
      </x:c>
      <x:c r="D1709" s="14" t="str">
        <x:v>Автохимия - Кондиционер, лосьон</x:v>
      </x:c>
      <x:c r="E1709" s="2" t="n">
        <x:v>11</x:v>
      </x:c>
      <x:c r="F1709" s="2" t="n">
        <x:v>0</x:v>
      </x:c>
      <x:c r="G1709" s="12" t="n">
        <x:v>1653346.038</x:v>
      </x:c>
      <x:c r="H1709" s="12" t="n">
        <x:v>56340.19504948</x:v>
      </x:c>
      <x:c r="I1709" s="13" t="n">
        <x:v>0.0434727272727272</x:v>
      </x:c>
      <x:c r="J1709" s="2" t="n">
        <x:v>7</x:v>
      </x:c>
      <x:c r="K1709" s="2" t="n">
        <x:v>3</x:v>
      </x:c>
      <x:c r="L1709" s="12" t="n">
        <x:v>2152.8241</x:v>
      </x:c>
      <x:c r="M1709" s="13" t="n">
        <x:v>0.6467226728250097</x:v>
      </x:c>
      <x:c r="N1709" s="13" t="n">
        <x:f>H1709/G1709</x:f>
        <x:v>0.03407646902377009</x:v>
      </x:c>
      <x:c r="O1709" s="13" t="n">
        <x:f>F1709/E1709</x:f>
        <x:v>0</x:v>
      </x:c>
      <x:c r="P1709" s="2" t="str">
        <x:f>IF(AND(E1709&gt;='Итоги'!$F$5,N1709&lt;='Итоги'!$B$5,O1709&gt;='Итоги'!$D$5),"Да","Нет")</x:f>
        <x:v>Нет</x:v>
      </x:c>
    </x:row>
    <x:row r="1710" ht="60" customHeight="1">
      <x:c r="A1710" s="14" t="str">
        <x:v>Аксессуары для электроники</x:v>
      </x:c>
      <x:c r="B1710" s="14" t="str">
        <x:v>Бытовая техника Access</x:v>
      </x:c>
      <x:c r="C1710" s="14" t="str">
        <x:v>Запчасти для бытовой техники Access</x:v>
      </x:c>
      <x:c r="D1710" s="14" t="str">
        <x:v>Запчасти для холодильников</x:v>
      </x:c>
      <x:c r="E1710" s="2" t="n">
        <x:v>38</x:v>
      </x:c>
      <x:c r="F1710" s="2" t="n">
        <x:v>0</x:v>
      </x:c>
      <x:c r="G1710" s="12" t="n">
        <x:v>4316748.2606</x:v>
      </x:c>
      <x:c r="H1710" s="12" t="n">
        <x:v>147266.32111557</x:v>
      </x:c>
      <x:c r="I1710" s="13" t="n">
        <x:v>0.0290210526315789</x:v>
      </x:c>
      <x:c r="J1710" s="2" t="n">
        <x:v>19</x:v>
      </x:c>
      <x:c r="K1710" s="2" t="n">
        <x:v>17</x:v>
      </x:c>
      <x:c r="L1710" s="12" t="n">
        <x:v>1175.69955</x:v>
      </x:c>
      <x:c r="M1710" s="13" t="n">
        <x:v>0.29511515128819</x:v>
      </x:c>
      <x:c r="N1710" s="13" t="n">
        <x:f>H1710/G1710</x:f>
        <x:v>0.03411510521929322</x:v>
      </x:c>
      <x:c r="O1710" s="13" t="n">
        <x:f>F1710/E1710</x:f>
        <x:v>0</x:v>
      </x:c>
      <x:c r="P1710" s="2" t="str">
        <x:f>IF(AND(E1710&gt;='Итоги'!$F$5,N1710&lt;='Итоги'!$B$5,O1710&gt;='Итоги'!$D$5),"Да","Нет")</x:f>
        <x:v>Нет</x:v>
      </x:c>
    </x:row>
    <x:row r="1711" ht="60" customHeight="1">
      <x:c r="A1711" s="14" t="str">
        <x:v>Одежда</x:v>
      </x:c>
      <x:c r="B1711" s="14" t="str">
        <x:v>Основная одежда женская</x:v>
      </x:c>
      <x:c r="C1711" s="14" t="str">
        <x:v>Основная одежда женская верха</x:v>
      </x:c>
      <x:c r="D1711" s="14" t="str">
        <x:v>Рубашка женская</x:v>
      </x:c>
      <x:c r="E1711" s="2" t="n">
        <x:v>1380</x:v>
      </x:c>
      <x:c r="F1711" s="2" t="n">
        <x:v>0</x:v>
      </x:c>
      <x:c r="G1711" s="12" t="n">
        <x:v>138402845.6694</x:v>
      </x:c>
      <x:c r="H1711" s="12" t="n">
        <x:v>4722452.5855398</x:v>
      </x:c>
      <x:c r="I1711" s="13" t="n">
        <x:v>0.0253486956521739</x:v>
      </x:c>
      <x:c r="J1711" s="2" t="n">
        <x:v>837</x:v>
      </x:c>
      <x:c r="K1711" s="2" t="n">
        <x:v>163</x:v>
      </x:c>
      <x:c r="L1711" s="12" t="n">
        <x:v>1524.5694</x:v>
      </x:c>
      <x:c r="M1711" s="13" t="n">
        <x:v>0.3395616754778228</x:v>
      </x:c>
      <x:c r="N1711" s="13" t="n">
        <x:f>H1711/G1711</x:f>
        <x:v>0.03412106566667151</x:v>
      </x:c>
      <x:c r="O1711" s="13" t="n">
        <x:f>F1711/E1711</x:f>
        <x:v>0</x:v>
      </x:c>
      <x:c r="P1711" s="2" t="str">
        <x:f>IF(AND(E1711&gt;='Итоги'!$F$5,N1711&lt;='Итоги'!$B$5,O1711&gt;='Итоги'!$D$5),"Да","Нет")</x:f>
        <x:v>Нет</x:v>
      </x:c>
    </x:row>
    <x:row r="1712" ht="60" customHeight="1">
      <x:c r="A1712" s="14" t="str">
        <x:v>Строительство и ремонт (DIY)</x:v>
      </x:c>
      <x:c r="B1712" s="14" t="str">
        <x:v>Инструменты</x:v>
      </x:c>
      <x:c r="C1712" s="14" t="str">
        <x:v>Измерительный инструмент</x:v>
      </x:c>
      <x:c r="D1712" s="14" t="str">
        <x:v>Измерительный инструмент</x:v>
      </x:c>
      <x:c r="E1712" s="2" t="n">
        <x:v>74</x:v>
      </x:c>
      <x:c r="F1712" s="2" t="n">
        <x:v>0</x:v>
      </x:c>
      <x:c r="G1712" s="12" t="n">
        <x:v>12199729.8287</x:v>
      </x:c>
      <x:c r="H1712" s="12" t="n">
        <x:v>417516.95530474</x:v>
      </x:c>
      <x:c r="I1712" s="13" t="n">
        <x:v>0.0315162162162162</x:v>
      </x:c>
      <x:c r="J1712" s="2" t="n">
        <x:v>31</x:v>
      </x:c>
      <x:c r="K1712" s="2" t="n">
        <x:v>26</x:v>
      </x:c>
      <x:c r="L1712" s="12" t="n">
        <x:v>5480.51445</x:v>
      </x:c>
      <x:c r="M1712" s="13" t="n">
        <x:v>0.3926045665398465</x:v>
      </x:c>
      <x:c r="N1712" s="13" t="n">
        <x:f>H1712/G1712</x:f>
        <x:v>0.03422345913944149</x:v>
      </x:c>
      <x:c r="O1712" s="13" t="n">
        <x:f>F1712/E1712</x:f>
        <x:v>0</x:v>
      </x:c>
      <x:c r="P1712" s="2" t="str">
        <x:f>IF(AND(E1712&gt;='Итоги'!$F$5,N1712&lt;='Итоги'!$B$5,O1712&gt;='Итоги'!$D$5),"Да","Нет")</x:f>
        <x:v>Нет</x:v>
      </x:c>
    </x:row>
    <x:row r="1713" ht="60" customHeight="1">
      <x:c r="A1713" s="14" t="str">
        <x:v>Автотовары</x:v>
      </x:c>
      <x:c r="B1713" s="14" t="str">
        <x:v>Авто и мото запчасти</x:v>
      </x:c>
      <x:c r="C1713" s="14" t="str">
        <x:v>Система питания автомобиля</x:v>
      </x:c>
      <x:c r="D1713" s="14" t="str">
        <x:v>Топливная система</x:v>
      </x:c>
      <x:c r="E1713" s="2" t="n">
        <x:v>38</x:v>
      </x:c>
      <x:c r="F1713" s="2" t="n">
        <x:v>0</x:v>
      </x:c>
      <x:c r="G1713" s="12" t="n">
        <x:v>4993271.1212</x:v>
      </x:c>
      <x:c r="H1713" s="12" t="n">
        <x:v>170967.51439825</x:v>
      </x:c>
      <x:c r="I1713" s="13" t="n">
        <x:v>0.0382236842105263</x:v>
      </x:c>
      <x:c r="J1713" s="2" t="n">
        <x:v>9</x:v>
      </x:c>
      <x:c r="K1713" s="2" t="n">
        <x:v>10</x:v>
      </x:c>
      <x:c r="L1713" s="12" t="n">
        <x:v>1963.54065</x:v>
      </x:c>
      <x:c r="M1713" s="13" t="n">
        <x:v>0.6306968575628162</x:v>
      </x:c>
      <x:c r="N1713" s="13" t="n">
        <x:f>H1713/G1713</x:f>
        <x:v>0.03423958167870574</x:v>
      </x:c>
      <x:c r="O1713" s="13" t="n">
        <x:f>F1713/E1713</x:f>
        <x:v>0</x:v>
      </x:c>
      <x:c r="P1713" s="2" t="str">
        <x:f>IF(AND(E1713&gt;='Итоги'!$F$5,N1713&lt;='Итоги'!$B$5,O1713&gt;='Итоги'!$D$5),"Да","Нет")</x:f>
        <x:v>Нет</x:v>
      </x:c>
    </x:row>
    <x:row r="1714" ht="60" customHeight="1">
      <x:c r="A1714" s="14" t="str">
        <x:v>Аптека</x:v>
      </x:c>
      <x:c r="B1714" s="14" t="str">
        <x:v>Средства реабилитации</x:v>
      </x:c>
      <x:c r="C1714" s="14" t="str">
        <x:v>Средства реабилитации</x:v>
      </x:c>
      <x:c r="D1714" s="14" t="str">
        <x:v>Опора</x:v>
      </x:c>
      <x:c r="E1714" s="2" t="n">
        <x:v>3</x:v>
      </x:c>
      <x:c r="F1714" s="2" t="n">
        <x:v>0</x:v>
      </x:c>
      <x:c r="G1714" s="12" t="n">
        <x:v>601695</x:v>
      </x:c>
      <x:c r="H1714" s="12" t="n">
        <x:v>20628.325500000003</x:v>
      </x:c>
      <x:c r="I1714" s="13" t="n">
        <x:v>0.0305333333333333</x:v>
      </x:c>
      <x:c r="J1714" s="2" t="n">
        <x:v>0</x:v>
      </x:c>
      <x:c r="K1714" s="2" t="n">
        <x:v>2</x:v>
      </x:c>
      <x:c r="L1714" s="12" t="n">
        <x:v>3154.1075</x:v>
      </x:c>
      <x:c r="M1714" s="13" t="n">
        <x:v>0.7856006780844116</x:v>
      </x:c>
      <x:c r="N1714" s="13" t="n">
        <x:f>H1714/G1714</x:f>
        <x:v>0.03428369107271957</x:v>
      </x:c>
      <x:c r="O1714" s="13" t="n">
        <x:f>F1714/E1714</x:f>
        <x:v>0</x:v>
      </x:c>
      <x:c r="P1714" s="2" t="str">
        <x:f>IF(AND(E1714&gt;='Итоги'!$F$5,N1714&lt;='Итоги'!$B$5,O1714&gt;='Итоги'!$D$5),"Да","Нет")</x:f>
        <x:v>Нет</x:v>
      </x:c>
    </x:row>
    <x:row r="1715" ht="60" customHeight="1">
      <x:c r="A1715" s="14" t="str">
        <x:v>Автотовары</x:v>
      </x:c>
      <x:c r="B1715" s="14" t="str">
        <x:v>Дополнительное оборудование для авто и мото техники</x:v>
      </x:c>
      <x:c r="C1715" s="14" t="str">
        <x:v>Оборудование для дооснащения авто</x:v>
      </x:c>
      <x:c r="D1715" s="14" t="str">
        <x:v>Защита днища автомобиля</x:v>
      </x:c>
      <x:c r="E1715" s="2" t="n">
        <x:v>63</x:v>
      </x:c>
      <x:c r="F1715" s="2" t="n">
        <x:v>0</x:v>
      </x:c>
      <x:c r="G1715" s="12" t="n">
        <x:v>6854860.3939</x:v>
      </x:c>
      <x:c r="H1715" s="12" t="n">
        <x:v>235289.28946066</x:v>
      </x:c>
      <x:c r="I1715" s="13" t="n">
        <x:v>0.0281857142857142</x:v>
      </x:c>
      <x:c r="J1715" s="2" t="n">
        <x:v>33</x:v>
      </x:c>
      <x:c r="K1715" s="2" t="n">
        <x:v>7</x:v>
      </x:c>
      <x:c r="L1715" s="12" t="n">
        <x:v>3272.1622</x:v>
      </x:c>
      <x:c r="M1715" s="13" t="n">
        <x:v>0.4360623841967636</x:v>
      </x:c>
      <x:c r="N1715" s="13" t="n">
        <x:f>H1715/G1715</x:f>
        <x:v>0.03432444658829801</x:v>
      </x:c>
      <x:c r="O1715" s="13" t="n">
        <x:f>F1715/E1715</x:f>
        <x:v>0</x:v>
      </x:c>
      <x:c r="P1715" s="2" t="str">
        <x:f>IF(AND(E1715&gt;='Итоги'!$F$5,N1715&lt;='Итоги'!$B$5,O1715&gt;='Итоги'!$D$5),"Да","Нет")</x:f>
        <x:v>Нет</x:v>
      </x:c>
    </x:row>
    <x:row r="1716" ht="60" customHeight="1">
      <x:c r="A1716" s="14" t="str">
        <x:v>Одежда</x:v>
      </x:c>
      <x:c r="B1716" s="14" t="str">
        <x:v>Основная одежда мужская</x:v>
      </x:c>
      <x:c r="C1716" s="14" t="str">
        <x:v>Спортивная основная одежда мужская верха</x:v>
      </x:c>
      <x:c r="D1716" s="14" t="str">
        <x:v>Спортивная футболка мужская</x:v>
      </x:c>
      <x:c r="E1716" s="2" t="n">
        <x:v>621</x:v>
      </x:c>
      <x:c r="F1716" s="2" t="n">
        <x:v>0</x:v>
      </x:c>
      <x:c r="G1716" s="12" t="n">
        <x:v>59967591.4369</x:v>
      </x:c>
      <x:c r="H1716" s="12" t="n">
        <x:v>2061568.74977078</x:v>
      </x:c>
      <x:c r="I1716" s="13" t="n">
        <x:v>0.0317888888888888</x:v>
      </x:c>
      <x:c r="J1716" s="2" t="n">
        <x:v>352</x:v>
      </x:c>
      <x:c r="K1716" s="2" t="n">
        <x:v>34</x:v>
      </x:c>
      <x:c r="L1716" s="12" t="n">
        <x:v>1246.2953</x:v>
      </x:c>
      <x:c r="M1716" s="13" t="n">
        <x:v>0.4212171132632332</x:v>
      </x:c>
      <x:c r="N1716" s="13" t="n">
        <x:f>H1716/G1716</x:f>
        <x:v>0.034378048215260325</x:v>
      </x:c>
      <x:c r="O1716" s="13" t="n">
        <x:f>F1716/E1716</x:f>
        <x:v>0</x:v>
      </x:c>
      <x:c r="P1716" s="2" t="str">
        <x:f>IF(AND(E1716&gt;='Итоги'!$F$5,N1716&lt;='Итоги'!$B$5,O1716&gt;='Итоги'!$D$5),"Да","Нет")</x:f>
        <x:v>Нет</x:v>
      </x:c>
    </x:row>
    <x:row r="1717" ht="60" customHeight="1">
      <x:c r="A1717" s="14" t="str">
        <x:v>Автотовары</x:v>
      </x:c>
      <x:c r="B1717" s="14" t="str">
        <x:v>Авто и мото запчасти</x:v>
      </x:c>
      <x:c r="C1717" s="14" t="str">
        <x:v>Тормозная система</x:v>
      </x:c>
      <x:c r="D1717" s="14" t="str">
        <x:v>Тормозные диски и барабаны</x:v>
      </x:c>
      <x:c r="E1717" s="2" t="n">
        <x:v>231</x:v>
      </x:c>
      <x:c r="F1717" s="2" t="n">
        <x:v>0</x:v>
      </x:c>
      <x:c r="G1717" s="12" t="n">
        <x:v>37607874.4489</x:v>
      </x:c>
      <x:c r="H1717" s="12" t="n">
        <x:v>1293101.66777094</x:v>
      </x:c>
      <x:c r="I1717" s="13" t="n">
        <x:v>0.0367471861471861</x:v>
      </x:c>
      <x:c r="J1717" s="2" t="n">
        <x:v>71</x:v>
      </x:c>
      <x:c r="K1717" s="2" t="n">
        <x:v>18</x:v>
      </x:c>
      <x:c r="L1717" s="12" t="n">
        <x:v>2864.5301</x:v>
      </x:c>
      <x:c r="M1717" s="13" t="n">
        <x:v>0.7800322363461314</x:v>
      </x:c>
      <x:c r="N1717" s="13" t="n">
        <x:f>H1717/G1717</x:f>
        <x:v>0.03438380091190616</x:v>
      </x:c>
      <x:c r="O1717" s="13" t="n">
        <x:f>F1717/E1717</x:f>
        <x:v>0</x:v>
      </x:c>
      <x:c r="P1717" s="2" t="str">
        <x:f>IF(AND(E1717&gt;='Итоги'!$F$5,N1717&lt;='Итоги'!$B$5,O1717&gt;='Итоги'!$D$5),"Да","Нет")</x:f>
        <x:v>Нет</x:v>
      </x:c>
    </x:row>
    <x:row r="1718" ht="60" customHeight="1">
      <x:c r="A1718" s="14" t="str">
        <x:v>Аксессуары для электроники</x:v>
      </x:c>
      <x:c r="B1718" s="14" t="str">
        <x:v>Электропитание Access</x:v>
      </x:c>
      <x:c r="C1718" s="14" t="str">
        <x:v>Зарядное устройство Access</x:v>
      </x:c>
      <x:c r="D1718" s="14" t="str">
        <x:v>Зарядное устройство для аккумуляторов</x:v>
      </x:c>
      <x:c r="E1718" s="2" t="n">
        <x:v>40</x:v>
      </x:c>
      <x:c r="F1718" s="2" t="n">
        <x:v>0</x:v>
      </x:c>
      <x:c r="G1718" s="12" t="n">
        <x:v>5158401.2696</x:v>
      </x:c>
      <x:c r="H1718" s="12" t="n">
        <x:v>177527.9744091</x:v>
      </x:c>
      <x:c r="I1718" s="13" t="n">
        <x:v>0.0325575</x:v>
      </x:c>
      <x:c r="J1718" s="2" t="n">
        <x:v>23</x:v>
      </x:c>
      <x:c r="K1718" s="2" t="n">
        <x:v>14</x:v>
      </x:c>
      <x:c r="L1718" s="12" t="n">
        <x:v>1763.8651</x:v>
      </x:c>
      <x:c r="M1718" s="13" t="n">
        <x:v>0.3258796116360198</x:v>
      </x:c>
      <x:c r="N1718" s="13" t="n">
        <x:f>H1718/G1718</x:f>
        <x:v>0.03441530914923687</x:v>
      </x:c>
      <x:c r="O1718" s="13" t="n">
        <x:f>F1718/E1718</x:f>
        <x:v>0</x:v>
      </x:c>
      <x:c r="P1718" s="2" t="str">
        <x:f>IF(AND(E1718&gt;='Итоги'!$F$5,N1718&lt;='Итоги'!$B$5,O1718&gt;='Итоги'!$D$5),"Да","Нет")</x:f>
        <x:v>Нет</x:v>
      </x:c>
    </x:row>
    <x:row r="1719" ht="60" customHeight="1">
      <x:c r="A1719" s="14" t="str">
        <x:v>Ноутбуки и компьютеры</x:v>
      </x:c>
      <x:c r="B1719" s="14" t="str">
        <x:v>Компьютерная периферия Lap&amp;Comp</x:v>
      </x:c>
      <x:c r="C1719" s="14" t="str">
        <x:v>Сетевое оборудование Lap&amp;Comp</x:v>
      </x:c>
      <x:c r="D1719" s="14" t="str">
        <x:v>Коммутатор</x:v>
      </x:c>
      <x:c r="E1719" s="2" t="n">
        <x:v>58</x:v>
      </x:c>
      <x:c r="F1719" s="2" t="n">
        <x:v>0</x:v>
      </x:c>
      <x:c r="G1719" s="12" t="n">
        <x:v>12367201.99</x:v>
      </x:c>
      <x:c r="H1719" s="12" t="n">
        <x:v>425638.502583</x:v>
      </x:c>
      <x:c r="I1719" s="13" t="n">
        <x:v>0.0369137931034482</x:v>
      </x:c>
      <x:c r="J1719" s="2" t="n">
        <x:v>22</x:v>
      </x:c>
      <x:c r="K1719" s="2" t="n">
        <x:v>20</x:v>
      </x:c>
      <x:c r="L1719" s="12" t="n">
        <x:v>3012.78965</x:v>
      </x:c>
      <x:c r="M1719" s="13" t="n">
        <x:v>0.3225331835952329</x:v>
      </x:c>
      <x:c r="N1719" s="13" t="n">
        <x:f>H1719/G1719</x:f>
        <x:v>0.034416717938881174</x:v>
      </x:c>
      <x:c r="O1719" s="13" t="n">
        <x:f>F1719/E1719</x:f>
        <x:v>0</x:v>
      </x:c>
      <x:c r="P1719" s="2" t="str">
        <x:f>IF(AND(E1719&gt;='Итоги'!$F$5,N1719&lt;='Итоги'!$B$5,O1719&gt;='Итоги'!$D$5),"Да","Нет")</x:f>
        <x:v>Нет</x:v>
      </x:c>
    </x:row>
    <x:row r="1720" ht="60" customHeight="1">
      <x:c r="A1720" s="14" t="str">
        <x:v>Книги</x:v>
      </x:c>
      <x:c r="B1720" s="14" t="str">
        <x:v>Печатные книги: Книги детям и родителям</x:v>
      </x:c>
      <x:c r="C1720" s="14" t="str">
        <x:v>Книги для досуга и творчества детей</x:v>
      </x:c>
      <x:c r="D1720" s="14" t="str">
        <x:v>Печатная книга: Досуг и творчество детей</x:v>
      </x:c>
      <x:c r="E1720" s="2" t="n">
        <x:v>14</x:v>
      </x:c>
      <x:c r="F1720" s="2" t="n">
        <x:v>0</x:v>
      </x:c>
      <x:c r="G1720" s="12" t="n">
        <x:v>799908.4364</x:v>
      </x:c>
      <x:c r="H1720" s="12" t="n">
        <x:v>27579.57638754</x:v>
      </x:c>
      <x:c r="I1720" s="13" t="n">
        <x:v>0.0261214285714285</x:v>
      </x:c>
      <x:c r="J1720" s="2" t="n">
        <x:v>6</x:v>
      </x:c>
      <x:c r="K1720" s="2" t="n">
        <x:v>7</x:v>
      </x:c>
      <x:c r="L1720" s="12" t="n">
        <x:v>1581.56275</x:v>
      </x:c>
      <x:c r="M1720" s="13" t="n">
        <x:v>0.658818120948624</x:v>
      </x:c>
      <x:c r="N1720" s="13" t="n">
        <x:f>H1720/G1720</x:f>
        <x:v>0.03447841669436855</x:v>
      </x:c>
      <x:c r="O1720" s="13" t="n">
        <x:f>F1720/E1720</x:f>
        <x:v>0</x:v>
      </x:c>
      <x:c r="P1720" s="2" t="str">
        <x:f>IF(AND(E1720&gt;='Итоги'!$F$5,N1720&lt;='Итоги'!$B$5,O1720&gt;='Итоги'!$D$5),"Да","Нет")</x:f>
        <x:v>Нет</x:v>
      </x:c>
    </x:row>
    <x:row r="1721" ht="60" customHeight="1">
      <x:c r="A1721" s="14" t="str">
        <x:v>Товары для красоты и здоровья</x:v>
      </x:c>
      <x:c r="B1721" s="14" t="str">
        <x:v>Косметика для ухода за волосами</x:v>
      </x:c>
      <x:c r="C1721" s="14" t="str">
        <x:v>Окрашивание волос для женщин</x:v>
      </x:c>
      <x:c r="D1721" s="14" t="str">
        <x:v>Осветлитель для волос</x:v>
      </x:c>
      <x:c r="E1721" s="2" t="n">
        <x:v>20</x:v>
      </x:c>
      <x:c r="F1721" s="2" t="n">
        <x:v>0</x:v>
      </x:c>
      <x:c r="G1721" s="12" t="n">
        <x:v>2715794.1053</x:v>
      </x:c>
      <x:c r="H1721" s="12" t="n">
        <x:v>93821.5974117</x:v>
      </x:c>
      <x:c r="I1721" s="13" t="n">
        <x:v>0.0292</x:v>
      </x:c>
      <x:c r="J1721" s="2" t="n">
        <x:v>13</x:v>
      </x:c>
      <x:c r="K1721" s="2" t="n">
        <x:v>4</x:v>
      </x:c>
      <x:c r="L1721" s="12" t="n">
        <x:v>1580.82295</x:v>
      </x:c>
      <x:c r="M1721" s="13" t="n">
        <x:v>0.8757314000566625</x:v>
      </x:c>
      <x:c r="N1721" s="13" t="n">
        <x:f>H1721/G1721</x:f>
        <x:v>0.03454665330799663</x:v>
      </x:c>
      <x:c r="O1721" s="13" t="n">
        <x:f>F1721/E1721</x:f>
        <x:v>0</x:v>
      </x:c>
      <x:c r="P1721" s="2" t="str">
        <x:f>IF(AND(E1721&gt;='Итоги'!$F$5,N1721&lt;='Итоги'!$B$5,O1721&gt;='Итоги'!$D$5),"Да","Нет")</x:f>
        <x:v>Нет</x:v>
      </x:c>
    </x:row>
    <x:row r="1722" ht="60" customHeight="1">
      <x:c r="A1722" s="14" t="str">
        <x:v>Аксессуары</x:v>
      </x:c>
      <x:c r="B1722" s="14" t="str">
        <x:v>Ювелирные изделия</x:v>
      </x:c>
      <x:c r="C1722" s="14" t="str">
        <x:v>Цепь ювелирная</x:v>
      </x:c>
      <x:c r="D1722" s="14" t="str">
        <x:v>Золото цепочка</x:v>
      </x:c>
      <x:c r="E1722" s="2" t="n">
        <x:v>227</x:v>
      </x:c>
      <x:c r="F1722" s="2" t="n">
        <x:v>0</x:v>
      </x:c>
      <x:c r="G1722" s="12" t="n">
        <x:v>26599950.96</x:v>
      </x:c>
      <x:c r="H1722" s="12" t="n">
        <x:v>920227.735614</x:v>
      </x:c>
      <x:c r="I1722" s="13" t="n">
        <x:v>0.0283462555066079</x:v>
      </x:c>
      <x:c r="J1722" s="2" t="n">
        <x:v>94</x:v>
      </x:c>
      <x:c r="K1722" s="2" t="n">
        <x:v>15</x:v>
      </x:c>
      <x:c r="L1722" s="12" t="n">
        <x:v>19817</x:v>
      </x:c>
      <x:c r="M1722" s="13" t="n">
        <x:v>0.6320271930305844</x:v>
      </x:c>
      <x:c r="N1722" s="13" t="n">
        <x:f>H1722/G1722</x:f>
        <x:v>0.03459509143448436</x:v>
      </x:c>
      <x:c r="O1722" s="13" t="n">
        <x:f>F1722/E1722</x:f>
        <x:v>0</x:v>
      </x:c>
      <x:c r="P1722" s="2" t="str">
        <x:f>IF(AND(E1722&gt;='Итоги'!$F$5,N1722&lt;='Итоги'!$B$5,O1722&gt;='Итоги'!$D$5),"Да","Нет")</x:f>
        <x:v>Нет</x:v>
      </x:c>
    </x:row>
    <x:row r="1723" ht="60" customHeight="1">
      <x:c r="A1723" s="14" t="str">
        <x:v>Одежда</x:v>
      </x:c>
      <x:c r="B1723" s="14" t="str">
        <x:v>Основная одежда женская</x:v>
      </x:c>
      <x:c r="C1723" s="14" t="str">
        <x:v>Основная одежда для беременных и кормящих</x:v>
      </x:c>
      <x:c r="D1723" s="14" t="str">
        <x:v>Платье, сарафан, туника для беременных и кормящих</x:v>
      </x:c>
      <x:c r="E1723" s="2" t="n">
        <x:v>3728</x:v>
      </x:c>
      <x:c r="F1723" s="2" t="n">
        <x:v>0</x:v>
      </x:c>
      <x:c r="G1723" s="12" t="n">
        <x:v>425561097.1808</x:v>
      </x:c>
      <x:c r="H1723" s="12" t="n">
        <x:v>14732591.8155521</x:v>
      </x:c>
      <x:c r="I1723" s="13" t="n">
        <x:v>0.0315271727467811</x:v>
      </x:c>
      <x:c r="J1723" s="2" t="n">
        <x:v>1809</x:v>
      </x:c>
      <x:c r="K1723" s="2" t="n">
        <x:v>276</x:v>
      </x:c>
      <x:c r="L1723" s="12" t="n">
        <x:v>2226.24435</x:v>
      </x:c>
      <x:c r="M1723" s="13" t="n">
        <x:v>0.4279726334844525</x:v>
      </x:c>
      <x:c r="N1723" s="13" t="n">
        <x:f>H1723/G1723</x:f>
        <x:v>0.03461921663693086</x:v>
      </x:c>
      <x:c r="O1723" s="13" t="n">
        <x:f>F1723/E1723</x:f>
        <x:v>0</x:v>
      </x:c>
      <x:c r="P1723" s="2" t="str">
        <x:f>IF(AND(E1723&gt;='Итоги'!$F$5,N1723&lt;='Итоги'!$B$5,O1723&gt;='Итоги'!$D$5),"Да","Нет")</x:f>
        <x:v>Нет</x:v>
      </x:c>
    </x:row>
    <x:row r="1724" ht="60" customHeight="1">
      <x:c r="A1724" s="14" t="str">
        <x:v>Строительство и ремонт (DIY)</x:v>
      </x:c>
      <x:c r="B1724" s="14" t="str">
        <x:v>Инструменты</x:v>
      </x:c>
      <x:c r="C1724" s="14" t="str">
        <x:v>Инструмент ручной для строительства, ремонта</x:v>
      </x:c>
      <x:c r="D1724" s="14" t="str">
        <x:v>Струбцина</x:v>
      </x:c>
      <x:c r="E1724" s="2" t="n">
        <x:v>29</x:v>
      </x:c>
      <x:c r="F1724" s="2" t="n">
        <x:v>0</x:v>
      </x:c>
      <x:c r="G1724" s="12" t="n">
        <x:v>4121965.5571</x:v>
      </x:c>
      <x:c r="H1724" s="12" t="n">
        <x:v>142763.68893653</x:v>
      </x:c>
      <x:c r="I1724" s="13" t="n">
        <x:v>0.0323206896551724</x:v>
      </x:c>
      <x:c r="J1724" s="2" t="n">
        <x:v>8</x:v>
      </x:c>
      <x:c r="K1724" s="2" t="n">
        <x:v>8</x:v>
      </x:c>
      <x:c r="L1724" s="12" t="n">
        <x:v>1180.9706</x:v>
      </x:c>
      <x:c r="M1724" s="13" t="n">
        <x:v>0.697053991911921</x:v>
      </x:c>
      <x:c r="N1724" s="13" t="n">
        <x:f>H1724/G1724</x:f>
        <x:v>0.03463485731718998</x:v>
      </x:c>
      <x:c r="O1724" s="13" t="n">
        <x:f>F1724/E1724</x:f>
        <x:v>0</x:v>
      </x:c>
      <x:c r="P1724" s="2" t="str">
        <x:f>IF(AND(E1724&gt;='Итоги'!$F$5,N1724&lt;='Итоги'!$B$5,O1724&gt;='Итоги'!$D$5),"Да","Нет")</x:f>
        <x:v>Нет</x:v>
      </x:c>
    </x:row>
    <x:row r="1725" ht="60" customHeight="1">
      <x:c r="A1725" s="14" t="str">
        <x:v>Аксессуары</x:v>
      </x:c>
      <x:c r="B1725" s="14" t="str">
        <x:v>Ювелирные изделия</x:v>
      </x:c>
      <x:c r="C1725" s="14" t="str">
        <x:v>Серьги ювелирные</x:v>
      </x:c>
      <x:c r="D1725" s="14" t="str">
        <x:v>Серебро моносерьга (серьга одиночная)</x:v>
      </x:c>
      <x:c r="E1725" s="2" t="n">
        <x:v>4</x:v>
      </x:c>
      <x:c r="F1725" s="2" t="n">
        <x:v>0</x:v>
      </x:c>
      <x:c r="G1725" s="12" t="n">
        <x:v>566725.9299999999</x:v>
      </x:c>
      <x:c r="H1725" s="12" t="n">
        <x:v>19663.2264</x:v>
      </x:c>
      <x:c r="I1725" s="13" t="n">
        <x:v>0.051375</x:v>
      </x:c>
      <x:c r="J1725" s="2" t="n">
        <x:v>3</x:v>
      </x:c>
      <x:c r="K1725" s="2" t="n">
        <x:v>2</x:v>
      </x:c>
      <x:c r="L1725" s="12" t="n">
        <x:v>2291.72045</x:v>
      </x:c>
      <x:c r="M1725" s="13" t="n">
        <x:v>0.8311621280501494</x:v>
      </x:c>
      <x:c r="N1725" s="13" t="n">
        <x:f>H1725/G1725</x:f>
        <x:v>0.034696182685694306</x:v>
      </x:c>
      <x:c r="O1725" s="13" t="n">
        <x:f>F1725/E1725</x:f>
        <x:v>0</x:v>
      </x:c>
      <x:c r="P1725" s="2" t="str">
        <x:f>IF(AND(E1725&gt;='Итоги'!$F$5,N1725&lt;='Итоги'!$B$5,O1725&gt;='Итоги'!$D$5),"Да","Нет")</x:f>
        <x:v>Нет</x:v>
      </x:c>
    </x:row>
    <x:row r="1726" ht="60" customHeight="1">
      <x:c r="A1726" s="14" t="str">
        <x:v>Строительство и ремонт (DIY)</x:v>
      </x:c>
      <x:c r="B1726" s="14" t="str">
        <x:v>Ремонт и строительство</x:v>
      </x:c>
      <x:c r="C1726" s="14" t="str">
        <x:v>Скобяные изделия</x:v>
      </x:c>
      <x:c r="D1726" s="14" t="str">
        <x:v>Замки и комплектующие</x:v>
      </x:c>
      <x:c r="E1726" s="2" t="n">
        <x:v>42</x:v>
      </x:c>
      <x:c r="F1726" s="2" t="n">
        <x:v>0</x:v>
      </x:c>
      <x:c r="G1726" s="12" t="n">
        <x:v>6094422.1233</x:v>
      </x:c>
      <x:c r="H1726" s="12" t="n">
        <x:v>212703.13075006</x:v>
      </x:c>
      <x:c r="I1726" s="13" t="n">
        <x:v>0.0414571428571428</x:v>
      </x:c>
      <x:c r="J1726" s="2" t="n">
        <x:v>23</x:v>
      </x:c>
      <x:c r="K1726" s="2" t="n">
        <x:v>15</x:v>
      </x:c>
      <x:c r="L1726" s="12" t="n">
        <x:v>1213.4321</x:v>
      </x:c>
      <x:c r="M1726" s="13" t="n">
        <x:v>0.3642037991943569</x:v>
      </x:c>
      <x:c r="N1726" s="13" t="n">
        <x:f>H1726/G1726</x:f>
        <x:v>0.034901279636810875</x:v>
      </x:c>
      <x:c r="O1726" s="13" t="n">
        <x:f>F1726/E1726</x:f>
        <x:v>0</x:v>
      </x:c>
      <x:c r="P1726" s="2" t="str">
        <x:f>IF(AND(E1726&gt;='Итоги'!$F$5,N1726&lt;='Итоги'!$B$5,O1726&gt;='Итоги'!$D$5),"Да","Нет")</x:f>
        <x:v>Нет</x:v>
      </x:c>
    </x:row>
    <x:row r="1727" ht="60" customHeight="1">
      <x:c r="A1727" s="14" t="str">
        <x:v>Хобби и творчество</x:v>
      </x:c>
      <x:c r="B1727" s="14" t="str">
        <x:v>Взрослое творчество и хобби</x:v>
      </x:c>
      <x:c r="C1727" s="14" t="str">
        <x:v>Вязание</x:v>
      </x:c>
      <x:c r="D1727" s="14" t="str">
        <x:v>Пряжа</x:v>
      </x:c>
      <x:c r="E1727" s="2" t="n">
        <x:v>10</x:v>
      </x:c>
      <x:c r="F1727" s="2" t="n">
        <x:v>0</x:v>
      </x:c>
      <x:c r="G1727" s="12" t="n">
        <x:v>514968.62</x:v>
      </x:c>
      <x:c r="H1727" s="12" t="n">
        <x:v>17982.348672</x:v>
      </x:c>
      <x:c r="I1727" s="13" t="n">
        <x:v>0.0168199999999999</x:v>
      </x:c>
      <x:c r="J1727" s="2" t="n">
        <x:v>8</x:v>
      </x:c>
      <x:c r="K1727" s="2" t="n">
        <x:v>5</x:v>
      </x:c>
      <x:c r="L1727" s="12" t="n">
        <x:v>789.0890999999999</x:v>
      </x:c>
      <x:c r="M1727" s="13" t="n">
        <x:v>0.4232619067157917</x:v>
      </x:c>
      <x:c r="N1727" s="13" t="n">
        <x:f>H1727/G1727</x:f>
        <x:v>0.0349193095921068</x:v>
      </x:c>
      <x:c r="O1727" s="13" t="n">
        <x:f>F1727/E1727</x:f>
        <x:v>0</x:v>
      </x:c>
      <x:c r="P1727" s="2" t="str">
        <x:f>IF(AND(E1727&gt;='Итоги'!$F$5,N1727&lt;='Итоги'!$B$5,O1727&gt;='Итоги'!$D$5),"Да","Нет")</x:f>
        <x:v>Нет</x:v>
      </x:c>
    </x:row>
    <x:row r="1728" ht="60" customHeight="1">
      <x:c r="A1728" s="14" t="str">
        <x:v>Спорт и отдых</x:v>
      </x:c>
      <x:c r="B1728" s="14" t="str">
        <x:v>Водные виды спорта</x:v>
      </x:c>
      <x:c r="C1728" s="14" t="str">
        <x:v>Серфинг</x:v>
      </x:c>
      <x:c r="D1728" s="14" t="str">
        <x:v>Доска для серфинга</x:v>
      </x:c>
      <x:c r="E1728" s="2" t="n">
        <x:v>8</x:v>
      </x:c>
      <x:c r="F1728" s="2" t="n">
        <x:v>0</x:v>
      </x:c>
      <x:c r="G1728" s="12" t="n">
        <x:v>1172873</x:v>
      </x:c>
      <x:c r="H1728" s="12" t="n">
        <x:v>41001.3158</x:v>
      </x:c>
      <x:c r="I1728" s="13" t="n">
        <x:v>0.0327625</x:v>
      </x:c>
      <x:c r="J1728" s="2" t="n">
        <x:v>2</x:v>
      </x:c>
      <x:c r="K1728" s="2" t="n">
        <x:v>4</x:v>
      </x:c>
      <x:c r="L1728" s="12" t="n">
        <x:v>15084.6875</x:v>
      </x:c>
      <x:c r="M1728" s="13" t="n">
        <x:v>0.7971144360898409</x:v>
      </x:c>
      <x:c r="N1728" s="13" t="n">
        <x:f>H1728/G1728</x:f>
        <x:v>0.0349580183020668</x:v>
      </x:c>
      <x:c r="O1728" s="13" t="n">
        <x:f>F1728/E1728</x:f>
        <x:v>0</x:v>
      </x:c>
      <x:c r="P1728" s="2" t="str">
        <x:f>IF(AND(E1728&gt;='Итоги'!$F$5,N1728&lt;='Итоги'!$B$5,O1728&gt;='Итоги'!$D$5),"Да","Нет")</x:f>
        <x:v>Нет</x:v>
      </x:c>
    </x:row>
    <x:row r="1729" ht="60" customHeight="1">
      <x:c r="A1729" s="14" t="str">
        <x:v>Товары для красоты и здоровья</x:v>
      </x:c>
      <x:c r="B1729" s="14" t="str">
        <x:v>Косметика для ухода за волосами</x:v>
      </x:c>
      <x:c r="C1729" s="14" t="str">
        <x:v>Стайлинг для женщин</x:v>
      </x:c>
      <x:c r="D1729" s="14" t="str">
        <x:v>Пудра для волос женская</x:v>
      </x:c>
      <x:c r="E1729" s="2" t="n">
        <x:v>7</x:v>
      </x:c>
      <x:c r="F1729" s="2" t="n">
        <x:v>0</x:v>
      </x:c>
      <x:c r="G1729" s="12" t="n">
        <x:v>676454.6117</x:v>
      </x:c>
      <x:c r="H1729" s="12" t="n">
        <x:v>23673.329424</x:v>
      </x:c>
      <x:c r="I1729" s="13" t="n">
        <x:v>0.0301285714285714</x:v>
      </x:c>
      <x:c r="J1729" s="2" t="n">
        <x:v>4</x:v>
      </x:c>
      <x:c r="K1729" s="2" t="n">
        <x:v>3</x:v>
      </x:c>
      <x:c r="L1729" s="12" t="n">
        <x:v>1533.0991</x:v>
      </x:c>
      <x:c r="M1729" s="13" t="n">
        <x:v>0.8092017269634056</x:v>
      </x:c>
      <x:c r="N1729" s="13" t="n">
        <x:f>H1729/G1729</x:f>
        <x:v>0.03499618306172307</x:v>
      </x:c>
      <x:c r="O1729" s="13" t="n">
        <x:f>F1729/E1729</x:f>
        <x:v>0</x:v>
      </x:c>
      <x:c r="P1729" s="2" t="str">
        <x:f>IF(AND(E1729&gt;='Итоги'!$F$5,N1729&lt;='Итоги'!$B$5,O1729&gt;='Итоги'!$D$5),"Да","Нет")</x:f>
        <x:v>Нет</x:v>
      </x:c>
    </x:row>
    <x:row r="1730" ht="60" customHeight="1">
      <x:c r="A1730" s="14" t="str">
        <x:v>Одежда</x:v>
      </x:c>
      <x:c r="B1730" s="14" t="str">
        <x:v>Основная одежда женская</x:v>
      </x:c>
      <x:c r="C1730" s="14" t="str">
        <x:v>Спортивная основная одежда женская верха</x:v>
      </x:c>
      <x:c r="D1730" s="14" t="str">
        <x:v>Спортивная толстовка женская</x:v>
      </x:c>
      <x:c r="E1730" s="2" t="n">
        <x:v>70</x:v>
      </x:c>
      <x:c r="F1730" s="2" t="n">
        <x:v>0</x:v>
      </x:c>
      <x:c r="G1730" s="12" t="n">
        <x:v>5056901.9697</x:v>
      </x:c>
      <x:c r="H1730" s="12" t="n">
        <x:v>177271.73595672</x:v>
      </x:c>
      <x:c r="I1730" s="13" t="n">
        <x:v>0.0287842857142857</x:v>
      </x:c>
      <x:c r="J1730" s="2" t="n">
        <x:v>30</x:v>
      </x:c>
      <x:c r="K1730" s="2" t="n">
        <x:v>9</x:v>
      </x:c>
      <x:c r="L1730" s="12" t="n">
        <x:v>1956.9747</x:v>
      </x:c>
      <x:c r="M1730" s="13" t="n">
        <x:v>0.3727855192161923</x:v>
      </x:c>
      <x:c r="N1730" s="13" t="n">
        <x:f>H1730/G1730</x:f>
        <x:v>0.035055402896654646</x:v>
      </x:c>
      <x:c r="O1730" s="13" t="n">
        <x:f>F1730/E1730</x:f>
        <x:v>0</x:v>
      </x:c>
      <x:c r="P1730" s="2" t="str">
        <x:f>IF(AND(E1730&gt;='Итоги'!$F$5,N1730&lt;='Итоги'!$B$5,O1730&gt;='Итоги'!$D$5),"Да","Нет")</x:f>
        <x:v>Нет</x:v>
      </x:c>
    </x:row>
    <x:row r="1731" ht="60" customHeight="1">
      <x:c r="A1731" s="14" t="str">
        <x:v>Детская одежда</x:v>
      </x:c>
      <x:c r="B1731" s="14" t="str">
        <x:v>Детская одежда</x:v>
      </x:c>
      <x:c r="C1731" s="14" t="str">
        <x:v>Одежда для девочки</x:v>
      </x:c>
      <x:c r="D1731" s="14" t="str">
        <x:v>Рубашка для девочки</x:v>
      </x:c>
      <x:c r="E1731" s="2" t="n">
        <x:v>26</x:v>
      </x:c>
      <x:c r="F1731" s="2" t="n">
        <x:v>0</x:v>
      </x:c>
      <x:c r="G1731" s="12" t="n">
        <x:v>2218769.15</x:v>
      </x:c>
      <x:c r="H1731" s="12" t="n">
        <x:v>77788.782534</x:v>
      </x:c>
      <x:c r="I1731" s="13" t="n">
        <x:v>0.0272615384615384</x:v>
      </x:c>
      <x:c r="J1731" s="2" t="n">
        <x:v>14</x:v>
      </x:c>
      <x:c r="K1731" s="2" t="n">
        <x:v>11</x:v>
      </x:c>
      <x:c r="L1731" s="12" t="n">
        <x:v>1160.20105</x:v>
      </x:c>
      <x:c r="M1731" s="13" t="n">
        <x:v>0.23109609668045</x:v>
      </x:c>
      <x:c r="N1731" s="13" t="n">
        <x:f>H1731/G1731</x:f>
        <x:v>0.03505943037562065</x:v>
      </x:c>
      <x:c r="O1731" s="13" t="n">
        <x:f>F1731/E1731</x:f>
        <x:v>0</x:v>
      </x:c>
      <x:c r="P1731" s="2" t="str">
        <x:f>IF(AND(E1731&gt;='Итоги'!$F$5,N1731&lt;='Итоги'!$B$5,O1731&gt;='Итоги'!$D$5),"Да","Нет")</x:f>
        <x:v>Нет</x:v>
      </x:c>
    </x:row>
    <x:row r="1732" ht="60" customHeight="1">
      <x:c r="A1732" s="14" t="str">
        <x:v>Детская одежда</x:v>
      </x:c>
      <x:c r="B1732" s="14" t="str">
        <x:v>Детская одежда</x:v>
      </x:c>
      <x:c r="C1732" s="14" t="str">
        <x:v>Школьная одежда для девочки</x:v>
      </x:c>
      <x:c r="D1732" s="14" t="str">
        <x:v>Школьные брюки, шорты для девочки</x:v>
      </x:c>
      <x:c r="E1732" s="2" t="n">
        <x:v>231</x:v>
      </x:c>
      <x:c r="F1732" s="2" t="n">
        <x:v>0</x:v>
      </x:c>
      <x:c r="G1732" s="12" t="n">
        <x:v>20048270.4539</x:v>
      </x:c>
      <x:c r="H1732" s="12" t="n">
        <x:v>703050.44992282</x:v>
      </x:c>
      <x:c r="I1732" s="13" t="n">
        <x:v>0.0283060606060606</x:v>
      </x:c>
      <x:c r="J1732" s="2" t="n">
        <x:v>114</x:v>
      </x:c>
      <x:c r="K1732" s="2" t="n">
        <x:v>25</x:v>
      </x:c>
      <x:c r="L1732" s="12" t="n">
        <x:v>1232.3559</x:v>
      </x:c>
      <x:c r="M1732" s="13" t="n">
        <x:v>0.289485466162544</x:v>
      </x:c>
      <x:c r="N1732" s="13" t="n">
        <x:f>H1732/G1732</x:f>
        <x:v>0.03506788535896149</x:v>
      </x:c>
      <x:c r="O1732" s="13" t="n">
        <x:f>F1732/E1732</x:f>
        <x:v>0</x:v>
      </x:c>
      <x:c r="P1732" s="2" t="str">
        <x:f>IF(AND(E1732&gt;='Итоги'!$F$5,N1732&lt;='Итоги'!$B$5,O1732&gt;='Итоги'!$D$5),"Да","Нет")</x:f>
        <x:v>Нет</x:v>
      </x:c>
    </x:row>
    <x:row r="1733" ht="60" customHeight="1">
      <x:c r="A1733" s="14" t="str">
        <x:v>Автотовары</x:v>
      </x:c>
      <x:c r="B1733" s="14" t="str">
        <x:v>Дополнительное оборудование для авто и мото техники</x:v>
      </x:c>
      <x:c r="C1733" s="14" t="str">
        <x:v>Оборудование для перевозки багажа</x:v>
      </x:c>
      <x:c r="D1733" s="14" t="str">
        <x:v>Фаркоп</x:v>
      </x:c>
      <x:c r="E1733" s="2" t="n">
        <x:v>16</x:v>
      </x:c>
      <x:c r="F1733" s="2" t="n">
        <x:v>0</x:v>
      </x:c>
      <x:c r="G1733" s="12" t="n">
        <x:v>1191255.0806</x:v>
      </x:c>
      <x:c r="H1733" s="12" t="n">
        <x:v>41817.06914752</x:v>
      </x:c>
      <x:c r="I1733" s="13" t="n">
        <x:v>0.0208125</x:v>
      </x:c>
      <x:c r="J1733" s="2" t="n">
        <x:v>12</x:v>
      </x:c>
      <x:c r="K1733" s="2" t="n">
        <x:v>7</x:v>
      </x:c>
      <x:c r="L1733" s="12" t="n">
        <x:v>5861</x:v>
      </x:c>
      <x:c r="M1733" s="13" t="n">
        <x:v>0.3751958310850456</x:v>
      </x:c>
      <x:c r="N1733" s="13" t="n">
        <x:f>H1733/G1733</x:f>
        <x:v>0.03510337108191638</x:v>
      </x:c>
      <x:c r="O1733" s="13" t="n">
        <x:f>F1733/E1733</x:f>
        <x:v>0</x:v>
      </x:c>
      <x:c r="P1733" s="2" t="str">
        <x:f>IF(AND(E1733&gt;='Итоги'!$F$5,N1733&lt;='Итоги'!$B$5,O1733&gt;='Итоги'!$D$5),"Да","Нет")</x:f>
        <x:v>Нет</x:v>
      </x:c>
    </x:row>
    <x:row r="1734" ht="60" customHeight="1">
      <x:c r="A1734" s="14" t="str">
        <x:v>Товары для детей и спорта</x:v>
      </x:c>
      <x:c r="B1734" s="14" t="str">
        <x:v>КГТ и аксессуары для детей</x:v>
      </x:c>
      <x:c r="C1734" s="14" t="str">
        <x:v>Детская мебель и аксессуары в дом</x:v>
      </x:c>
      <x:c r="D1734" s="14" t="str">
        <x:v>Кроватка для новорожденных</x:v>
      </x:c>
      <x:c r="E1734" s="2" t="n">
        <x:v>53</x:v>
      </x:c>
      <x:c r="F1734" s="2" t="n">
        <x:v>0</x:v>
      </x:c>
      <x:c r="G1734" s="12" t="n">
        <x:v>6701961.9012</x:v>
      </x:c>
      <x:c r="H1734" s="12" t="n">
        <x:v>235354.34158393</x:v>
      </x:c>
      <x:c r="I1734" s="13" t="n">
        <x:v>0.0360471698113207</x:v>
      </x:c>
      <x:c r="J1734" s="2" t="n">
        <x:v>34</x:v>
      </x:c>
      <x:c r="K1734" s="2" t="n">
        <x:v>15</x:v>
      </x:c>
      <x:c r="L1734" s="12" t="n">
        <x:v>8957.8751</x:v>
      </x:c>
      <x:c r="M1734" s="13" t="n">
        <x:v>0.5462351371983356</x:v>
      </x:c>
      <x:c r="N1734" s="13" t="n">
        <x:f>H1734/G1734</x:f>
        <x:v>0.03511723060403989</x:v>
      </x:c>
      <x:c r="O1734" s="13" t="n">
        <x:f>F1734/E1734</x:f>
        <x:v>0</x:v>
      </x:c>
      <x:c r="P1734" s="2" t="str">
        <x:f>IF(AND(E1734&gt;='Итоги'!$F$5,N1734&lt;='Итоги'!$B$5,O1734&gt;='Итоги'!$D$5),"Да","Нет")</x:f>
        <x:v>Нет</x:v>
      </x:c>
    </x:row>
    <x:row r="1735" ht="60" customHeight="1">
      <x:c r="A1735" s="14" t="str">
        <x:v>Строительство и ремонт (DIY)</x:v>
      </x:c>
      <x:c r="B1735" s="14" t="str">
        <x:v>Ремонт и строительство</x:v>
      </x:c>
      <x:c r="C1735" s="14" t="str">
        <x:v>Электротовары</x:v>
      </x:c>
      <x:c r="D1735" s="14" t="str">
        <x:v>Устройство защитного отключения (УЗО)</x:v>
      </x:c>
      <x:c r="E1735" s="2" t="n">
        <x:v>22</x:v>
      </x:c>
      <x:c r="F1735" s="2" t="n">
        <x:v>0</x:v>
      </x:c>
      <x:c r="G1735" s="12" t="n">
        <x:v>4464955.04</x:v>
      </x:c>
      <x:c r="H1735" s="12" t="n">
        <x:v>156852.377125</x:v>
      </x:c>
      <x:c r="I1735" s="13" t="n">
        <x:v>0.0405045454545454</x:v>
      </x:c>
      <x:c r="J1735" s="2" t="n">
        <x:v>8</x:v>
      </x:c>
      <x:c r="K1735" s="2" t="n">
        <x:v>6</x:v>
      </x:c>
      <x:c r="L1735" s="12" t="n">
        <x:v>1732.9855</x:v>
      </x:c>
      <x:c r="M1735" s="13" t="n">
        <x:v>0.4888493681226407</x:v>
      </x:c>
      <x:c r="N1735" s="13" t="n">
        <x:f>H1735/G1735</x:f>
        <x:v>0.03512966552178317</x:v>
      </x:c>
      <x:c r="O1735" s="13" t="n">
        <x:f>F1735/E1735</x:f>
        <x:v>0</x:v>
      </x:c>
      <x:c r="P1735" s="2" t="str">
        <x:f>IF(AND(E1735&gt;='Итоги'!$F$5,N1735&lt;='Итоги'!$B$5,O1735&gt;='Итоги'!$D$5),"Да","Нет")</x:f>
        <x:v>Нет</x:v>
      </x:c>
    </x:row>
    <x:row r="1736" ht="60" customHeight="1">
      <x:c r="A1736" s="14" t="str">
        <x:v>Мебель</x:v>
      </x:c>
      <x:c r="B1736" s="14" t="str">
        <x:v>Мягкая мебель</x:v>
      </x:c>
      <x:c r="C1736" s="14" t="str">
        <x:v>Кресло</x:v>
      </x:c>
      <x:c r="D1736" s="14" t="str">
        <x:v>Кресла</x:v>
      </x:c>
      <x:c r="E1736" s="2" t="n">
        <x:v>250</x:v>
      </x:c>
      <x:c r="F1736" s="2" t="n">
        <x:v>0</x:v>
      </x:c>
      <x:c r="G1736" s="12" t="n">
        <x:v>43014263.5676</x:v>
      </x:c>
      <x:c r="H1736" s="12" t="n">
        <x:v>1511332.11042818</x:v>
      </x:c>
      <x:c r="I1736" s="13" t="n">
        <x:v>0.0482</x:v>
      </x:c>
      <x:c r="J1736" s="2" t="n">
        <x:v>72</x:v>
      </x:c>
      <x:c r="K1736" s="2" t="n">
        <x:v>14</x:v>
      </x:c>
      <x:c r="L1736" s="12" t="n">
        <x:v>9153.18255</x:v>
      </x:c>
      <x:c r="M1736" s="13" t="n">
        <x:v>0.8516266966103009</x:v>
      </x:c>
      <x:c r="N1736" s="13" t="n">
        <x:f>H1736/G1736</x:f>
        <x:v>0.03513560352028376</x:v>
      </x:c>
      <x:c r="O1736" s="13" t="n">
        <x:f>F1736/E1736</x:f>
        <x:v>0</x:v>
      </x:c>
      <x:c r="P1736" s="2" t="str">
        <x:f>IF(AND(E1736&gt;='Итоги'!$F$5,N1736&lt;='Итоги'!$B$5,O1736&gt;='Итоги'!$D$5),"Да","Нет")</x:f>
        <x:v>Нет</x:v>
      </x:c>
    </x:row>
    <x:row r="1737" ht="60" customHeight="1">
      <x:c r="A1737" s="14" t="str">
        <x:v>Спорт и отдых</x:v>
      </x:c>
      <x:c r="B1737" s="14" t="str">
        <x:v>Туризм</x:v>
      </x:c>
      <x:c r="C1737" s="14" t="str">
        <x:v>Палатка, тент туристические</x:v>
      </x:c>
      <x:c r="D1737" s="14" t="str">
        <x:v>Тент</x:v>
      </x:c>
      <x:c r="E1737" s="2" t="n">
        <x:v>92</x:v>
      </x:c>
      <x:c r="F1737" s="2" t="n">
        <x:v>0</x:v>
      </x:c>
      <x:c r="G1737" s="12" t="n">
        <x:v>19784820.4532</x:v>
      </x:c>
      <x:c r="H1737" s="12" t="n">
        <x:v>695198.94060954</x:v>
      </x:c>
      <x:c r="I1737" s="13" t="n">
        <x:v>0.0405130434782608</x:v>
      </x:c>
      <x:c r="J1737" s="2" t="n">
        <x:v>47</x:v>
      </x:c>
      <x:c r="K1737" s="2" t="n">
        <x:v>18</x:v>
      </x:c>
      <x:c r="L1737" s="12" t="n">
        <x:v>2256.0855</x:v>
      </x:c>
      <x:c r="M1737" s="13" t="n">
        <x:v>0.5135188857150704</x:v>
      </x:c>
      <x:c r="N1737" s="13" t="n">
        <x:f>H1737/G1737</x:f>
        <x:v>0.03513799593248764</x:v>
      </x:c>
      <x:c r="O1737" s="13" t="n">
        <x:f>F1737/E1737</x:f>
        <x:v>0</x:v>
      </x:c>
      <x:c r="P1737" s="2" t="str">
        <x:f>IF(AND(E1737&gt;='Итоги'!$F$5,N1737&lt;='Итоги'!$B$5,O1737&gt;='Итоги'!$D$5),"Да","Нет")</x:f>
        <x:v>Нет</x:v>
      </x:c>
    </x:row>
    <x:row r="1738" ht="60" customHeight="1">
      <x:c r="A1738" s="14" t="str">
        <x:v>Ноутбуки и компьютеры</x:v>
      </x:c>
      <x:c r="B1738" s="14" t="str">
        <x:v>Компьютерная периферия Lap&amp;Comp</x:v>
      </x:c>
      <x:c r="C1738" s="14" t="str">
        <x:v>Компьютерный манипулятор Lap&amp;Comp</x:v>
      </x:c>
      <x:c r="D1738" s="14" t="str">
        <x:v>Клавиатура</x:v>
      </x:c>
      <x:c r="E1738" s="2" t="n">
        <x:v>318</x:v>
      </x:c>
      <x:c r="F1738" s="2" t="n">
        <x:v>0</x:v>
      </x:c>
      <x:c r="G1738" s="12" t="n">
        <x:v>61258211.5719</x:v>
      </x:c>
      <x:c r="H1738" s="12" t="n">
        <x:v>2154856.58840666</x:v>
      </x:c>
      <x:c r="I1738" s="13" t="n">
        <x:v>0.0403034591194968</x:v>
      </x:c>
      <x:c r="J1738" s="2" t="n">
        <x:v>105</x:v>
      </x:c>
      <x:c r="K1738" s="2" t="n">
        <x:v>39</x:v>
      </x:c>
      <x:c r="L1738" s="12" t="n">
        <x:v>3484.88465</x:v>
      </x:c>
      <x:c r="M1738" s="13" t="n">
        <x:v>0.6450678782863195</x:v>
      </x:c>
      <x:c r="N1738" s="13" t="n">
        <x:f>H1738/G1738</x:f>
        <x:v>0.035176616050526736</x:v>
      </x:c>
      <x:c r="O1738" s="13" t="n">
        <x:f>F1738/E1738</x:f>
        <x:v>0</x:v>
      </x:c>
      <x:c r="P1738" s="2" t="str">
        <x:f>IF(AND(E1738&gt;='Итоги'!$F$5,N1738&lt;='Итоги'!$B$5,O1738&gt;='Итоги'!$D$5),"Да","Нет")</x:f>
        <x:v>Нет</x:v>
      </x:c>
    </x:row>
    <x:row r="1739" ht="60" customHeight="1">
      <x:c r="A1739" s="14" t="str">
        <x:v>Строительство и ремонт (DIY)</x:v>
      </x:c>
      <x:c r="B1739" s="14" t="str">
        <x:v>Инструменты</x:v>
      </x:c>
      <x:c r="C1739" s="14" t="str">
        <x:v>Техника для строительства, ремонта</x:v>
      </x:c>
      <x:c r="D1739" s="14" t="str">
        <x:v>Оборудование для газовой сварки</x:v>
      </x:c>
      <x:c r="E1739" s="2" t="n">
        <x:v>28</x:v>
      </x:c>
      <x:c r="F1739" s="2" t="n">
        <x:v>0</x:v>
      </x:c>
      <x:c r="G1739" s="12" t="n">
        <x:v>3741769.9253</x:v>
      </x:c>
      <x:c r="H1739" s="12" t="n">
        <x:v>131920.53427056</x:v>
      </x:c>
      <x:c r="I1739" s="13" t="n">
        <x:v>0.0315321428571428</x:v>
      </x:c>
      <x:c r="J1739" s="2" t="n">
        <x:v>18</x:v>
      </x:c>
      <x:c r="K1739" s="2" t="n">
        <x:v>10</x:v>
      </x:c>
      <x:c r="L1739" s="12" t="n">
        <x:v>1036.7218</x:v>
      </x:c>
      <x:c r="M1739" s="13" t="n">
        <x:v>0.6473292000458316</x:v>
      </x:c>
      <x:c r="N1739" s="13" t="n">
        <x:f>H1739/G1739</x:f>
        <x:v>0.03525618541604563</x:v>
      </x:c>
      <x:c r="O1739" s="13" t="n">
        <x:f>F1739/E1739</x:f>
        <x:v>0</x:v>
      </x:c>
      <x:c r="P1739" s="2" t="str">
        <x:f>IF(AND(E1739&gt;='Итоги'!$F$5,N1739&lt;='Итоги'!$B$5,O1739&gt;='Итоги'!$D$5),"Да","Нет")</x:f>
        <x:v>Нет</x:v>
      </x:c>
    </x:row>
    <x:row r="1740" ht="60" customHeight="1">
      <x:c r="A1740" s="14" t="str">
        <x:v>Строительство и ремонт (DIY)</x:v>
      </x:c>
      <x:c r="B1740" s="14" t="str">
        <x:v>Сад и огород</x:v>
      </x:c>
      <x:c r="C1740" s="14" t="str">
        <x:v>Садовый инструмент</x:v>
      </x:c>
      <x:c r="D1740" s="14" t="str">
        <x:v>Оснастка, расходники для садовой техники</x:v>
      </x:c>
      <x:c r="E1740" s="2" t="n">
        <x:v>75</x:v>
      </x:c>
      <x:c r="F1740" s="2" t="n">
        <x:v>0</x:v>
      </x:c>
      <x:c r="G1740" s="12" t="n">
        <x:v>11455523.4275</x:v>
      </x:c>
      <x:c r="H1740" s="12" t="n">
        <x:v>403878.64514844</x:v>
      </x:c>
      <x:c r="I1740" s="13" t="n">
        <x:v>0.0365013333333333</x:v>
      </x:c>
      <x:c r="J1740" s="2" t="n">
        <x:v>42</x:v>
      </x:c>
      <x:c r="K1740" s="2" t="n">
        <x:v>25</x:v>
      </x:c>
      <x:c r="L1740" s="12" t="n">
        <x:v>1456.1688</x:v>
      </x:c>
      <x:c r="M1740" s="13" t="n">
        <x:v>0.4963575595550847</x:v>
      </x:c>
      <x:c r="N1740" s="13" t="n">
        <x:f>H1740/G1740</x:f>
        <x:v>0.0352562366708529</x:v>
      </x:c>
      <x:c r="O1740" s="13" t="n">
        <x:f>F1740/E1740</x:f>
        <x:v>0</x:v>
      </x:c>
      <x:c r="P1740" s="2" t="str">
        <x:f>IF(AND(E1740&gt;='Итоги'!$F$5,N1740&lt;='Итоги'!$B$5,O1740&gt;='Итоги'!$D$5),"Да","Нет")</x:f>
        <x:v>Нет</x:v>
      </x:c>
    </x:row>
    <x:row r="1741" ht="60" customHeight="1">
      <x:c r="A1741" s="14" t="str">
        <x:v>Товары для красоты и здоровья</x:v>
      </x:c>
      <x:c r="B1741" s="14" t="str">
        <x:v>Декоративная косметика</x:v>
      </x:c>
      <x:c r="C1741" s="14" t="str">
        <x:v>Маникюр и педикюр</x:v>
      </x:c>
      <x:c r="D1741" s="14" t="str">
        <x:v>Защитный лак, верхнее покрытие, топ для ногтей</x:v>
      </x:c>
      <x:c r="E1741" s="2" t="n">
        <x:v>5</x:v>
      </x:c>
      <x:c r="F1741" s="2" t="n">
        <x:v>0</x:v>
      </x:c>
      <x:c r="G1741" s="12" t="n">
        <x:v>570472.03</x:v>
      </x:c>
      <x:c r="H1741" s="12" t="n">
        <x:v>20119.890848000003</x:v>
      </x:c>
      <x:c r="I1741" s="13" t="n">
        <x:v>0.03196</x:v>
      </x:c>
      <x:c r="J1741" s="2" t="n">
        <x:v>3</x:v>
      </x:c>
      <x:c r="K1741" s="2" t="n">
        <x:v>3</x:v>
      </x:c>
      <x:c r="L1741" s="12" t="n">
        <x:v>1346.9764</x:v>
      </x:c>
      <x:c r="M1741" s="13" t="n">
        <x:v>0.7104891540431877</x:v>
      </x:c>
      <x:c r="N1741" s="13" t="n">
        <x:f>H1741/G1741</x:f>
        <x:v>0.035268847182569146</x:v>
      </x:c>
      <x:c r="O1741" s="13" t="n">
        <x:f>F1741/E1741</x:f>
        <x:v>0</x:v>
      </x:c>
      <x:c r="P1741" s="2" t="str">
        <x:f>IF(AND(E1741&gt;='Итоги'!$F$5,N1741&lt;='Итоги'!$B$5,O1741&gt;='Итоги'!$D$5),"Да","Нет")</x:f>
        <x:v>Нет</x:v>
      </x:c>
    </x:row>
    <x:row r="1742" ht="60" customHeight="1">
      <x:c r="A1742" s="14" t="str">
        <x:v>Аксессуары</x:v>
      </x:c>
      <x:c r="B1742" s="14" t="str">
        <x:v>Бижутерия и часы бижутерные</x:v>
      </x:c>
      <x:c r="C1742" s="14" t="str">
        <x:v>Часы бижу</x:v>
      </x:c>
      <x:c r="D1742" s="14" t="str">
        <x:v>Бижу часы-кулон мужские</x:v>
      </x:c>
      <x:c r="E1742" s="2" t="n">
        <x:v>2</x:v>
      </x:c>
      <x:c r="F1742" s="2" t="n">
        <x:v>0</x:v>
      </x:c>
      <x:c r="G1742" s="12" t="n">
        <x:v>188565.54</x:v>
      </x:c>
      <x:c r="H1742" s="12" t="n">
        <x:v>6651.993244</x:v>
      </x:c>
      <x:c r="I1742" s="13" t="n">
        <x:v>0.0346</x:v>
      </x:c>
      <x:c r="J1742" s="2" t="n">
        <x:v>1</x:v>
      </x:c>
      <x:c r="K1742" s="2" t="n">
        <x:v>1</x:v>
      </x:c>
      <x:c r="L1742" s="12" t="n">
        <x:v>976.9625</x:v>
      </x:c>
      <x:c r="M1742" s="13" t="n">
        <x:v>1</x:v>
      </x:c>
      <x:c r="N1742" s="13" t="n">
        <x:f>H1742/G1742</x:f>
        <x:v>0.03527682334746847</x:v>
      </x:c>
      <x:c r="O1742" s="13" t="n">
        <x:f>F1742/E1742</x:f>
        <x:v>0</x:v>
      </x:c>
      <x:c r="P1742" s="2" t="str">
        <x:f>IF(AND(E1742&gt;='Итоги'!$F$5,N1742&lt;='Итоги'!$B$5,O1742&gt;='Итоги'!$D$5),"Да","Нет")</x:f>
        <x:v>Нет</x:v>
      </x:c>
    </x:row>
    <x:row r="1743" ht="60" customHeight="1">
      <x:c r="A1743" s="14" t="str">
        <x:v>Детская одежда</x:v>
      </x:c>
      <x:c r="B1743" s="14" t="str">
        <x:v>Детская одежда</x:v>
      </x:c>
      <x:c r="C1743" s="14" t="str">
        <x:v>Верхняя одежда для девочки</x:v>
      </x:c>
      <x:c r="D1743" s="14" t="str">
        <x:v>Комбинезон демисезонный для девочки</x:v>
      </x:c>
      <x:c r="E1743" s="2" t="n">
        <x:v>28</x:v>
      </x:c>
      <x:c r="F1743" s="2" t="n">
        <x:v>0</x:v>
      </x:c>
      <x:c r="G1743" s="12" t="n">
        <x:v>740470.54</x:v>
      </x:c>
      <x:c r="H1743" s="12" t="n">
        <x:v>26140.064535</x:v>
      </x:c>
      <x:c r="I1743" s="13" t="n">
        <x:v>0.016825</x:v>
      </x:c>
      <x:c r="J1743" s="2" t="n">
        <x:v>23</x:v>
      </x:c>
      <x:c r="K1743" s="2" t="n">
        <x:v>6</x:v>
      </x:c>
      <x:c r="L1743" s="12" t="n">
        <x:v>1821.746</x:v>
      </x:c>
      <x:c r="M1743" s="13" t="n">
        <x:v>0.7251654873399823</x:v>
      </x:c>
      <x:c r="N1743" s="13" t="n">
        <x:f>H1743/G1743</x:f>
        <x:v>0.03530196425505328</x:v>
      </x:c>
      <x:c r="O1743" s="13" t="n">
        <x:f>F1743/E1743</x:f>
        <x:v>0</x:v>
      </x:c>
      <x:c r="P1743" s="2" t="str">
        <x:f>IF(AND(E1743&gt;='Итоги'!$F$5,N1743&lt;='Итоги'!$B$5,O1743&gt;='Итоги'!$D$5),"Да","Нет")</x:f>
        <x:v>Нет</x:v>
      </x:c>
    </x:row>
    <x:row r="1744" ht="60" customHeight="1">
      <x:c r="A1744" s="14" t="str">
        <x:v>Детская одежда</x:v>
      </x:c>
      <x:c r="B1744" s="14" t="str">
        <x:v>Детская одежда</x:v>
      </x:c>
      <x:c r="C1744" s="14" t="str">
        <x:v>Верхняя одежда для мальчика</x:v>
      </x:c>
      <x:c r="D1744" s="14" t="str">
        <x:v>Комбинезон демисезонный для мальчика</x:v>
      </x:c>
      <x:c r="E1744" s="2" t="n">
        <x:v>37</x:v>
      </x:c>
      <x:c r="F1744" s="2" t="n">
        <x:v>0</x:v>
      </x:c>
      <x:c r="G1744" s="12" t="n">
        <x:v>1639974.97</x:v>
      </x:c>
      <x:c r="H1744" s="12" t="n">
        <x:v>57903.800169</x:v>
      </x:c>
      <x:c r="I1744" s="13" t="n">
        <x:v>0.0155</x:v>
      </x:c>
      <x:c r="J1744" s="2" t="n">
        <x:v>28</x:v>
      </x:c>
      <x:c r="K1744" s="2" t="n">
        <x:v>5</x:v>
      </x:c>
      <x:c r="L1744" s="12" t="n">
        <x:v>2434</x:v>
      </x:c>
      <x:c r="M1744" s="13" t="n">
        <x:v>0.9281836539249132</x:v>
      </x:c>
      <x:c r="N1744" s="13" t="n">
        <x:f>H1744/G1744</x:f>
        <x:v>0.035307734098527124</x:v>
      </x:c>
      <x:c r="O1744" s="13" t="n">
        <x:f>F1744/E1744</x:f>
        <x:v>0</x:v>
      </x:c>
      <x:c r="P1744" s="2" t="str">
        <x:f>IF(AND(E1744&gt;='Итоги'!$F$5,N1744&lt;='Итоги'!$B$5,O1744&gt;='Итоги'!$D$5),"Да","Нет")</x:f>
        <x:v>Нет</x:v>
      </x:c>
    </x:row>
    <x:row r="1745" ht="60" customHeight="1">
      <x:c r="A1745" s="14" t="str">
        <x:v>Бакалея и кондитерские изделия</x:v>
      </x:c>
      <x:c r="B1745" s="14" t="str">
        <x:v>Бакалея</x:v>
      </x:c>
      <x:c r="C1745" s="14" t="str">
        <x:v>Снэки, чипсы, готовые завтраки</x:v>
      </x:c>
      <x:c r="D1745" s="14" t="str">
        <x:v>Семена и зерна</x:v>
      </x:c>
      <x:c r="E1745" s="2" t="n">
        <x:v>10</x:v>
      </x:c>
      <x:c r="F1745" s="2" t="n">
        <x:v>0</x:v>
      </x:c>
      <x:c r="G1745" s="12" t="n">
        <x:v>1067586.151</x:v>
      </x:c>
      <x:c r="H1745" s="12" t="n">
        <x:v>37760.179766</x:v>
      </x:c>
      <x:c r="I1745" s="13" t="n">
        <x:v>0.03729</x:v>
      </x:c>
      <x:c r="J1745" s="2" t="n">
        <x:v>4</x:v>
      </x:c>
      <x:c r="K1745" s="2" t="n">
        <x:v>8</x:v>
      </x:c>
      <x:c r="L1745" s="12" t="n">
        <x:v>1378.9999</x:v>
      </x:c>
      <x:c r="M1745" s="13" t="n">
        <x:v>0.2041374082980213</x:v>
      </x:c>
      <x:c r="N1745" s="13" t="n">
        <x:f>H1745/G1745</x:f>
        <x:v>0.03536967928127423</x:v>
      </x:c>
      <x:c r="O1745" s="13" t="n">
        <x:f>F1745/E1745</x:f>
        <x:v>0</x:v>
      </x:c>
      <x:c r="P1745" s="2" t="str">
        <x:f>IF(AND(E1745&gt;='Итоги'!$F$5,N1745&lt;='Итоги'!$B$5,O1745&gt;='Итоги'!$D$5),"Да","Нет")</x:f>
        <x:v>Нет</x:v>
      </x:c>
    </x:row>
    <x:row r="1746" ht="60" customHeight="1">
      <x:c r="A1746" s="14" t="str">
        <x:v>Аксессуары</x:v>
      </x:c>
      <x:c r="B1746" s="14" t="str">
        <x:v>Ювелирные изделия</x:v>
      </x:c>
      <x:c r="C1746" s="14" t="str">
        <x:v>Воротник ювелирный</x:v>
      </x:c>
      <x:c r="D1746" s="14" t="str">
        <x:v>Серебро коллар/чокер/ошейник</x:v>
      </x:c>
      <x:c r="E1746" s="2" t="n">
        <x:v>2</x:v>
      </x:c>
      <x:c r="F1746" s="2" t="n">
        <x:v>0</x:v>
      </x:c>
      <x:c r="G1746" s="12" t="n">
        <x:v>114386</x:v>
      </x:c>
      <x:c r="H1746" s="12" t="n">
        <x:v>4046.5916</x:v>
      </x:c>
      <x:c r="I1746" s="13" t="n">
        <x:v>0.0286</x:v>
      </x:c>
      <x:c r="J1746" s="2" t="n">
        <x:v>0</x:v>
      </x:c>
      <x:c r="K1746" s="2" t="n">
        <x:v>1</x:v>
      </x:c>
      <x:c r="L1746" s="12" t="n">
        <x:v>2801.65315</x:v>
      </x:c>
      <x:c r="M1746" s="13" t="n">
        <x:v>1</x:v>
      </x:c>
      <x:c r="N1746" s="13" t="n">
        <x:f>H1746/G1746</x:f>
        <x:v>0.035376633504100155</x:v>
      </x:c>
      <x:c r="O1746" s="13" t="n">
        <x:f>F1746/E1746</x:f>
        <x:v>0</x:v>
      </x:c>
      <x:c r="P1746" s="2" t="str">
        <x:f>IF(AND(E1746&gt;='Итоги'!$F$5,N1746&lt;='Итоги'!$B$5,O1746&gt;='Итоги'!$D$5),"Да","Нет")</x:f>
        <x:v>Нет</x:v>
      </x:c>
    </x:row>
    <x:row r="1747" ht="60" customHeight="1">
      <x:c r="A1747" s="14" t="str">
        <x:v>Книги</x:v>
      </x:c>
      <x:c r="B1747" s="14" t="str">
        <x:v>Печатные книги: Художественная литература</x:v>
      </x:c>
      <x:c r="C1747" s="14" t="str">
        <x:v>Книги: Приключения</x:v>
      </x:c>
      <x:c r="D1747" s="14" t="str">
        <x:v>Печатная книга: Приключения</x:v>
      </x:c>
      <x:c r="E1747" s="2" t="n">
        <x:v>2</x:v>
      </x:c>
      <x:c r="F1747" s="2" t="n">
        <x:v>0</x:v>
      </x:c>
      <x:c r="G1747" s="12" t="n">
        <x:v>172202.5333</x:v>
      </x:c>
      <x:c r="H1747" s="12" t="n">
        <x:v>6094.53241936</x:v>
      </x:c>
      <x:c r="I1747" s="13" t="n">
        <x:v>0.0392</x:v>
      </x:c>
      <x:c r="J1747" s="2" t="n">
        <x:v>1</x:v>
      </x:c>
      <x:c r="K1747" s="2" t="n">
        <x:v>2</x:v>
      </x:c>
      <x:c r="L1747" s="12" t="n">
        <x:v>1524.84495</x:v>
      </x:c>
      <x:c r="M1747" s="13" t="n">
        <x:v>0.5485758460674167</x:v>
      </x:c>
      <x:c r="N1747" s="13" t="n">
        <x:f>H1747/G1747</x:f>
        <x:v>0.03539165366831453</x:v>
      </x:c>
      <x:c r="O1747" s="13" t="n">
        <x:f>F1747/E1747</x:f>
        <x:v>0</x:v>
      </x:c>
      <x:c r="P1747" s="2" t="str">
        <x:f>IF(AND(E1747&gt;='Итоги'!$F$5,N1747&lt;='Итоги'!$B$5,O1747&gt;='Итоги'!$D$5),"Да","Нет")</x:f>
        <x:v>Нет</x:v>
      </x:c>
    </x:row>
    <x:row r="1748" ht="60" customHeight="1">
      <x:c r="A1748" s="14" t="str">
        <x:v>Мебель</x:v>
      </x:c>
      <x:c r="B1748" s="14" t="str">
        <x:v>Корпусная мебель и мебель для хранения</x:v>
      </x:c>
      <x:c r="C1748" s="14" t="str">
        <x:v>Прочая мебель для хранения</x:v>
      </x:c>
      <x:c r="D1748" s="14" t="str">
        <x:v>Ширма</x:v>
      </x:c>
      <x:c r="E1748" s="2" t="n">
        <x:v>22</x:v>
      </x:c>
      <x:c r="F1748" s="2" t="n">
        <x:v>0</x:v>
      </x:c>
      <x:c r="G1748" s="12" t="n">
        <x:v>1824628.4133</x:v>
      </x:c>
      <x:c r="H1748" s="12" t="n">
        <x:v>64586.94045034</x:v>
      </x:c>
      <x:c r="I1748" s="13" t="n">
        <x:v>0.0286181818181818</x:v>
      </x:c>
      <x:c r="J1748" s="2" t="n">
        <x:v>10</x:v>
      </x:c>
      <x:c r="K1748" s="2" t="n">
        <x:v>7</x:v>
      </x:c>
      <x:c r="L1748" s="12" t="n">
        <x:v>5085.915999999999</x:v>
      </x:c>
      <x:c r="M1748" s="13" t="n">
        <x:v>0.5512494572968294</x:v>
      </x:c>
      <x:c r="N1748" s="13" t="n">
        <x:f>H1748/G1748</x:f>
        <x:v>0.03539731157289657</x:v>
      </x:c>
      <x:c r="O1748" s="13" t="n">
        <x:f>F1748/E1748</x:f>
        <x:v>0</x:v>
      </x:c>
      <x:c r="P1748" s="2" t="str">
        <x:f>IF(AND(E1748&gt;='Итоги'!$F$5,N1748&lt;='Итоги'!$B$5,O1748&gt;='Итоги'!$D$5),"Да","Нет")</x:f>
        <x:v>Нет</x:v>
      </x:c>
    </x:row>
    <x:row r="1749" ht="60" customHeight="1">
      <x:c r="A1749" s="14" t="str">
        <x:v>Товары для дома</x:v>
      </x:c>
      <x:c r="B1749" s="14" t="str">
        <x:v>Ванная комната</x:v>
      </x:c>
      <x:c r="C1749" s="14" t="str">
        <x:v>Шторы и карнизы для ванной</x:v>
      </x:c>
      <x:c r="D1749" s="14" t="str">
        <x:v>Набор колец, крючков для штор в ванной</x:v>
      </x:c>
      <x:c r="E1749" s="2" t="n">
        <x:v>1</x:v>
      </x:c>
      <x:c r="F1749" s="2" t="n">
        <x:v>0</x:v>
      </x:c>
      <x:c r="G1749" s="12" t="n">
        <x:v>99154</x:v>
      </x:c>
      <x:c r="H1749" s="12" t="n">
        <x:v>3510.0516</x:v>
      </x:c>
      <x:c r="I1749" s="13" t="n">
        <x:v>0.0354</x:v>
      </x:c>
      <x:c r="J1749" s="2" t="n">
        <x:v>0</x:v>
      </x:c>
      <x:c r="K1749" s="2" t="n">
        <x:v>1</x:v>
      </x:c>
      <x:c r="L1749" s="12" t="n">
        <x:v>1224.1235</x:v>
      </x:c>
      <x:c r="M1749" s="13" t="n">
        <x:v>1</x:v>
      </x:c>
      <x:c r="N1749" s="13" t="n">
        <x:f>H1749/G1749</x:f>
        <x:v>0.0354</x:v>
      </x:c>
      <x:c r="O1749" s="13" t="n">
        <x:f>F1749/E1749</x:f>
        <x:v>0</x:v>
      </x:c>
      <x:c r="P1749" s="2" t="str">
        <x:f>IF(AND(E1749&gt;='Итоги'!$F$5,N1749&lt;='Итоги'!$B$5,O1749&gt;='Итоги'!$D$5),"Да","Нет")</x:f>
        <x:v>Нет</x:v>
      </x:c>
    </x:row>
    <x:row r="1750" ht="60" customHeight="1">
      <x:c r="A1750" s="14" t="str">
        <x:v>Детская одежда</x:v>
      </x:c>
      <x:c r="B1750" s="14" t="str">
        <x:v>Детская обувь</x:v>
      </x:c>
      <x:c r="C1750" s="14" t="str">
        <x:v>Обувь спортивная для мальчика</x:v>
      </x:c>
      <x:c r="D1750" s="14" t="str">
        <x:v>Ботинки спортивные для мальчика</x:v>
      </x:c>
      <x:c r="E1750" s="2" t="n">
        <x:v>3</x:v>
      </x:c>
      <x:c r="F1750" s="2" t="n">
        <x:v>0</x:v>
      </x:c>
      <x:c r="G1750" s="12" t="n">
        <x:v>149601.25</x:v>
      </x:c>
      <x:c r="H1750" s="12" t="n">
        <x:v>5296.820100000001</x:v>
      </x:c>
      <x:c r="I1750" s="13" t="n">
        <x:v>0.0481</x:v>
      </x:c>
      <x:c r="J1750" s="2" t="n">
        <x:v>2</x:v>
      </x:c>
      <x:c r="K1750" s="2" t="n">
        <x:v>1</x:v>
      </x:c>
      <x:c r="L1750" s="12" t="n">
        <x:v>4679.3625</x:v>
      </x:c>
      <x:c r="M1750" s="13" t="n">
        <x:v>1</x:v>
      </x:c>
      <x:c r="N1750" s="13" t="n">
        <x:f>H1750/G1750</x:f>
        <x:v>0.03540625562954856</x:v>
      </x:c>
      <x:c r="O1750" s="13" t="n">
        <x:f>F1750/E1750</x:f>
        <x:v>0</x:v>
      </x:c>
      <x:c r="P1750" s="2" t="str">
        <x:f>IF(AND(E1750&gt;='Итоги'!$F$5,N1750&lt;='Итоги'!$B$5,O1750&gt;='Итоги'!$D$5),"Да","Нет")</x:f>
        <x:v>Нет</x:v>
      </x:c>
    </x:row>
    <x:row r="1751" ht="60" customHeight="1">
      <x:c r="A1751" s="14" t="str">
        <x:v>Детская одежда</x:v>
      </x:c>
      <x:c r="B1751" s="14" t="str">
        <x:v>Детская одежда</x:v>
      </x:c>
      <x:c r="C1751" s="14" t="str">
        <x:v>Верхняя одежда для мальчика</x:v>
      </x:c>
      <x:c r="D1751" s="14" t="str">
        <x:v>Комбинезон зимний для мальчика</x:v>
      </x:c>
      <x:c r="E1751" s="2" t="n">
        <x:v>53</x:v>
      </x:c>
      <x:c r="F1751" s="2" t="n">
        <x:v>0</x:v>
      </x:c>
      <x:c r="G1751" s="12" t="n">
        <x:v>1866440.831</x:v>
      </x:c>
      <x:c r="H1751" s="12" t="n">
        <x:v>66159.518981</x:v>
      </x:c>
      <x:c r="I1751" s="13" t="n">
        <x:v>0.0187981132075471</x:v>
      </x:c>
      <x:c r="J1751" s="2" t="n">
        <x:v>36</x:v>
      </x:c>
      <x:c r="K1751" s="2" t="n">
        <x:v>13</x:v>
      </x:c>
      <x:c r="L1751" s="12" t="n">
        <x:v>3774</x:v>
      </x:c>
      <x:c r="M1751" s="13" t="n">
        <x:v>0.2579683438140558</x:v>
      </x:c>
      <x:c r="N1751" s="13" t="n">
        <x:f>H1751/G1751</x:f>
        <x:v>0.035446887938876216</x:v>
      </x:c>
      <x:c r="O1751" s="13" t="n">
        <x:f>F1751/E1751</x:f>
        <x:v>0</x:v>
      </x:c>
      <x:c r="P1751" s="2" t="str">
        <x:f>IF(AND(E1751&gt;='Итоги'!$F$5,N1751&lt;='Итоги'!$B$5,O1751&gt;='Итоги'!$D$5),"Да","Нет")</x:f>
        <x:v>Нет</x:v>
      </x:c>
    </x:row>
    <x:row r="1752" ht="60" customHeight="1">
      <x:c r="A1752" s="14" t="str">
        <x:v>Аптека</x:v>
      </x:c>
      <x:c r="B1752" s="14" t="str">
        <x:v>Профессиональный уход за полостью рта</x:v>
      </x:c>
      <x:c r="C1752" s="14" t="str">
        <x:v>Профессиональный уход за полостью рта</x:v>
      </x:c>
      <x:c r="D1752" s="14" t="str">
        <x:v>Уход за протезами/брекетами</x:v>
      </x:c>
      <x:c r="E1752" s="2" t="n">
        <x:v>13</x:v>
      </x:c>
      <x:c r="F1752" s="2" t="n">
        <x:v>0</x:v>
      </x:c>
      <x:c r="G1752" s="12" t="n">
        <x:v>3389901.27</x:v>
      </x:c>
      <x:c r="H1752" s="12" t="n">
        <x:v>120196.273987</x:v>
      </x:c>
      <x:c r="I1752" s="13" t="n">
        <x:v>0.0541</x:v>
      </x:c>
      <x:c r="J1752" s="2" t="n">
        <x:v>7</x:v>
      </x:c>
      <x:c r="K1752" s="2" t="n">
        <x:v>3</x:v>
      </x:c>
      <x:c r="L1752" s="12" t="n">
        <x:v>931.6101</x:v>
      </x:c>
      <x:c r="M1752" s="13" t="n">
        <x:v>0.9078802905666924</x:v>
      </x:c>
      <x:c r="N1752" s="13" t="n">
        <x:f>H1752/G1752</x:f>
        <x:v>0.03545716067034601</x:v>
      </x:c>
      <x:c r="O1752" s="13" t="n">
        <x:f>F1752/E1752</x:f>
        <x:v>0</x:v>
      </x:c>
      <x:c r="P1752" s="2" t="str">
        <x:f>IF(AND(E1752&gt;='Итоги'!$F$5,N1752&lt;='Итоги'!$B$5,O1752&gt;='Итоги'!$D$5),"Да","Нет")</x:f>
        <x:v>Нет</x:v>
      </x:c>
    </x:row>
    <x:row r="1753" ht="60" customHeight="1">
      <x:c r="A1753" s="14" t="str">
        <x:v>Автотовары</x:v>
      </x:c>
      <x:c r="B1753" s="14" t="str">
        <x:v>Авто и мото запчасти</x:v>
      </x:c>
      <x:c r="C1753" s="14" t="str">
        <x:v>Запчасти для ТО</x:v>
      </x:c>
      <x:c r="D1753" s="14" t="str">
        <x:v>Фильтр салонный</x:v>
      </x:c>
      <x:c r="E1753" s="2" t="n">
        <x:v>5</x:v>
      </x:c>
      <x:c r="F1753" s="2" t="n">
        <x:v>0</x:v>
      </x:c>
      <x:c r="G1753" s="12" t="n">
        <x:v>577895.0086000001</x:v>
      </x:c>
      <x:c r="H1753" s="12" t="n">
        <x:v>20494.5897</x:v>
      </x:c>
      <x:c r="I1753" s="13" t="n">
        <x:v>0.04106</x:v>
      </x:c>
      <x:c r="J1753" s="2" t="n">
        <x:v>3</x:v>
      </x:c>
      <x:c r="K1753" s="2" t="n">
        <x:v>4</x:v>
      </x:c>
      <x:c r="L1753" s="12" t="n">
        <x:v>1270.8636</x:v>
      </x:c>
      <x:c r="M1753" s="13" t="n">
        <x:v>0.4401880492379805</x:v>
      </x:c>
      <x:c r="N1753" s="13" t="n">
        <x:f>H1753/G1753</x:f>
        <x:v>0.0354642095796084</x:v>
      </x:c>
      <x:c r="O1753" s="13" t="n">
        <x:f>F1753/E1753</x:f>
        <x:v>0</x:v>
      </x:c>
      <x:c r="P1753" s="2" t="str">
        <x:f>IF(AND(E1753&gt;='Итоги'!$F$5,N1753&lt;='Итоги'!$B$5,O1753&gt;='Итоги'!$D$5),"Да","Нет")</x:f>
        <x:v>Нет</x:v>
      </x:c>
    </x:row>
    <x:row r="1754" ht="60" customHeight="1">
      <x:c r="A1754" s="14" t="str">
        <x:v>Бытовая химия и гигиена рта</x:v>
      </x:c>
      <x:c r="B1754" s="14" t="str">
        <x:v>Бытовая химия</x:v>
      </x:c>
      <x:c r="C1754" s="14" t="str">
        <x:v>Чистящее и моющее средство</x:v>
      </x:c>
      <x:c r="D1754" s="14" t="str">
        <x:v>Средство чистящее для ванной комнаты</x:v>
      </x:c>
      <x:c r="E1754" s="2" t="n">
        <x:v>17</x:v>
      </x:c>
      <x:c r="F1754" s="2" t="n">
        <x:v>0</x:v>
      </x:c>
      <x:c r="G1754" s="12" t="n">
        <x:v>3042502.5051</x:v>
      </x:c>
      <x:c r="H1754" s="12" t="n">
        <x:v>107904.89275668</x:v>
      </x:c>
      <x:c r="I1754" s="13" t="n">
        <x:v>0.0439764705882353</x:v>
      </x:c>
      <x:c r="J1754" s="2" t="n">
        <x:v>10</x:v>
      </x:c>
      <x:c r="K1754" s="2" t="n">
        <x:v>5</x:v>
      </x:c>
      <x:c r="L1754" s="12" t="n">
        <x:v>1077.7733</x:v>
      </x:c>
      <x:c r="M1754" s="13" t="n">
        <x:v>0.4694838213298535</x:v>
      </x:c>
      <x:c r="N1754" s="13" t="n">
        <x:f>H1754/G1754</x:f>
        <x:v>0.03546583530360426</x:v>
      </x:c>
      <x:c r="O1754" s="13" t="n">
        <x:f>F1754/E1754</x:f>
        <x:v>0</x:v>
      </x:c>
      <x:c r="P1754" s="2" t="str">
        <x:f>IF(AND(E1754&gt;='Итоги'!$F$5,N1754&lt;='Итоги'!$B$5,O1754&gt;='Итоги'!$D$5),"Да","Нет")</x:f>
        <x:v>Нет</x:v>
      </x:c>
    </x:row>
    <x:row r="1755" ht="60" customHeight="1">
      <x:c r="A1755" s="14" t="str">
        <x:v>Товары для дома</x:v>
      </x:c>
      <x:c r="B1755" s="14" t="str">
        <x:v>Интерьер и декор</x:v>
      </x:c>
      <x:c r="C1755" s="14" t="str">
        <x:v>Ароматы для дома</x:v>
      </x:c>
      <x:c r="D1755" s="14" t="str">
        <x:v>Нейтрализатор запаха для дома</x:v>
      </x:c>
      <x:c r="E1755" s="2" t="n">
        <x:v>6</x:v>
      </x:c>
      <x:c r="F1755" s="2" t="n">
        <x:v>0</x:v>
      </x:c>
      <x:c r="G1755" s="12" t="n">
        <x:v>854383.6993</x:v>
      </x:c>
      <x:c r="H1755" s="12" t="n">
        <x:v>30321.59258966</x:v>
      </x:c>
      <x:c r="I1755" s="13" t="n">
        <x:v>0.0407666666666666</x:v>
      </x:c>
      <x:c r="J1755" s="2" t="n">
        <x:v>2</x:v>
      </x:c>
      <x:c r="K1755" s="2" t="n">
        <x:v>4</x:v>
      </x:c>
      <x:c r="L1755" s="12" t="n">
        <x:v>1031.68605</x:v>
      </x:c>
      <x:c r="M1755" s="13" t="n">
        <x:v>0.3576096801124913</x:v>
      </x:c>
      <x:c r="N1755" s="13" t="n">
        <x:f>H1755/G1755</x:f>
        <x:v>0.03548943245815973</x:v>
      </x:c>
      <x:c r="O1755" s="13" t="n">
        <x:f>F1755/E1755</x:f>
        <x:v>0</x:v>
      </x:c>
      <x:c r="P1755" s="2" t="str">
        <x:f>IF(AND(E1755&gt;='Итоги'!$F$5,N1755&lt;='Итоги'!$B$5,O1755&gt;='Итоги'!$D$5),"Да","Нет")</x:f>
        <x:v>Нет</x:v>
      </x:c>
    </x:row>
    <x:row r="1756" ht="60" customHeight="1">
      <x:c r="A1756" s="14" t="str">
        <x:v>Детская одежда</x:v>
      </x:c>
      <x:c r="B1756" s="14" t="str">
        <x:v>Детская одежда</x:v>
      </x:c>
      <x:c r="C1756" s="14" t="str">
        <x:v>Школьная одежда для девочки</x:v>
      </x:c>
      <x:c r="D1756" s="14" t="str">
        <x:v>Школьный жакет, кардиган для девочки</x:v>
      </x:c>
      <x:c r="E1756" s="2" t="n">
        <x:v>43</x:v>
      </x:c>
      <x:c r="F1756" s="2" t="n">
        <x:v>0</x:v>
      </x:c>
      <x:c r="G1756" s="12" t="n">
        <x:v>2458085.0215</x:v>
      </x:c>
      <x:c r="H1756" s="12" t="n">
        <x:v>87436.0924607</x:v>
      </x:c>
      <x:c r="I1756" s="13" t="n">
        <x:v>0.0165348837209302</x:v>
      </x:c>
      <x:c r="J1756" s="2" t="n">
        <x:v>29</x:v>
      </x:c>
      <x:c r="K1756" s="2" t="n">
        <x:v>5</x:v>
      </x:c>
      <x:c r="L1756" s="12" t="n">
        <x:v>2579.5</x:v>
      </x:c>
      <x:c r="M1756" s="13" t="n">
        <x:v>0.7834337765602792</x:v>
      </x:c>
      <x:c r="N1756" s="13" t="n">
        <x:f>H1756/G1756</x:f>
        <x:v>0.03557081699612806</x:v>
      </x:c>
      <x:c r="O1756" s="13" t="n">
        <x:f>F1756/E1756</x:f>
        <x:v>0</x:v>
      </x:c>
      <x:c r="P1756" s="2" t="str">
        <x:f>IF(AND(E1756&gt;='Итоги'!$F$5,N1756&lt;='Итоги'!$B$5,O1756&gt;='Итоги'!$D$5),"Да","Нет")</x:f>
        <x:v>Нет</x:v>
      </x:c>
    </x:row>
    <x:row r="1757" ht="60" customHeight="1">
      <x:c r="A1757" s="14" t="str">
        <x:v>Спорт и отдых</x:v>
      </x:c>
      <x:c r="B1757" s="14" t="str">
        <x:v>Товары для рыбалки</x:v>
      </x:c>
      <x:c r="C1757" s="14" t="str">
        <x:v>Лодки</x:v>
      </x:c>
      <x:c r="D1757" s="14" t="str">
        <x:v>Бензиновый лодочный мотор</x:v>
      </x:c>
      <x:c r="E1757" s="2" t="n">
        <x:v>51</x:v>
      </x:c>
      <x:c r="F1757" s="2" t="n">
        <x:v>0</x:v>
      </x:c>
      <x:c r="G1757" s="12" t="n">
        <x:v>12849166.5873</x:v>
      </x:c>
      <x:c r="H1757" s="12" t="n">
        <x:v>457400.53749207</x:v>
      </x:c>
      <x:c r="I1757" s="13" t="n">
        <x:v>0.0415215686274509</x:v>
      </x:c>
      <x:c r="J1757" s="2" t="n">
        <x:v>16</x:v>
      </x:c>
      <x:c r="K1757" s="2" t="n">
        <x:v>12</x:v>
      </x:c>
      <x:c r="L1757" s="12" t="n">
        <x:v>42656.4513</x:v>
      </x:c>
      <x:c r="M1757" s="13" t="n">
        <x:v>0.7664543968971473</x:v>
      </x:c>
      <x:c r="N1757" s="13" t="n">
        <x:f>H1757/G1757</x:f>
        <x:v>0.03559768132698665</x:v>
      </x:c>
      <x:c r="O1757" s="13" t="n">
        <x:f>F1757/E1757</x:f>
        <x:v>0</x:v>
      </x:c>
      <x:c r="P1757" s="2" t="str">
        <x:f>IF(AND(E1757&gt;='Итоги'!$F$5,N1757&lt;='Итоги'!$B$5,O1757&gt;='Итоги'!$D$5),"Да","Нет")</x:f>
        <x:v>Нет</x:v>
      </x:c>
    </x:row>
    <x:row r="1758" ht="60" customHeight="1">
      <x:c r="A1758" s="14" t="str">
        <x:v>Товары для дома</x:v>
      </x:c>
      <x:c r="B1758" s="14" t="str">
        <x:v>Домашний текстиль</x:v>
      </x:c>
      <x:c r="C1758" s="14" t="str">
        <x:v>Полотенце</x:v>
      </x:c>
      <x:c r="D1758" s="14" t="str">
        <x:v>Набор полотенец</x:v>
      </x:c>
      <x:c r="E1758" s="2" t="n">
        <x:v>260</x:v>
      </x:c>
      <x:c r="F1758" s="2" t="n">
        <x:v>0</x:v>
      </x:c>
      <x:c r="G1758" s="12" t="n">
        <x:v>42697565.2955</x:v>
      </x:c>
      <x:c r="H1758" s="12" t="n">
        <x:v>1521219.25322009</x:v>
      </x:c>
      <x:c r="I1758" s="13" t="n">
        <x:v>0.0421046153846153</x:v>
      </x:c>
      <x:c r="J1758" s="2" t="n">
        <x:v>90</x:v>
      </x:c>
      <x:c r="K1758" s="2" t="n">
        <x:v>13</x:v>
      </x:c>
      <x:c r="L1758" s="12" t="n">
        <x:v>1138.5539</x:v>
      </x:c>
      <x:c r="M1758" s="13" t="n">
        <x:v>0.6779946349575809</x:v>
      </x:c>
      <x:c r="N1758" s="13" t="n">
        <x:f>H1758/G1758</x:f>
        <x:v>0.035627775089564995</x:v>
      </x:c>
      <x:c r="O1758" s="13" t="n">
        <x:f>F1758/E1758</x:f>
        <x:v>0</x:v>
      </x:c>
      <x:c r="P1758" s="2" t="str">
        <x:f>IF(AND(E1758&gt;='Итоги'!$F$5,N1758&lt;='Итоги'!$B$5,O1758&gt;='Итоги'!$D$5),"Да","Нет")</x:f>
        <x:v>Нет</x:v>
      </x:c>
    </x:row>
    <x:row r="1759" ht="60" customHeight="1">
      <x:c r="A1759" s="14" t="str">
        <x:v>Товары для красоты и здоровья</x:v>
      </x:c>
      <x:c r="B1759" s="14" t="str">
        <x:v>Косметика для ухода за кожей</x:v>
      </x:c>
      <x:c r="C1759" s="14" t="str">
        <x:v>Лицо</x:v>
      </x:c>
      <x:c r="D1759" s="14" t="str">
        <x:v>Помада гигиеническая</x:v>
      </x:c>
      <x:c r="E1759" s="2" t="n">
        <x:v>2</x:v>
      </x:c>
      <x:c r="F1759" s="2" t="n">
        <x:v>0</x:v>
      </x:c>
      <x:c r="G1759" s="12" t="n">
        <x:v>304960.4797</x:v>
      </x:c>
      <x:c r="H1759" s="12" t="n">
        <x:v>10868.156111610002</x:v>
      </x:c>
      <x:c r="I1759" s="13" t="n">
        <x:v>0.02065</x:v>
      </x:c>
      <x:c r="J1759" s="2" t="n">
        <x:v>1</x:v>
      </x:c>
      <x:c r="K1759" s="2" t="n">
        <x:v>2</x:v>
      </x:c>
      <x:c r="L1759" s="12" t="n">
        <x:v>1344.66085</x:v>
      </x:c>
      <x:c r="M1759" s="13" t="n">
        <x:v>0.8629035472362552</x:v>
      </x:c>
      <x:c r="N1759" s="13" t="n">
        <x:f>H1759/G1759</x:f>
        <x:v>0.03563791650085735</x:v>
      </x:c>
      <x:c r="O1759" s="13" t="n">
        <x:f>F1759/E1759</x:f>
        <x:v>0</x:v>
      </x:c>
      <x:c r="P1759" s="2" t="str">
        <x:f>IF(AND(E1759&gt;='Итоги'!$F$5,N1759&lt;='Итоги'!$B$5,O1759&gt;='Итоги'!$D$5),"Да","Нет")</x:f>
        <x:v>Нет</x:v>
      </x:c>
    </x:row>
    <x:row r="1760" ht="60" customHeight="1">
      <x:c r="A1760" s="14" t="str">
        <x:v>Спорт и отдых</x:v>
      </x:c>
      <x:c r="B1760" s="14" t="str">
        <x:v>Туризм</x:v>
      </x:c>
      <x:c r="C1760" s="14" t="str">
        <x:v>Палатка, тент туристические</x:v>
      </x:c>
      <x:c r="D1760" s="14" t="str">
        <x:v>Шатер, беседка</x:v>
      </x:c>
      <x:c r="E1760" s="2" t="n">
        <x:v>29</x:v>
      </x:c>
      <x:c r="F1760" s="2" t="n">
        <x:v>0</x:v>
      </x:c>
      <x:c r="G1760" s="12" t="n">
        <x:v>6210126.7059</x:v>
      </x:c>
      <x:c r="H1760" s="12" t="n">
        <x:v>221417.310648</x:v>
      </x:c>
      <x:c r="I1760" s="13" t="n">
        <x:v>0.0363344827586206</x:v>
      </x:c>
      <x:c r="J1760" s="2" t="n">
        <x:v>14</x:v>
      </x:c>
      <x:c r="K1760" s="2" t="n">
        <x:v>14</x:v>
      </x:c>
      <x:c r="L1760" s="12" t="n">
        <x:v>7486.8368</x:v>
      </x:c>
      <x:c r="M1760" s="13" t="n">
        <x:v>0.749605581457352</x:v>
      </x:c>
      <x:c r="N1760" s="13" t="n">
        <x:f>H1760/G1760</x:f>
        <x:v>0.03565423398489438</x:v>
      </x:c>
      <x:c r="O1760" s="13" t="n">
        <x:f>F1760/E1760</x:f>
        <x:v>0</x:v>
      </x:c>
      <x:c r="P1760" s="2" t="str">
        <x:f>IF(AND(E1760&gt;='Итоги'!$F$5,N1760&lt;='Итоги'!$B$5,O1760&gt;='Итоги'!$D$5),"Да","Нет")</x:f>
        <x:v>Нет</x:v>
      </x:c>
    </x:row>
    <x:row r="1761" ht="60" customHeight="1">
      <x:c r="A1761" s="14" t="str">
        <x:v>Спорт и отдых</x:v>
      </x:c>
      <x:c r="B1761" s="14" t="str">
        <x:v>Туризм</x:v>
      </x:c>
      <x:c r="C1761" s="14" t="str">
        <x:v>Палатка, тент туристические</x:v>
      </x:c>
      <x:c r="D1761" s="14" t="str">
        <x:v>Аксессуары для палатки, тента, шатра</x:v>
      </x:c>
      <x:c r="E1761" s="2" t="n">
        <x:v>38</x:v>
      </x:c>
      <x:c r="F1761" s="2" t="n">
        <x:v>0</x:v>
      </x:c>
      <x:c r="G1761" s="12" t="n">
        <x:v>3911255.258</x:v>
      </x:c>
      <x:c r="H1761" s="12" t="n">
        <x:v>139644.19849881</x:v>
      </x:c>
      <x:c r="I1761" s="13" t="n">
        <x:v>0.0365526315789473</x:v>
      </x:c>
      <x:c r="J1761" s="2" t="n">
        <x:v>19</x:v>
      </x:c>
      <x:c r="K1761" s="2" t="n">
        <x:v>14</x:v>
      </x:c>
      <x:c r="L1761" s="12" t="n">
        <x:v>1875.9893</x:v>
      </x:c>
      <x:c r="M1761" s="13" t="n">
        <x:v>0.1996129240614242</x:v>
      </x:c>
      <x:c r="N1761" s="13" t="n">
        <x:f>H1761/G1761</x:f>
        <x:v>0.03570316670413793</x:v>
      </x:c>
      <x:c r="O1761" s="13" t="n">
        <x:f>F1761/E1761</x:f>
        <x:v>0</x:v>
      </x:c>
      <x:c r="P1761" s="2" t="str">
        <x:f>IF(AND(E1761&gt;='Итоги'!$F$5,N1761&lt;='Итоги'!$B$5,O1761&gt;='Итоги'!$D$5),"Да","Нет")</x:f>
        <x:v>Нет</x:v>
      </x:c>
    </x:row>
    <x:row r="1762" ht="60" customHeight="1">
      <x:c r="A1762" s="14" t="str">
        <x:v>Товары для животных</x:v>
      </x:c>
      <x:c r="B1762" s="14" t="str">
        <x:v>Гигиена и уход животных</x:v>
      </x:c>
      <x:c r="C1762" s="14" t="str">
        <x:v>Туалет для животных</x:v>
      </x:c>
      <x:c r="D1762" s="14" t="str">
        <x:v>Средство для уборки за животными</x:v>
      </x:c>
      <x:c r="E1762" s="2" t="n">
        <x:v>19</x:v>
      </x:c>
      <x:c r="F1762" s="2" t="n">
        <x:v>0</x:v>
      </x:c>
      <x:c r="G1762" s="12" t="n">
        <x:v>2409287.8628</x:v>
      </x:c>
      <x:c r="H1762" s="12" t="n">
        <x:v>86377.70325735</x:v>
      </x:c>
      <x:c r="I1762" s="13" t="n">
        <x:v>0.0287315789473684</x:v>
      </x:c>
      <x:c r="J1762" s="2" t="n">
        <x:v>12</x:v>
      </x:c>
      <x:c r="K1762" s="2" t="n">
        <x:v>3</x:v>
      </x:c>
      <x:c r="L1762" s="12" t="n">
        <x:v>1048.2128</x:v>
      </x:c>
      <x:c r="M1762" s="13" t="n">
        <x:v>0.7722291195364918</x:v>
      </x:c>
      <x:c r="N1762" s="13" t="n">
        <x:f>H1762/G1762</x:f>
        <x:v>0.0358519646369548</x:v>
      </x:c>
      <x:c r="O1762" s="13" t="n">
        <x:f>F1762/E1762</x:f>
        <x:v>0</x:v>
      </x:c>
      <x:c r="P1762" s="2" t="str">
        <x:f>IF(AND(E1762&gt;='Итоги'!$F$5,N1762&lt;='Итоги'!$B$5,O1762&gt;='Итоги'!$D$5),"Да","Нет")</x:f>
        <x:v>Нет</x:v>
      </x:c>
    </x:row>
    <x:row r="1763" ht="60" customHeight="1">
      <x:c r="A1763" s="14" t="str">
        <x:v>Автотовары</x:v>
      </x:c>
      <x:c r="B1763" s="14" t="str">
        <x:v>Авто и мото запчасти</x:v>
      </x:c>
      <x:c r="C1763" s="14" t="str">
        <x:v>Двигатель</x:v>
      </x:c>
      <x:c r="D1763" s="14" t="str">
        <x:v>Система смазки ДВС</x:v>
      </x:c>
      <x:c r="E1763" s="2" t="n">
        <x:v>7</x:v>
      </x:c>
      <x:c r="F1763" s="2" t="n">
        <x:v>0</x:v>
      </x:c>
      <x:c r="G1763" s="12" t="n">
        <x:v>858604</x:v>
      </x:c>
      <x:c r="H1763" s="12" t="n">
        <x:v>30815.9706</x:v>
      </x:c>
      <x:c r="I1763" s="13" t="n">
        <x:v>0.0280428571428571</x:v>
      </x:c>
      <x:c r="J1763" s="2" t="n">
        <x:v>4</x:v>
      </x:c>
      <x:c r="K1763" s="2" t="n">
        <x:v>7</x:v>
      </x:c>
      <x:c r="L1763" s="12" t="n">
        <x:v>5172.5417</x:v>
      </x:c>
      <x:c r="M1763" s="13" t="n">
        <x:v>0.2315188375549147</x:v>
      </x:c>
      <x:c r="N1763" s="13" t="n">
        <x:f>H1763/G1763</x:f>
        <x:v>0.0358907838770842</x:v>
      </x:c>
      <x:c r="O1763" s="13" t="n">
        <x:f>F1763/E1763</x:f>
        <x:v>0</x:v>
      </x:c>
      <x:c r="P1763" s="2" t="str">
        <x:f>IF(AND(E1763&gt;='Итоги'!$F$5,N1763&lt;='Итоги'!$B$5,O1763&gt;='Итоги'!$D$5),"Да","Нет")</x:f>
        <x:v>Нет</x:v>
      </x:c>
    </x:row>
    <x:row r="1764" ht="60" customHeight="1">
      <x:c r="A1764" s="14" t="str">
        <x:v>Строительство и ремонт (DIY)</x:v>
      </x:c>
      <x:c r="B1764" s="14" t="str">
        <x:v>Ремонт и строительство</x:v>
      </x:c>
      <x:c r="C1764" s="14" t="str">
        <x:v>Спецодежда, средства защиты</x:v>
      </x:c>
      <x:c r="D1764" s="14" t="str">
        <x:v>Пожарное оборудование</x:v>
      </x:c>
      <x:c r="E1764" s="2" t="n">
        <x:v>34</x:v>
      </x:c>
      <x:c r="F1764" s="2" t="n">
        <x:v>0</x:v>
      </x:c>
      <x:c r="G1764" s="12" t="n">
        <x:v>4637080.8223</x:v>
      </x:c>
      <x:c r="H1764" s="12" t="n">
        <x:v>166851.218436</x:v>
      </x:c>
      <x:c r="I1764" s="13" t="n">
        <x:v>0.031</x:v>
      </x:c>
      <x:c r="J1764" s="2" t="n">
        <x:v>25</x:v>
      </x:c>
      <x:c r="K1764" s="2" t="n">
        <x:v>7</x:v>
      </x:c>
      <x:c r="L1764" s="12" t="n">
        <x:v>1735.1063</x:v>
      </x:c>
      <x:c r="M1764" s="13" t="n">
        <x:v>0.324762724159948</x:v>
      </x:c>
      <x:c r="N1764" s="13" t="n">
        <x:f>H1764/G1764</x:f>
        <x:v>0.03598195175585521</x:v>
      </x:c>
      <x:c r="O1764" s="13" t="n">
        <x:f>F1764/E1764</x:f>
        <x:v>0</x:v>
      </x:c>
      <x:c r="P1764" s="2" t="str">
        <x:f>IF(AND(E1764&gt;='Итоги'!$F$5,N1764&lt;='Итоги'!$B$5,O1764&gt;='Итоги'!$D$5),"Да","Нет")</x:f>
        <x:v>Нет</x:v>
      </x:c>
    </x:row>
    <x:row r="1765" ht="60" customHeight="1">
      <x:c r="A1765" s="14" t="str">
        <x:v>Одежда</x:v>
      </x:c>
      <x:c r="B1765" s="14" t="str">
        <x:v>Основная одежда мужская</x:v>
      </x:c>
      <x:c r="C1765" s="14" t="str">
        <x:v>Спортивная основная одежда мужская верха</x:v>
      </x:c>
      <x:c r="D1765" s="14" t="str">
        <x:v>Спортивный комбинезон мужской</x:v>
      </x:c>
      <x:c r="E1765" s="2" t="n">
        <x:v>40</x:v>
      </x:c>
      <x:c r="F1765" s="2" t="n">
        <x:v>0</x:v>
      </x:c>
      <x:c r="G1765" s="12" t="n">
        <x:v>5220392.0674</x:v>
      </x:c>
      <x:c r="H1765" s="12" t="n">
        <x:v>188191.060972</x:v>
      </x:c>
      <x:c r="I1765" s="13" t="n">
        <x:v>0.0441525</x:v>
      </x:c>
      <x:c r="J1765" s="2" t="n">
        <x:v>9</x:v>
      </x:c>
      <x:c r="K1765" s="2" t="n">
        <x:v>12</x:v>
      </x:c>
      <x:c r="L1765" s="12" t="n">
        <x:v>1869.3289</x:v>
      </x:c>
      <x:c r="M1765" s="13" t="n">
        <x:v>0.2607579425883946</x:v>
      </x:c>
      <x:c r="N1765" s="13" t="n">
        <x:f>H1765/G1765</x:f>
        <x:v>0.036049219779335076</x:v>
      </x:c>
      <x:c r="O1765" s="13" t="n">
        <x:f>F1765/E1765</x:f>
        <x:v>0</x:v>
      </x:c>
      <x:c r="P1765" s="2" t="str">
        <x:f>IF(AND(E1765&gt;='Итоги'!$F$5,N1765&lt;='Итоги'!$B$5,O1765&gt;='Итоги'!$D$5),"Да","Нет")</x:f>
        <x:v>Нет</x:v>
      </x:c>
    </x:row>
    <x:row r="1766" ht="60" customHeight="1">
      <x:c r="A1766" s="14" t="str">
        <x:v>Мебель</x:v>
      </x:c>
      <x:c r="B1766" s="14" t="str">
        <x:v>Мягкая мебель</x:v>
      </x:c>
      <x:c r="C1766" s="14" t="str">
        <x:v>Диван</x:v>
      </x:c>
      <x:c r="D1766" s="14" t="str">
        <x:v>Диваны</x:v>
      </x:c>
      <x:c r="E1766" s="2" t="n">
        <x:v>244</x:v>
      </x:c>
      <x:c r="F1766" s="2" t="n">
        <x:v>0</x:v>
      </x:c>
      <x:c r="G1766" s="12" t="n">
        <x:v>50493002.0552</x:v>
      </x:c>
      <x:c r="H1766" s="12" t="n">
        <x:v>1825375.65482091</x:v>
      </x:c>
      <x:c r="I1766" s="13" t="n">
        <x:v>0.0400909836065573</x:v>
      </x:c>
      <x:c r="J1766" s="2" t="n">
        <x:v>100</x:v>
      </x:c>
      <x:c r="K1766" s="2" t="n">
        <x:v>12</x:v>
      </x:c>
      <x:c r="L1766" s="12" t="n">
        <x:v>11974.25</x:v>
      </x:c>
      <x:c r="M1766" s="13" t="n">
        <x:v>0.8156869850612977</x:v>
      </x:c>
      <x:c r="N1766" s="13" t="n">
        <x:f>H1766/G1766</x:f>
        <x:v>0.03615106213778636</x:v>
      </x:c>
      <x:c r="O1766" s="13" t="n">
        <x:f>F1766/E1766</x:f>
        <x:v>0</x:v>
      </x:c>
      <x:c r="P1766" s="2" t="str">
        <x:f>IF(AND(E1766&gt;='Итоги'!$F$5,N1766&lt;='Итоги'!$B$5,O1766&gt;='Итоги'!$D$5),"Да","Нет")</x:f>
        <x:v>Нет</x:v>
      </x:c>
    </x:row>
    <x:row r="1767" ht="60" customHeight="1">
      <x:c r="A1767" s="14" t="str">
        <x:v>Аудио и видеотехника</x:v>
      </x:c>
      <x:c r="B1767" s="14" t="str">
        <x:v>Система безопасности TV&amp;Audio</x:v>
      </x:c>
      <x:c r="C1767" s="14" t="str">
        <x:v>Умный дом TV&amp;Audio</x:v>
      </x:c>
      <x:c r="D1767" s="14" t="str">
        <x:v>Модуль расширения Умный дом</x:v>
      </x:c>
      <x:c r="E1767" s="2" t="n">
        <x:v>8</x:v>
      </x:c>
      <x:c r="F1767" s="2" t="n">
        <x:v>0</x:v>
      </x:c>
      <x:c r="G1767" s="12" t="n">
        <x:v>1687482.0184</x:v>
      </x:c>
      <x:c r="H1767" s="12" t="n">
        <x:v>61020.62969378</x:v>
      </x:c>
      <x:c r="I1767" s="13" t="n">
        <x:v>0.0360625</x:v>
      </x:c>
      <x:c r="J1767" s="2" t="n">
        <x:v>4</x:v>
      </x:c>
      <x:c r="K1767" s="2" t="n">
        <x:v>3</x:v>
      </x:c>
      <x:c r="L1767" s="12" t="n">
        <x:v>2112.5708</x:v>
      </x:c>
      <x:c r="M1767" s="13" t="n">
        <x:v>0.7701675913751473</x:v>
      </x:c>
      <x:c r="N1767" s="13" t="n">
        <x:f>H1767/G1767</x:f>
        <x:v>0.03616075847234047</x:v>
      </x:c>
      <x:c r="O1767" s="13" t="n">
        <x:f>F1767/E1767</x:f>
        <x:v>0</x:v>
      </x:c>
      <x:c r="P1767" s="2" t="str">
        <x:f>IF(AND(E1767&gt;='Итоги'!$F$5,N1767&lt;='Итоги'!$B$5,O1767&gt;='Итоги'!$D$5),"Да","Нет")</x:f>
        <x:v>Нет</x:v>
      </x:c>
    </x:row>
    <x:row r="1768" ht="60" customHeight="1">
      <x:c r="A1768" s="14" t="str">
        <x:v>Товары для дома</x:v>
      </x:c>
      <x:c r="B1768" s="14" t="str">
        <x:v>Домашний текстиль</x:v>
      </x:c>
      <x:c r="C1768" s="14" t="str">
        <x:v>Столовый текстиль</x:v>
      </x:c>
      <x:c r="D1768" s="14" t="str">
        <x:v>Фартук</x:v>
      </x:c>
      <x:c r="E1768" s="2" t="n">
        <x:v>1</x:v>
      </x:c>
      <x:c r="F1768" s="2" t="n">
        <x:v>0</x:v>
      </x:c>
      <x:c r="G1768" s="12" t="n">
        <x:v>112816.8413</x:v>
      </x:c>
      <x:c r="H1768" s="12" t="n">
        <x:v>4083.96965506</x:v>
      </x:c>
      <x:c r="I1768" s="13" t="n">
        <x:v>0.0362</x:v>
      </x:c>
      <x:c r="J1768" s="2" t="n">
        <x:v>0</x:v>
      </x:c>
      <x:c r="K1768" s="2" t="n">
        <x:v>1</x:v>
      </x:c>
      <x:c r="L1768" s="12" t="n">
        <x:v>783.4503</x:v>
      </x:c>
      <x:c r="M1768" s="13" t="n">
        <x:v>1</x:v>
      </x:c>
      <x:c r="N1768" s="13" t="n">
        <x:f>H1768/G1768</x:f>
        <x:v>0.0362</x:v>
      </x:c>
      <x:c r="O1768" s="13" t="n">
        <x:f>F1768/E1768</x:f>
        <x:v>0</x:v>
      </x:c>
      <x:c r="P1768" s="2" t="str">
        <x:f>IF(AND(E1768&gt;='Итоги'!$F$5,N1768&lt;='Итоги'!$B$5,O1768&gt;='Итоги'!$D$5),"Да","Нет")</x:f>
        <x:v>Нет</x:v>
      </x:c>
    </x:row>
    <x:row r="1769" ht="60" customHeight="1">
      <x:c r="A1769" s="14" t="str">
        <x:v>Строительство и ремонт (DIY)</x:v>
      </x:c>
      <x:c r="B1769" s="14" t="str">
        <x:v>Инструменты</x:v>
      </x:c>
      <x:c r="C1769" s="14" t="str">
        <x:v>Инструмент ручной для строительства, ремонта</x:v>
      </x:c>
      <x:c r="D1769" s="14" t="str">
        <x:v>Пистолет для монтажной пены</x:v>
      </x:c>
      <x:c r="E1769" s="2" t="n">
        <x:v>8</x:v>
      </x:c>
      <x:c r="F1769" s="2" t="n">
        <x:v>0</x:v>
      </x:c>
      <x:c r="G1769" s="12" t="n">
        <x:v>1635295.62</x:v>
      </x:c>
      <x:c r="H1769" s="12" t="n">
        <x:v>59208.10466767</x:v>
      </x:c>
      <x:c r="I1769" s="13" t="n">
        <x:v>0.0468125</x:v>
      </x:c>
      <x:c r="J1769" s="2" t="n">
        <x:v>2</x:v>
      </x:c>
      <x:c r="K1769" s="2" t="n">
        <x:v>6</x:v>
      </x:c>
      <x:c r="L1769" s="12" t="n">
        <x:v>1266.43845</x:v>
      </x:c>
      <x:c r="M1769" s="13" t="n">
        <x:v>0.6329214239563609</x:v>
      </x:c>
      <x:c r="N1769" s="13" t="n">
        <x:f>H1769/G1769</x:f>
        <x:v>0.0362063616776947</x:v>
      </x:c>
      <x:c r="O1769" s="13" t="n">
        <x:f>F1769/E1769</x:f>
        <x:v>0</x:v>
      </x:c>
      <x:c r="P1769" s="2" t="str">
        <x:f>IF(AND(E1769&gt;='Итоги'!$F$5,N1769&lt;='Итоги'!$B$5,O1769&gt;='Итоги'!$D$5),"Да","Нет")</x:f>
        <x:v>Нет</x:v>
      </x:c>
    </x:row>
    <x:row r="1770" ht="60" customHeight="1">
      <x:c r="A1770" s="14" t="str">
        <x:v>Аптека</x:v>
      </x:c>
      <x:c r="B1770" s="14" t="str">
        <x:v>Средства реабилитации</x:v>
      </x:c>
      <x:c r="C1770" s="14" t="str">
        <x:v>Средства реабилитации</x:v>
      </x:c>
      <x:c r="D1770" s="14" t="str">
        <x:v>Кресло-коляска</x:v>
      </x:c>
      <x:c r="E1770" s="2" t="n">
        <x:v>88</x:v>
      </x:c>
      <x:c r="F1770" s="2" t="n">
        <x:v>0</x:v>
      </x:c>
      <x:c r="G1770" s="12" t="n">
        <x:v>19816165.08</x:v>
      </x:c>
      <x:c r="H1770" s="12" t="n">
        <x:v>717939.7781</x:v>
      </x:c>
      <x:c r="I1770" s="13" t="n">
        <x:v>0.018815909090909</x:v>
      </x:c>
      <x:c r="J1770" s="2" t="n">
        <x:v>65</x:v>
      </x:c>
      <x:c r="K1770" s="2" t="n">
        <x:v>5</x:v>
      </x:c>
      <x:c r="L1770" s="12" t="n">
        <x:v>25282.5135</x:v>
      </x:c>
      <x:c r="M1770" s="13" t="n">
        <x:v>0.6442927291156781</x:v>
      </x:c>
      <x:c r="N1770" s="13" t="n">
        <x:f>H1770/G1770</x:f>
        <x:v>0.03623000591696726</x:v>
      </x:c>
      <x:c r="O1770" s="13" t="n">
        <x:f>F1770/E1770</x:f>
        <x:v>0</x:v>
      </x:c>
      <x:c r="P1770" s="2" t="str">
        <x:f>IF(AND(E1770&gt;='Итоги'!$F$5,N1770&lt;='Итоги'!$B$5,O1770&gt;='Итоги'!$D$5),"Да","Нет")</x:f>
        <x:v>Нет</x:v>
      </x:c>
    </x:row>
    <x:row r="1771" ht="60" customHeight="1">
      <x:c r="A1771" s="14" t="str">
        <x:v>Спорт и отдых</x:v>
      </x:c>
      <x:c r="B1771" s="14" t="str">
        <x:v>Всесезонные виды спорта</x:v>
      </x:c>
      <x:c r="C1771" s="14" t="str">
        <x:v>Бадминтон</x:v>
      </x:c>
      <x:c r="D1771" s="14" t="str">
        <x:v>Набор для бадминтона</x:v>
      </x:c>
      <x:c r="E1771" s="2" t="n">
        <x:v>40</x:v>
      </x:c>
      <x:c r="F1771" s="2" t="n">
        <x:v>0</x:v>
      </x:c>
      <x:c r="G1771" s="12" t="n">
        <x:v>8902945.1701</x:v>
      </x:c>
      <x:c r="H1771" s="12" t="n">
        <x:v>322770.65239354</x:v>
      </x:c>
      <x:c r="I1771" s="13" t="n">
        <x:v>0.033775</x:v>
      </x:c>
      <x:c r="J1771" s="2" t="n">
        <x:v>16</x:v>
      </x:c>
      <x:c r="K1771" s="2" t="n">
        <x:v>6</x:v>
      </x:c>
      <x:c r="L1771" s="12" t="n">
        <x:v>1245.074</x:v>
      </x:c>
      <x:c r="M1771" s="13" t="n">
        <x:v>0.6077108021478727</x:v>
      </x:c>
      <x:c r="N1771" s="13" t="n">
        <x:f>H1771/G1771</x:f>
        <x:v>0.03625436821486283</x:v>
      </x:c>
      <x:c r="O1771" s="13" t="n">
        <x:f>F1771/E1771</x:f>
        <x:v>0</x:v>
      </x:c>
      <x:c r="P1771" s="2" t="str">
        <x:f>IF(AND(E1771&gt;='Итоги'!$F$5,N1771&lt;='Итоги'!$B$5,O1771&gt;='Итоги'!$D$5),"Да","Нет")</x:f>
        <x:v>Нет</x:v>
      </x:c>
    </x:row>
    <x:row r="1772" ht="60" customHeight="1">
      <x:c r="A1772" s="14" t="str">
        <x:v>Обувь</x:v>
      </x:c>
      <x:c r="B1772" s="14" t="str">
        <x:v>Обувь женская</x:v>
      </x:c>
      <x:c r="C1772" s="14" t="str">
        <x:v>Обувь женская повседневная</x:v>
      </x:c>
      <x:c r="D1772" s="14" t="str">
        <x:v>Женские Мокасины</x:v>
      </x:c>
      <x:c r="E1772" s="2" t="n">
        <x:v>282</x:v>
      </x:c>
      <x:c r="F1772" s="2" t="n">
        <x:v>0</x:v>
      </x:c>
      <x:c r="G1772" s="12" t="n">
        <x:v>23658435.7139</x:v>
      </x:c>
      <x:c r="H1772" s="12" t="n">
        <x:v>857775.94600942</x:v>
      </x:c>
      <x:c r="I1772" s="13" t="n">
        <x:v>0.0320560283687943</x:v>
      </x:c>
      <x:c r="J1772" s="2" t="n">
        <x:v>119</x:v>
      </x:c>
      <x:c r="K1772" s="2" t="n">
        <x:v>18</x:v>
      </x:c>
      <x:c r="L1772" s="12" t="n">
        <x:v>2152.41895</x:v>
      </x:c>
      <x:c r="M1772" s="13" t="n">
        <x:v>0.4845839017693077</x:v>
      </x:c>
      <x:c r="N1772" s="13" t="n">
        <x:f>H1772/G1772</x:f>
        <x:v>0.03625666364346534</x:v>
      </x:c>
      <x:c r="O1772" s="13" t="n">
        <x:f>F1772/E1772</x:f>
        <x:v>0</x:v>
      </x:c>
      <x:c r="P1772" s="2" t="str">
        <x:f>IF(AND(E1772&gt;='Итоги'!$F$5,N1772&lt;='Итоги'!$B$5,O1772&gt;='Итоги'!$D$5),"Да","Нет")</x:f>
        <x:v>Нет</x:v>
      </x:c>
    </x:row>
    <x:row r="1773" ht="60" customHeight="1">
      <x:c r="A1773" s="14" t="str">
        <x:v>Аптека</x:v>
      </x:c>
      <x:c r="B1773" s="14" t="str">
        <x:v>Средства реабилитации</x:v>
      </x:c>
      <x:c r="C1773" s="14" t="str">
        <x:v>Средства по уходу за лежачими больными</x:v>
      </x:c>
      <x:c r="D1773" s="14" t="str">
        <x:v>Впитывающее белье для взрослых</x:v>
      </x:c>
      <x:c r="E1773" s="2" t="n">
        <x:v>222</x:v>
      </x:c>
      <x:c r="F1773" s="2" t="n">
        <x:v>0</x:v>
      </x:c>
      <x:c r="G1773" s="12" t="n">
        <x:v>49516125.6869</x:v>
      </x:c>
      <x:c r="H1773" s="12" t="n">
        <x:v>1799335.26761696</x:v>
      </x:c>
      <x:c r="I1773" s="13" t="n">
        <x:v>0.0412536036036036</x:v>
      </x:c>
      <x:c r="J1773" s="2" t="n">
        <x:v>111</x:v>
      </x:c>
      <x:c r="K1773" s="2" t="n">
        <x:v>39</x:v>
      </x:c>
      <x:c r="L1773" s="12" t="n">
        <x:v>1446.537</x:v>
      </x:c>
      <x:c r="M1773" s="13" t="n">
        <x:v>0.6169821908276332</x:v>
      </x:c>
      <x:c r="N1773" s="13" t="n">
        <x:f>H1773/G1773</x:f>
        <x:v>0.036338369423215854</x:v>
      </x:c>
      <x:c r="O1773" s="13" t="n">
        <x:f>F1773/E1773</x:f>
        <x:v>0</x:v>
      </x:c>
      <x:c r="P1773" s="2" t="str">
        <x:f>IF(AND(E1773&gt;='Итоги'!$F$5,N1773&lt;='Итоги'!$B$5,O1773&gt;='Итоги'!$D$5),"Да","Нет")</x:f>
        <x:v>Нет</x:v>
      </x:c>
    </x:row>
    <x:row r="1774" ht="60" customHeight="1">
      <x:c r="A1774" s="14" t="str">
        <x:v>Товары для детей и спорта</x:v>
      </x:c>
      <x:c r="B1774" s="14" t="str">
        <x:v>КГТ и аксессуары для детей</x:v>
      </x:c>
      <x:c r="C1774" s="14" t="str">
        <x:v>Детская мебель и аксессуары в дом</x:v>
      </x:c>
      <x:c r="D1774" s="14" t="str">
        <x:v>Качели, электрокачели для новорожденных</x:v>
      </x:c>
      <x:c r="E1774" s="2" t="n">
        <x:v>40</x:v>
      </x:c>
      <x:c r="F1774" s="2" t="n">
        <x:v>0</x:v>
      </x:c>
      <x:c r="G1774" s="12" t="n">
        <x:v>5684206.9567</x:v>
      </x:c>
      <x:c r="H1774" s="12" t="n">
        <x:v>206944.16780739</x:v>
      </x:c>
      <x:c r="I1774" s="13" t="n">
        <x:v>0.03956</x:v>
      </x:c>
      <x:c r="J1774" s="2" t="n">
        <x:v>12</x:v>
      </x:c>
      <x:c r="K1774" s="2" t="n">
        <x:v>5</x:v>
      </x:c>
      <x:c r="L1774" s="12" t="n">
        <x:v>6673.8246500000005</x:v>
      </x:c>
      <x:c r="M1774" s="13" t="n">
        <x:v>0.8780244700480577</x:v>
      </x:c>
      <x:c r="N1774" s="13" t="n">
        <x:f>H1774/G1774</x:f>
        <x:v>0.03640686719955965</x:v>
      </x:c>
      <x:c r="O1774" s="13" t="n">
        <x:f>F1774/E1774</x:f>
        <x:v>0</x:v>
      </x:c>
      <x:c r="P1774" s="2" t="str">
        <x:f>IF(AND(E1774&gt;='Итоги'!$F$5,N1774&lt;='Итоги'!$B$5,O1774&gt;='Итоги'!$D$5),"Да","Нет")</x:f>
        <x:v>Нет</x:v>
      </x:c>
    </x:row>
    <x:row r="1775" ht="60" customHeight="1">
      <x:c r="A1775" s="14" t="str">
        <x:v>Одежда</x:v>
      </x:c>
      <x:c r="B1775" s="14" t="str">
        <x:v>Основная одежда женская</x:v>
      </x:c>
      <x:c r="C1775" s="14" t="str">
        <x:v>Спортивная основная одежда женская верха</x:v>
      </x:c>
      <x:c r="D1775" s="14" t="str">
        <x:v>Спортивная майка женская</x:v>
      </x:c>
      <x:c r="E1775" s="2" t="n">
        <x:v>68</x:v>
      </x:c>
      <x:c r="F1775" s="2" t="n">
        <x:v>0</x:v>
      </x:c>
      <x:c r="G1775" s="12" t="n">
        <x:v>5696135.6884</x:v>
      </x:c>
      <x:c r="H1775" s="12" t="n">
        <x:v>207519.69537904</x:v>
      </x:c>
      <x:c r="I1775" s="13" t="n">
        <x:v>0.0233073529411764</x:v>
      </x:c>
      <x:c r="J1775" s="2" t="n">
        <x:v>43</x:v>
      </x:c>
      <x:c r="K1775" s="2" t="n">
        <x:v>10</x:v>
      </x:c>
      <x:c r="L1775" s="12" t="n">
        <x:v>1489.36805</x:v>
      </x:c>
      <x:c r="M1775" s="13" t="n">
        <x:v>0.4563130422425208</x:v>
      </x:c>
      <x:c r="N1775" s="13" t="n">
        <x:f>H1775/G1775</x:f>
        <x:v>0.0364316629257353</x:v>
      </x:c>
      <x:c r="O1775" s="13" t="n">
        <x:f>F1775/E1775</x:f>
        <x:v>0</x:v>
      </x:c>
      <x:c r="P1775" s="2" t="str">
        <x:f>IF(AND(E1775&gt;='Итоги'!$F$5,N1775&lt;='Итоги'!$B$5,O1775&gt;='Итоги'!$D$5),"Да","Нет")</x:f>
        <x:v>Нет</x:v>
      </x:c>
    </x:row>
    <x:row r="1776" ht="60" customHeight="1">
      <x:c r="A1776" s="14" t="str">
        <x:v>Строительство и ремонт (DIY)</x:v>
      </x:c>
      <x:c r="B1776" s="14" t="str">
        <x:v>Ремонт и строительство</x:v>
      </x:c>
      <x:c r="C1776" s="14" t="str">
        <x:v>Стройматериалы</x:v>
      </x:c>
      <x:c r="D1776" s="14" t="str">
        <x:v>Фасадные панели, 3D-панели, аксессуары, углы и т.д.</x:v>
      </x:c>
      <x:c r="E1776" s="2" t="n">
        <x:v>18</x:v>
      </x:c>
      <x:c r="F1776" s="2" t="n">
        <x:v>0</x:v>
      </x:c>
      <x:c r="G1776" s="12" t="n">
        <x:v>5599992.4142</x:v>
      </x:c>
      <x:c r="H1776" s="12" t="n">
        <x:v>204240.963912</x:v>
      </x:c>
      <x:c r="I1776" s="13" t="n">
        <x:v>0.0227222222222222</x:v>
      </x:c>
      <x:c r="J1776" s="2" t="n">
        <x:v>10</x:v>
      </x:c>
      <x:c r="K1776" s="2" t="n">
        <x:v>4</x:v>
      </x:c>
      <x:c r="L1776" s="12" t="n">
        <x:v>5877.6978500000005</x:v>
      </x:c>
      <x:c r="M1776" s="13" t="n">
        <x:v>0.4208380700702556</x:v>
      </x:c>
      <x:c r="N1776" s="13" t="n">
        <x:f>H1776/G1776</x:f>
        <x:v>0.036471650103329166</x:v>
      </x:c>
      <x:c r="O1776" s="13" t="n">
        <x:f>F1776/E1776</x:f>
        <x:v>0</x:v>
      </x:c>
      <x:c r="P1776" s="2" t="str">
        <x:f>IF(AND(E1776&gt;='Итоги'!$F$5,N1776&lt;='Итоги'!$B$5,O1776&gt;='Итоги'!$D$5),"Да","Нет")</x:f>
        <x:v>Нет</x:v>
      </x:c>
    </x:row>
    <x:row r="1777" ht="60" customHeight="1">
      <x:c r="A1777" s="14" t="str">
        <x:v>Детская одежда</x:v>
      </x:c>
      <x:c r="B1777" s="14" t="str">
        <x:v>Детская одежда</x:v>
      </x:c>
      <x:c r="C1777" s="14" t="str">
        <x:v>Школьная одежда для девочки</x:v>
      </x:c>
      <x:c r="D1777" s="14" t="str">
        <x:v>Школьная рубашка для девочки</x:v>
      </x:c>
      <x:c r="E1777" s="2" t="n">
        <x:v>94</x:v>
      </x:c>
      <x:c r="F1777" s="2" t="n">
        <x:v>0</x:v>
      </x:c>
      <x:c r="G1777" s="12" t="n">
        <x:v>8726417.477500001</x:v>
      </x:c>
      <x:c r="H1777" s="12" t="n">
        <x:v>318991.53765136</x:v>
      </x:c>
      <x:c r="I1777" s="13" t="n">
        <x:v>0.0369308510638297</x:v>
      </x:c>
      <x:c r="J1777" s="2" t="n">
        <x:v>14</x:v>
      </x:c>
      <x:c r="K1777" s="2" t="n">
        <x:v>11</x:v>
      </x:c>
      <x:c r="L1777" s="12" t="n">
        <x:v>1230.12535</x:v>
      </x:c>
      <x:c r="M1777" s="13" t="n">
        <x:v>0.7825131865518177</x:v>
      </x:c>
      <x:c r="N1777" s="13" t="n">
        <x:f>H1777/G1777</x:f>
        <x:v>0.03655469595327528</x:v>
      </x:c>
      <x:c r="O1777" s="13" t="n">
        <x:f>F1777/E1777</x:f>
        <x:v>0</x:v>
      </x:c>
      <x:c r="P1777" s="2" t="str">
        <x:f>IF(AND(E1777&gt;='Итоги'!$F$5,N1777&lt;='Итоги'!$B$5,O1777&gt;='Итоги'!$D$5),"Да","Нет")</x:f>
        <x:v>Нет</x:v>
      </x:c>
    </x:row>
    <x:row r="1778" ht="60" customHeight="1">
      <x:c r="A1778" s="14" t="str">
        <x:v>Строительство и ремонт (DIY)</x:v>
      </x:c>
      <x:c r="B1778" s="14" t="str">
        <x:v>Инструменты</x:v>
      </x:c>
      <x:c r="C1778" s="14" t="str">
        <x:v>Электроинструмент для строительства, ремонта</x:v>
      </x:c>
      <x:c r="D1778" s="14" t="str">
        <x:v>Фрезер</x:v>
      </x:c>
      <x:c r="E1778" s="2" t="n">
        <x:v>40</x:v>
      </x:c>
      <x:c r="F1778" s="2" t="n">
        <x:v>0</x:v>
      </x:c>
      <x:c r="G1778" s="12" t="n">
        <x:v>8248783.1177</x:v>
      </x:c>
      <x:c r="H1778" s="12" t="n">
        <x:v>301625.39628684</x:v>
      </x:c>
      <x:c r="I1778" s="13" t="n">
        <x:v>0.0367725</x:v>
      </x:c>
      <x:c r="J1778" s="2" t="n">
        <x:v>16</x:v>
      </x:c>
      <x:c r="K1778" s="2" t="n">
        <x:v>13</x:v>
      </x:c>
      <x:c r="L1778" s="12" t="n">
        <x:v>5476.5357</x:v>
      </x:c>
      <x:c r="M1778" s="13" t="n">
        <x:v>0.4939418436711263</x:v>
      </x:c>
      <x:c r="N1778" s="13" t="n">
        <x:f>H1778/G1778</x:f>
        <x:v>0.03656604761975387</x:v>
      </x:c>
      <x:c r="O1778" s="13" t="n">
        <x:f>F1778/E1778</x:f>
        <x:v>0</x:v>
      </x:c>
      <x:c r="P1778" s="2" t="str">
        <x:f>IF(AND(E1778&gt;='Итоги'!$F$5,N1778&lt;='Итоги'!$B$5,O1778&gt;='Итоги'!$D$5),"Да","Нет")</x:f>
        <x:v>Нет</x:v>
      </x:c>
    </x:row>
    <x:row r="1779" ht="60" customHeight="1">
      <x:c r="A1779" s="14" t="str">
        <x:v>Товары для дома</x:v>
      </x:c>
      <x:c r="B1779" s="14" t="str">
        <x:v>Кухня</x:v>
      </x:c>
      <x:c r="C1779" s="14" t="str">
        <x:v>Кухонная утварь и принадлежности</x:v>
      </x:c>
      <x:c r="D1779" s="14" t="str">
        <x:v>Коврик для выпечки и раскатки теста</x:v>
      </x:c>
      <x:c r="E1779" s="2" t="n">
        <x:v>1</x:v>
      </x:c>
      <x:c r="F1779" s="2" t="n">
        <x:v>0</x:v>
      </x:c>
      <x:c r="G1779" s="12" t="n">
        <x:v>147319.7851</x:v>
      </x:c>
      <x:c r="H1779" s="12" t="n">
        <x:v>5391.904134660001</x:v>
      </x:c>
      <x:c r="I1779" s="13" t="n">
        <x:v>0.0366</x:v>
      </x:c>
      <x:c r="J1779" s="2" t="n">
        <x:v>0</x:v>
      </x:c>
      <x:c r="K1779" s="2" t="n">
        <x:v>1</x:v>
      </x:c>
      <x:c r="L1779" s="12" t="n">
        <x:v>767.2905</x:v>
      </x:c>
      <x:c r="M1779" s="13" t="n">
        <x:v>1</x:v>
      </x:c>
      <x:c r="N1779" s="13" t="n">
        <x:f>H1779/G1779</x:f>
        <x:v>0.0366</x:v>
      </x:c>
      <x:c r="O1779" s="13" t="n">
        <x:f>F1779/E1779</x:f>
        <x:v>0</x:v>
      </x:c>
      <x:c r="P1779" s="2" t="str">
        <x:f>IF(AND(E1779&gt;='Итоги'!$F$5,N1779&lt;='Итоги'!$B$5,O1779&gt;='Итоги'!$D$5),"Да","Нет")</x:f>
        <x:v>Нет</x:v>
      </x:c>
    </x:row>
    <x:row r="1780" ht="60" customHeight="1">
      <x:c r="A1780" s="14" t="str">
        <x:v>Автотовары</x:v>
      </x:c>
      <x:c r="B1780" s="14" t="str">
        <x:v>Авто и мото запчасти</x:v>
      </x:c>
      <x:c r="C1780" s="14" t="str">
        <x:v>Система сцепления</x:v>
      </x:c>
      <x:c r="D1780" s="14" t="str">
        <x:v>Цилиндр сцепления и комплектующие</x:v>
      </x:c>
      <x:c r="E1780" s="2" t="n">
        <x:v>6</x:v>
      </x:c>
      <x:c r="F1780" s="2" t="n">
        <x:v>0</x:v>
      </x:c>
      <x:c r="G1780" s="12" t="n">
        <x:v>598181.8996</x:v>
      </x:c>
      <x:c r="H1780" s="12" t="n">
        <x:v>21927.75408964</x:v>
      </x:c>
      <x:c r="I1780" s="13" t="n">
        <x:v>0.0338833333333333</x:v>
      </x:c>
      <x:c r="J1780" s="2" t="n">
        <x:v>2</x:v>
      </x:c>
      <x:c r="K1780" s="2" t="n">
        <x:v>3</x:v>
      </x:c>
      <x:c r="L1780" s="12" t="n">
        <x:v>1757.98455</x:v>
      </x:c>
      <x:c r="M1780" s="13" t="n">
        <x:v>0.5974290304320001</x:v>
      </x:c>
      <x:c r="N1780" s="13" t="n">
        <x:f>H1780/G1780</x:f>
        <x:v>0.03665733467412326</x:v>
      </x:c>
      <x:c r="O1780" s="13" t="n">
        <x:f>F1780/E1780</x:f>
        <x:v>0</x:v>
      </x:c>
      <x:c r="P1780" s="2" t="str">
        <x:f>IF(AND(E1780&gt;='Итоги'!$F$5,N1780&lt;='Итоги'!$B$5,O1780&gt;='Итоги'!$D$5),"Да","Нет")</x:f>
        <x:v>Нет</x:v>
      </x:c>
    </x:row>
    <x:row r="1781" ht="60" customHeight="1">
      <x:c r="A1781" s="14" t="str">
        <x:v>Одежда</x:v>
      </x:c>
      <x:c r="B1781" s="14" t="str">
        <x:v>Основная одежда женская</x:v>
      </x:c>
      <x:c r="C1781" s="14" t="str">
        <x:v>Основная одежда женская верха</x:v>
      </x:c>
      <x:c r="D1781" s="14" t="str">
        <x:v>Джемпер женский</x:v>
      </x:c>
      <x:c r="E1781" s="2" t="n">
        <x:v>175</x:v>
      </x:c>
      <x:c r="F1781" s="2" t="n">
        <x:v>0</x:v>
      </x:c>
      <x:c r="G1781" s="12" t="n">
        <x:v>5306147.698</x:v>
      </x:c>
      <x:c r="H1781" s="12" t="n">
        <x:v>194625.8693931</x:v>
      </x:c>
      <x:c r="I1781" s="13" t="n">
        <x:v>0.0065685714285714</x:v>
      </x:c>
      <x:c r="J1781" s="2" t="n">
        <x:v>157</x:v>
      </x:c>
      <x:c r="K1781" s="2" t="n">
        <x:v>17</x:v>
      </x:c>
      <x:c r="L1781" s="12" t="n">
        <x:v>2012.7969</x:v>
      </x:c>
      <x:c r="M1781" s="13" t="n">
        <x:v>0.3687899463555415</x:v>
      </x:c>
      <x:c r="N1781" s="13" t="n">
        <x:f>H1781/G1781</x:f>
        <x:v>0.036679316232840375</x:v>
      </x:c>
      <x:c r="O1781" s="13" t="n">
        <x:f>F1781/E1781</x:f>
        <x:v>0</x:v>
      </x:c>
      <x:c r="P1781" s="2" t="str">
        <x:f>IF(AND(E1781&gt;='Итоги'!$F$5,N1781&lt;='Итоги'!$B$5,O1781&gt;='Итоги'!$D$5),"Да","Нет")</x:f>
        <x:v>Нет</x:v>
      </x:c>
    </x:row>
    <x:row r="1782" ht="60" customHeight="1">
      <x:c r="A1782" s="14" t="str">
        <x:v>Одежда</x:v>
      </x:c>
      <x:c r="B1782" s="14" t="str">
        <x:v>Основная одежда женская</x:v>
      </x:c>
      <x:c r="C1782" s="14" t="str">
        <x:v>Основная одежда женская комплект</x:v>
      </x:c>
      <x:c r="D1782" s="14" t="str">
        <x:v>Комплект одежды женский</x:v>
      </x:c>
      <x:c r="E1782" s="2" t="n">
        <x:v>1549</x:v>
      </x:c>
      <x:c r="F1782" s="2" t="n">
        <x:v>0</x:v>
      </x:c>
      <x:c r="G1782" s="12" t="n">
        <x:v>199090666.1278</x:v>
      </x:c>
      <x:c r="H1782" s="12" t="n">
        <x:v>7305671.3571661</x:v>
      </x:c>
      <x:c r="I1782" s="13" t="n">
        <x:v>0.0328874757908327</x:v>
      </x:c>
      <x:c r="J1782" s="2" t="n">
        <x:v>743</x:v>
      </x:c>
      <x:c r="K1782" s="2" t="n">
        <x:v>148</x:v>
      </x:c>
      <x:c r="L1782" s="12" t="n">
        <x:v>2350.4424</x:v>
      </x:c>
      <x:c r="M1782" s="13" t="n">
        <x:v>0.5433858576994026</x:v>
      </x:c>
      <x:c r="N1782" s="13" t="n">
        <x:f>H1782/G1782</x:f>
        <x:v>0.036695197716986164</x:v>
      </x:c>
      <x:c r="O1782" s="13" t="n">
        <x:f>F1782/E1782</x:f>
        <x:v>0</x:v>
      </x:c>
      <x:c r="P1782" s="2" t="str">
        <x:f>IF(AND(E1782&gt;='Итоги'!$F$5,N1782&lt;='Итоги'!$B$5,O1782&gt;='Итоги'!$D$5),"Да","Нет")</x:f>
        <x:v>Нет</x:v>
      </x:c>
    </x:row>
    <x:row r="1783" ht="60" customHeight="1">
      <x:c r="A1783" s="14" t="str">
        <x:v>Игрушки</x:v>
      </x:c>
      <x:c r="B1783" s="14" t="str">
        <x:v>Игрушки</x:v>
      </x:c>
      <x:c r="C1783" s="14" t="str">
        <x:v>Куклы и аксессуары</x:v>
      </x:c>
      <x:c r="D1783" s="14" t="str">
        <x:v>Мебель, аксессуары для кукольного домика</x:v>
      </x:c>
      <x:c r="E1783" s="2" t="n">
        <x:v>4</x:v>
      </x:c>
      <x:c r="F1783" s="2" t="n">
        <x:v>0</x:v>
      </x:c>
      <x:c r="G1783" s="12" t="n">
        <x:v>444302.9457</x:v>
      </x:c>
      <x:c r="H1783" s="12" t="n">
        <x:v>16305.515466329998</x:v>
      </x:c>
      <x:c r="I1783" s="13" t="n">
        <x:v>0.033675</x:v>
      </x:c>
      <x:c r="J1783" s="2" t="n">
        <x:v>2</x:v>
      </x:c>
      <x:c r="K1783" s="2" t="n">
        <x:v>3</x:v>
      </x:c>
      <x:c r="L1783" s="12" t="n">
        <x:v>2613.92405</x:v>
      </x:c>
      <x:c r="M1783" s="13" t="n">
        <x:v>0.6242552451751615</x:v>
      </x:c>
      <x:c r="N1783" s="13" t="n">
        <x:f>H1783/G1783</x:f>
        <x:v>0.036699093769546436</x:v>
      </x:c>
      <x:c r="O1783" s="13" t="n">
        <x:f>F1783/E1783</x:f>
        <x:v>0</x:v>
      </x:c>
      <x:c r="P1783" s="2" t="str">
        <x:f>IF(AND(E1783&gt;='Итоги'!$F$5,N1783&lt;='Итоги'!$B$5,O1783&gt;='Итоги'!$D$5),"Да","Нет")</x:f>
        <x:v>Нет</x:v>
      </x:c>
    </x:row>
    <x:row r="1784" ht="60" customHeight="1">
      <x:c r="A1784" s="14" t="str">
        <x:v>Товары для детей и спорта</x:v>
      </x:c>
      <x:c r="B1784" s="14" t="str">
        <x:v>КГТ и аксессуары для детей</x:v>
      </x:c>
      <x:c r="C1784" s="14" t="str">
        <x:v>Детская мебель и аксессуары в дом</x:v>
      </x:c>
      <x:c r="D1784" s="14" t="str">
        <x:v>Надувная мебель детская</x:v>
      </x:c>
      <x:c r="E1784" s="2" t="n">
        <x:v>4</x:v>
      </x:c>
      <x:c r="F1784" s="2" t="n">
        <x:v>0</x:v>
      </x:c>
      <x:c r="G1784" s="12" t="n">
        <x:v>511078</x:v>
      </x:c>
      <x:c r="H1784" s="12" t="n">
        <x:v>18766.888</x:v>
      </x:c>
      <x:c r="I1784" s="13" t="n">
        <x:v>0.0209</x:v>
      </x:c>
      <x:c r="J1784" s="2" t="n">
        <x:v>2</x:v>
      </x:c>
      <x:c r="K1784" s="2" t="n">
        <x:v>1</x:v>
      </x:c>
      <x:c r="L1784" s="12" t="n">
        <x:v>4434.06965</x:v>
      </x:c>
      <x:c r="M1784" s="13" t="n">
        <x:v>1</x:v>
      </x:c>
      <x:c r="N1784" s="13" t="n">
        <x:f>H1784/G1784</x:f>
        <x:v>0.03672020317837982</x:v>
      </x:c>
      <x:c r="O1784" s="13" t="n">
        <x:f>F1784/E1784</x:f>
        <x:v>0</x:v>
      </x:c>
      <x:c r="P1784" s="2" t="str">
        <x:f>IF(AND(E1784&gt;='Итоги'!$F$5,N1784&lt;='Итоги'!$B$5,O1784&gt;='Итоги'!$D$5),"Да","Нет")</x:f>
        <x:v>Нет</x:v>
      </x:c>
    </x:row>
    <x:row r="1785" ht="60" customHeight="1">
      <x:c r="A1785" s="14" t="str">
        <x:v>Одежда</x:v>
      </x:c>
      <x:c r="B1785" s="14" t="str">
        <x:v>Основная одежда мужская</x:v>
      </x:c>
      <x:c r="C1785" s="14" t="str">
        <x:v>Спортивная основная одежда мужская комплект</x:v>
      </x:c>
      <x:c r="D1785" s="14" t="str">
        <x:v>Спортивный костюм мужской</x:v>
      </x:c>
      <x:c r="E1785" s="2" t="n">
        <x:v>1319</x:v>
      </x:c>
      <x:c r="F1785" s="2" t="n">
        <x:v>0</x:v>
      </x:c>
      <x:c r="G1785" s="12" t="n">
        <x:v>176130457.2598</x:v>
      </x:c>
      <x:c r="H1785" s="12" t="n">
        <x:v>6472208.71976433</x:v>
      </x:c>
      <x:c r="I1785" s="13" t="n">
        <x:v>0.0379332827899924</x:v>
      </x:c>
      <x:c r="J1785" s="2" t="n">
        <x:v>557</x:v>
      </x:c>
      <x:c r="K1785" s="2" t="n">
        <x:v>79</x:v>
      </x:c>
      <x:c r="L1785" s="12" t="n">
        <x:v>2047.1575</x:v>
      </x:c>
      <x:c r="M1785" s="13" t="n">
        <x:v>0.3317951438506721</x:v>
      </x:c>
      <x:c r="N1785" s="13" t="n">
        <x:f>H1785/G1785</x:f>
        <x:v>0.03674667527954887</x:v>
      </x:c>
      <x:c r="O1785" s="13" t="n">
        <x:f>F1785/E1785</x:f>
        <x:v>0</x:v>
      </x:c>
      <x:c r="P1785" s="2" t="str">
        <x:f>IF(AND(E1785&gt;='Итоги'!$F$5,N1785&lt;='Итоги'!$B$5,O1785&gt;='Итоги'!$D$5),"Да","Нет")</x:f>
        <x:v>Нет</x:v>
      </x:c>
    </x:row>
    <x:row r="1786" ht="60" customHeight="1">
      <x:c r="A1786" s="14" t="str">
        <x:v>Детская одежда</x:v>
      </x:c>
      <x:c r="B1786" s="14" t="str">
        <x:v>Детская одежда</x:v>
      </x:c>
      <x:c r="C1786" s="14" t="str">
        <x:v>Верхняя одежда для девочки</x:v>
      </x:c>
      <x:c r="D1786" s="14" t="str">
        <x:v>Комплект демисезонной верхней одежды для девочки</x:v>
      </x:c>
      <x:c r="E1786" s="2" t="n">
        <x:v>22</x:v>
      </x:c>
      <x:c r="F1786" s="2" t="n">
        <x:v>0</x:v>
      </x:c>
      <x:c r="G1786" s="12" t="n">
        <x:v>936163.79</x:v>
      </x:c>
      <x:c r="H1786" s="12" t="n">
        <x:v>34408.083396999995</x:v>
      </x:c>
      <x:c r="I1786" s="13" t="n">
        <x:v>0.0258181818181818</x:v>
      </x:c>
      <x:c r="J1786" s="2" t="n">
        <x:v>15</x:v>
      </x:c>
      <x:c r="K1786" s="2" t="n">
        <x:v>6</x:v>
      </x:c>
      <x:c r="L1786" s="12" t="n">
        <x:v>3367.94905</x:v>
      </x:c>
      <x:c r="M1786" s="13" t="n">
        <x:v>0.7634957981017403</x:v>
      </x:c>
      <x:c r="N1786" s="13" t="n">
        <x:f>H1786/G1786</x:f>
        <x:v>0.03675434124299979</x:v>
      </x:c>
      <x:c r="O1786" s="13" t="n">
        <x:f>F1786/E1786</x:f>
        <x:v>0</x:v>
      </x:c>
      <x:c r="P1786" s="2" t="str">
        <x:f>IF(AND(E1786&gt;='Итоги'!$F$5,N1786&lt;='Итоги'!$B$5,O1786&gt;='Итоги'!$D$5),"Да","Нет")</x:f>
        <x:v>Нет</x:v>
      </x:c>
    </x:row>
    <x:row r="1787" ht="60" customHeight="1">
      <x:c r="A1787" s="14" t="str">
        <x:v>Одежда</x:v>
      </x:c>
      <x:c r="B1787" s="14" t="str">
        <x:v>Основная одежда женская</x:v>
      </x:c>
      <x:c r="C1787" s="14" t="str">
        <x:v>Основная одежда женская верха</x:v>
      </x:c>
      <x:c r="D1787" s="14" t="str">
        <x:v>Блузка женская</x:v>
      </x:c>
      <x:c r="E1787" s="2" t="n">
        <x:v>1148</x:v>
      </x:c>
      <x:c r="F1787" s="2" t="n">
        <x:v>0</x:v>
      </x:c>
      <x:c r="G1787" s="12" t="n">
        <x:v>94268805.1476</x:v>
      </x:c>
      <x:c r="H1787" s="12" t="n">
        <x:v>3465780.04965083</x:v>
      </x:c>
      <x:c r="I1787" s="13" t="n">
        <x:v>0.0263004355400696</x:v>
      </x:c>
      <x:c r="J1787" s="2" t="n">
        <x:v>668</x:v>
      </x:c>
      <x:c r="K1787" s="2" t="n">
        <x:v>97</x:v>
      </x:c>
      <x:c r="L1787" s="12" t="n">
        <x:v>1359.2221</x:v>
      </x:c>
      <x:c r="M1787" s="13" t="n">
        <x:v>0.4408791825845913</x:v>
      </x:c>
      <x:c r="N1787" s="13" t="n">
        <x:f>H1787/G1787</x:f>
        <x:v>0.0367648666409247</x:v>
      </x:c>
      <x:c r="O1787" s="13" t="n">
        <x:f>F1787/E1787</x:f>
        <x:v>0</x:v>
      </x:c>
      <x:c r="P1787" s="2" t="str">
        <x:f>IF(AND(E1787&gt;='Итоги'!$F$5,N1787&lt;='Итоги'!$B$5,O1787&gt;='Итоги'!$D$5),"Да","Нет")</x:f>
        <x:v>Нет</x:v>
      </x:c>
    </x:row>
    <x:row r="1788" ht="60" customHeight="1">
      <x:c r="A1788" s="14" t="str">
        <x:v>Аксессуары</x:v>
      </x:c>
      <x:c r="B1788" s="14" t="str">
        <x:v>Аксессуары</x:v>
      </x:c>
      <x:c r="C1788" s="14" t="str">
        <x:v>Аксессуары и уход для обуви</x:v>
      </x:c>
      <x:c r="D1788" s="14" t="str">
        <x:v>Средство для растяжки, разноски обуви</x:v>
      </x:c>
      <x:c r="E1788" s="2" t="n">
        <x:v>11</x:v>
      </x:c>
      <x:c r="F1788" s="2" t="n">
        <x:v>0</x:v>
      </x:c>
      <x:c r="G1788" s="12" t="n">
        <x:v>1377749.482</x:v>
      </x:c>
      <x:c r="H1788" s="12" t="n">
        <x:v>50670.64952166</x:v>
      </x:c>
      <x:c r="I1788" s="13" t="n">
        <x:v>0.0392454545454545</x:v>
      </x:c>
      <x:c r="J1788" s="2" t="n">
        <x:v>0</x:v>
      </x:c>
      <x:c r="K1788" s="2" t="n">
        <x:v>4</x:v>
      </x:c>
      <x:c r="L1788" s="12" t="n">
        <x:v>1326.8063</x:v>
      </x:c>
      <x:c r="M1788" s="13" t="n">
        <x:v>0.4570791294262304</x:v>
      </x:c>
      <x:c r="N1788" s="13" t="n">
        <x:f>H1788/G1788</x:f>
        <x:v>0.036777839646220965</x:v>
      </x:c>
      <x:c r="O1788" s="13" t="n">
        <x:f>F1788/E1788</x:f>
        <x:v>0</x:v>
      </x:c>
      <x:c r="P1788" s="2" t="str">
        <x:f>IF(AND(E1788&gt;='Итоги'!$F$5,N1788&lt;='Итоги'!$B$5,O1788&gt;='Итоги'!$D$5),"Да","Нет")</x:f>
        <x:v>Нет</x:v>
      </x:c>
    </x:row>
    <x:row r="1789" ht="60" customHeight="1">
      <x:c r="A1789" s="14" t="str">
        <x:v>Детская одежда</x:v>
      </x:c>
      <x:c r="B1789" s="14" t="str">
        <x:v>Детская одежда</x:v>
      </x:c>
      <x:c r="C1789" s="14" t="str">
        <x:v>Одежда спортивная для мальчика</x:v>
      </x:c>
      <x:c r="D1789" s="14" t="str">
        <x:v>Спортивный костюм для мальчика</x:v>
      </x:c>
      <x:c r="E1789" s="2" t="n">
        <x:v>215</x:v>
      </x:c>
      <x:c r="F1789" s="2" t="n">
        <x:v>0</x:v>
      </x:c>
      <x:c r="G1789" s="12" t="n">
        <x:v>19371221.8445</x:v>
      </x:c>
      <x:c r="H1789" s="12" t="n">
        <x:v>712888.26952768</x:v>
      </x:c>
      <x:c r="I1789" s="13" t="n">
        <x:v>0.0332386046511627</x:v>
      </x:c>
      <x:c r="J1789" s="2" t="n">
        <x:v>103</x:v>
      </x:c>
      <x:c r="K1789" s="2" t="n">
        <x:v>25</x:v>
      </x:c>
      <x:c r="L1789" s="12" t="n">
        <x:v>1873.6875</x:v>
      </x:c>
      <x:c r="M1789" s="13" t="n">
        <x:v>0.3286155525139156</x:v>
      </x:c>
      <x:c r="N1789" s="13" t="n">
        <x:f>H1789/G1789</x:f>
        <x:v>0.03680140959874907</x:v>
      </x:c>
      <x:c r="O1789" s="13" t="n">
        <x:f>F1789/E1789</x:f>
        <x:v>0</x:v>
      </x:c>
      <x:c r="P1789" s="2" t="str">
        <x:f>IF(AND(E1789&gt;='Итоги'!$F$5,N1789&lt;='Итоги'!$B$5,O1789&gt;='Итоги'!$D$5),"Да","Нет")</x:f>
        <x:v>Нет</x:v>
      </x:c>
    </x:row>
    <x:row r="1790" ht="60" customHeight="1">
      <x:c r="A1790" s="14" t="str">
        <x:v>Товары для дома</x:v>
      </x:c>
      <x:c r="B1790" s="14" t="str">
        <x:v>Аксессуары для уборки и стирки</x:v>
      </x:c>
      <x:c r="C1790" s="14" t="str">
        <x:v>Баки, ведра, корзины</x:v>
      </x:c>
      <x:c r="D1790" s="14" t="str">
        <x:v>Ведро, бак, контейнер для мусора уличный</x:v>
      </x:c>
      <x:c r="E1790" s="2" t="n">
        <x:v>25</x:v>
      </x:c>
      <x:c r="F1790" s="2" t="n">
        <x:v>0</x:v>
      </x:c>
      <x:c r="G1790" s="12" t="n">
        <x:v>3822734.4781</x:v>
      </x:c>
      <x:c r="H1790" s="12" t="n">
        <x:v>140918.11964806</x:v>
      </x:c>
      <x:c r="I1790" s="13" t="n">
        <x:v>0.029736</x:v>
      </x:c>
      <x:c r="J1790" s="2" t="n">
        <x:v>14</x:v>
      </x:c>
      <x:c r="K1790" s="2" t="n">
        <x:v>4</x:v>
      </x:c>
      <x:c r="L1790" s="12" t="n">
        <x:v>4290.7</x:v>
      </x:c>
      <x:c r="M1790" s="13" t="n">
        <x:v>0.5344180480762541</x:v>
      </x:c>
      <x:c r="N1790" s="13" t="n">
        <x:f>H1790/G1790</x:f>
        <x:v>0.036863172280304446</x:v>
      </x:c>
      <x:c r="O1790" s="13" t="n">
        <x:f>F1790/E1790</x:f>
        <x:v>0</x:v>
      </x:c>
      <x:c r="P1790" s="2" t="str">
        <x:f>IF(AND(E1790&gt;='Итоги'!$F$5,N1790&lt;='Итоги'!$B$5,O1790&gt;='Итоги'!$D$5),"Да","Нет")</x:f>
        <x:v>Нет</x:v>
      </x:c>
    </x:row>
    <x:row r="1791" ht="60" customHeight="1">
      <x:c r="A1791" s="14" t="str">
        <x:v>Одежда</x:v>
      </x:c>
      <x:c r="B1791" s="14" t="str">
        <x:v>Основная одежда женская</x:v>
      </x:c>
      <x:c r="C1791" s="14" t="str">
        <x:v>Основная одежда женская низы</x:v>
      </x:c>
      <x:c r="D1791" s="14" t="str">
        <x:v>Джинсы женские</x:v>
      </x:c>
      <x:c r="E1791" s="2" t="n">
        <x:v>2679</x:v>
      </x:c>
      <x:c r="F1791" s="2" t="n">
        <x:v>0</x:v>
      </x:c>
      <x:c r="G1791" s="12" t="n">
        <x:v>268388462.3271</x:v>
      </x:c>
      <x:c r="H1791" s="12" t="n">
        <x:v>9894376.969140053</x:v>
      </x:c>
      <x:c r="I1791" s="13" t="n">
        <x:v>0.0293434863755132</x:v>
      </x:c>
      <x:c r="J1791" s="2" t="n">
        <x:v>1387</x:v>
      </x:c>
      <x:c r="K1791" s="2" t="n">
        <x:v>150</x:v>
      </x:c>
      <x:c r="L1791" s="12" t="n">
        <x:v>1843.6939</x:v>
      </x:c>
      <x:c r="M1791" s="13" t="n">
        <x:v>0.3888619339616144</x:v>
      </x:c>
      <x:c r="N1791" s="13" t="n">
        <x:f>H1791/G1791</x:f>
        <x:v>0.03686588046054388</x:v>
      </x:c>
      <x:c r="O1791" s="13" t="n">
        <x:f>F1791/E1791</x:f>
        <x:v>0</x:v>
      </x:c>
      <x:c r="P1791" s="2" t="str">
        <x:f>IF(AND(E1791&gt;='Итоги'!$F$5,N1791&lt;='Итоги'!$B$5,O1791&gt;='Итоги'!$D$5),"Да","Нет")</x:f>
        <x:v>Нет</x:v>
      </x:c>
    </x:row>
    <x:row r="1792" ht="60" customHeight="1">
      <x:c r="A1792" s="14" t="str">
        <x:v>Строительство и ремонт (DIY)</x:v>
      </x:c>
      <x:c r="B1792" s="14" t="str">
        <x:v>Ремонт и строительство</x:v>
      </x:c>
      <x:c r="C1792" s="14" t="str">
        <x:v>Электротовары</x:v>
      </x:c>
      <x:c r="D1792" s="14" t="str">
        <x:v>Ультразвуковая ванна для ремонта</x:v>
      </x:c>
      <x:c r="E1792" s="2" t="n">
        <x:v>23</x:v>
      </x:c>
      <x:c r="F1792" s="2" t="n">
        <x:v>0</x:v>
      </x:c>
      <x:c r="G1792" s="12" t="n">
        <x:v>5645579.0282</x:v>
      </x:c>
      <x:c r="H1792" s="12" t="n">
        <x:v>208172.47368487</x:v>
      </x:c>
      <x:c r="I1792" s="13" t="n">
        <x:v>0.0402304347826086</x:v>
      </x:c>
      <x:c r="J1792" s="2" t="n">
        <x:v>2</x:v>
      </x:c>
      <x:c r="K1792" s="2" t="n">
        <x:v>5</x:v>
      </x:c>
      <x:c r="L1792" s="12" t="n">
        <x:v>6626.4031</x:v>
      </x:c>
      <x:c r="M1792" s="13" t="n">
        <x:v>0.5921705558811223</x:v>
      </x:c>
      <x:c r="N1792" s="13" t="n">
        <x:f>H1792/G1792</x:f>
        <x:v>0.0368735381517177</x:v>
      </x:c>
      <x:c r="O1792" s="13" t="n">
        <x:f>F1792/E1792</x:f>
        <x:v>0</x:v>
      </x:c>
      <x:c r="P1792" s="2" t="str">
        <x:f>IF(AND(E1792&gt;='Итоги'!$F$5,N1792&lt;='Итоги'!$B$5,O1792&gt;='Итоги'!$D$5),"Да","Нет")</x:f>
        <x:v>Нет</x:v>
      </x:c>
    </x:row>
    <x:row r="1793" ht="60" customHeight="1">
      <x:c r="A1793" s="14" t="str">
        <x:v>Детская одежда</x:v>
      </x:c>
      <x:c r="B1793" s="14" t="str">
        <x:v>Детская одежда</x:v>
      </x:c>
      <x:c r="C1793" s="14" t="str">
        <x:v>Одежда для девочки</x:v>
      </x:c>
      <x:c r="D1793" s="14" t="str">
        <x:v>Сарафан для девочки</x:v>
      </x:c>
      <x:c r="E1793" s="2" t="n">
        <x:v>85</x:v>
      </x:c>
      <x:c r="F1793" s="2" t="n">
        <x:v>0</x:v>
      </x:c>
      <x:c r="G1793" s="12" t="n">
        <x:v>7163129.19</x:v>
      </x:c>
      <x:c r="H1793" s="12" t="n">
        <x:v>264173.345196</x:v>
      </x:c>
      <x:c r="I1793" s="13" t="n">
        <x:v>0.0381329411764705</x:v>
      </x:c>
      <x:c r="J1793" s="2" t="n">
        <x:v>31</x:v>
      </x:c>
      <x:c r="K1793" s="2" t="n">
        <x:v>12</x:v>
      </x:c>
      <x:c r="L1793" s="12" t="n">
        <x:v>1920.7183</x:v>
      </x:c>
      <x:c r="M1793" s="13" t="n">
        <x:v>0.3105950367481784</x:v>
      </x:c>
      <x:c r="N1793" s="13" t="n">
        <x:f>H1793/G1793</x:f>
        <x:v>0.0368796008265209</x:v>
      </x:c>
      <x:c r="O1793" s="13" t="n">
        <x:f>F1793/E1793</x:f>
        <x:v>0</x:v>
      </x:c>
      <x:c r="P1793" s="2" t="str">
        <x:f>IF(AND(E1793&gt;='Итоги'!$F$5,N1793&lt;='Итоги'!$B$5,O1793&gt;='Итоги'!$D$5),"Да","Нет")</x:f>
        <x:v>Нет</x:v>
      </x:c>
    </x:row>
    <x:row r="1794" ht="60" customHeight="1">
      <x:c r="A1794" s="14" t="str">
        <x:v>Строительство и ремонт (DIY)</x:v>
      </x:c>
      <x:c r="B1794" s="14" t="str">
        <x:v>Инструменты</x:v>
      </x:c>
      <x:c r="C1794" s="14" t="str">
        <x:v>Техника для строительства, ремонта</x:v>
      </x:c>
      <x:c r="D1794" s="14" t="str">
        <x:v>Тепловая пушка</x:v>
      </x:c>
      <x:c r="E1794" s="2" t="n">
        <x:v>18</x:v>
      </x:c>
      <x:c r="F1794" s="2" t="n">
        <x:v>0</x:v>
      </x:c>
      <x:c r="G1794" s="12" t="n">
        <x:v>2581675.3198</x:v>
      </x:c>
      <x:c r="H1794" s="12" t="n">
        <x:v>95394.36571</x:v>
      </x:c>
      <x:c r="I1794" s="13" t="n">
        <x:v>0.0563166666666666</x:v>
      </x:c>
      <x:c r="J1794" s="2" t="n">
        <x:v>5</x:v>
      </x:c>
      <x:c r="K1794" s="2" t="n">
        <x:v>2</x:v>
      </x:c>
      <x:c r="L1794" s="12" t="n">
        <x:v>6530.76</x:v>
      </x:c>
      <x:c r="M1794" s="13" t="n">
        <x:v>0.9468438995998028</x:v>
      </x:c>
      <x:c r="N1794" s="13" t="n">
        <x:f>H1794/G1794</x:f>
        <x:v>0.03695056654815529</x:v>
      </x:c>
      <x:c r="O1794" s="13" t="n">
        <x:f>F1794/E1794</x:f>
        <x:v>0</x:v>
      </x:c>
      <x:c r="P1794" s="2" t="str">
        <x:f>IF(AND(E1794&gt;='Итоги'!$F$5,N1794&lt;='Итоги'!$B$5,O1794&gt;='Итоги'!$D$5),"Да","Нет")</x:f>
        <x:v>Нет</x:v>
      </x:c>
    </x:row>
    <x:row r="1795" ht="60" customHeight="1">
      <x:c r="A1795" s="14" t="str">
        <x:v>Бакалея и кондитерские изделия</x:v>
      </x:c>
      <x:c r="B1795" s="14" t="str">
        <x:v>Бакалея</x:v>
      </x:c>
      <x:c r="C1795" s="14" t="str">
        <x:v>Масла, соусы, уксус</x:v>
      </x:c>
      <x:c r="D1795" s="14" t="str">
        <x:v>Кокосовое масло</x:v>
      </x:c>
      <x:c r="E1795" s="2" t="n">
        <x:v>5</x:v>
      </x:c>
      <x:c r="F1795" s="2" t="n">
        <x:v>0</x:v>
      </x:c>
      <x:c r="G1795" s="12" t="n">
        <x:v>561004.5341</x:v>
      </x:c>
      <x:c r="H1795" s="12" t="n">
        <x:v>20732.18944274</x:v>
      </x:c>
      <x:c r="I1795" s="13" t="n">
        <x:v>0.04062</x:v>
      </x:c>
      <x:c r="J1795" s="2" t="n">
        <x:v>1</x:v>
      </x:c>
      <x:c r="K1795" s="2" t="n">
        <x:v>4</x:v>
      </x:c>
      <x:c r="L1795" s="12" t="n">
        <x:v>1531.9675</x:v>
      </x:c>
      <x:c r="M1795" s="13" t="n">
        <x:v>0.5068055971350125</x:v>
      </x:c>
      <x:c r="N1795" s="13" t="n">
        <x:f>H1795/G1795</x:f>
        <x:v>0.036955475727125674</x:v>
      </x:c>
      <x:c r="O1795" s="13" t="n">
        <x:f>F1795/E1795</x:f>
        <x:v>0</x:v>
      </x:c>
      <x:c r="P1795" s="2" t="str">
        <x:f>IF(AND(E1795&gt;='Итоги'!$F$5,N1795&lt;='Итоги'!$B$5,O1795&gt;='Итоги'!$D$5),"Да","Нет")</x:f>
        <x:v>Нет</x:v>
      </x:c>
    </x:row>
    <x:row r="1796" ht="60" customHeight="1">
      <x:c r="A1796" s="14" t="str">
        <x:v>Автотовары</x:v>
      </x:c>
      <x:c r="B1796" s="14" t="str">
        <x:v>Авто и мото запчасти</x:v>
      </x:c>
      <x:c r="C1796" s="14" t="str">
        <x:v>Подвеска автомобиля</x:v>
      </x:c>
      <x:c r="D1796" s="14" t="str">
        <x:v>Опора двигателя и КПП</x:v>
      </x:c>
      <x:c r="E1796" s="2" t="n">
        <x:v>19</x:v>
      </x:c>
      <x:c r="F1796" s="2" t="n">
        <x:v>0</x:v>
      </x:c>
      <x:c r="G1796" s="12" t="n">
        <x:v>2993451.6826</x:v>
      </x:c>
      <x:c r="H1796" s="12" t="n">
        <x:v>110632.62288798</x:v>
      </x:c>
      <x:c r="I1796" s="13" t="n">
        <x:v>0.0342473684210526</x:v>
      </x:c>
      <x:c r="J1796" s="2" t="n">
        <x:v>9</x:v>
      </x:c>
      <x:c r="K1796" s="2" t="n">
        <x:v>7</x:v>
      </x:c>
      <x:c r="L1796" s="12" t="n">
        <x:v>2365.7693</x:v>
      </x:c>
      <x:c r="M1796" s="13" t="n">
        <x:v>0.4727521157351183</x:v>
      </x:c>
      <x:c r="N1796" s="13" t="n">
        <x:f>H1796/G1796</x:f>
        <x:v>0.03695821233095323</x:v>
      </x:c>
      <x:c r="O1796" s="13" t="n">
        <x:f>F1796/E1796</x:f>
        <x:v>0</x:v>
      </x:c>
      <x:c r="P1796" s="2" t="str">
        <x:f>IF(AND(E1796&gt;='Итоги'!$F$5,N1796&lt;='Итоги'!$B$5,O1796&gt;='Итоги'!$D$5),"Да","Нет")</x:f>
        <x:v>Нет</x:v>
      </x:c>
    </x:row>
    <x:row r="1797" ht="60" customHeight="1">
      <x:c r="A1797" s="14" t="str">
        <x:v>Аптека</x:v>
      </x:c>
      <x:c r="B1797" s="14" t="str">
        <x:v>Средства реабилитации</x:v>
      </x:c>
      <x:c r="C1797" s="14" t="str">
        <x:v>Средства реабилитации</x:v>
      </x:c>
      <x:c r="D1797" s="14" t="str">
        <x:v>Специальное приспособление для ванной комнаты</x:v>
      </x:c>
      <x:c r="E1797" s="2" t="n">
        <x:v>50</x:v>
      </x:c>
      <x:c r="F1797" s="2" t="n">
        <x:v>0</x:v>
      </x:c>
      <x:c r="G1797" s="12" t="n">
        <x:v>10092465.6544</x:v>
      </x:c>
      <x:c r="H1797" s="12" t="n">
        <x:v>373600.70716211</x:v>
      </x:c>
      <x:c r="I1797" s="13" t="n">
        <x:v>0.039078</x:v>
      </x:c>
      <x:c r="J1797" s="2" t="n">
        <x:v>9</x:v>
      </x:c>
      <x:c r="K1797" s="2" t="n">
        <x:v>17</x:v>
      </x:c>
      <x:c r="L1797" s="12" t="n">
        <x:v>2013.83485</x:v>
      </x:c>
      <x:c r="M1797" s="13" t="n">
        <x:v>0.3001202422006233</x:v>
      </x:c>
      <x:c r="N1797" s="13" t="n">
        <x:f>H1797/G1797</x:f>
        <x:v>0.03701778335992967</x:v>
      </x:c>
      <x:c r="O1797" s="13" t="n">
        <x:f>F1797/E1797</x:f>
        <x:v>0</x:v>
      </x:c>
      <x:c r="P1797" s="2" t="str">
        <x:f>IF(AND(E1797&gt;='Итоги'!$F$5,N1797&lt;='Итоги'!$B$5,O1797&gt;='Итоги'!$D$5),"Да","Нет")</x:f>
        <x:v>Нет</x:v>
      </x:c>
    </x:row>
    <x:row r="1798" ht="60" customHeight="1">
      <x:c r="A1798" s="14" t="str">
        <x:v>Детская одежда</x:v>
      </x:c>
      <x:c r="B1798" s="14" t="str">
        <x:v>Детская одежда</x:v>
      </x:c>
      <x:c r="C1798" s="14" t="str">
        <x:v>Одежда для мальчика</x:v>
      </x:c>
      <x:c r="D1798" s="14" t="str">
        <x:v>Поло для мальчика</x:v>
      </x:c>
      <x:c r="E1798" s="2" t="n">
        <x:v>66</x:v>
      </x:c>
      <x:c r="F1798" s="2" t="n">
        <x:v>0</x:v>
      </x:c>
      <x:c r="G1798" s="12" t="n">
        <x:v>6404049.2032</x:v>
      </x:c>
      <x:c r="H1798" s="12" t="n">
        <x:v>237249.20067183</x:v>
      </x:c>
      <x:c r="I1798" s="13" t="n">
        <x:v>0.0391727272727272</x:v>
      </x:c>
      <x:c r="J1798" s="2" t="n">
        <x:v>23</x:v>
      </x:c>
      <x:c r="K1798" s="2" t="n">
        <x:v>7</x:v>
      </x:c>
      <x:c r="L1798" s="12" t="n">
        <x:v>1056.0576999999998</x:v>
      </x:c>
      <x:c r="M1798" s="13" t="n">
        <x:v>0.5061712506331544</x:v>
      </x:c>
      <x:c r="N1798" s="13" t="n">
        <x:f>H1798/G1798</x:f>
        <x:v>0.0370467485717131</x:v>
      </x:c>
      <x:c r="O1798" s="13" t="n">
        <x:f>F1798/E1798</x:f>
        <x:v>0</x:v>
      </x:c>
      <x:c r="P1798" s="2" t="str">
        <x:f>IF(AND(E1798&gt;='Итоги'!$F$5,N1798&lt;='Итоги'!$B$5,O1798&gt;='Итоги'!$D$5),"Да","Нет")</x:f>
        <x:v>Нет</x:v>
      </x:c>
    </x:row>
    <x:row r="1799" ht="60" customHeight="1">
      <x:c r="A1799" s="14" t="str">
        <x:v>Автотовары</x:v>
      </x:c>
      <x:c r="B1799" s="14" t="str">
        <x:v>Авто и мото запчасти</x:v>
      </x:c>
      <x:c r="C1799" s="14" t="str">
        <x:v>Мотозапчасти</x:v>
      </x:c>
      <x:c r="D1799" s="14" t="str">
        <x:v>Запчасти для мототехники</x:v>
      </x:c>
      <x:c r="E1799" s="2" t="n">
        <x:v>463</x:v>
      </x:c>
      <x:c r="F1799" s="2" t="n">
        <x:v>0</x:v>
      </x:c>
      <x:c r="G1799" s="12" t="n">
        <x:v>51091139.9806</x:v>
      </x:c>
      <x:c r="H1799" s="12" t="n">
        <x:v>1893319.70315672</x:v>
      </x:c>
      <x:c r="I1799" s="13" t="n">
        <x:v>0.0295103671706263</x:v>
      </x:c>
      <x:c r="J1799" s="2" t="n">
        <x:v>283</x:v>
      </x:c>
      <x:c r="K1799" s="2" t="n">
        <x:v>99</x:v>
      </x:c>
      <x:c r="L1799" s="12" t="n">
        <x:v>1736.5385</x:v>
      </x:c>
      <x:c r="M1799" s="13" t="n">
        <x:v>0.388628589981343</x:v>
      </x:c>
      <x:c r="N1799" s="13" t="n">
        <x:f>H1799/G1799</x:f>
        <x:v>0.037057691487714685</x:v>
      </x:c>
      <x:c r="O1799" s="13" t="n">
        <x:f>F1799/E1799</x:f>
        <x:v>0</x:v>
      </x:c>
      <x:c r="P1799" s="2" t="str">
        <x:f>IF(AND(E1799&gt;='Итоги'!$F$5,N1799&lt;='Итоги'!$B$5,O1799&gt;='Итоги'!$D$5),"Да","Нет")</x:f>
        <x:v>Нет</x:v>
      </x:c>
    </x:row>
    <x:row r="1800" ht="60" customHeight="1">
      <x:c r="A1800" s="14" t="str">
        <x:v>Товары для красоты и здоровья</x:v>
      </x:c>
      <x:c r="B1800" s="14" t="str">
        <x:v>Декоративная косметика</x:v>
      </x:c>
      <x:c r="C1800" s="14" t="str">
        <x:v>Маникюр и педикюр</x:v>
      </x:c>
      <x:c r="D1800" s="14" t="str">
        <x:v>Основа, база под лак</x:v>
      </x:c>
      <x:c r="E1800" s="2" t="n">
        <x:v>17</x:v>
      </x:c>
      <x:c r="F1800" s="2" t="n">
        <x:v>0</x:v>
      </x:c>
      <x:c r="G1800" s="12" t="n">
        <x:v>2368670.3373</x:v>
      </x:c>
      <x:c r="H1800" s="12" t="n">
        <x:v>87802.3810347</x:v>
      </x:c>
      <x:c r="I1800" s="13" t="n">
        <x:v>0.0378294117647058</x:v>
      </x:c>
      <x:c r="J1800" s="2" t="n">
        <x:v>8</x:v>
      </x:c>
      <x:c r="K1800" s="2" t="n">
        <x:v>8</x:v>
      </x:c>
      <x:c r="L1800" s="12" t="n">
        <x:v>1293.0165</x:v>
      </x:c>
      <x:c r="M1800" s="13" t="n">
        <x:v>0.462727566069563</x:v>
      </x:c>
      <x:c r="N1800" s="13" t="n">
        <x:f>H1800/G1800</x:f>
        <x:v>0.037068214876530343</x:v>
      </x:c>
      <x:c r="O1800" s="13" t="n">
        <x:f>F1800/E1800</x:f>
        <x:v>0</x:v>
      </x:c>
      <x:c r="P1800" s="2" t="str">
        <x:f>IF(AND(E1800&gt;='Итоги'!$F$5,N1800&lt;='Итоги'!$B$5,O1800&gt;='Итоги'!$D$5),"Да","Нет")</x:f>
        <x:v>Нет</x:v>
      </x:c>
    </x:row>
    <x:row r="1801" ht="60" customHeight="1">
      <x:c r="A1801" s="14" t="str">
        <x:v>Детская одежда</x:v>
      </x:c>
      <x:c r="B1801" s="14" t="str">
        <x:v>Детская одежда</x:v>
      </x:c>
      <x:c r="C1801" s="14" t="str">
        <x:v>Школьная одежда для девочки</x:v>
      </x:c>
      <x:c r="D1801" s="14" t="str">
        <x:v>Школьная блузка для девочки</x:v>
      </x:c>
      <x:c r="E1801" s="2" t="n">
        <x:v>286</x:v>
      </x:c>
      <x:c r="F1801" s="2" t="n">
        <x:v>0</x:v>
      </x:c>
      <x:c r="G1801" s="12" t="n">
        <x:v>25096127.5908</x:v>
      </x:c>
      <x:c r="H1801" s="12" t="n">
        <x:v>930577.06504713</x:v>
      </x:c>
      <x:c r="I1801" s="13" t="n">
        <x:v>0.032355944055944</x:v>
      </x:c>
      <x:c r="J1801" s="2" t="n">
        <x:v>120</x:v>
      </x:c>
      <x:c r="K1801" s="2" t="n">
        <x:v>41</x:v>
      </x:c>
      <x:c r="L1801" s="12" t="n">
        <x:v>1228.1603</x:v>
      </x:c>
      <x:c r="M1801" s="13" t="n">
        <x:v>0.3120396069181113</x:v>
      </x:c>
      <x:c r="N1801" s="13" t="n">
        <x:f>H1801/G1801</x:f>
        <x:v>0.037080504220430834</x:v>
      </x:c>
      <x:c r="O1801" s="13" t="n">
        <x:f>F1801/E1801</x:f>
        <x:v>0</x:v>
      </x:c>
      <x:c r="P1801" s="2" t="str">
        <x:f>IF(AND(E1801&gt;='Итоги'!$F$5,N1801&lt;='Итоги'!$B$5,O1801&gt;='Итоги'!$D$5),"Да","Нет")</x:f>
        <x:v>Нет</x:v>
      </x:c>
    </x:row>
    <x:row r="1802" ht="60" customHeight="1">
      <x:c r="A1802" s="14" t="str">
        <x:v>Напитки</x:v>
      </x:c>
      <x:c r="B1802" s="14" t="str">
        <x:v>Напитки холодные</x:v>
      </x:c>
      <x:c r="C1802" s="14" t="str">
        <x:v>Вода</x:v>
      </x:c>
      <x:c r="D1802" s="14" t="str">
        <x:v>Вода газированная</x:v>
      </x:c>
      <x:c r="E1802" s="2" t="n">
        <x:v>56</x:v>
      </x:c>
      <x:c r="F1802" s="2" t="n">
        <x:v>0</x:v>
      </x:c>
      <x:c r="G1802" s="12" t="n">
        <x:v>8781563.2857</x:v>
      </x:c>
      <x:c r="H1802" s="12" t="n">
        <x:v>326062.36057104</x:v>
      </x:c>
      <x:c r="I1802" s="13" t="n">
        <x:v>0.0377053571428571</x:v>
      </x:c>
      <x:c r="J1802" s="2" t="n">
        <x:v>21</x:v>
      </x:c>
      <x:c r="K1802" s="2" t="n">
        <x:v>18</x:v>
      </x:c>
      <x:c r="L1802" s="12" t="n">
        <x:v>1390.02475</x:v>
      </x:c>
      <x:c r="M1802" s="13" t="n">
        <x:v>0.3096703053348468</x:v>
      </x:c>
      <x:c r="N1802" s="13" t="n">
        <x:f>H1802/G1802</x:f>
        <x:v>0.03713033203347788</x:v>
      </x:c>
      <x:c r="O1802" s="13" t="n">
        <x:f>F1802/E1802</x:f>
        <x:v>0</x:v>
      </x:c>
      <x:c r="P1802" s="2" t="str">
        <x:f>IF(AND(E1802&gt;='Итоги'!$F$5,N1802&lt;='Итоги'!$B$5,O1802&gt;='Итоги'!$D$5),"Да","Нет")</x:f>
        <x:v>Нет</x:v>
      </x:c>
    </x:row>
    <x:row r="1803" ht="60" customHeight="1">
      <x:c r="A1803" s="14" t="str">
        <x:v>Детская одежда</x:v>
      </x:c>
      <x:c r="B1803" s="14" t="str">
        <x:v>Детская одежда</x:v>
      </x:c>
      <x:c r="C1803" s="14" t="str">
        <x:v>Школьная одежда для девочки</x:v>
      </x:c>
      <x:c r="D1803" s="14" t="str">
        <x:v>Школьная юбка для девочки</x:v>
      </x:c>
      <x:c r="E1803" s="2" t="n">
        <x:v>96</x:v>
      </x:c>
      <x:c r="F1803" s="2" t="n">
        <x:v>0</x:v>
      </x:c>
      <x:c r="G1803" s="12" t="n">
        <x:v>6748244.1396</x:v>
      </x:c>
      <x:c r="H1803" s="12" t="n">
        <x:v>250781.661787</x:v>
      </x:c>
      <x:c r="I1803" s="13" t="n">
        <x:v>0.0383229166666666</x:v>
      </x:c>
      <x:c r="J1803" s="2" t="n">
        <x:v>39</x:v>
      </x:c>
      <x:c r="K1803" s="2" t="n">
        <x:v>16</x:v>
      </x:c>
      <x:c r="L1803" s="12" t="n">
        <x:v>1174.33395</x:v>
      </x:c>
      <x:c r="M1803" s="13" t="n">
        <x:v>0.6520305214773708</x:v>
      </x:c>
      <x:c r="N1803" s="13" t="n">
        <x:f>H1803/G1803</x:f>
        <x:v>0.03716250577174064</x:v>
      </x:c>
      <x:c r="O1803" s="13" t="n">
        <x:f>F1803/E1803</x:f>
        <x:v>0</x:v>
      </x:c>
      <x:c r="P1803" s="2" t="str">
        <x:f>IF(AND(E1803&gt;='Итоги'!$F$5,N1803&lt;='Итоги'!$B$5,O1803&gt;='Итоги'!$D$5),"Да","Нет")</x:f>
        <x:v>Нет</x:v>
      </x:c>
    </x:row>
    <x:row r="1804" ht="60" customHeight="1">
      <x:c r="A1804" s="14" t="str">
        <x:v>Одежда</x:v>
      </x:c>
      <x:c r="B1804" s="14" t="str">
        <x:v>Основная одежда женская</x:v>
      </x:c>
      <x:c r="C1804" s="14" t="str">
        <x:v>Основная одежда женская верха</x:v>
      </x:c>
      <x:c r="D1804" s="14" t="str">
        <x:v>Пиджак женский</x:v>
      </x:c>
      <x:c r="E1804" s="2" t="n">
        <x:v>582</x:v>
      </x:c>
      <x:c r="F1804" s="2" t="n">
        <x:v>0</x:v>
      </x:c>
      <x:c r="G1804" s="12" t="n">
        <x:v>69528422.361</x:v>
      </x:c>
      <x:c r="H1804" s="12" t="n">
        <x:v>2585443.42574707</x:v>
      </x:c>
      <x:c r="I1804" s="13" t="n">
        <x:v>0.0342833333333333</x:v>
      </x:c>
      <x:c r="J1804" s="2" t="n">
        <x:v>251</x:v>
      </x:c>
      <x:c r="K1804" s="2" t="n">
        <x:v>89</x:v>
      </x:c>
      <x:c r="L1804" s="12" t="n">
        <x:v>2341.23755</x:v>
      </x:c>
      <x:c r="M1804" s="13" t="n">
        <x:v>0.2188319868441952</x:v>
      </x:c>
      <x:c r="N1804" s="13" t="n">
        <x:f>H1804/G1804</x:f>
        <x:v>0.037185417674560975</x:v>
      </x:c>
      <x:c r="O1804" s="13" t="n">
        <x:f>F1804/E1804</x:f>
        <x:v>0</x:v>
      </x:c>
      <x:c r="P1804" s="2" t="str">
        <x:f>IF(AND(E1804&gt;='Итоги'!$F$5,N1804&lt;='Итоги'!$B$5,O1804&gt;='Итоги'!$D$5),"Да","Нет")</x:f>
        <x:v>Нет</x:v>
      </x:c>
    </x:row>
    <x:row r="1805" ht="60" customHeight="1">
      <x:c r="A1805" s="14" t="str">
        <x:v>Строительство и ремонт (DIY)</x:v>
      </x:c>
      <x:c r="B1805" s="14" t="str">
        <x:v>Инструменты</x:v>
      </x:c>
      <x:c r="C1805" s="14" t="str">
        <x:v>Инструмент ручной для строительства, ремонта</x:v>
      </x:c>
      <x:c r="D1805" s="14" t="str">
        <x:v>Пистолет для герметика</x:v>
      </x:c>
      <x:c r="E1805" s="2" t="n">
        <x:v>15</x:v>
      </x:c>
      <x:c r="F1805" s="2" t="n">
        <x:v>0</x:v>
      </x:c>
      <x:c r="G1805" s="12" t="n">
        <x:v>3857438.7487</x:v>
      </x:c>
      <x:c r="H1805" s="12" t="n">
        <x:v>143485.68860123</x:v>
      </x:c>
      <x:c r="I1805" s="13" t="n">
        <x:v>0.0387866666666666</x:v>
      </x:c>
      <x:c r="J1805" s="2" t="n">
        <x:v>7</x:v>
      </x:c>
      <x:c r="K1805" s="2" t="n">
        <x:v>7</x:v>
      </x:c>
      <x:c r="L1805" s="12" t="n">
        <x:v>1623.5046</x:v>
      </x:c>
      <x:c r="M1805" s="13" t="n">
        <x:v>0.5272005505947076</x:v>
      </x:c>
      <x:c r="N1805" s="13" t="n">
        <x:f>H1805/G1805</x:f>
        <x:v>0.037197139850784745</x:v>
      </x:c>
      <x:c r="O1805" s="13" t="n">
        <x:f>F1805/E1805</x:f>
        <x:v>0</x:v>
      </x:c>
      <x:c r="P1805" s="2" t="str">
        <x:f>IF(AND(E1805&gt;='Итоги'!$F$5,N1805&lt;='Итоги'!$B$5,O1805&gt;='Итоги'!$D$5),"Да","Нет")</x:f>
        <x:v>Нет</x:v>
      </x:c>
    </x:row>
    <x:row r="1806" ht="60" customHeight="1">
      <x:c r="A1806" s="14" t="str">
        <x:v>Одежда</x:v>
      </x:c>
      <x:c r="B1806" s="14" t="str">
        <x:v>Основная одежда женская</x:v>
      </x:c>
      <x:c r="C1806" s="14" t="str">
        <x:v>Пляжная одежда женская</x:v>
      </x:c>
      <x:c r="D1806" s="14" t="str">
        <x:v>Купальный костюм</x:v>
      </x:c>
      <x:c r="E1806" s="2" t="n">
        <x:v>2703</x:v>
      </x:c>
      <x:c r="F1806" s="2" t="n">
        <x:v>0</x:v>
      </x:c>
      <x:c r="G1806" s="12" t="n">
        <x:v>322275853.0869</x:v>
      </x:c>
      <x:c r="H1806" s="12" t="n">
        <x:v>11996999.98354924</x:v>
      </x:c>
      <x:c r="I1806" s="13" t="n">
        <x:v>0.0390567147613762</x:v>
      </x:c>
      <x:c r="J1806" s="2" t="n">
        <x:v>948</x:v>
      </x:c>
      <x:c r="K1806" s="2" t="n">
        <x:v>171</x:v>
      </x:c>
      <x:c r="L1806" s="12" t="n">
        <x:v>1760.0425</x:v>
      </x:c>
      <x:c r="M1806" s="13" t="n">
        <x:v>0.5093367800265775</x:v>
      </x:c>
      <x:c r="N1806" s="13" t="n">
        <x:f>H1806/G1806</x:f>
        <x:v>0.03722587301728222</x:v>
      </x:c>
      <x:c r="O1806" s="13" t="n">
        <x:f>F1806/E1806</x:f>
        <x:v>0</x:v>
      </x:c>
      <x:c r="P1806" s="2" t="str">
        <x:f>IF(AND(E1806&gt;='Итоги'!$F$5,N1806&lt;='Итоги'!$B$5,O1806&gt;='Итоги'!$D$5),"Да","Нет")</x:f>
        <x:v>Нет</x:v>
      </x:c>
    </x:row>
    <x:row r="1807" ht="60" customHeight="1">
      <x:c r="A1807" s="14" t="str">
        <x:v>Автотовары</x:v>
      </x:c>
      <x:c r="B1807" s="14" t="str">
        <x:v>Универсальные авто и мото аксессуары</x:v>
      </x:c>
      <x:c r="C1807" s="14" t="str">
        <x:v>Аксессуары для шин и дисков</x:v>
      </x:c>
      <x:c r="D1807" s="14" t="str">
        <x:v>Проставка-адаптер для колесных дисков</x:v>
      </x:c>
      <x:c r="E1807" s="2" t="n">
        <x:v>5</x:v>
      </x:c>
      <x:c r="F1807" s="2" t="n">
        <x:v>0</x:v>
      </x:c>
      <x:c r="G1807" s="12" t="n">
        <x:v>559784.48</x:v>
      </x:c>
      <x:c r="H1807" s="12" t="n">
        <x:v>20846.287504</x:v>
      </x:c>
      <x:c r="I1807" s="13" t="n">
        <x:v>0.03648</x:v>
      </x:c>
      <x:c r="J1807" s="2" t="n">
        <x:v>0</x:v>
      </x:c>
      <x:c r="K1807" s="2" t="n">
        <x:v>1</x:v>
      </x:c>
      <x:c r="L1807" s="12" t="n">
        <x:v>2494.0588</x:v>
      </x:c>
      <x:c r="M1807" s="13" t="n">
        <x:v>1</x:v>
      </x:c>
      <x:c r="N1807" s="13" t="n">
        <x:f>H1807/G1807</x:f>
        <x:v>0.03723984542050898</x:v>
      </x:c>
      <x:c r="O1807" s="13" t="n">
        <x:f>F1807/E1807</x:f>
        <x:v>0</x:v>
      </x:c>
      <x:c r="P1807" s="2" t="str">
        <x:f>IF(AND(E1807&gt;='Итоги'!$F$5,N1807&lt;='Итоги'!$B$5,O1807&gt;='Итоги'!$D$5),"Да","Нет")</x:f>
        <x:v>Нет</x:v>
      </x:c>
    </x:row>
    <x:row r="1808" ht="60" customHeight="1">
      <x:c r="A1808" s="14" t="str">
        <x:v>Мелкая бытовая техника</x:v>
      </x:c>
      <x:c r="B1808" s="14" t="str">
        <x:v>SDA Климатическая техника</x:v>
      </x:c>
      <x:c r="C1808" s="14" t="str">
        <x:v>Климатическая техника SDA</x:v>
      </x:c>
      <x:c r="D1808" s="14" t="str">
        <x:v>Осушитель воздуха бытовой</x:v>
      </x:c>
      <x:c r="E1808" s="2" t="n">
        <x:v>61</x:v>
      </x:c>
      <x:c r="F1808" s="2" t="n">
        <x:v>0</x:v>
      </x:c>
      <x:c r="G1808" s="12" t="n">
        <x:v>16928063.4057</x:v>
      </x:c>
      <x:c r="H1808" s="12" t="n">
        <x:v>630434.15128524</x:v>
      </x:c>
      <x:c r="I1808" s="13" t="n">
        <x:v>0.0377229508196721</x:v>
      </x:c>
      <x:c r="J1808" s="2" t="n">
        <x:v>21</x:v>
      </x:c>
      <x:c r="K1808" s="2" t="n">
        <x:v>19</x:v>
      </x:c>
      <x:c r="L1808" s="12" t="n">
        <x:v>5929</x:v>
      </x:c>
      <x:c r="M1808" s="13" t="n">
        <x:v>0.7922751856295642</x:v>
      </x:c>
      <x:c r="N1808" s="13" t="n">
        <x:f>H1808/G1808</x:f>
        <x:v>0.03724195356410119</x:v>
      </x:c>
      <x:c r="O1808" s="13" t="n">
        <x:f>F1808/E1808</x:f>
        <x:v>0</x:v>
      </x:c>
      <x:c r="P1808" s="2" t="str">
        <x:f>IF(AND(E1808&gt;='Итоги'!$F$5,N1808&lt;='Итоги'!$B$5,O1808&gt;='Итоги'!$D$5),"Да","Нет")</x:f>
        <x:v>Нет</x:v>
      </x:c>
    </x:row>
    <x:row r="1809" ht="60" customHeight="1">
      <x:c r="A1809" s="14" t="str">
        <x:v>Товары для красоты и здоровья</x:v>
      </x:c>
      <x:c r="B1809" s="14" t="str">
        <x:v>Косметика для ухода за волосами</x:v>
      </x:c>
      <x:c r="C1809" s="14" t="str">
        <x:v>Стайлинг для женщин</x:v>
      </x:c>
      <x:c r="D1809" s="14" t="str">
        <x:v>Гель для укладки женский</x:v>
      </x:c>
      <x:c r="E1809" s="2" t="n">
        <x:v>20</x:v>
      </x:c>
      <x:c r="F1809" s="2" t="n">
        <x:v>0</x:v>
      </x:c>
      <x:c r="G1809" s="12" t="n">
        <x:v>3462432.9358</x:v>
      </x:c>
      <x:c r="H1809" s="12" t="n">
        <x:v>128977.33177457</x:v>
      </x:c>
      <x:c r="I1809" s="13" t="n">
        <x:v>0.044065</x:v>
      </x:c>
      <x:c r="J1809" s="2" t="n">
        <x:v>3</x:v>
      </x:c>
      <x:c r="K1809" s="2" t="n">
        <x:v>8</x:v>
      </x:c>
      <x:c r="L1809" s="12" t="n">
        <x:v>1198.5227</x:v>
      </x:c>
      <x:c r="M1809" s="13" t="n">
        <x:v>0.2672350327230849</x:v>
      </x:c>
      <x:c r="N1809" s="13" t="n">
        <x:f>H1809/G1809</x:f>
        <x:v>0.037250492404055646</x:v>
      </x:c>
      <x:c r="O1809" s="13" t="n">
        <x:f>F1809/E1809</x:f>
        <x:v>0</x:v>
      </x:c>
      <x:c r="P1809" s="2" t="str">
        <x:f>IF(AND(E1809&gt;='Итоги'!$F$5,N1809&lt;='Итоги'!$B$5,O1809&gt;='Итоги'!$D$5),"Да","Нет")</x:f>
        <x:v>Нет</x:v>
      </x:c>
    </x:row>
    <x:row r="1810" ht="60" customHeight="1">
      <x:c r="A1810" s="14" t="str">
        <x:v>Товары для детей и спорта</x:v>
      </x:c>
      <x:c r="B1810" s="14" t="str">
        <x:v>Спорт детский</x:v>
      </x:c>
      <x:c r="C1810" s="14" t="str">
        <x:v>Летний спорт детский</x:v>
      </x:c>
      <x:c r="D1810" s="14" t="str">
        <x:v>Велосипед трехколесный</x:v>
      </x:c>
      <x:c r="E1810" s="2" t="n">
        <x:v>53</x:v>
      </x:c>
      <x:c r="F1810" s="2" t="n">
        <x:v>0</x:v>
      </x:c>
      <x:c r="G1810" s="12" t="n">
        <x:v>5917312.38</x:v>
      </x:c>
      <x:c r="H1810" s="12" t="n">
        <x:v>220830.1772532</x:v>
      </x:c>
      <x:c r="I1810" s="13" t="n">
        <x:v>0.0338245283018867</x:v>
      </x:c>
      <x:c r="J1810" s="2" t="n">
        <x:v>26</x:v>
      </x:c>
      <x:c r="K1810" s="2" t="n">
        <x:v>7</x:v>
      </x:c>
      <x:c r="L1810" s="12" t="n">
        <x:v>6742</x:v>
      </x:c>
      <x:c r="M1810" s="13" t="n">
        <x:v>0.6664767341554477</x:v>
      </x:c>
      <x:c r="N1810" s="13" t="n">
        <x:f>H1810/G1810</x:f>
        <x:v>0.03731933740723014</x:v>
      </x:c>
      <x:c r="O1810" s="13" t="n">
        <x:f>F1810/E1810</x:f>
        <x:v>0</x:v>
      </x:c>
      <x:c r="P1810" s="2" t="str">
        <x:f>IF(AND(E1810&gt;='Итоги'!$F$5,N1810&lt;='Итоги'!$B$5,O1810&gt;='Итоги'!$D$5),"Да","Нет")</x:f>
        <x:v>Нет</x:v>
      </x:c>
    </x:row>
    <x:row r="1811" ht="60" customHeight="1">
      <x:c r="A1811" s="14" t="str">
        <x:v>Мебель</x:v>
      </x:c>
      <x:c r="B1811" s="14" t="str">
        <x:v>Мебель для сада</x:v>
      </x:c>
      <x:c r="C1811" s="14" t="str">
        <x:v>Садовые качели</x:v>
      </x:c>
      <x:c r="D1811" s="14" t="str">
        <x:v>Аксессуары для садовых качелей</x:v>
      </x:c>
      <x:c r="E1811" s="2" t="n">
        <x:v>26</x:v>
      </x:c>
      <x:c r="F1811" s="2" t="n">
        <x:v>0</x:v>
      </x:c>
      <x:c r="G1811" s="12" t="n">
        <x:v>2415766.5461</x:v>
      </x:c>
      <x:c r="H1811" s="12" t="n">
        <x:v>90161.83756461</x:v>
      </x:c>
      <x:c r="I1811" s="13" t="n">
        <x:v>0.0430615384615384</x:v>
      </x:c>
      <x:c r="J1811" s="2" t="n">
        <x:v>14</x:v>
      </x:c>
      <x:c r="K1811" s="2" t="n">
        <x:v>13</x:v>
      </x:c>
      <x:c r="L1811" s="12" t="n">
        <x:v>1470.5605</x:v>
      </x:c>
      <x:c r="M1811" s="13" t="n">
        <x:v>0.1955350821305919</x:v>
      </x:c>
      <x:c r="N1811" s="13" t="n">
        <x:f>H1811/G1811</x:f>
        <x:v>0.03732224776030895</x:v>
      </x:c>
      <x:c r="O1811" s="13" t="n">
        <x:f>F1811/E1811</x:f>
        <x:v>0</x:v>
      </x:c>
      <x:c r="P1811" s="2" t="str">
        <x:f>IF(AND(E1811&gt;='Итоги'!$F$5,N1811&lt;='Итоги'!$B$5,O1811&gt;='Итоги'!$D$5),"Да","Нет")</x:f>
        <x:v>Нет</x:v>
      </x:c>
    </x:row>
    <x:row r="1812" ht="60" customHeight="1">
      <x:c r="A1812" s="14" t="str">
        <x:v>Одежда</x:v>
      </x:c>
      <x:c r="B1812" s="14" t="str">
        <x:v>Основная одежда женская</x:v>
      </x:c>
      <x:c r="C1812" s="14" t="str">
        <x:v>Основная одежда женская низы</x:v>
      </x:c>
      <x:c r="D1812" s="14" t="str">
        <x:v>Брюки женские</x:v>
      </x:c>
      <x:c r="E1812" s="2" t="n">
        <x:v>3180</x:v>
      </x:c>
      <x:c r="F1812" s="2" t="n">
        <x:v>0</x:v>
      </x:c>
      <x:c r="G1812" s="12" t="n">
        <x:v>299393838.2519</x:v>
      </x:c>
      <x:c r="H1812" s="12" t="n">
        <x:v>11178496.54597494</x:v>
      </x:c>
      <x:c r="I1812" s="13" t="n">
        <x:v>0.0259172955974842</x:v>
      </x:c>
      <x:c r="J1812" s="2" t="n">
        <x:v>1822</x:v>
      </x:c>
      <x:c r="K1812" s="2" t="n">
        <x:v>197</x:v>
      </x:c>
      <x:c r="L1812" s="12" t="n">
        <x:v>1727.89915</x:v>
      </x:c>
      <x:c r="M1812" s="13" t="n">
        <x:v>0.5217421195928994</x:v>
      </x:c>
      <x:c r="N1812" s="13" t="n">
        <x:f>H1812/G1812</x:f>
        <x:v>0.03733709621829199</x:v>
      </x:c>
      <x:c r="O1812" s="13" t="n">
        <x:f>F1812/E1812</x:f>
        <x:v>0</x:v>
      </x:c>
      <x:c r="P1812" s="2" t="str">
        <x:f>IF(AND(E1812&gt;='Итоги'!$F$5,N1812&lt;='Итоги'!$B$5,O1812&gt;='Итоги'!$D$5),"Да","Нет")</x:f>
        <x:v>Нет</x:v>
      </x:c>
    </x:row>
    <x:row r="1813" ht="60" customHeight="1">
      <x:c r="A1813" s="14" t="str">
        <x:v>Детская одежда</x:v>
      </x:c>
      <x:c r="B1813" s="14" t="str">
        <x:v>Детская одежда</x:v>
      </x:c>
      <x:c r="C1813" s="14" t="str">
        <x:v>Одежда для мальчика</x:v>
      </x:c>
      <x:c r="D1813" s="14" t="str">
        <x:v>Пиджак для мальчика</x:v>
      </x:c>
      <x:c r="E1813" s="2" t="n">
        <x:v>33</x:v>
      </x:c>
      <x:c r="F1813" s="2" t="n">
        <x:v>0</x:v>
      </x:c>
      <x:c r="G1813" s="12" t="n">
        <x:v>2803291.75</x:v>
      </x:c>
      <x:c r="H1813" s="12" t="n">
        <x:v>104692.580034</x:v>
      </x:c>
      <x:c r="I1813" s="13" t="n">
        <x:v>0.0304787878787878</x:v>
      </x:c>
      <x:c r="J1813" s="2" t="n">
        <x:v>10</x:v>
      </x:c>
      <x:c r="K1813" s="2" t="n">
        <x:v>3</x:v>
      </x:c>
      <x:c r="L1813" s="12" t="n">
        <x:v>2498.9823</x:v>
      </x:c>
      <x:c r="M1813" s="13" t="n">
        <x:v>0.8764350909961477</x:v>
      </x:c>
      <x:c r="N1813" s="13" t="n">
        <x:f>H1813/G1813</x:f>
        <x:v>0.03734630190881844</x:v>
      </x:c>
      <x:c r="O1813" s="13" t="n">
        <x:f>F1813/E1813</x:f>
        <x:v>0</x:v>
      </x:c>
      <x:c r="P1813" s="2" t="str">
        <x:f>IF(AND(E1813&gt;='Итоги'!$F$5,N1813&lt;='Итоги'!$B$5,O1813&gt;='Итоги'!$D$5),"Да","Нет")</x:f>
        <x:v>Нет</x:v>
      </x:c>
    </x:row>
    <x:row r="1814" ht="60" customHeight="1">
      <x:c r="A1814" s="14" t="str">
        <x:v>Мелкая бытовая техника</x:v>
      </x:c>
      <x:c r="B1814" s="14" t="str">
        <x:v>SDA Климатическая техника</x:v>
      </x:c>
      <x:c r="C1814" s="14" t="str">
        <x:v>Климатическая техника SDA</x:v>
      </x:c>
      <x:c r="D1814" s="14" t="str">
        <x:v>Стационарный кондиционер</x:v>
      </x:c>
      <x:c r="E1814" s="2" t="n">
        <x:v>18</x:v>
      </x:c>
      <x:c r="F1814" s="2" t="n">
        <x:v>0</x:v>
      </x:c>
      <x:c r="G1814" s="12" t="n">
        <x:v>5172478.2204</x:v>
      </x:c>
      <x:c r="H1814" s="12" t="n">
        <x:v>193703.1376446</x:v>
      </x:c>
      <x:c r="I1814" s="13" t="n">
        <x:v>0.0260888888888888</x:v>
      </x:c>
      <x:c r="J1814" s="2" t="n">
        <x:v>8</x:v>
      </x:c>
      <x:c r="K1814" s="2" t="n">
        <x:v>3</x:v>
      </x:c>
      <x:c r="L1814" s="12" t="n">
        <x:v>22234.3654</x:v>
      </x:c>
      <x:c r="M1814" s="13" t="n">
        <x:v>0.9041780092866836</x:v>
      </x:c>
      <x:c r="N1814" s="13" t="n">
        <x:f>H1814/G1814</x:f>
        <x:v>0.03744880681771541</x:v>
      </x:c>
      <x:c r="O1814" s="13" t="n">
        <x:f>F1814/E1814</x:f>
        <x:v>0</x:v>
      </x:c>
      <x:c r="P1814" s="2" t="str">
        <x:f>IF(AND(E1814&gt;='Итоги'!$F$5,N1814&lt;='Итоги'!$B$5,O1814&gt;='Итоги'!$D$5),"Да","Нет")</x:f>
        <x:v>Нет</x:v>
      </x:c>
    </x:row>
    <x:row r="1815" ht="60" customHeight="1">
      <x:c r="A1815" s="14" t="str">
        <x:v>Строительство и ремонт (DIY)</x:v>
      </x:c>
      <x:c r="B1815" s="14" t="str">
        <x:v>Инструменты</x:v>
      </x:c>
      <x:c r="C1815" s="14" t="str">
        <x:v>Электроинструмент для строительства, ремонта</x:v>
      </x:c>
      <x:c r="D1815" s="14" t="str">
        <x:v>Режущий электроинструмент</x:v>
      </x:c>
      <x:c r="E1815" s="2" t="n">
        <x:v>19</x:v>
      </x:c>
      <x:c r="F1815" s="2" t="n">
        <x:v>0</x:v>
      </x:c>
      <x:c r="G1815" s="12" t="n">
        <x:v>3386260.3036</x:v>
      </x:c>
      <x:c r="H1815" s="12" t="n">
        <x:v>126831.79707414</x:v>
      </x:c>
      <x:c r="I1815" s="13" t="n">
        <x:v>0.0452052631578947</x:v>
      </x:c>
      <x:c r="J1815" s="2" t="n">
        <x:v>7</x:v>
      </x:c>
      <x:c r="K1815" s="2" t="n">
        <x:v>3</x:v>
      </x:c>
      <x:c r="L1815" s="12" t="n">
        <x:v>7830</x:v>
      </x:c>
      <x:c r="M1815" s="13" t="n">
        <x:v>0.6522199998186814</x:v>
      </x:c>
      <x:c r="N1815" s="13" t="n">
        <x:f>H1815/G1815</x:f>
        <x:v>0.037454827952624496</x:v>
      </x:c>
      <x:c r="O1815" s="13" t="n">
        <x:f>F1815/E1815</x:f>
        <x:v>0</x:v>
      </x:c>
      <x:c r="P1815" s="2" t="str">
        <x:f>IF(AND(E1815&gt;='Итоги'!$F$5,N1815&lt;='Итоги'!$B$5,O1815&gt;='Итоги'!$D$5),"Да","Нет")</x:f>
        <x:v>Нет</x:v>
      </x:c>
    </x:row>
    <x:row r="1816" ht="60" customHeight="1">
      <x:c r="A1816" s="14" t="str">
        <x:v>Товары для животных</x:v>
      </x:c>
      <x:c r="B1816" s="14" t="str">
        <x:v>Зоокорм, витамины</x:v>
      </x:c>
      <x:c r="C1816" s="14" t="str">
        <x:v>Зоокорм, витамины для мелких животных</x:v>
      </x:c>
      <x:c r="D1816" s="14" t="str">
        <x:v>Корм для рыб</x:v>
      </x:c>
      <x:c r="E1816" s="2" t="n">
        <x:v>67</x:v>
      </x:c>
      <x:c r="F1816" s="2" t="n">
        <x:v>0</x:v>
      </x:c>
      <x:c r="G1816" s="12" t="n">
        <x:v>10520298.99</x:v>
      </x:c>
      <x:c r="H1816" s="12" t="n">
        <x:v>394245.012751</x:v>
      </x:c>
      <x:c r="I1816" s="13" t="n">
        <x:v>0.0344537313432835</x:v>
      </x:c>
      <x:c r="J1816" s="2" t="n">
        <x:v>32</x:v>
      </x:c>
      <x:c r="K1816" s="2" t="n">
        <x:v>13</x:v>
      </x:c>
      <x:c r="L1816" s="12" t="n">
        <x:v>4296.3134</x:v>
      </x:c>
      <x:c r="M1816" s="13" t="n">
        <x:v>0.7974154601474878</x:v>
      </x:c>
      <x:c r="N1816" s="13" t="n">
        <x:f>H1816/G1816</x:f>
        <x:v>0.037474696596146835</x:v>
      </x:c>
      <x:c r="O1816" s="13" t="n">
        <x:f>F1816/E1816</x:f>
        <x:v>0</x:v>
      </x:c>
      <x:c r="P1816" s="2" t="str">
        <x:f>IF(AND(E1816&gt;='Итоги'!$F$5,N1816&lt;='Итоги'!$B$5,O1816&gt;='Итоги'!$D$5),"Да","Нет")</x:f>
        <x:v>Нет</x:v>
      </x:c>
    </x:row>
    <x:row r="1817" ht="60" customHeight="1">
      <x:c r="A1817" s="14" t="str">
        <x:v>Аптека</x:v>
      </x:c>
      <x:c r="B1817" s="14" t="str">
        <x:v>Средства реабилитации</x:v>
      </x:c>
      <x:c r="C1817" s="14" t="str">
        <x:v>Товары по уходу за стомой</x:v>
      </x:c>
      <x:c r="D1817" s="14" t="str">
        <x:v>Калоприемник и аксессуары</x:v>
      </x:c>
      <x:c r="E1817" s="2" t="n">
        <x:v>32</x:v>
      </x:c>
      <x:c r="F1817" s="2" t="n">
        <x:v>0</x:v>
      </x:c>
      <x:c r="G1817" s="12" t="n">
        <x:v>5850906.26</x:v>
      </x:c>
      <x:c r="H1817" s="12" t="n">
        <x:v>219350.698229</x:v>
      </x:c>
      <x:c r="I1817" s="13" t="n">
        <x:v>0.026921875</x:v>
      </x:c>
      <x:c r="J1817" s="2" t="n">
        <x:v>17</x:v>
      </x:c>
      <x:c r="K1817" s="2" t="n">
        <x:v>1</x:v>
      </x:c>
      <x:c r="L1817" s="12" t="n">
        <x:v>2866.391</x:v>
      </x:c>
      <x:c r="M1817" s="13" t="n">
        <x:v>1</x:v>
      </x:c>
      <x:c r="N1817" s="13" t="n">
        <x:f>H1817/G1817</x:f>
        <x:v>0.03749003803540685</x:v>
      </x:c>
      <x:c r="O1817" s="13" t="n">
        <x:f>F1817/E1817</x:f>
        <x:v>0</x:v>
      </x:c>
      <x:c r="P1817" s="2" t="str">
        <x:f>IF(AND(E1817&gt;='Итоги'!$F$5,N1817&lt;='Итоги'!$B$5,O1817&gt;='Итоги'!$D$5),"Да","Нет")</x:f>
        <x:v>Нет</x:v>
      </x:c>
    </x:row>
    <x:row r="1818" ht="60" customHeight="1">
      <x:c r="A1818" s="14" t="str">
        <x:v>Товары для дома</x:v>
      </x:c>
      <x:c r="B1818" s="14" t="str">
        <x:v>Кухня</x:v>
      </x:c>
      <x:c r="C1818" s="14" t="str">
        <x:v>Кухонная утварь и принадлежности</x:v>
      </x:c>
      <x:c r="D1818" s="14" t="str">
        <x:v>Соковыжималка механическая</x:v>
      </x:c>
      <x:c r="E1818" s="2" t="n">
        <x:v>28</x:v>
      </x:c>
      <x:c r="F1818" s="2" t="n">
        <x:v>0</x:v>
      </x:c>
      <x:c r="G1818" s="12" t="n">
        <x:v>4299552.3429</x:v>
      </x:c>
      <x:c r="H1818" s="12" t="n">
        <x:v>161221.11799689</x:v>
      </x:c>
      <x:c r="I1818" s="13" t="n">
        <x:v>0.0433678571428571</x:v>
      </x:c>
      <x:c r="J1818" s="2" t="n">
        <x:v>13</x:v>
      </x:c>
      <x:c r="K1818" s="2" t="n">
        <x:v>10</x:v>
      </x:c>
      <x:c r="L1818" s="12" t="n">
        <x:v>11586.90815</x:v>
      </x:c>
      <x:c r="M1818" s="13" t="n">
        <x:v>0.4062427123568627</x:v>
      </x:c>
      <x:c r="N1818" s="13" t="n">
        <x:f>H1818/G1818</x:f>
        <x:v>0.03749718694857153</x:v>
      </x:c>
      <x:c r="O1818" s="13" t="n">
        <x:f>F1818/E1818</x:f>
        <x:v>0</x:v>
      </x:c>
      <x:c r="P1818" s="2" t="str">
        <x:f>IF(AND(E1818&gt;='Итоги'!$F$5,N1818&lt;='Итоги'!$B$5,O1818&gt;='Итоги'!$D$5),"Да","Нет")</x:f>
        <x:v>Нет</x:v>
      </x:c>
    </x:row>
    <x:row r="1819" ht="60" customHeight="1">
      <x:c r="A1819" s="14" t="str">
        <x:v>Мелкая бытовая техника</x:v>
      </x:c>
      <x:c r="B1819" s="14" t="str">
        <x:v>Мелкая бытовая техника SDA</x:v>
      </x:c>
      <x:c r="C1819" s="14" t="str">
        <x:v>Электронная кухонная техника SDA</x:v>
      </x:c>
      <x:c r="D1819" s="14" t="str">
        <x:v>Плита газовая настольная</x:v>
      </x:c>
      <x:c r="E1819" s="2" t="n">
        <x:v>10</x:v>
      </x:c>
      <x:c r="F1819" s="2" t="n">
        <x:v>0</x:v>
      </x:c>
      <x:c r="G1819" s="12" t="n">
        <x:v>1166138.759</x:v>
      </x:c>
      <x:c r="H1819" s="12" t="n">
        <x:v>43769.84656915</x:v>
      </x:c>
      <x:c r="I1819" s="13" t="n">
        <x:v>0.0524899999999999</x:v>
      </x:c>
      <x:c r="J1819" s="2" t="n">
        <x:v>4</x:v>
      </x:c>
      <x:c r="K1819" s="2" t="n">
        <x:v>4</x:v>
      </x:c>
      <x:c r="L1819" s="12" t="n">
        <x:v>2464.3374000000003</x:v>
      </x:c>
      <x:c r="M1819" s="13" t="n">
        <x:v>0.5631260379023214</x:v>
      </x:c>
      <x:c r="N1819" s="13" t="n">
        <x:f>H1819/G1819</x:f>
        <x:v>0.037533995188260436</x:v>
      </x:c>
      <x:c r="O1819" s="13" t="n">
        <x:f>F1819/E1819</x:f>
        <x:v>0</x:v>
      </x:c>
      <x:c r="P1819" s="2" t="str">
        <x:f>IF(AND(E1819&gt;='Итоги'!$F$5,N1819&lt;='Итоги'!$B$5,O1819&gt;='Итоги'!$D$5),"Да","Нет")</x:f>
        <x:v>Нет</x:v>
      </x:c>
    </x:row>
    <x:row r="1820" ht="60" customHeight="1">
      <x:c r="A1820" s="14" t="str">
        <x:v>Бакалея и кондитерские изделия</x:v>
      </x:c>
      <x:c r="B1820" s="14" t="str">
        <x:v>Бакалея</x:v>
      </x:c>
      <x:c r="C1820" s="14" t="str">
        <x:v>Макаронные изделия, крупы</x:v>
      </x:c>
      <x:c r="D1820" s="14" t="str">
        <x:v>Крупа</x:v>
      </x:c>
      <x:c r="E1820" s="2" t="n">
        <x:v>26</x:v>
      </x:c>
      <x:c r="F1820" s="2" t="n">
        <x:v>0</x:v>
      </x:c>
      <x:c r="G1820" s="12" t="n">
        <x:v>2822247.095</x:v>
      </x:c>
      <x:c r="H1820" s="12" t="n">
        <x:v>106013.4068552</x:v>
      </x:c>
      <x:c r="I1820" s="13" t="n">
        <x:v>0.0372230769230769</x:v>
      </x:c>
      <x:c r="J1820" s="2" t="n">
        <x:v>10</x:v>
      </x:c>
      <x:c r="K1820" s="2" t="n">
        <x:v>21</x:v>
      </x:c>
      <x:c r="L1820" s="12" t="n">
        <x:v>1259.02435</x:v>
      </x:c>
      <x:c r="M1820" s="13" t="n">
        <x:v>0.1417068657129754</x:v>
      </x:c>
      <x:c r="N1820" s="13" t="n">
        <x:f>H1820/G1820</x:f>
        <x:v>0.037563474524614573</x:v>
      </x:c>
      <x:c r="O1820" s="13" t="n">
        <x:f>F1820/E1820</x:f>
        <x:v>0</x:v>
      </x:c>
      <x:c r="P1820" s="2" t="str">
        <x:f>IF(AND(E1820&gt;='Итоги'!$F$5,N1820&lt;='Итоги'!$B$5,O1820&gt;='Итоги'!$D$5),"Да","Нет")</x:f>
        <x:v>Нет</x:v>
      </x:c>
    </x:row>
    <x:row r="1821" ht="60" customHeight="1">
      <x:c r="A1821" s="14" t="str">
        <x:v>Товары для красоты и здоровья</x:v>
      </x:c>
      <x:c r="B1821" s="14" t="str">
        <x:v>Косметика для ухода за кожей</x:v>
      </x:c>
      <x:c r="C1821" s="14" t="str">
        <x:v>Загар</x:v>
      </x:c>
      <x:c r="D1821" s="14" t="str">
        <x:v>Автозагар</x:v>
      </x:c>
      <x:c r="E1821" s="2" t="n">
        <x:v>25</x:v>
      </x:c>
      <x:c r="F1821" s="2" t="n">
        <x:v>0</x:v>
      </x:c>
      <x:c r="G1821" s="12" t="n">
        <x:v>4928930.9049</x:v>
      </x:c>
      <x:c r="H1821" s="12" t="n">
        <x:v>185200.26978248</x:v>
      </x:c>
      <x:c r="I1821" s="13" t="n">
        <x:v>0.043736</x:v>
      </x:c>
      <x:c r="J1821" s="2" t="n">
        <x:v>9</x:v>
      </x:c>
      <x:c r="K1821" s="2" t="n">
        <x:v>7</x:v>
      </x:c>
      <x:c r="L1821" s="12" t="n">
        <x:v>1408.997</x:v>
      </x:c>
      <x:c r="M1821" s="13" t="n">
        <x:v>0.3613566495179213</x:v>
      </x:c>
      <x:c r="N1821" s="13" t="n">
        <x:f>H1821/G1821</x:f>
        <x:v>0.037574125780170047</x:v>
      </x:c>
      <x:c r="O1821" s="13" t="n">
        <x:f>F1821/E1821</x:f>
        <x:v>0</x:v>
      </x:c>
      <x:c r="P1821" s="2" t="str">
        <x:f>IF(AND(E1821&gt;='Итоги'!$F$5,N1821&lt;='Итоги'!$B$5,O1821&gt;='Итоги'!$D$5),"Да","Нет")</x:f>
        <x:v>Нет</x:v>
      </x:c>
    </x:row>
    <x:row r="1822" ht="60" customHeight="1">
      <x:c r="A1822" s="14" t="str">
        <x:v>Одежда</x:v>
      </x:c>
      <x:c r="B1822" s="14" t="str">
        <x:v>Основная одежда мужская</x:v>
      </x:c>
      <x:c r="C1822" s="14" t="str">
        <x:v>Пляжная одежда мужская</x:v>
      </x:c>
      <x:c r="D1822" s="14" t="str">
        <x:v>Купальный низ мужской</x:v>
      </x:c>
      <x:c r="E1822" s="2" t="n">
        <x:v>100</x:v>
      </x:c>
      <x:c r="F1822" s="2" t="n">
        <x:v>0</x:v>
      </x:c>
      <x:c r="G1822" s="12" t="n">
        <x:v>12799242.9192</x:v>
      </x:c>
      <x:c r="H1822" s="12" t="n">
        <x:v>481190.94131771</x:v>
      </x:c>
      <x:c r="I1822" s="13" t="n">
        <x:v>0.018755</x:v>
      </x:c>
      <x:c r="J1822" s="2" t="n">
        <x:v>77</x:v>
      </x:c>
      <x:c r="K1822" s="2" t="n">
        <x:v>10</x:v>
      </x:c>
      <x:c r="L1822" s="12" t="n">
        <x:v>1509.06955</x:v>
      </x:c>
      <x:c r="M1822" s="13" t="n">
        <x:v>0.6249357293626512</x:v>
      </x:c>
      <x:c r="N1822" s="13" t="n">
        <x:f>H1822/G1822</x:f>
        <x:v>0.03759526593529067</x:v>
      </x:c>
      <x:c r="O1822" s="13" t="n">
        <x:f>F1822/E1822</x:f>
        <x:v>0</x:v>
      </x:c>
      <x:c r="P1822" s="2" t="str">
        <x:f>IF(AND(E1822&gt;='Итоги'!$F$5,N1822&lt;='Итоги'!$B$5,O1822&gt;='Итоги'!$D$5),"Да","Нет")</x:f>
        <x:v>Нет</x:v>
      </x:c>
    </x:row>
    <x:row r="1823" ht="60" customHeight="1">
      <x:c r="A1823" s="14" t="str">
        <x:v>Спорт и отдых</x:v>
      </x:c>
      <x:c r="B1823" s="14" t="str">
        <x:v>Единоборства</x:v>
      </x:c>
      <x:c r="C1823" s="14" t="str">
        <x:v>Бокс</x:v>
      </x:c>
      <x:c r="D1823" s="14" t="str">
        <x:v>Шлем для бокса</x:v>
      </x:c>
      <x:c r="E1823" s="2" t="n">
        <x:v>5</x:v>
      </x:c>
      <x:c r="F1823" s="2" t="n">
        <x:v>0</x:v>
      </x:c>
      <x:c r="G1823" s="12" t="n">
        <x:v>405775.56</x:v>
      </x:c>
      <x:c r="H1823" s="12" t="n">
        <x:v>15283.177132</x:v>
      </x:c>
      <x:c r="I1823" s="13" t="n">
        <x:v>0.02494</x:v>
      </x:c>
      <x:c r="J1823" s="2" t="n">
        <x:v>4</x:v>
      </x:c>
      <x:c r="K1823" s="2" t="n">
        <x:v>1</x:v>
      </x:c>
      <x:c r="L1823" s="12" t="n">
        <x:v>4200</x:v>
      </x:c>
      <x:c r="M1823" s="13" t="n">
        <x:v>1</x:v>
      </x:c>
      <x:c r="N1823" s="13" t="n">
        <x:f>H1823/G1823</x:f>
        <x:v>0.037664114447898245</x:v>
      </x:c>
      <x:c r="O1823" s="13" t="n">
        <x:f>F1823/E1823</x:f>
        <x:v>0</x:v>
      </x:c>
      <x:c r="P1823" s="2" t="str">
        <x:f>IF(AND(E1823&gt;='Итоги'!$F$5,N1823&lt;='Итоги'!$B$5,O1823&gt;='Итоги'!$D$5),"Да","Нет")</x:f>
        <x:v>Нет</x:v>
      </x:c>
    </x:row>
    <x:row r="1824" ht="60" customHeight="1">
      <x:c r="A1824" s="14" t="str">
        <x:v>Школьные принадлежности и канцелярия</x:v>
      </x:c>
      <x:c r="B1824" s="14" t="str">
        <x:v>Товары для школы, канцелярия, оборудование</x:v>
      </x:c>
      <x:c r="C1824" s="14" t="str">
        <x:v>Оборудование для магазина</x:v>
      </x:c>
      <x:c r="D1824" s="14" t="str">
        <x:v>Информационный держатель</x:v>
      </x:c>
      <x:c r="E1824" s="2" t="n">
        <x:v>21</x:v>
      </x:c>
      <x:c r="F1824" s="2" t="n">
        <x:v>0</x:v>
      </x:c>
      <x:c r="G1824" s="12" t="n">
        <x:v>2123744.597</x:v>
      </x:c>
      <x:c r="H1824" s="12" t="n">
        <x:v>80024.66225244</x:v>
      </x:c>
      <x:c r="I1824" s="13" t="n">
        <x:v>0.0387619047619047</x:v>
      </x:c>
      <x:c r="J1824" s="2" t="n">
        <x:v>7</x:v>
      </x:c>
      <x:c r="K1824" s="2" t="n">
        <x:v>11</x:v>
      </x:c>
      <x:c r="L1824" s="12" t="n">
        <x:v>2011.2957</x:v>
      </x:c>
      <x:c r="M1824" s="13" t="n">
        <x:v>0.3444792754427428</x:v>
      </x:c>
      <x:c r="N1824" s="13" t="n">
        <x:f>H1824/G1824</x:f>
        <x:v>0.03768092564684227</x:v>
      </x:c>
      <x:c r="O1824" s="13" t="n">
        <x:f>F1824/E1824</x:f>
        <x:v>0</x:v>
      </x:c>
      <x:c r="P1824" s="2" t="str">
        <x:f>IF(AND(E1824&gt;='Итоги'!$F$5,N1824&lt;='Итоги'!$B$5,O1824&gt;='Итоги'!$D$5),"Да","Нет")</x:f>
        <x:v>Нет</x:v>
      </x:c>
    </x:row>
    <x:row r="1825" ht="60" customHeight="1">
      <x:c r="A1825" s="14" t="str">
        <x:v>Строительство и ремонт (DIY)</x:v>
      </x:c>
      <x:c r="B1825" s="14" t="str">
        <x:v>Сантехника</x:v>
      </x:c>
      <x:c r="C1825" s="14" t="str">
        <x:v>Аксессуары для сантехники</x:v>
      </x:c>
      <x:c r="D1825" s="14" t="str">
        <x:v>Коллектор сантехнический</x:v>
      </x:c>
      <x:c r="E1825" s="2" t="n">
        <x:v>37</x:v>
      </x:c>
      <x:c r="F1825" s="2" t="n">
        <x:v>0</x:v>
      </x:c>
      <x:c r="G1825" s="12" t="n">
        <x:v>3446733.3473</x:v>
      </x:c>
      <x:c r="H1825" s="12" t="n">
        <x:v>130018.58504016</x:v>
      </x:c>
      <x:c r="I1825" s="13" t="n">
        <x:v>0.0429054054054054</x:v>
      </x:c>
      <x:c r="J1825" s="2" t="n">
        <x:v>6</x:v>
      </x:c>
      <x:c r="K1825" s="2" t="n">
        <x:v>7</x:v>
      </x:c>
      <x:c r="L1825" s="12" t="n">
        <x:v>13268.5</x:v>
      </x:c>
      <x:c r="M1825" s="13" t="n">
        <x:v>0.7875551629853812</x:v>
      </x:c>
      <x:c r="N1825" s="13" t="n">
        <x:f>H1825/G1825</x:f>
        <x:v>0.037722263934925546</x:v>
      </x:c>
      <x:c r="O1825" s="13" t="n">
        <x:f>F1825/E1825</x:f>
        <x:v>0</x:v>
      </x:c>
      <x:c r="P1825" s="2" t="str">
        <x:f>IF(AND(E1825&gt;='Итоги'!$F$5,N1825&lt;='Итоги'!$B$5,O1825&gt;='Итоги'!$D$5),"Да","Нет")</x:f>
        <x:v>Нет</x:v>
      </x:c>
    </x:row>
    <x:row r="1826" ht="60" customHeight="1">
      <x:c r="A1826" s="14" t="str">
        <x:v>Бакалея и кондитерские изделия</x:v>
      </x:c>
      <x:c r="B1826" s="14" t="str">
        <x:v>Кондитерские изделия</x:v>
      </x:c>
      <x:c r="C1826" s="14" t="str">
        <x:v>Шоколадные изделия</x:v>
      </x:c>
      <x:c r="D1826" s="14" t="str">
        <x:v>Шоколадное яйцо</x:v>
      </x:c>
      <x:c r="E1826" s="2" t="n">
        <x:v>6</x:v>
      </x:c>
      <x:c r="F1826" s="2" t="n">
        <x:v>0</x:v>
      </x:c>
      <x:c r="G1826" s="12" t="n">
        <x:v>805296.5189</x:v>
      </x:c>
      <x:c r="H1826" s="12" t="n">
        <x:v>30410.15605467</x:v>
      </x:c>
      <x:c r="I1826" s="13" t="n">
        <x:v>0.0256499999999999</x:v>
      </x:c>
      <x:c r="J1826" s="2" t="n">
        <x:v>4</x:v>
      </x:c>
      <x:c r="K1826" s="2" t="n">
        <x:v>6</x:v>
      </x:c>
      <x:c r="L1826" s="12" t="n">
        <x:v>1865.11885</x:v>
      </x:c>
      <x:c r="M1826" s="13" t="n">
        <x:v>0.2538393935680031</x:v>
      </x:c>
      <x:c r="N1826" s="13" t="n">
        <x:f>H1826/G1826</x:f>
        <x:v>0.0377626816221793</x:v>
      </x:c>
      <x:c r="O1826" s="13" t="n">
        <x:f>F1826/E1826</x:f>
        <x:v>0</x:v>
      </x:c>
      <x:c r="P1826" s="2" t="str">
        <x:f>IF(AND(E1826&gt;='Итоги'!$F$5,N1826&lt;='Итоги'!$B$5,O1826&gt;='Итоги'!$D$5),"Да","Нет")</x:f>
        <x:v>Нет</x:v>
      </x:c>
    </x:row>
    <x:row r="1827" ht="60" customHeight="1">
      <x:c r="A1827" s="14" t="str">
        <x:v>Спорт и отдых</x:v>
      </x:c>
      <x:c r="B1827" s="14" t="str">
        <x:v>Товары для охоты</x:v>
      </x:c>
      <x:c r="C1827" s="14" t="str">
        <x:v>Аксессуары для охотничьего оружия</x:v>
      </x:c>
      <x:c r="D1827" s="14" t="str">
        <x:v>Запчасти и принадлежности для охотничьего оружия</x:v>
      </x:c>
      <x:c r="E1827" s="2" t="n">
        <x:v>11</x:v>
      </x:c>
      <x:c r="F1827" s="2" t="n">
        <x:v>0</x:v>
      </x:c>
      <x:c r="G1827" s="12" t="n">
        <x:v>1807848.11</x:v>
      </x:c>
      <x:c r="H1827" s="12" t="n">
        <x:v>68453.759105</x:v>
      </x:c>
      <x:c r="I1827" s="13" t="n">
        <x:v>0.0434727272727272</x:v>
      </x:c>
      <x:c r="J1827" s="2" t="n">
        <x:v>3</x:v>
      </x:c>
      <x:c r="K1827" s="2" t="n">
        <x:v>4</x:v>
      </x:c>
      <x:c r="L1827" s="12" t="n">
        <x:v>2990.8131</x:v>
      </x:c>
      <x:c r="M1827" s="13" t="n">
        <x:v>0.6752552845825084</x:v>
      </x:c>
      <x:c r="N1827" s="13" t="n">
        <x:f>H1827/G1827</x:f>
        <x:v>0.037864773443273395</x:v>
      </x:c>
      <x:c r="O1827" s="13" t="n">
        <x:f>F1827/E1827</x:f>
        <x:v>0</x:v>
      </x:c>
      <x:c r="P1827" s="2" t="str">
        <x:f>IF(AND(E1827&gt;='Итоги'!$F$5,N1827&lt;='Итоги'!$B$5,O1827&gt;='Итоги'!$D$5),"Да","Нет")</x:f>
        <x:v>Нет</x:v>
      </x:c>
    </x:row>
    <x:row r="1828" ht="60" customHeight="1">
      <x:c r="A1828" s="14" t="str">
        <x:v>Автотовары</x:v>
      </x:c>
      <x:c r="B1828" s="14" t="str">
        <x:v>Масла и автохимия</x:v>
      </x:c>
      <x:c r="C1828" s="14" t="str">
        <x:v>Масла автомобильные</x:v>
      </x:c>
      <x:c r="D1828" s="14" t="str">
        <x:v>Автохимия - Масло моторное</x:v>
      </x:c>
      <x:c r="E1828" s="2" t="n">
        <x:v>1639</x:v>
      </x:c>
      <x:c r="F1828" s="2" t="n">
        <x:v>0</x:v>
      </x:c>
      <x:c r="G1828" s="12" t="n">
        <x:v>306107450.26</x:v>
      </x:c>
      <x:c r="H1828" s="12" t="n">
        <x:v>11597558.96408</x:v>
      </x:c>
      <x:c r="I1828" s="13" t="n">
        <x:v>0.0370840756558877</x:v>
      </x:c>
      <x:c r="J1828" s="2" t="n">
        <x:v>771</x:v>
      </x:c>
      <x:c r="K1828" s="2" t="n">
        <x:v>163</x:v>
      </x:c>
      <x:c r="L1828" s="12" t="n">
        <x:v>2544.1538</x:v>
      </x:c>
      <x:c r="M1828" s="13" t="n">
        <x:v>0.6237494465026092</x:v>
      </x:c>
      <x:c r="N1828" s="13" t="n">
        <x:f>H1828/G1828</x:f>
        <x:v>0.037887215597756034</x:v>
      </x:c>
      <x:c r="O1828" s="13" t="n">
        <x:f>F1828/E1828</x:f>
        <x:v>0</x:v>
      </x:c>
      <x:c r="P1828" s="2" t="str">
        <x:f>IF(AND(E1828&gt;='Итоги'!$F$5,N1828&lt;='Итоги'!$B$5,O1828&gt;='Итоги'!$D$5),"Да","Нет")</x:f>
        <x:v>Нет</x:v>
      </x:c>
    </x:row>
    <x:row r="1829" ht="60" customHeight="1">
      <x:c r="A1829" s="14" t="str">
        <x:v>Мебель</x:v>
      </x:c>
      <x:c r="B1829" s="14" t="str">
        <x:v>Мебель для сада</x:v>
      </x:c>
      <x:c r="C1829" s="14" t="str">
        <x:v>Комплектующие для садовой мебели</x:v>
      </x:c>
      <x:c r="D1829" s="14" t="str">
        <x:v>Комплектующие для садовой мебели</x:v>
      </x:c>
      <x:c r="E1829" s="2" t="n">
        <x:v>7</x:v>
      </x:c>
      <x:c r="F1829" s="2" t="n">
        <x:v>0</x:v>
      </x:c>
      <x:c r="G1829" s="12" t="n">
        <x:v>521748.9334</x:v>
      </x:c>
      <x:c r="H1829" s="12" t="n">
        <x:v>19787.47724426</x:v>
      </x:c>
      <x:c r="I1829" s="13" t="n">
        <x:v>0.0187714285714285</x:v>
      </x:c>
      <x:c r="J1829" s="2" t="n">
        <x:v>4</x:v>
      </x:c>
      <x:c r="K1829" s="2" t="n">
        <x:v>5</x:v>
      </x:c>
      <x:c r="L1829" s="12" t="n">
        <x:v>2105.0392</x:v>
      </x:c>
      <x:c r="M1829" s="13" t="n">
        <x:v>0.3754217610442747</x:v>
      </x:c>
      <x:c r="N1829" s="13" t="n">
        <x:f>H1829/G1829</x:f>
        <x:v>0.037925285472677504</x:v>
      </x:c>
      <x:c r="O1829" s="13" t="n">
        <x:f>F1829/E1829</x:f>
        <x:v>0</x:v>
      </x:c>
      <x:c r="P1829" s="2" t="str">
        <x:f>IF(AND(E1829&gt;='Итоги'!$F$5,N1829&lt;='Итоги'!$B$5,O1829&gt;='Итоги'!$D$5),"Да","Нет")</x:f>
        <x:v>Нет</x:v>
      </x:c>
    </x:row>
    <x:row r="1830" ht="60" customHeight="1">
      <x:c r="A1830" s="14" t="str">
        <x:v>Бакалея и кондитерские изделия</x:v>
      </x:c>
      <x:c r="B1830" s="14" t="str">
        <x:v>Бакалея</x:v>
      </x:c>
      <x:c r="C1830" s="14" t="str">
        <x:v>Приправы, специи, травы</x:v>
      </x:c>
      <x:c r="D1830" s="14" t="str">
        <x:v>Лимонная кислота</x:v>
      </x:c>
      <x:c r="E1830" s="2" t="n">
        <x:v>5</x:v>
      </x:c>
      <x:c r="F1830" s="2" t="n">
        <x:v>0</x:v>
      </x:c>
      <x:c r="G1830" s="12" t="n">
        <x:v>883704.9162</x:v>
      </x:c>
      <x:c r="H1830" s="12" t="n">
        <x:v>33519.314692</x:v>
      </x:c>
      <x:c r="I1830" s="13" t="n">
        <x:v>0.02914</x:v>
      </x:c>
      <x:c r="J1830" s="2" t="n">
        <x:v>2</x:v>
      </x:c>
      <x:c r="K1830" s="2" t="n">
        <x:v>3</x:v>
      </x:c>
      <x:c r="L1830" s="12" t="n">
        <x:v>3882.9211</x:v>
      </x:c>
      <x:c r="M1830" s="13" t="n">
        <x:v>0.6419352419576367</x:v>
      </x:c>
      <x:c r="N1830" s="13" t="n">
        <x:f>H1830/G1830</x:f>
        <x:v>0.03793043817854456</x:v>
      </x:c>
      <x:c r="O1830" s="13" t="n">
        <x:f>F1830/E1830</x:f>
        <x:v>0</x:v>
      </x:c>
      <x:c r="P1830" s="2" t="str">
        <x:f>IF(AND(E1830&gt;='Итоги'!$F$5,N1830&lt;='Итоги'!$B$5,O1830&gt;='Итоги'!$D$5),"Да","Нет")</x:f>
        <x:v>Нет</x:v>
      </x:c>
    </x:row>
    <x:row r="1831" ht="60" customHeight="1">
      <x:c r="A1831" s="14" t="str">
        <x:v>Товары для животных</x:v>
      </x:c>
      <x:c r="B1831" s="14" t="str">
        <x:v>Гигиена и уход животных</x:v>
      </x:c>
      <x:c r="C1831" s="14" t="str">
        <x:v>Туалет для животных</x:v>
      </x:c>
      <x:c r="D1831" s="14" t="str">
        <x:v>Наполнитель для кошачьих туалетов</x:v>
      </x:c>
      <x:c r="E1831" s="2" t="n">
        <x:v>467</x:v>
      </x:c>
      <x:c r="F1831" s="2" t="n">
        <x:v>0</x:v>
      </x:c>
      <x:c r="G1831" s="12" t="n">
        <x:v>105476211.1531</x:v>
      </x:c>
      <x:c r="H1831" s="12" t="n">
        <x:v>4006747.92935917</x:v>
      </x:c>
      <x:c r="I1831" s="13" t="n">
        <x:v>0.0377047109207708</x:v>
      </x:c>
      <x:c r="J1831" s="2" t="n">
        <x:v>194</x:v>
      </x:c>
      <x:c r="K1831" s="2" t="n">
        <x:v>70</x:v>
      </x:c>
      <x:c r="L1831" s="12" t="n">
        <x:v>1458.8667</x:v>
      </x:c>
      <x:c r="M1831" s="13" t="n">
        <x:v>0.4964226246257338</x:v>
      </x:c>
      <x:c r="N1831" s="13" t="n">
        <x:f>H1831/G1831</x:f>
        <x:v>0.03798721897152076</x:v>
      </x:c>
      <x:c r="O1831" s="13" t="n">
        <x:f>F1831/E1831</x:f>
        <x:v>0</x:v>
      </x:c>
      <x:c r="P1831" s="2" t="str">
        <x:f>IF(AND(E1831&gt;='Итоги'!$F$5,N1831&lt;='Итоги'!$B$5,O1831&gt;='Итоги'!$D$5),"Да","Нет")</x:f>
        <x:v>Нет</x:v>
      </x:c>
    </x:row>
    <x:row r="1832" ht="60" customHeight="1">
      <x:c r="A1832" s="14" t="str">
        <x:v>Мебель</x:v>
      </x:c>
      <x:c r="B1832" s="14" t="str">
        <x:v>Столы и стулья</x:v>
      </x:c>
      <x:c r="C1832" s="14" t="str">
        <x:v>Барный стол</x:v>
      </x:c>
      <x:c r="D1832" s="14" t="str">
        <x:v>Барные столы</x:v>
      </x:c>
      <x:c r="E1832" s="2" t="n">
        <x:v>13</x:v>
      </x:c>
      <x:c r="F1832" s="2" t="n">
        <x:v>0</x:v>
      </x:c>
      <x:c r="G1832" s="12" t="n">
        <x:v>1864979.6173</x:v>
      </x:c>
      <x:c r="H1832" s="12" t="n">
        <x:v>70848.0349459</x:v>
      </x:c>
      <x:c r="I1832" s="13" t="n">
        <x:v>0.0337461538461538</x:v>
      </x:c>
      <x:c r="J1832" s="2" t="n">
        <x:v>6</x:v>
      </x:c>
      <x:c r="K1832" s="2" t="n">
        <x:v>1</x:v>
      </x:c>
      <x:c r="L1832" s="12" t="n">
        <x:v>4684.0491</x:v>
      </x:c>
      <x:c r="M1832" s="13" t="n">
        <x:v>1</x:v>
      </x:c>
      <x:c r="N1832" s="13" t="n">
        <x:f>H1832/G1832</x:f>
        <x:v>0.037988637671262766</x:v>
      </x:c>
      <x:c r="O1832" s="13" t="n">
        <x:f>F1832/E1832</x:f>
        <x:v>0</x:v>
      </x:c>
      <x:c r="P1832" s="2" t="str">
        <x:f>IF(AND(E1832&gt;='Итоги'!$F$5,N1832&lt;='Итоги'!$B$5,O1832&gt;='Итоги'!$D$5),"Да","Нет")</x:f>
        <x:v>Нет</x:v>
      </x:c>
    </x:row>
    <x:row r="1833" ht="60" customHeight="1">
      <x:c r="A1833" s="14" t="str">
        <x:v>Товары для красоты и здоровья</x:v>
      </x:c>
      <x:c r="B1833" s="14" t="str">
        <x:v>Косметическая техника</x:v>
      </x:c>
      <x:c r="C1833" s="14" t="str">
        <x:v>Массажная техника</x:v>
      </x:c>
      <x:c r="D1833" s="14" t="str">
        <x:v>Массажное кресло</x:v>
      </x:c>
      <x:c r="E1833" s="2" t="n">
        <x:v>9</x:v>
      </x:c>
      <x:c r="F1833" s="2" t="n">
        <x:v>0</x:v>
      </x:c>
      <x:c r="G1833" s="12" t="n">
        <x:v>1789342.134</x:v>
      </x:c>
      <x:c r="H1833" s="12" t="n">
        <x:v>67988.2509</x:v>
      </x:c>
      <x:c r="I1833" s="13" t="n">
        <x:v>0.0272333333333333</x:v>
      </x:c>
      <x:c r="J1833" s="2" t="n">
        <x:v>3</x:v>
      </x:c>
      <x:c r="K1833" s="2" t="n">
        <x:v>4</x:v>
      </x:c>
      <x:c r="L1833" s="12" t="n">
        <x:v>22991.5</x:v>
      </x:c>
      <x:c r="M1833" s="13" t="n">
        <x:v>0.8504539769586625</x:v>
      </x:c>
      <x:c r="N1833" s="13" t="n">
        <x:f>H1833/G1833</x:f>
        <x:v>0.037996227556557384</x:v>
      </x:c>
      <x:c r="O1833" s="13" t="n">
        <x:f>F1833/E1833</x:f>
        <x:v>0</x:v>
      </x:c>
      <x:c r="P1833" s="2" t="str">
        <x:f>IF(AND(E1833&gt;='Итоги'!$F$5,N1833&lt;='Итоги'!$B$5,O1833&gt;='Итоги'!$D$5),"Да","Нет")</x:f>
        <x:v>Нет</x:v>
      </x:c>
    </x:row>
    <x:row r="1834" ht="60" customHeight="1">
      <x:c r="A1834" s="14" t="str">
        <x:v>Аптека</x:v>
      </x:c>
      <x:c r="B1834" s="14" t="str">
        <x:v>Витамины и БАДы</x:v>
      </x:c>
      <x:c r="C1834" s="14" t="str">
        <x:v>Витамины и минеральные вещества</x:v>
      </x:c>
      <x:c r="D1834" s="14" t="str">
        <x:v>БАД моно-и-мульти-аминокислота</x:v>
      </x:c>
      <x:c r="E1834" s="2" t="n">
        <x:v>17</x:v>
      </x:c>
      <x:c r="F1834" s="2" t="n">
        <x:v>0</x:v>
      </x:c>
      <x:c r="G1834" s="12" t="n">
        <x:v>3744091.3435</x:v>
      </x:c>
      <x:c r="H1834" s="12" t="n">
        <x:v>142555.54650604</x:v>
      </x:c>
      <x:c r="I1834" s="13" t="n">
        <x:v>0.0400764705882353</x:v>
      </x:c>
      <x:c r="J1834" s="2" t="n">
        <x:v>7</x:v>
      </x:c>
      <x:c r="K1834" s="2" t="n">
        <x:v>4</x:v>
      </x:c>
      <x:c r="L1834" s="12" t="n">
        <x:v>1458.8759</x:v>
      </x:c>
      <x:c r="M1834" s="13" t="n">
        <x:v>0.7442735821437098</x:v>
      </x:c>
      <x:c r="N1834" s="13" t="n">
        <x:f>H1834/G1834</x:f>
        <x:v>0.03807480465281015</x:v>
      </x:c>
      <x:c r="O1834" s="13" t="n">
        <x:f>F1834/E1834</x:f>
        <x:v>0</x:v>
      </x:c>
      <x:c r="P1834" s="2" t="str">
        <x:f>IF(AND(E1834&gt;='Итоги'!$F$5,N1834&lt;='Итоги'!$B$5,O1834&gt;='Итоги'!$D$5),"Да","Нет")</x:f>
        <x:v>Нет</x:v>
      </x:c>
    </x:row>
    <x:row r="1835" ht="60" customHeight="1">
      <x:c r="A1835" s="14" t="str">
        <x:v>Спорт и отдых</x:v>
      </x:c>
      <x:c r="B1835" s="14" t="str">
        <x:v>Тренажеры и фитнес</x:v>
      </x:c>
      <x:c r="C1835" s="14" t="str">
        <x:v>Фитнес</x:v>
      </x:c>
      <x:c r="D1835" s="14" t="str">
        <x:v>Полотенце для фитнеса</x:v>
      </x:c>
      <x:c r="E1835" s="2" t="n">
        <x:v>32</x:v>
      </x:c>
      <x:c r="F1835" s="2" t="n">
        <x:v>0</x:v>
      </x:c>
      <x:c r="G1835" s="12" t="n">
        <x:v>5276473.9798</x:v>
      </x:c>
      <x:c r="H1835" s="12" t="n">
        <x:v>200953.22149075</x:v>
      </x:c>
      <x:c r="I1835" s="13" t="n">
        <x:v>0.04626875</x:v>
      </x:c>
      <x:c r="J1835" s="2" t="n">
        <x:v>3</x:v>
      </x:c>
      <x:c r="K1835" s="2" t="n">
        <x:v>10</x:v>
      </x:c>
      <x:c r="L1835" s="12" t="n">
        <x:v>929.36555</x:v>
      </x:c>
      <x:c r="M1835" s="13" t="n">
        <x:v>0.5373110735035714</x:v>
      </x:c>
      <x:c r="N1835" s="13" t="n">
        <x:f>H1835/G1835</x:f>
        <x:v>0.038084755512878876</x:v>
      </x:c>
      <x:c r="O1835" s="13" t="n">
        <x:f>F1835/E1835</x:f>
        <x:v>0</x:v>
      </x:c>
      <x:c r="P1835" s="2" t="str">
        <x:f>IF(AND(E1835&gt;='Итоги'!$F$5,N1835&lt;='Итоги'!$B$5,O1835&gt;='Итоги'!$D$5),"Да","Нет")</x:f>
        <x:v>Нет</x:v>
      </x:c>
    </x:row>
    <x:row r="1836" ht="60" customHeight="1">
      <x:c r="A1836" s="14" t="str">
        <x:v>Аптека</x:v>
      </x:c>
      <x:c r="B1836" s="14" t="str">
        <x:v>Медицинская техника</x:v>
      </x:c>
      <x:c r="C1836" s="14" t="str">
        <x:v>Приборы и средства диагностики</x:v>
      </x:c>
      <x:c r="D1836" s="14" t="str">
        <x:v>Глюкометр</x:v>
      </x:c>
      <x:c r="E1836" s="2" t="n">
        <x:v>90</x:v>
      </x:c>
      <x:c r="F1836" s="2" t="n">
        <x:v>0</x:v>
      </x:c>
      <x:c r="G1836" s="12" t="n">
        <x:v>17880171.03</x:v>
      </x:c>
      <x:c r="H1836" s="12" t="n">
        <x:v>681544.892871</x:v>
      </x:c>
      <x:c r="I1836" s="13" t="n">
        <x:v>0.0323433333333333</x:v>
      </x:c>
      <x:c r="J1836" s="2" t="n">
        <x:v>51</x:v>
      </x:c>
      <x:c r="K1836" s="2" t="n">
        <x:v>29</x:v>
      </x:c>
      <x:c r="L1836" s="12" t="n">
        <x:v>1596.2636</x:v>
      </x:c>
      <x:c r="M1836" s="13" t="n">
        <x:v>0.1791087984911741</x:v>
      </x:c>
      <x:c r="N1836" s="13" t="n">
        <x:f>H1836/G1836</x:f>
        <x:v>0.03811735870576848</x:v>
      </x:c>
      <x:c r="O1836" s="13" t="n">
        <x:f>F1836/E1836</x:f>
        <x:v>0</x:v>
      </x:c>
      <x:c r="P1836" s="2" t="str">
        <x:f>IF(AND(E1836&gt;='Итоги'!$F$5,N1836&lt;='Итоги'!$B$5,O1836&gt;='Итоги'!$D$5),"Да","Нет")</x:f>
        <x:v>Нет</x:v>
      </x:c>
    </x:row>
    <x:row r="1837" ht="60" customHeight="1">
      <x:c r="A1837" s="14" t="str">
        <x:v>Хобби и творчество</x:v>
      </x:c>
      <x:c r="B1837" s="14" t="str">
        <x:v>Детское творчество и хобби</x:v>
      </x:c>
      <x:c r="C1837" s="14" t="str">
        <x:v>Спортивная игра для детей</x:v>
      </x:c>
      <x:c r="D1837" s="14" t="str">
        <x:v>Шахматы, шашки, нарды детские</x:v>
      </x:c>
      <x:c r="E1837" s="2" t="n">
        <x:v>7</x:v>
      </x:c>
      <x:c r="F1837" s="2" t="n">
        <x:v>0</x:v>
      </x:c>
      <x:c r="G1837" s="12" t="n">
        <x:v>224735.1868</x:v>
      </x:c>
      <x:c r="H1837" s="12" t="n">
        <x:v>8582.399253999998</x:v>
      </x:c>
      <x:c r="I1837" s="13" t="n">
        <x:v>0.0297714285714285</x:v>
      </x:c>
      <x:c r="J1837" s="2" t="n">
        <x:v>4</x:v>
      </x:c>
      <x:c r="K1837" s="2" t="n">
        <x:v>3</x:v>
      </x:c>
      <x:c r="L1837" s="12" t="n">
        <x:v>7570.5</x:v>
      </x:c>
      <x:c r="M1837" s="13" t="n">
        <x:v>0.6353683316492564</x:v>
      </x:c>
      <x:c r="N1837" s="13" t="n">
        <x:f>H1837/G1837</x:f>
        <x:v>0.03818894306763714</x:v>
      </x:c>
      <x:c r="O1837" s="13" t="n">
        <x:f>F1837/E1837</x:f>
        <x:v>0</x:v>
      </x:c>
      <x:c r="P1837" s="2" t="str">
        <x:f>IF(AND(E1837&gt;='Итоги'!$F$5,N1837&lt;='Итоги'!$B$5,O1837&gt;='Итоги'!$D$5),"Да","Нет")</x:f>
        <x:v>Нет</x:v>
      </x:c>
    </x:row>
    <x:row r="1838" ht="60" customHeight="1">
      <x:c r="A1838" s="14" t="str">
        <x:v>Детская одежда</x:v>
      </x:c>
      <x:c r="B1838" s="14" t="str">
        <x:v>Детская обувь</x:v>
      </x:c>
      <x:c r="C1838" s="14" t="str">
        <x:v>Обувь спортивная для девочки</x:v>
      </x:c>
      <x:c r="D1838" s="14" t="str">
        <x:v>Кеды спортивные для девочки</x:v>
      </x:c>
      <x:c r="E1838" s="2" t="n">
        <x:v>25</x:v>
      </x:c>
      <x:c r="F1838" s="2" t="n">
        <x:v>0</x:v>
      </x:c>
      <x:c r="G1838" s="12" t="n">
        <x:v>1929964.6733</x:v>
      </x:c>
      <x:c r="H1838" s="12" t="n">
        <x:v>73823.06693599999</x:v>
      </x:c>
      <x:c r="I1838" s="13" t="n">
        <x:v>0.030952</x:v>
      </x:c>
      <x:c r="J1838" s="2" t="n">
        <x:v>9</x:v>
      </x:c>
      <x:c r="K1838" s="2" t="n">
        <x:v>7</x:v>
      </x:c>
      <x:c r="L1838" s="12" t="n">
        <x:v>1616.5563</x:v>
      </x:c>
      <x:c r="M1838" s="13" t="n">
        <x:v>0.3549388387657386</x:v>
      </x:c>
      <x:c r="N1838" s="13" t="n">
        <x:f>H1838/G1838</x:f>
        <x:v>0.03825099389501867</x:v>
      </x:c>
      <x:c r="O1838" s="13" t="n">
        <x:f>F1838/E1838</x:f>
        <x:v>0</x:v>
      </x:c>
      <x:c r="P1838" s="2" t="str">
        <x:f>IF(AND(E1838&gt;='Итоги'!$F$5,N1838&lt;='Итоги'!$B$5,O1838&gt;='Итоги'!$D$5),"Да","Нет")</x:f>
        <x:v>Нет</x:v>
      </x:c>
    </x:row>
    <x:row r="1839" ht="60" customHeight="1">
      <x:c r="A1839" s="14" t="str">
        <x:v>Автотовары</x:v>
      </x:c>
      <x:c r="B1839" s="14" t="str">
        <x:v>Автоинструменты и гаражное оборудование</x:v>
      </x:c>
      <x:c r="C1839" s="14" t="str">
        <x:v>Оборудование для гаража и автосервиса</x:v>
      </x:c>
      <x:c r="D1839" s="14" t="str">
        <x:v>Оборудование СТО и гаража</x:v>
      </x:c>
      <x:c r="E1839" s="2" t="n">
        <x:v>20</x:v>
      </x:c>
      <x:c r="F1839" s="2" t="n">
        <x:v>0</x:v>
      </x:c>
      <x:c r="G1839" s="12" t="n">
        <x:v>3181897.1344</x:v>
      </x:c>
      <x:c r="H1839" s="12" t="n">
        <x:v>121750.73888751</x:v>
      </x:c>
      <x:c r="I1839" s="13" t="n">
        <x:v>0.0270899999999999</x:v>
      </x:c>
      <x:c r="J1839" s="2" t="n">
        <x:v>9</x:v>
      </x:c>
      <x:c r="K1839" s="2" t="n">
        <x:v>13</x:v>
      </x:c>
      <x:c r="L1839" s="12" t="n">
        <x:v>5071.91545</x:v>
      </x:c>
      <x:c r="M1839" s="13" t="n">
        <x:v>0.3713882700431273</x:v>
      </x:c>
      <x:c r="N1839" s="13" t="n">
        <x:f>H1839/G1839</x:f>
        <x:v>0.03826356847656803</x:v>
      </x:c>
      <x:c r="O1839" s="13" t="n">
        <x:f>F1839/E1839</x:f>
        <x:v>0</x:v>
      </x:c>
      <x:c r="P1839" s="2" t="str">
        <x:f>IF(AND(E1839&gt;='Итоги'!$F$5,N1839&lt;='Итоги'!$B$5,O1839&gt;='Итоги'!$D$5),"Да","Нет")</x:f>
        <x:v>Нет</x:v>
      </x:c>
    </x:row>
    <x:row r="1840" ht="60" customHeight="1">
      <x:c r="A1840" s="14" t="str">
        <x:v>Аптека</x:v>
      </x:c>
      <x:c r="B1840" s="14" t="str">
        <x:v>Средства реабилитации</x:v>
      </x:c>
      <x:c r="C1840" s="14" t="str">
        <x:v>Средства реабилитации</x:v>
      </x:c>
      <x:c r="D1840" s="14" t="str">
        <x:v>Ходунки</x:v>
      </x:c>
      <x:c r="E1840" s="2" t="n">
        <x:v>43</x:v>
      </x:c>
      <x:c r="F1840" s="2" t="n">
        <x:v>0</x:v>
      </x:c>
      <x:c r="G1840" s="12" t="n">
        <x:v>9203130.4515</x:v>
      </x:c>
      <x:c r="H1840" s="12" t="n">
        <x:v>352712.9708018</x:v>
      </x:c>
      <x:c r="I1840" s="13" t="n">
        <x:v>0.0473046511627907</x:v>
      </x:c>
      <x:c r="J1840" s="2" t="n">
        <x:v>9</x:v>
      </x:c>
      <x:c r="K1840" s="2" t="n">
        <x:v>7</x:v>
      </x:c>
      <x:c r="L1840" s="12" t="n">
        <x:v>3468.2391</x:v>
      </x:c>
      <x:c r="M1840" s="13" t="n">
        <x:v>0.7444280004618817</x:v>
      </x:c>
      <x:c r="N1840" s="13" t="n">
        <x:f>H1840/G1840</x:f>
        <x:v>0.03832532556835724</x:v>
      </x:c>
      <x:c r="O1840" s="13" t="n">
        <x:f>F1840/E1840</x:f>
        <x:v>0</x:v>
      </x:c>
      <x:c r="P1840" s="2" t="str">
        <x:f>IF(AND(E1840&gt;='Итоги'!$F$5,N1840&lt;='Итоги'!$B$5,O1840&gt;='Итоги'!$D$5),"Да","Нет")</x:f>
        <x:v>Нет</x:v>
      </x:c>
    </x:row>
    <x:row r="1841" ht="60" customHeight="1">
      <x:c r="A1841" s="14" t="str">
        <x:v>Одежда</x:v>
      </x:c>
      <x:c r="B1841" s="14" t="str">
        <x:v>Основная одежда женская</x:v>
      </x:c>
      <x:c r="C1841" s="14" t="str">
        <x:v>Спортивная основная одежда женская верха</x:v>
      </x:c>
      <x:c r="D1841" s="14" t="str">
        <x:v>Спортивное худи женское</x:v>
      </x:c>
      <x:c r="E1841" s="2" t="n">
        <x:v>142</x:v>
      </x:c>
      <x:c r="F1841" s="2" t="n">
        <x:v>0</x:v>
      </x:c>
      <x:c r="G1841" s="12" t="n">
        <x:v>16527702.286</x:v>
      </x:c>
      <x:c r="H1841" s="12" t="n">
        <x:v>633699.56125063</x:v>
      </x:c>
      <x:c r="I1841" s="13" t="n">
        <x:v>0.0232007042253521</x:v>
      </x:c>
      <x:c r="J1841" s="2" t="n">
        <x:v>101</x:v>
      </x:c>
      <x:c r="K1841" s="2" t="n">
        <x:v>13</x:v>
      </x:c>
      <x:c r="L1841" s="12" t="n">
        <x:v>1783.9960999999998</x:v>
      </x:c>
      <x:c r="M1841" s="13" t="n">
        <x:v>0.8085810413235803</x:v>
      </x:c>
      <x:c r="N1841" s="13" t="n">
        <x:f>H1841/G1841</x:f>
        <x:v>0.03834166118707336</x:v>
      </x:c>
      <x:c r="O1841" s="13" t="n">
        <x:f>F1841/E1841</x:f>
        <x:v>0</x:v>
      </x:c>
      <x:c r="P1841" s="2" t="str">
        <x:f>IF(AND(E1841&gt;='Итоги'!$F$5,N1841&lt;='Итоги'!$B$5,O1841&gt;='Итоги'!$D$5),"Да","Нет")</x:f>
        <x:v>Нет</x:v>
      </x:c>
    </x:row>
    <x:row r="1842" ht="60" customHeight="1">
      <x:c r="A1842" s="14" t="str">
        <x:v>Строительство и ремонт (DIY)</x:v>
      </x:c>
      <x:c r="B1842" s="14" t="str">
        <x:v>Сантехника</x:v>
      </x:c>
      <x:c r="C1842" s="14" t="str">
        <x:v>Аксессуары для сантехники</x:v>
      </x:c>
      <x:c r="D1842" s="14" t="str">
        <x:v>Арматура для сантехники</x:v>
      </x:c>
      <x:c r="E1842" s="2" t="n">
        <x:v>29</x:v>
      </x:c>
      <x:c r="F1842" s="2" t="n">
        <x:v>0</x:v>
      </x:c>
      <x:c r="G1842" s="12" t="n">
        <x:v>5921687.5703</x:v>
      </x:c>
      <x:c r="H1842" s="12" t="n">
        <x:v>227202.28609034</x:v>
      </x:c>
      <x:c r="I1842" s="13" t="n">
        <x:v>0.0293379310344827</x:v>
      </x:c>
      <x:c r="J1842" s="2" t="n">
        <x:v>13</x:v>
      </x:c>
      <x:c r="K1842" s="2" t="n">
        <x:v>7</x:v>
      </x:c>
      <x:c r="L1842" s="12" t="n">
        <x:v>1903.6364</x:v>
      </x:c>
      <x:c r="M1842" s="13" t="n">
        <x:v>0.803094845488289</x:v>
      </x:c>
      <x:c r="N1842" s="13" t="n">
        <x:f>H1842/G1842</x:f>
        <x:v>0.038367827311569846</x:v>
      </x:c>
      <x:c r="O1842" s="13" t="n">
        <x:f>F1842/E1842</x:f>
        <x:v>0</x:v>
      </x:c>
      <x:c r="P1842" s="2" t="str">
        <x:f>IF(AND(E1842&gt;='Итоги'!$F$5,N1842&lt;='Итоги'!$B$5,O1842&gt;='Итоги'!$D$5),"Да","Нет")</x:f>
        <x:v>Нет</x:v>
      </x:c>
    </x:row>
    <x:row r="1843" ht="60" customHeight="1">
      <x:c r="A1843" s="14" t="str">
        <x:v>Детская одежда</x:v>
      </x:c>
      <x:c r="B1843" s="14" t="str">
        <x:v>Детская обувь</x:v>
      </x:c>
      <x:c r="C1843" s="14" t="str">
        <x:v>Обувь для девочки</x:v>
      </x:c>
      <x:c r="D1843" s="14" t="str">
        <x:v>Ортопедические кроссовки для девочки</x:v>
      </x:c>
      <x:c r="E1843" s="2" t="n">
        <x:v>33</x:v>
      </x:c>
      <x:c r="F1843" s="2" t="n">
        <x:v>0</x:v>
      </x:c>
      <x:c r="G1843" s="12" t="n">
        <x:v>3302963.8603</x:v>
      </x:c>
      <x:c r="H1843" s="12" t="n">
        <x:v>126850.98064241</x:v>
      </x:c>
      <x:c r="I1843" s="13" t="n">
        <x:v>0.0384181818181818</x:v>
      </x:c>
      <x:c r="J1843" s="2" t="n">
        <x:v>10</x:v>
      </x:c>
      <x:c r="K1843" s="2" t="n">
        <x:v>3</x:v>
      </x:c>
      <x:c r="L1843" s="12" t="n">
        <x:v>1847.2442</x:v>
      </x:c>
      <x:c r="M1843" s="13" t="n">
        <x:v>0.8076743140803537</x:v>
      </x:c>
      <x:c r="N1843" s="13" t="n">
        <x:f>H1843/G1843</x:f>
        <x:v>0.03840519787912195</x:v>
      </x:c>
      <x:c r="O1843" s="13" t="n">
        <x:f>F1843/E1843</x:f>
        <x:v>0</x:v>
      </x:c>
      <x:c r="P1843" s="2" t="str">
        <x:f>IF(AND(E1843&gt;='Итоги'!$F$5,N1843&lt;='Итоги'!$B$5,O1843&gt;='Итоги'!$D$5),"Да","Нет")</x:f>
        <x:v>Нет</x:v>
      </x:c>
    </x:row>
    <x:row r="1844" ht="60" customHeight="1">
      <x:c r="A1844" s="14" t="str">
        <x:v>Одежда</x:v>
      </x:c>
      <x:c r="B1844" s="14" t="str">
        <x:v>Основная одежда женская</x:v>
      </x:c>
      <x:c r="C1844" s="14" t="str">
        <x:v>Спортивная основная одежда женская верха</x:v>
      </x:c>
      <x:c r="D1844" s="14" t="str">
        <x:v>Спортивное поло женское</x:v>
      </x:c>
      <x:c r="E1844" s="2" t="n">
        <x:v>12</x:v>
      </x:c>
      <x:c r="F1844" s="2" t="n">
        <x:v>0</x:v>
      </x:c>
      <x:c r="G1844" s="12" t="n">
        <x:v>1036169.9062</x:v>
      </x:c>
      <x:c r="H1844" s="12" t="n">
        <x:v>39805.66358415</x:v>
      </x:c>
      <x:c r="I1844" s="13" t="n">
        <x:v>0.042325</x:v>
      </x:c>
      <x:c r="J1844" s="2" t="n">
        <x:v>3</x:v>
      </x:c>
      <x:c r="K1844" s="2" t="n">
        <x:v>4</x:v>
      </x:c>
      <x:c r="L1844" s="12" t="n">
        <x:v>1419.1342</x:v>
      </x:c>
      <x:c r="M1844" s="13" t="n">
        <x:v>0.4342845293107201</x:v>
      </x:c>
      <x:c r="N1844" s="13" t="n">
        <x:f>H1844/G1844</x:f>
        <x:v>0.038416154866079244</x:v>
      </x:c>
      <x:c r="O1844" s="13" t="n">
        <x:f>F1844/E1844</x:f>
        <x:v>0</x:v>
      </x:c>
      <x:c r="P1844" s="2" t="str">
        <x:f>IF(AND(E1844&gt;='Итоги'!$F$5,N1844&lt;='Итоги'!$B$5,O1844&gt;='Итоги'!$D$5),"Да","Нет")</x:f>
        <x:v>Нет</x:v>
      </x:c>
    </x:row>
    <x:row r="1845" ht="60" customHeight="1">
      <x:c r="A1845" s="14" t="str">
        <x:v>Товары для красоты и здоровья</x:v>
      </x:c>
      <x:c r="B1845" s="14" t="str">
        <x:v>Косметика для ухода за волосами</x:v>
      </x:c>
      <x:c r="C1845" s="14" t="str">
        <x:v>Уход за волосами для женщин</x:v>
      </x:c>
      <x:c r="D1845" s="14" t="str">
        <x:v>Масло для волос женское</x:v>
      </x:c>
      <x:c r="E1845" s="2" t="n">
        <x:v>29</x:v>
      </x:c>
      <x:c r="F1845" s="2" t="n">
        <x:v>0</x:v>
      </x:c>
      <x:c r="G1845" s="12" t="n">
        <x:v>3763684.3816</x:v>
      </x:c>
      <x:c r="H1845" s="12" t="n">
        <x:v>144655.17390085</x:v>
      </x:c>
      <x:c r="I1845" s="13" t="n">
        <x:v>0.0369379310344827</x:v>
      </x:c>
      <x:c r="J1845" s="2" t="n">
        <x:v>12</x:v>
      </x:c>
      <x:c r="K1845" s="2" t="n">
        <x:v>11</x:v>
      </x:c>
      <x:c r="L1845" s="12" t="n">
        <x:v>1116.4348</x:v>
      </x:c>
      <x:c r="M1845" s="13" t="n">
        <x:v>0.60386089763824</x:v>
      </x:c>
      <x:c r="N1845" s="13" t="n">
        <x:f>H1845/G1845</x:f>
        <x:v>0.03843445922512633</x:v>
      </x:c>
      <x:c r="O1845" s="13" t="n">
        <x:f>F1845/E1845</x:f>
        <x:v>0</x:v>
      </x:c>
      <x:c r="P1845" s="2" t="str">
        <x:f>IF(AND(E1845&gt;='Итоги'!$F$5,N1845&lt;='Итоги'!$B$5,O1845&gt;='Итоги'!$D$5),"Да","Нет")</x:f>
        <x:v>Нет</x:v>
      </x:c>
    </x:row>
    <x:row r="1846" ht="60" customHeight="1">
      <x:c r="A1846" s="14" t="str">
        <x:v>Одежда</x:v>
      </x:c>
      <x:c r="B1846" s="14" t="str">
        <x:v>Основная одежда женская</x:v>
      </x:c>
      <x:c r="C1846" s="14" t="str">
        <x:v>Пляжная одежда женская</x:v>
      </x:c>
      <x:c r="D1846" s="14" t="str">
        <x:v>Купальный низ женский</x:v>
      </x:c>
      <x:c r="E1846" s="2" t="n">
        <x:v>182</x:v>
      </x:c>
      <x:c r="F1846" s="2" t="n">
        <x:v>0</x:v>
      </x:c>
      <x:c r="G1846" s="12" t="n">
        <x:v>22437247.8326</x:v>
      </x:c>
      <x:c r="H1846" s="12" t="n">
        <x:v>863363.11790309</x:v>
      </x:c>
      <x:c r="I1846" s="13" t="n">
        <x:v>0.0365456043956044</x:v>
      </x:c>
      <x:c r="J1846" s="2" t="n">
        <x:v>97</x:v>
      </x:c>
      <x:c r="K1846" s="2" t="n">
        <x:v>13</x:v>
      </x:c>
      <x:c r="L1846" s="12" t="n">
        <x:v>898.5155</x:v>
      </x:c>
      <x:c r="M1846" s="13" t="n">
        <x:v>0.759544762425757</x:v>
      </x:c>
      <x:c r="N1846" s="13" t="n">
        <x:f>H1846/G1846</x:f>
        <x:v>0.03847901152335957</x:v>
      </x:c>
      <x:c r="O1846" s="13" t="n">
        <x:f>F1846/E1846</x:f>
        <x:v>0</x:v>
      </x:c>
      <x:c r="P1846" s="2" t="str">
        <x:f>IF(AND(E1846&gt;='Итоги'!$F$5,N1846&lt;='Итоги'!$B$5,O1846&gt;='Итоги'!$D$5),"Да","Нет")</x:f>
        <x:v>Нет</x:v>
      </x:c>
    </x:row>
    <x:row r="1847" ht="60" customHeight="1">
      <x:c r="A1847" s="14" t="str">
        <x:v>Строительство и ремонт (DIY)</x:v>
      </x:c>
      <x:c r="B1847" s="14" t="str">
        <x:v>Сад и огород</x:v>
      </x:c>
      <x:c r="C1847" s="14" t="str">
        <x:v>Садовый инструмент</x:v>
      </x:c>
      <x:c r="D1847" s="14" t="str">
        <x:v>Дровокол механический, гидравлический</x:v>
      </x:c>
      <x:c r="E1847" s="2" t="n">
        <x:v>2</x:v>
      </x:c>
      <x:c r="F1847" s="2" t="n">
        <x:v>0</x:v>
      </x:c>
      <x:c r="G1847" s="12" t="n">
        <x:v>264978</x:v>
      </x:c>
      <x:c r="H1847" s="12" t="n">
        <x:v>10196.396</x:v>
      </x:c>
      <x:c r="I1847" s="13" t="n">
        <x:v>0.0444</x:v>
      </x:c>
      <x:c r="J1847" s="2" t="n">
        <x:v>0</x:v>
      </x:c>
      <x:c r="K1847" s="2" t="n">
        <x:v>1</x:v>
      </x:c>
      <x:c r="L1847" s="12" t="n">
        <x:v>29136.9167</x:v>
      </x:c>
      <x:c r="M1847" s="13" t="n">
        <x:v>1</x:v>
      </x:c>
      <x:c r="N1847" s="13" t="n">
        <x:f>H1847/G1847</x:f>
        <x:v>0.038480160617107836</x:v>
      </x:c>
      <x:c r="O1847" s="13" t="n">
        <x:f>F1847/E1847</x:f>
        <x:v>0</x:v>
      </x:c>
      <x:c r="P1847" s="2" t="str">
        <x:f>IF(AND(E1847&gt;='Итоги'!$F$5,N1847&lt;='Итоги'!$B$5,O1847&gt;='Итоги'!$D$5),"Да","Нет")</x:f>
        <x:v>Нет</x:v>
      </x:c>
    </x:row>
    <x:row r="1848" ht="60" customHeight="1">
      <x:c r="A1848" s="14" t="str">
        <x:v>Товары для детей и спорта</x:v>
      </x:c>
      <x:c r="B1848" s="14" t="str">
        <x:v>Спорт детский</x:v>
      </x:c>
      <x:c r="C1848" s="14" t="str">
        <x:v>Детский транспорт и аксессуары</x:v>
      </x:c>
      <x:c r="D1848" s="14" t="str">
        <x:v>Запчасти для детского электромобиля</x:v>
      </x:c>
      <x:c r="E1848" s="2" t="n">
        <x:v>1</x:v>
      </x:c>
      <x:c r="F1848" s="2" t="n">
        <x:v>0</x:v>
      </x:c>
      <x:c r="G1848" s="12" t="n">
        <x:v>139257.3912</x:v>
      </x:c>
      <x:c r="H1848" s="12" t="n">
        <x:v>5361.4095612</x:v>
      </x:c>
      <x:c r="I1848" s="13" t="n">
        <x:v>0.0385</x:v>
      </x:c>
      <x:c r="J1848" s="2" t="n">
        <x:v>0</x:v>
      </x:c>
      <x:c r="K1848" s="2" t="n">
        <x:v>1</x:v>
      </x:c>
      <x:c r="L1848" s="12" t="n">
        <x:v>2047.9028</x:v>
      </x:c>
      <x:c r="M1848" s="13" t="n">
        <x:v>1</x:v>
      </x:c>
      <x:c r="N1848" s="13" t="n">
        <x:f>H1848/G1848</x:f>
        <x:v>0.0385</x:v>
      </x:c>
      <x:c r="O1848" s="13" t="n">
        <x:f>F1848/E1848</x:f>
        <x:v>0</x:v>
      </x:c>
      <x:c r="P1848" s="2" t="str">
        <x:f>IF(AND(E1848&gt;='Итоги'!$F$5,N1848&lt;='Итоги'!$B$5,O1848&gt;='Итоги'!$D$5),"Да","Нет")</x:f>
        <x:v>Нет</x:v>
      </x:c>
    </x:row>
    <x:row r="1849" ht="60" customHeight="1">
      <x:c r="A1849" s="14" t="str">
        <x:v>Одежда</x:v>
      </x:c>
      <x:c r="B1849" s="14" t="str">
        <x:v>Спецодежда и одежда для мероприятий</x:v>
      </x:c>
      <x:c r="C1849" s="14" t="str">
        <x:v>Карнавальные костюмы</x:v>
      </x:c>
      <x:c r="D1849" s="14" t="str">
        <x:v>Карнавальный костюм мужской</x:v>
      </x:c>
      <x:c r="E1849" s="2" t="n">
        <x:v>17</x:v>
      </x:c>
      <x:c r="F1849" s="2" t="n">
        <x:v>0</x:v>
      </x:c>
      <x:c r="G1849" s="12" t="n">
        <x:v>2425494.2081</x:v>
      </x:c>
      <x:c r="H1849" s="12" t="n">
        <x:v>93384.32334167</x:v>
      </x:c>
      <x:c r="I1849" s="13" t="n">
        <x:v>0.0447882352941176</x:v>
      </x:c>
      <x:c r="J1849" s="2" t="n">
        <x:v>6</x:v>
      </x:c>
      <x:c r="K1849" s="2" t="n">
        <x:v>11</x:v>
      </x:c>
      <x:c r="L1849" s="12" t="n">
        <x:v>2680.0972</x:v>
      </x:c>
      <x:c r="M1849" s="13" t="n">
        <x:v>0.3246766548318768</x:v>
      </x:c>
      <x:c r="N1849" s="13" t="n">
        <x:f>H1849/G1849</x:f>
        <x:v>0.038501152890743115</x:v>
      </x:c>
      <x:c r="O1849" s="13" t="n">
        <x:f>F1849/E1849</x:f>
        <x:v>0</x:v>
      </x:c>
      <x:c r="P1849" s="2" t="str">
        <x:f>IF(AND(E1849&gt;='Итоги'!$F$5,N1849&lt;='Итоги'!$B$5,O1849&gt;='Итоги'!$D$5),"Да","Нет")</x:f>
        <x:v>Нет</x:v>
      </x:c>
    </x:row>
    <x:row r="1850" ht="60" customHeight="1">
      <x:c r="A1850" s="14" t="str">
        <x:v>Строительство и ремонт (DIY)</x:v>
      </x:c>
      <x:c r="B1850" s="14" t="str">
        <x:v>Ремонт и строительство</x:v>
      </x:c>
      <x:c r="C1850" s="14" t="str">
        <x:v>Скобяные изделия</x:v>
      </x:c>
      <x:c r="D1850" s="14" t="str">
        <x:v>Ящик почтовый</x:v>
      </x:c>
      <x:c r="E1850" s="2" t="n">
        <x:v>25</x:v>
      </x:c>
      <x:c r="F1850" s="2" t="n">
        <x:v>0</x:v>
      </x:c>
      <x:c r="G1850" s="12" t="n">
        <x:v>2519285.4795</x:v>
      </x:c>
      <x:c r="H1850" s="12" t="n">
        <x:v>97077.85499999</x:v>
      </x:c>
      <x:c r="I1850" s="13" t="n">
        <x:v>0.0412999999999999</x:v>
      </x:c>
      <x:c r="J1850" s="2" t="n">
        <x:v>10</x:v>
      </x:c>
      <x:c r="K1850" s="2" t="n">
        <x:v>5</x:v>
      </x:c>
      <x:c r="L1850" s="12" t="n">
        <x:v>1787.3529</x:v>
      </x:c>
      <x:c r="M1850" s="13" t="n">
        <x:v>0.4416371845325043</x:v>
      </x:c>
      <x:c r="N1850" s="13" t="n">
        <x:f>H1850/G1850</x:f>
        <x:v>0.03853388422627552</x:v>
      </x:c>
      <x:c r="O1850" s="13" t="n">
        <x:f>F1850/E1850</x:f>
        <x:v>0</x:v>
      </x:c>
      <x:c r="P1850" s="2" t="str">
        <x:f>IF(AND(E1850&gt;='Итоги'!$F$5,N1850&lt;='Итоги'!$B$5,O1850&gt;='Итоги'!$D$5),"Да","Нет")</x:f>
        <x:v>Нет</x:v>
      </x:c>
    </x:row>
    <x:row r="1851" ht="60" customHeight="1">
      <x:c r="A1851" s="14" t="str">
        <x:v>Аксессуары для электроники</x:v>
      </x:c>
      <x:c r="B1851" s="14" t="str">
        <x:v>Фото и видео Access</x:v>
      </x:c>
      <x:c r="C1851" s="14" t="str">
        <x:v>Аксессуар к фото и видео Access</x:v>
      </x:c>
      <x:c r="D1851" s="14" t="str">
        <x:v>Стедикам для фото/видео техники</x:v>
      </x:c>
      <x:c r="E1851" s="2" t="n">
        <x:v>9</x:v>
      </x:c>
      <x:c r="F1851" s="2" t="n">
        <x:v>0</x:v>
      </x:c>
      <x:c r="G1851" s="12" t="n">
        <x:v>1092037.5953</x:v>
      </x:c>
      <x:c r="H1851" s="12" t="n">
        <x:v>42105.56771589</x:v>
      </x:c>
      <x:c r="I1851" s="13" t="n">
        <x:v>0.0236</x:v>
      </x:c>
      <x:c r="J1851" s="2" t="n">
        <x:v>5</x:v>
      </x:c>
      <x:c r="K1851" s="2" t="n">
        <x:v>4</x:v>
      </x:c>
      <x:c r="L1851" s="12" t="n">
        <x:v>23250.375</x:v>
      </x:c>
      <x:c r="M1851" s="13" t="n">
        <x:v>0.3025399504760072</x:v>
      </x:c>
      <x:c r="N1851" s="13" t="n">
        <x:f>H1851/G1851</x:f>
        <x:v>0.03855688476029338</x:v>
      </x:c>
      <x:c r="O1851" s="13" t="n">
        <x:f>F1851/E1851</x:f>
        <x:v>0</x:v>
      </x:c>
      <x:c r="P1851" s="2" t="str">
        <x:f>IF(AND(E1851&gt;='Итоги'!$F$5,N1851&lt;='Итоги'!$B$5,O1851&gt;='Итоги'!$D$5),"Да","Нет")</x:f>
        <x:v>Нет</x:v>
      </x:c>
    </x:row>
    <x:row r="1852" ht="60" customHeight="1">
      <x:c r="A1852" s="14" t="str">
        <x:v>Автотовары</x:v>
      </x:c>
      <x:c r="B1852" s="14" t="str">
        <x:v>Авто и мото запчасти</x:v>
      </x:c>
      <x:c r="C1852" s="14" t="str">
        <x:v>Система выпуска</x:v>
      </x:c>
      <x:c r="D1852" s="14" t="str">
        <x:v>Выхлопная труба и составляющие</x:v>
      </x:c>
      <x:c r="E1852" s="2" t="n">
        <x:v>44</x:v>
      </x:c>
      <x:c r="F1852" s="2" t="n">
        <x:v>0</x:v>
      </x:c>
      <x:c r="G1852" s="12" t="n">
        <x:v>6484057.2349000005</x:v>
      </x:c>
      <x:c r="H1852" s="12" t="n">
        <x:v>250162.10326118</x:v>
      </x:c>
      <x:c r="I1852" s="13" t="n">
        <x:v>0.038065909090909</x:v>
      </x:c>
      <x:c r="J1852" s="2" t="n">
        <x:v>18</x:v>
      </x:c>
      <x:c r="K1852" s="2" t="n">
        <x:v>15</x:v>
      </x:c>
      <x:c r="L1852" s="12" t="n">
        <x:v>2619.52085</x:v>
      </x:c>
      <x:c r="M1852" s="13" t="n">
        <x:v>0.5033937429687632</x:v>
      </x:c>
      <x:c r="N1852" s="13" t="n">
        <x:f>H1852/G1852</x:f>
        <x:v>0.038581106581647574</x:v>
      </x:c>
      <x:c r="O1852" s="13" t="n">
        <x:f>F1852/E1852</x:f>
        <x:v>0</x:v>
      </x:c>
      <x:c r="P1852" s="2" t="str">
        <x:f>IF(AND(E1852&gt;='Итоги'!$F$5,N1852&lt;='Итоги'!$B$5,O1852&gt;='Итоги'!$D$5),"Да","Нет")</x:f>
        <x:v>Нет</x:v>
      </x:c>
    </x:row>
    <x:row r="1853" ht="60" customHeight="1">
      <x:c r="A1853" s="14" t="str">
        <x:v>Строительство и ремонт (DIY)</x:v>
      </x:c>
      <x:c r="B1853" s="14" t="str">
        <x:v>Ремонт и строительство</x:v>
      </x:c>
      <x:c r="C1853" s="14" t="str">
        <x:v>Строительная химия</x:v>
      </x:c>
      <x:c r="D1853" s="14" t="str">
        <x:v>Смазка инструментальная</x:v>
      </x:c>
      <x:c r="E1853" s="2" t="n">
        <x:v>6</x:v>
      </x:c>
      <x:c r="F1853" s="2" t="n">
        <x:v>0</x:v>
      </x:c>
      <x:c r="G1853" s="12" t="n">
        <x:v>1076677.32</x:v>
      </x:c>
      <x:c r="H1853" s="12" t="n">
        <x:v>41559.815656</x:v>
      </x:c>
      <x:c r="I1853" s="13" t="n">
        <x:v>0.0363833333333333</x:v>
      </x:c>
      <x:c r="J1853" s="2" t="n">
        <x:v>1</x:v>
      </x:c>
      <x:c r="K1853" s="2" t="n">
        <x:v>4</x:v>
      </x:c>
      <x:c r="L1853" s="12" t="n">
        <x:v>2975.0331</x:v>
      </x:c>
      <x:c r="M1853" s="13" t="n">
        <x:v>0.6312841437024047</x:v>
      </x:c>
      <x:c r="N1853" s="13" t="n">
        <x:f>H1853/G1853</x:f>
        <x:v>0.03860006604021342</x:v>
      </x:c>
      <x:c r="O1853" s="13" t="n">
        <x:f>F1853/E1853</x:f>
        <x:v>0</x:v>
      </x:c>
      <x:c r="P1853" s="2" t="str">
        <x:f>IF(AND(E1853&gt;='Итоги'!$F$5,N1853&lt;='Итоги'!$B$5,O1853&gt;='Итоги'!$D$5),"Да","Нет")</x:f>
        <x:v>Нет</x:v>
      </x:c>
    </x:row>
    <x:row r="1854" ht="60" customHeight="1">
      <x:c r="A1854" s="14" t="str">
        <x:v>Детская одежда</x:v>
      </x:c>
      <x:c r="B1854" s="14" t="str">
        <x:v>Детская одежда</x:v>
      </x:c>
      <x:c r="C1854" s="14" t="str">
        <x:v>Школьная одежда для девочки</x:v>
      </x:c>
      <x:c r="D1854" s="14" t="str">
        <x:v>Школьный сарафан для девочки</x:v>
      </x:c>
      <x:c r="E1854" s="2" t="n">
        <x:v>136</x:v>
      </x:c>
      <x:c r="F1854" s="2" t="n">
        <x:v>0</x:v>
      </x:c>
      <x:c r="G1854" s="12" t="n">
        <x:v>9035469.6867</x:v>
      </x:c>
      <x:c r="H1854" s="12" t="n">
        <x:v>348935.85253044</x:v>
      </x:c>
      <x:c r="I1854" s="13" t="n">
        <x:v>0.0259919117647058</x:v>
      </x:c>
      <x:c r="J1854" s="2" t="n">
        <x:v>67</x:v>
      </x:c>
      <x:c r="K1854" s="2" t="n">
        <x:v>22</x:v>
      </x:c>
      <x:c r="L1854" s="12" t="n">
        <x:v>2089.0957</x:v>
      </x:c>
      <x:c r="M1854" s="13" t="n">
        <x:v>0.3093188327347211</x:v>
      </x:c>
      <x:c r="N1854" s="13" t="n">
        <x:f>H1854/G1854</x:f>
        <x:v>0.03861845201518029</x:v>
      </x:c>
      <x:c r="O1854" s="13" t="n">
        <x:f>F1854/E1854</x:f>
        <x:v>0</x:v>
      </x:c>
      <x:c r="P1854" s="2" t="str">
        <x:f>IF(AND(E1854&gt;='Итоги'!$F$5,N1854&lt;='Итоги'!$B$5,O1854&gt;='Итоги'!$D$5),"Да","Нет")</x:f>
        <x:v>Нет</x:v>
      </x:c>
    </x:row>
    <x:row r="1855" ht="60" customHeight="1">
      <x:c r="A1855" s="14" t="str">
        <x:v>Спорт и отдых</x:v>
      </x:c>
      <x:c r="B1855" s="14" t="str">
        <x:v>Товары для охоты</x:v>
      </x:c>
      <x:c r="C1855" s="14" t="str">
        <x:v>Аксессуары для охоты</x:v>
      </x:c>
      <x:c r="D1855" s="14" t="str">
        <x:v>Штатив для стрельбы</x:v>
      </x:c>
      <x:c r="E1855" s="2" t="n">
        <x:v>8</x:v>
      </x:c>
      <x:c r="F1855" s="2" t="n">
        <x:v>0</x:v>
      </x:c>
      <x:c r="G1855" s="12" t="n">
        <x:v>875607.24</x:v>
      </x:c>
      <x:c r="H1855" s="12" t="n">
        <x:v>33818.785952</x:v>
      </x:c>
      <x:c r="I1855" s="13" t="n">
        <x:v>0.0346</x:v>
      </x:c>
      <x:c r="J1855" s="2" t="n">
        <x:v>2</x:v>
      </x:c>
      <x:c r="K1855" s="2" t="n">
        <x:v>3</x:v>
      </x:c>
      <x:c r="L1855" s="12" t="n">
        <x:v>1266.9094</x:v>
      </x:c>
      <x:c r="M1855" s="13" t="n">
        <x:v>0.7791407023998568</x:v>
      </x:c>
      <x:c r="N1855" s="13" t="n">
        <x:f>H1855/G1855</x:f>
        <x:v>0.03862323700292839</x:v>
      </x:c>
      <x:c r="O1855" s="13" t="n">
        <x:f>F1855/E1855</x:f>
        <x:v>0</x:v>
      </x:c>
      <x:c r="P1855" s="2" t="str">
        <x:f>IF(AND(E1855&gt;='Итоги'!$F$5,N1855&lt;='Итоги'!$B$5,O1855&gt;='Итоги'!$D$5),"Да","Нет")</x:f>
        <x:v>Нет</x:v>
      </x:c>
    </x:row>
    <x:row r="1856" ht="60" customHeight="1">
      <x:c r="A1856" s="14" t="str">
        <x:v>Личная гигиена и детская продукция</x:v>
      </x:c>
      <x:c r="B1856" s="14" t="str">
        <x:v>Личная гигиена</x:v>
      </x:c>
      <x:c r="C1856" s="14" t="str">
        <x:v>Бумажная продукция</x:v>
      </x:c>
      <x:c r="D1856" s="14" t="str">
        <x:v>Салфетки, платочки бумажные</x:v>
      </x:c>
      <x:c r="E1856" s="2" t="n">
        <x:v>10</x:v>
      </x:c>
      <x:c r="F1856" s="2" t="n">
        <x:v>0</x:v>
      </x:c>
      <x:c r="G1856" s="12" t="n">
        <x:v>1559294.4184</x:v>
      </x:c>
      <x:c r="H1856" s="12" t="n">
        <x:v>60250.19115555</x:v>
      </x:c>
      <x:c r="I1856" s="13" t="n">
        <x:v>0.03329</x:v>
      </x:c>
      <x:c r="J1856" s="2" t="n">
        <x:v>2</x:v>
      </x:c>
      <x:c r="K1856" s="2" t="n">
        <x:v>3</x:v>
      </x:c>
      <x:c r="L1856" s="12" t="n">
        <x:v>1335.8375500000002</x:v>
      </x:c>
      <x:c r="M1856" s="13" t="n">
        <x:v>0.7097907054241014</x:v>
      </x:c>
      <x:c r="N1856" s="13" t="n">
        <x:f>H1856/G1856</x:f>
        <x:v>0.038639393846720126</x:v>
      </x:c>
      <x:c r="O1856" s="13" t="n">
        <x:f>F1856/E1856</x:f>
        <x:v>0</x:v>
      </x:c>
      <x:c r="P1856" s="2" t="str">
        <x:f>IF(AND(E1856&gt;='Итоги'!$F$5,N1856&lt;='Итоги'!$B$5,O1856&gt;='Итоги'!$D$5),"Да","Нет")</x:f>
        <x:v>Нет</x:v>
      </x:c>
    </x:row>
    <x:row r="1857" ht="60" customHeight="1">
      <x:c r="A1857" s="14" t="str">
        <x:v>Хобби и творчество</x:v>
      </x:c>
      <x:c r="B1857" s="14" t="str">
        <x:v>Взрослое творчество и хобби</x:v>
      </x:c>
      <x:c r="C1857" s="14" t="str">
        <x:v>Шитье</x:v>
      </x:c>
      <x:c r="D1857" s="14" t="str">
        <x:v>Ткань для шитья</x:v>
      </x:c>
      <x:c r="E1857" s="2" t="n">
        <x:v>40</x:v>
      </x:c>
      <x:c r="F1857" s="2" t="n">
        <x:v>0</x:v>
      </x:c>
      <x:c r="G1857" s="12" t="n">
        <x:v>3294807.2051</x:v>
      </x:c>
      <x:c r="H1857" s="12" t="n">
        <x:v>127491.40303595</x:v>
      </x:c>
      <x:c r="I1857" s="13" t="n">
        <x:v>0.0297225</x:v>
      </x:c>
      <x:c r="J1857" s="2" t="n">
        <x:v>26</x:v>
      </x:c>
      <x:c r="K1857" s="2" t="n">
        <x:v>6</x:v>
      </x:c>
      <x:c r="L1857" s="12" t="n">
        <x:v>1818.11395</x:v>
      </x:c>
      <x:c r="M1857" s="13" t="n">
        <x:v>0.4833578424664347</x:v>
      </x:c>
      <x:c r="N1857" s="13" t="n">
        <x:f>H1857/G1857</x:f>
        <x:v>0.03869464739503037</x:v>
      </x:c>
      <x:c r="O1857" s="13" t="n">
        <x:f>F1857/E1857</x:f>
        <x:v>0</x:v>
      </x:c>
      <x:c r="P1857" s="2" t="str">
        <x:f>IF(AND(E1857&gt;='Итоги'!$F$5,N1857&lt;='Итоги'!$B$5,O1857&gt;='Итоги'!$D$5),"Да","Нет")</x:f>
        <x:v>Нет</x:v>
      </x:c>
    </x:row>
    <x:row r="1858" ht="60" customHeight="1">
      <x:c r="A1858" s="14" t="str">
        <x:v>Детская одежда</x:v>
      </x:c>
      <x:c r="B1858" s="14" t="str">
        <x:v>Одежда для новорожденных</x:v>
      </x:c>
      <x:c r="C1858" s="14" t="str">
        <x:v>Одежда для новорожденных</x:v>
      </x:c>
      <x:c r="D1858" s="14" t="str">
        <x:v>Шорты для новорожденных</x:v>
      </x:c>
      <x:c r="E1858" s="2" t="n">
        <x:v>22</x:v>
      </x:c>
      <x:c r="F1858" s="2" t="n">
        <x:v>0</x:v>
      </x:c>
      <x:c r="G1858" s="12" t="n">
        <x:v>1052752.1022</x:v>
      </x:c>
      <x:c r="H1858" s="12" t="n">
        <x:v>40783.303032</x:v>
      </x:c>
      <x:c r="I1858" s="13" t="n">
        <x:v>0.0175090909090909</x:v>
      </x:c>
      <x:c r="J1858" s="2" t="n">
        <x:v>20</x:v>
      </x:c>
      <x:c r="K1858" s="2" t="n">
        <x:v>2</x:v>
      </x:c>
      <x:c r="L1858" s="12" t="n">
        <x:v>840.2408499999999</x:v>
      </x:c>
      <x:c r="M1858" s="13" t="n">
        <x:v>0.912912061815496</x:v>
      </x:c>
      <x:c r="N1858" s="13" t="n">
        <x:f>H1858/G1858</x:f>
        <x:v>0.0387397022972195</x:v>
      </x:c>
      <x:c r="O1858" s="13" t="n">
        <x:f>F1858/E1858</x:f>
        <x:v>0</x:v>
      </x:c>
      <x:c r="P1858" s="2" t="str">
        <x:f>IF(AND(E1858&gt;='Итоги'!$F$5,N1858&lt;='Итоги'!$B$5,O1858&gt;='Итоги'!$D$5),"Да","Нет")</x:f>
        <x:v>Нет</x:v>
      </x:c>
    </x:row>
    <x:row r="1859" ht="60" customHeight="1">
      <x:c r="A1859" s="14" t="str">
        <x:v>Товары для дома</x:v>
      </x:c>
      <x:c r="B1859" s="14" t="str">
        <x:v>Интерьер и декор</x:v>
      </x:c>
      <x:c r="C1859" s="14" t="str">
        <x:v>Свечи интерьерные</x:v>
      </x:c>
      <x:c r="D1859" s="14" t="str">
        <x:v>Свеча, набор свечей интерьерных</x:v>
      </x:c>
      <x:c r="E1859" s="2" t="n">
        <x:v>9</x:v>
      </x:c>
      <x:c r="F1859" s="2" t="n">
        <x:v>0</x:v>
      </x:c>
      <x:c r="G1859" s="12" t="n">
        <x:v>914216.0308</x:v>
      </x:c>
      <x:c r="H1859" s="12" t="n">
        <x:v>35420.560450000004</x:v>
      </x:c>
      <x:c r="I1859" s="13" t="n">
        <x:v>0.0392777777777777</x:v>
      </x:c>
      <x:c r="J1859" s="2" t="n">
        <x:v>4</x:v>
      </x:c>
      <x:c r="K1859" s="2" t="n">
        <x:v>8</x:v>
      </x:c>
      <x:c r="L1859" s="12" t="n">
        <x:v>1189.814</x:v>
      </x:c>
      <x:c r="M1859" s="13" t="n">
        <x:v>0.2772106042356657</x:v>
      </x:c>
      <x:c r="N1859" s="13" t="n">
        <x:f>H1859/G1859</x:f>
        <x:v>0.038744190931551105</x:v>
      </x:c>
      <x:c r="O1859" s="13" t="n">
        <x:f>F1859/E1859</x:f>
        <x:v>0</x:v>
      </x:c>
      <x:c r="P1859" s="2" t="str">
        <x:f>IF(AND(E1859&gt;='Итоги'!$F$5,N1859&lt;='Итоги'!$B$5,O1859&gt;='Итоги'!$D$5),"Да","Нет")</x:f>
        <x:v>Нет</x:v>
      </x:c>
    </x:row>
    <x:row r="1860" ht="60" customHeight="1">
      <x:c r="A1860" s="14" t="str">
        <x:v>Строительство и ремонт (DIY)</x:v>
      </x:c>
      <x:c r="B1860" s="14" t="str">
        <x:v>Ремонт и строительство</x:v>
      </x:c>
      <x:c r="C1860" s="14" t="str">
        <x:v>Аксессуары для ремонта</x:v>
      </x:c>
      <x:c r="D1860" s="14" t="str">
        <x:v>Строительное ведро, емкость</x:v>
      </x:c>
      <x:c r="E1860" s="2" t="n">
        <x:v>4</x:v>
      </x:c>
      <x:c r="F1860" s="2" t="n">
        <x:v>0</x:v>
      </x:c>
      <x:c r="G1860" s="12" t="n">
        <x:v>442127.8828</x:v>
      </x:c>
      <x:c r="H1860" s="12" t="n">
        <x:v>17163.107500000002</x:v>
      </x:c>
      <x:c r="I1860" s="13" t="n">
        <x:v>0.041125</x:v>
      </x:c>
      <x:c r="J1860" s="2" t="n">
        <x:v>3</x:v>
      </x:c>
      <x:c r="K1860" s="2" t="n">
        <x:v>4</x:v>
      </x:c>
      <x:c r="L1860" s="12" t="n">
        <x:v>1874.8442</x:v>
      </x:c>
      <x:c r="M1860" s="13" t="n">
        <x:v>0.3170304462869764</x:v>
      </x:c>
      <x:c r="N1860" s="13" t="n">
        <x:f>H1860/G1860</x:f>
        <x:v>0.03881932845154638</x:v>
      </x:c>
      <x:c r="O1860" s="13" t="n">
        <x:f>F1860/E1860</x:f>
        <x:v>0</x:v>
      </x:c>
      <x:c r="P1860" s="2" t="str">
        <x:f>IF(AND(E1860&gt;='Итоги'!$F$5,N1860&lt;='Итоги'!$B$5,O1860&gt;='Итоги'!$D$5),"Да","Нет")</x:f>
        <x:v>Нет</x:v>
      </x:c>
    </x:row>
    <x:row r="1861" ht="60" customHeight="1">
      <x:c r="A1861" s="14" t="str">
        <x:v>Спорт и отдых</x:v>
      </x:c>
      <x:c r="B1861" s="14" t="str">
        <x:v>Страйкбол и пневматика</x:v>
      </x:c>
      <x:c r="C1861" s="14" t="str">
        <x:v>Точные виды спорта</x:v>
      </x:c>
      <x:c r="D1861" s="14" t="str">
        <x:v>Аксессуары для лука, арбалета, рогатки</x:v>
      </x:c>
      <x:c r="E1861" s="2" t="n">
        <x:v>4</x:v>
      </x:c>
      <x:c r="F1861" s="2" t="n">
        <x:v>0</x:v>
      </x:c>
      <x:c r="G1861" s="12" t="n">
        <x:v>153699</x:v>
      </x:c>
      <x:c r="H1861" s="12" t="n">
        <x:v>5969.0091</x:v>
      </x:c>
      <x:c r="I1861" s="13" t="n">
        <x:v>0.033275</x:v>
      </x:c>
      <x:c r="J1861" s="2" t="n">
        <x:v>2</x:v>
      </x:c>
      <x:c r="K1861" s="2" t="n">
        <x:v>3</x:v>
      </x:c>
      <x:c r="L1861" s="12" t="n">
        <x:v>1298.7827</x:v>
      </x:c>
      <x:c r="M1861" s="13" t="n">
        <x:v>0.5880910090501564</x:v>
      </x:c>
      <x:c r="N1861" s="13" t="n">
        <x:f>H1861/G1861</x:f>
        <x:v>0.03883570550231297</x:v>
      </x:c>
      <x:c r="O1861" s="13" t="n">
        <x:f>F1861/E1861</x:f>
        <x:v>0</x:v>
      </x:c>
      <x:c r="P1861" s="2" t="str">
        <x:f>IF(AND(E1861&gt;='Итоги'!$F$5,N1861&lt;='Итоги'!$B$5,O1861&gt;='Итоги'!$D$5),"Да","Нет")</x:f>
        <x:v>Нет</x:v>
      </x:c>
    </x:row>
    <x:row r="1862" ht="60" customHeight="1">
      <x:c r="A1862" s="14" t="str">
        <x:v>Мелкая бытовая техника</x:v>
      </x:c>
      <x:c r="B1862" s="14" t="str">
        <x:v>Мелкая бытовая техника SDA</x:v>
      </x:c>
      <x:c r="C1862" s="14" t="str">
        <x:v>Электронная кухонная техника SDA</x:v>
      </x:c>
      <x:c r="D1862" s="14" t="str">
        <x:v>Кухонная машина</x:v>
      </x:c>
      <x:c r="E1862" s="2" t="n">
        <x:v>36</x:v>
      </x:c>
      <x:c r="F1862" s="2" t="n">
        <x:v>0</x:v>
      </x:c>
      <x:c r="G1862" s="12" t="n">
        <x:v>8804983.8955</x:v>
      </x:c>
      <x:c r="H1862" s="12" t="n">
        <x:v>342454.83904886</x:v>
      </x:c>
      <x:c r="I1862" s="13" t="n">
        <x:v>0.0304666666666666</x:v>
      </x:c>
      <x:c r="J1862" s="2" t="n">
        <x:v>14</x:v>
      </x:c>
      <x:c r="K1862" s="2" t="n">
        <x:v>3</x:v>
      </x:c>
      <x:c r="L1862" s="12" t="n">
        <x:v>14721.0833</x:v>
      </x:c>
      <x:c r="M1862" s="13" t="n">
        <x:v>0.7875330576293159</x:v>
      </x:c>
      <x:c r="N1862" s="13" t="n">
        <x:f>H1862/G1862</x:f>
        <x:v>0.03889329533287163</x:v>
      </x:c>
      <x:c r="O1862" s="13" t="n">
        <x:f>F1862/E1862</x:f>
        <x:v>0</x:v>
      </x:c>
      <x:c r="P1862" s="2" t="str">
        <x:f>IF(AND(E1862&gt;='Итоги'!$F$5,N1862&lt;='Итоги'!$B$5,O1862&gt;='Итоги'!$D$5),"Да","Нет")</x:f>
        <x:v>Нет</x:v>
      </x:c>
    </x:row>
    <x:row r="1863" ht="60" customHeight="1">
      <x:c r="A1863" s="14" t="str">
        <x:v>Мелкая бытовая техника</x:v>
      </x:c>
      <x:c r="B1863" s="14" t="str">
        <x:v>Мелкая бытовая техника SDA</x:v>
      </x:c>
      <x:c r="C1863" s="14" t="str">
        <x:v>Электронная кухонная техника SDA</x:v>
      </x:c>
      <x:c r="D1863" s="14" t="str">
        <x:v>Холодильник мобильный</x:v>
      </x:c>
      <x:c r="E1863" s="2" t="n">
        <x:v>6</x:v>
      </x:c>
      <x:c r="F1863" s="2" t="n">
        <x:v>0</x:v>
      </x:c>
      <x:c r="G1863" s="12" t="n">
        <x:v>1183271.24</x:v>
      </x:c>
      <x:c r="H1863" s="12" t="n">
        <x:v>46038.4377</x:v>
      </x:c>
      <x:c r="I1863" s="13" t="n">
        <x:v>0.0528166666666666</x:v>
      </x:c>
      <x:c r="J1863" s="2" t="n">
        <x:v>2</x:v>
      </x:c>
      <x:c r="K1863" s="2" t="n">
        <x:v>2</x:v>
      </x:c>
      <x:c r="L1863" s="12" t="n">
        <x:v>8134.705550000001</x:v>
      </x:c>
      <x:c r="M1863" s="13" t="n">
        <x:v>0.8410601106133535</x:v>
      </x:c>
      <x:c r="N1863" s="13" t="n">
        <x:f>H1863/G1863</x:f>
        <x:v>0.03890776361639619</x:v>
      </x:c>
      <x:c r="O1863" s="13" t="n">
        <x:f>F1863/E1863</x:f>
        <x:v>0</x:v>
      </x:c>
      <x:c r="P1863" s="2" t="str">
        <x:f>IF(AND(E1863&gt;='Итоги'!$F$5,N1863&lt;='Итоги'!$B$5,O1863&gt;='Итоги'!$D$5),"Да","Нет")</x:f>
        <x:v>Нет</x:v>
      </x:c>
    </x:row>
    <x:row r="1864" ht="60" customHeight="1">
      <x:c r="A1864" s="14" t="str">
        <x:v>Бакалея и кондитерские изделия</x:v>
      </x:c>
      <x:c r="B1864" s="14" t="str">
        <x:v>Бакалея</x:v>
      </x:c>
      <x:c r="C1864" s="14" t="str">
        <x:v>Снэки, чипсы, готовые завтраки</x:v>
      </x:c>
      <x:c r="D1864" s="14" t="str">
        <x:v>Морские водоросли сухие</x:v>
      </x:c>
      <x:c r="E1864" s="2" t="n">
        <x:v>15</x:v>
      </x:c>
      <x:c r="F1864" s="2" t="n">
        <x:v>0</x:v>
      </x:c>
      <x:c r="G1864" s="12" t="n">
        <x:v>1868541.2838</x:v>
      </x:c>
      <x:c r="H1864" s="12" t="n">
        <x:v>72738.46523827</x:v>
      </x:c>
      <x:c r="I1864" s="13" t="n">
        <x:v>0.0407533333333333</x:v>
      </x:c>
      <x:c r="J1864" s="2" t="n">
        <x:v>7</x:v>
      </x:c>
      <x:c r="K1864" s="2" t="n">
        <x:v>8</x:v>
      </x:c>
      <x:c r="L1864" s="12" t="n">
        <x:v>1185.92</x:v>
      </x:c>
      <x:c r="M1864" s="13" t="n">
        <x:v>0.2920968714643713</x:v>
      </x:c>
      <x:c r="N1864" s="13" t="n">
        <x:f>H1864/G1864</x:f>
        <x:v>0.03892794120681338</x:v>
      </x:c>
      <x:c r="O1864" s="13" t="n">
        <x:f>F1864/E1864</x:f>
        <x:v>0</x:v>
      </x:c>
      <x:c r="P1864" s="2" t="str">
        <x:f>IF(AND(E1864&gt;='Итоги'!$F$5,N1864&lt;='Итоги'!$B$5,O1864&gt;='Итоги'!$D$5),"Да","Нет")</x:f>
        <x:v>Нет</x:v>
      </x:c>
    </x:row>
    <x:row r="1865" ht="60" customHeight="1">
      <x:c r="A1865" s="14" t="str">
        <x:v>Автотовары</x:v>
      </x:c>
      <x:c r="B1865" s="14" t="str">
        <x:v>Авто и мото запчасти</x:v>
      </x:c>
      <x:c r="C1865" s="14" t="str">
        <x:v>Кузовные детали</x:v>
      </x:c>
      <x:c r="D1865" s="14" t="str">
        <x:v>Панель кузовная для авто</x:v>
      </x:c>
      <x:c r="E1865" s="2" t="n">
        <x:v>21</x:v>
      </x:c>
      <x:c r="F1865" s="2" t="n">
        <x:v>0</x:v>
      </x:c>
      <x:c r="G1865" s="12" t="n">
        <x:v>2827774.6519</x:v>
      </x:c>
      <x:c r="H1865" s="12" t="n">
        <x:v>110120.10249665</x:v>
      </x:c>
      <x:c r="I1865" s="13" t="n">
        <x:v>0.0285142857142857</x:v>
      </x:c>
      <x:c r="J1865" s="2" t="n">
        <x:v>6</x:v>
      </x:c>
      <x:c r="K1865" s="2" t="n">
        <x:v>4</x:v>
      </x:c>
      <x:c r="L1865" s="12" t="n">
        <x:v>5621.9524</x:v>
      </x:c>
      <x:c r="M1865" s="13" t="n">
        <x:v>0.8682384403051165</x:v>
      </x:c>
      <x:c r="N1865" s="13" t="n">
        <x:f>H1865/G1865</x:f>
        <x:v>0.03894231897957625</x:v>
      </x:c>
      <x:c r="O1865" s="13" t="n">
        <x:f>F1865/E1865</x:f>
        <x:v>0</x:v>
      </x:c>
      <x:c r="P1865" s="2" t="str">
        <x:f>IF(AND(E1865&gt;='Итоги'!$F$5,N1865&lt;='Итоги'!$B$5,O1865&gt;='Итоги'!$D$5),"Да","Нет")</x:f>
        <x:v>Нет</x:v>
      </x:c>
    </x:row>
    <x:row r="1866" ht="60" customHeight="1">
      <x:c r="A1866" s="14" t="str">
        <x:v>Автотовары</x:v>
      </x:c>
      <x:c r="B1866" s="14" t="str">
        <x:v>Авто и мото запчасти</x:v>
      </x:c>
      <x:c r="C1866" s="14" t="str">
        <x:v>Кузовные детали</x:v>
      </x:c>
      <x:c r="D1866" s="14" t="str">
        <x:v>Крыло автомобильное</x:v>
      </x:c>
      <x:c r="E1866" s="2" t="n">
        <x:v>7</x:v>
      </x:c>
      <x:c r="F1866" s="2" t="n">
        <x:v>0</x:v>
      </x:c>
      <x:c r="G1866" s="12" t="n">
        <x:v>661087.0091</x:v>
      </x:c>
      <x:c r="H1866" s="12" t="n">
        <x:v>25760.57969553</x:v>
      </x:c>
      <x:c r="I1866" s="13" t="n">
        <x:v>0.0358142857142857</x:v>
      </x:c>
      <x:c r="J1866" s="2" t="n">
        <x:v>2</x:v>
      </x:c>
      <x:c r="K1866" s="2" t="n">
        <x:v>3</x:v>
      </x:c>
      <x:c r="L1866" s="12" t="n">
        <x:v>1251.9238</x:v>
      </x:c>
      <x:c r="M1866" s="13" t="n">
        <x:v>0.4376109789146361</x:v>
      </x:c>
      <x:c r="N1866" s="13" t="n">
        <x:f>H1866/G1866</x:f>
        <x:v>0.0389670033458989</x:v>
      </x:c>
      <x:c r="O1866" s="13" t="n">
        <x:f>F1866/E1866</x:f>
        <x:v>0</x:v>
      </x:c>
      <x:c r="P1866" s="2" t="str">
        <x:f>IF(AND(E1866&gt;='Итоги'!$F$5,N1866&lt;='Итоги'!$B$5,O1866&gt;='Итоги'!$D$5),"Да","Нет")</x:f>
        <x:v>Нет</x:v>
      </x:c>
    </x:row>
    <x:row r="1867" ht="60" customHeight="1">
      <x:c r="A1867" s="14" t="str">
        <x:v>Аптека</x:v>
      </x:c>
      <x:c r="B1867" s="14" t="str">
        <x:v>Медицинские изделия</x:v>
      </x:c>
      <x:c r="C1867" s="14" t="str">
        <x:v>Урология</x:v>
      </x:c>
      <x:c r="D1867" s="14" t="str">
        <x:v>Катетер урологический</x:v>
      </x:c>
      <x:c r="E1867" s="2" t="n">
        <x:v>21</x:v>
      </x:c>
      <x:c r="F1867" s="2" t="n">
        <x:v>0</x:v>
      </x:c>
      <x:c r="G1867" s="12" t="n">
        <x:v>3489175.03</x:v>
      </x:c>
      <x:c r="H1867" s="12" t="n">
        <x:v>135967.364715</x:v>
      </x:c>
      <x:c r="I1867" s="13" t="n">
        <x:v>0.0351428571428571</x:v>
      </x:c>
      <x:c r="J1867" s="2" t="n">
        <x:v>10</x:v>
      </x:c>
      <x:c r="K1867" s="2" t="n">
        <x:v>2</x:v>
      </x:c>
      <x:c r="L1867" s="12" t="n">
        <x:v>2108.1976</x:v>
      </x:c>
      <x:c r="M1867" s="13" t="n">
        <x:v>0.9588495851410468</x:v>
      </x:c>
      <x:c r="N1867" s="13" t="n">
        <x:f>H1867/G1867</x:f>
        <x:v>0.038968341669864584</x:v>
      </x:c>
      <x:c r="O1867" s="13" t="n">
        <x:f>F1867/E1867</x:f>
        <x:v>0</x:v>
      </x:c>
      <x:c r="P1867" s="2" t="str">
        <x:f>IF(AND(E1867&gt;='Итоги'!$F$5,N1867&lt;='Итоги'!$B$5,O1867&gt;='Итоги'!$D$5),"Да","Нет")</x:f>
        <x:v>Нет</x:v>
      </x:c>
    </x:row>
    <x:row r="1868" ht="60" customHeight="1">
      <x:c r="A1868" s="14" t="str">
        <x:v>Спорт и отдых</x:v>
      </x:c>
      <x:c r="B1868" s="14" t="str">
        <x:v>Всесезонные виды спорта</x:v>
      </x:c>
      <x:c r="C1868" s="14" t="str">
        <x:v>Бег</x:v>
      </x:c>
      <x:c r="D1868" s="14" t="str">
        <x:v>Рюкзак, гидратор, термобак спортивные</x:v>
      </x:c>
      <x:c r="E1868" s="2" t="n">
        <x:v>15</x:v>
      </x:c>
      <x:c r="F1868" s="2" t="n">
        <x:v>0</x:v>
      </x:c>
      <x:c r="G1868" s="12" t="n">
        <x:v>1954963.1582</x:v>
      </x:c>
      <x:c r="H1868" s="12" t="n">
        <x:v>76205.98761837</x:v>
      </x:c>
      <x:c r="I1868" s="13" t="n">
        <x:v>0.03838</x:v>
      </x:c>
      <x:c r="J1868" s="2" t="n">
        <x:v>2</x:v>
      </x:c>
      <x:c r="K1868" s="2" t="n">
        <x:v>7</x:v>
      </x:c>
      <x:c r="L1868" s="12" t="n">
        <x:v>1943.3404</x:v>
      </x:c>
      <x:c r="M1868" s="13" t="n">
        <x:v>0.3083297700377093</x:v>
      </x:c>
      <x:c r="N1868" s="13" t="n">
        <x:f>H1868/G1868</x:f>
        <x:v>0.038980779406879155</x:v>
      </x:c>
      <x:c r="O1868" s="13" t="n">
        <x:f>F1868/E1868</x:f>
        <x:v>0</x:v>
      </x:c>
      <x:c r="P1868" s="2" t="str">
        <x:f>IF(AND(E1868&gt;='Итоги'!$F$5,N1868&lt;='Итоги'!$B$5,O1868&gt;='Итоги'!$D$5),"Да","Нет")</x:f>
        <x:v>Нет</x:v>
      </x:c>
    </x:row>
    <x:row r="1869" ht="60" customHeight="1">
      <x:c r="A1869" s="14" t="str">
        <x:v>Строительство и ремонт (DIY)</x:v>
      </x:c>
      <x:c r="B1869" s="14" t="str">
        <x:v>Сантехника</x:v>
      </x:c>
      <x:c r="C1869" s="14" t="str">
        <x:v>Системы отопления</x:v>
      </x:c>
      <x:c r="D1869" s="14" t="str">
        <x:v>Счетчик тепла</x:v>
      </x:c>
      <x:c r="E1869" s="2" t="n">
        <x:v>20</x:v>
      </x:c>
      <x:c r="F1869" s="2" t="n">
        <x:v>0</x:v>
      </x:c>
      <x:c r="G1869" s="12" t="n">
        <x:v>2543087.7635</x:v>
      </x:c>
      <x:c r="H1869" s="12" t="n">
        <x:v>99146.11424247</x:v>
      </x:c>
      <x:c r="I1869" s="13" t="n">
        <x:v>0.034485</x:v>
      </x:c>
      <x:c r="J1869" s="2" t="n">
        <x:v>6</x:v>
      </x:c>
      <x:c r="K1869" s="2" t="n">
        <x:v>8</x:v>
      </x:c>
      <x:c r="L1869" s="12" t="n">
        <x:v>4180.152</x:v>
      </x:c>
      <x:c r="M1869" s="13" t="n">
        <x:v>0.3064219847951779</x:v>
      </x:c>
      <x:c r="N1869" s="13" t="n">
        <x:f>H1869/G1869</x:f>
        <x:v>0.03898650910341262</x:v>
      </x:c>
      <x:c r="O1869" s="13" t="n">
        <x:f>F1869/E1869</x:f>
        <x:v>0</x:v>
      </x:c>
      <x:c r="P1869" s="2" t="str">
        <x:f>IF(AND(E1869&gt;='Итоги'!$F$5,N1869&lt;='Итоги'!$B$5,O1869&gt;='Итоги'!$D$5),"Да","Нет")</x:f>
        <x:v>Нет</x:v>
      </x:c>
    </x:row>
    <x:row r="1870" ht="60" customHeight="1">
      <x:c r="A1870" s="14" t="str">
        <x:v>Мелкая бытовая техника</x:v>
      </x:c>
      <x:c r="B1870" s="14" t="str">
        <x:v>Мелкая бытовая техника SDA</x:v>
      </x:c>
      <x:c r="C1870" s="14" t="str">
        <x:v>Электронные товары для красоты и здоровья SDA</x:v>
      </x:c>
      <x:c r="D1870" s="14" t="str">
        <x:v>Фен Dyson</x:v>
      </x:c>
      <x:c r="E1870" s="2" t="n">
        <x:v>6</x:v>
      </x:c>
      <x:c r="F1870" s="2" t="n">
        <x:v>0</x:v>
      </x:c>
      <x:c r="G1870" s="12" t="n">
        <x:v>1384259.6056</x:v>
      </x:c>
      <x:c r="H1870" s="12" t="n">
        <x:v>53989.88813344</x:v>
      </x:c>
      <x:c r="I1870" s="13" t="n">
        <x:v>0.0452</x:v>
      </x:c>
      <x:c r="J1870" s="2" t="n">
        <x:v>3</x:v>
      </x:c>
      <x:c r="K1870" s="2" t="n">
        <x:v>5</x:v>
      </x:c>
      <x:c r="L1870" s="12" t="n">
        <x:v>37730.30305</x:v>
      </x:c>
      <x:c r="M1870" s="13" t="n">
        <x:v>0.4621812465030296</x:v>
      </x:c>
      <x:c r="N1870" s="13" t="n">
        <x:f>H1870/G1870</x:f>
        <x:v>0.039002718792793475</x:v>
      </x:c>
      <x:c r="O1870" s="13" t="n">
        <x:f>F1870/E1870</x:f>
        <x:v>0</x:v>
      </x:c>
      <x:c r="P1870" s="2" t="str">
        <x:f>IF(AND(E1870&gt;='Итоги'!$F$5,N1870&lt;='Итоги'!$B$5,O1870&gt;='Итоги'!$D$5),"Да","Нет")</x:f>
        <x:v>Нет</x:v>
      </x:c>
    </x:row>
    <x:row r="1871" ht="60" customHeight="1">
      <x:c r="A1871" s="14" t="str">
        <x:v>Хобби и творчество</x:v>
      </x:c>
      <x:c r="B1871" s="14" t="str">
        <x:v>Взрослое творчество и хобби</x:v>
      </x:c>
      <x:c r="C1871" s="14" t="str">
        <x:v>Скрапбукинг</x:v>
      </x:c>
      <x:c r="D1871" s="14" t="str">
        <x:v>Коврик для резки</x:v>
      </x:c>
      <x:c r="E1871" s="2" t="n">
        <x:v>6</x:v>
      </x:c>
      <x:c r="F1871" s="2" t="n">
        <x:v>0</x:v>
      </x:c>
      <x:c r="G1871" s="12" t="n">
        <x:v>635541.4852</x:v>
      </x:c>
      <x:c r="H1871" s="12" t="n">
        <x:v>24797.45236498</x:v>
      </x:c>
      <x:c r="I1871" s="13" t="n">
        <x:v>0.0381</x:v>
      </x:c>
      <x:c r="J1871" s="2" t="n">
        <x:v>2</x:v>
      </x:c>
      <x:c r="K1871" s="2" t="n">
        <x:v>4</x:v>
      </x:c>
      <x:c r="L1871" s="12" t="n">
        <x:v>1305.32355</x:v>
      </x:c>
      <x:c r="M1871" s="13" t="n">
        <x:v>0.5051331867013739</x:v>
      </x:c>
      <x:c r="N1871" s="13" t="n">
        <x:f>H1871/G1871</x:f>
        <x:v>0.03901783430734885</x:v>
      </x:c>
      <x:c r="O1871" s="13" t="n">
        <x:f>F1871/E1871</x:f>
        <x:v>0</x:v>
      </x:c>
      <x:c r="P1871" s="2" t="str">
        <x:f>IF(AND(E1871&gt;='Итоги'!$F$5,N1871&lt;='Итоги'!$B$5,O1871&gt;='Итоги'!$D$5),"Да","Нет")</x:f>
        <x:v>Нет</x:v>
      </x:c>
    </x:row>
    <x:row r="1872" ht="60" customHeight="1">
      <x:c r="A1872" s="14" t="str">
        <x:v>Спорт и отдых</x:v>
      </x:c>
      <x:c r="B1872" s="14" t="str">
        <x:v>Всесезонные виды спорта</x:v>
      </x:c>
      <x:c r="C1872" s="14" t="str">
        <x:v>Футбол</x:v>
      </x:c>
      <x:c r="D1872" s="14" t="str">
        <x:v>Аксессуар для футбола</x:v>
      </x:c>
      <x:c r="E1872" s="2" t="n">
        <x:v>35</x:v>
      </x:c>
      <x:c r="F1872" s="2" t="n">
        <x:v>0</x:v>
      </x:c>
      <x:c r="G1872" s="12" t="n">
        <x:v>5899265.6736</x:v>
      </x:c>
      <x:c r="H1872" s="12" t="n">
        <x:v>230244.35420561</x:v>
      </x:c>
      <x:c r="I1872" s="13" t="n">
        <x:v>0.0403371428571428</x:v>
      </x:c>
      <x:c r="J1872" s="2" t="n">
        <x:v>14</x:v>
      </x:c>
      <x:c r="K1872" s="2" t="n">
        <x:v>6</x:v>
      </x:c>
      <x:c r="L1872" s="12" t="n">
        <x:v>5338.5614</x:v>
      </x:c>
      <x:c r="M1872" s="13" t="n">
        <x:v>0.7920033885927343</x:v>
      </x:c>
      <x:c r="N1872" s="13" t="n">
        <x:f>H1872/G1872</x:f>
        <x:v>0.03902932448626346</x:v>
      </x:c>
      <x:c r="O1872" s="13" t="n">
        <x:f>F1872/E1872</x:f>
        <x:v>0</x:v>
      </x:c>
      <x:c r="P1872" s="2" t="str">
        <x:f>IF(AND(E1872&gt;='Итоги'!$F$5,N1872&lt;='Итоги'!$B$5,O1872&gt;='Итоги'!$D$5),"Да","Нет")</x:f>
        <x:v>Нет</x:v>
      </x:c>
    </x:row>
    <x:row r="1873" ht="60" customHeight="1">
      <x:c r="A1873" s="14" t="str">
        <x:v>Детская одежда</x:v>
      </x:c>
      <x:c r="B1873" s="14" t="str">
        <x:v>Детская обувь</x:v>
      </x:c>
      <x:c r="C1873" s="14" t="str">
        <x:v>Обувь для мальчика</x:v>
      </x:c>
      <x:c r="D1873" s="14" t="str">
        <x:v>Сапоги для мальчика</x:v>
      </x:c>
      <x:c r="E1873" s="2" t="n">
        <x:v>14</x:v>
      </x:c>
      <x:c r="F1873" s="2" t="n">
        <x:v>0</x:v>
      </x:c>
      <x:c r="G1873" s="12" t="n">
        <x:v>1064969.85</x:v>
      </x:c>
      <x:c r="H1873" s="12" t="n">
        <x:v>41585.769423</x:v>
      </x:c>
      <x:c r="I1873" s="13" t="n">
        <x:v>0.0384642857142857</x:v>
      </x:c>
      <x:c r="J1873" s="2" t="n">
        <x:v>2</x:v>
      </x:c>
      <x:c r="K1873" s="2" t="n">
        <x:v>3</x:v>
      </x:c>
      <x:c r="L1873" s="12" t="n">
        <x:v>1084.14395</x:v>
      </x:c>
      <x:c r="M1873" s="13" t="n">
        <x:v>0.9657016111770677</x:v>
      </x:c>
      <x:c r="N1873" s="13" t="n">
        <x:f>H1873/G1873</x:f>
        <x:v>0.03904877628507511</x:v>
      </x:c>
      <x:c r="O1873" s="13" t="n">
        <x:f>F1873/E1873</x:f>
        <x:v>0</x:v>
      </x:c>
      <x:c r="P1873" s="2" t="str">
        <x:f>IF(AND(E1873&gt;='Итоги'!$F$5,N1873&lt;='Итоги'!$B$5,O1873&gt;='Итоги'!$D$5),"Да","Нет")</x:f>
        <x:v>Нет</x:v>
      </x:c>
    </x:row>
    <x:row r="1874" ht="60" customHeight="1">
      <x:c r="A1874" s="14" t="str">
        <x:v>Спорт и отдых</x:v>
      </x:c>
      <x:c r="B1874" s="14" t="str">
        <x:v>Туризм</x:v>
      </x:c>
      <x:c r="C1874" s="14" t="str">
        <x:v>Туристическая мебель</x:v>
      </x:c>
      <x:c r="D1874" s="14" t="str">
        <x:v>Надувная мебель туристическая</x:v>
      </x:c>
      <x:c r="E1874" s="2" t="n">
        <x:v>273</x:v>
      </x:c>
      <x:c r="F1874" s="2" t="n">
        <x:v>0</x:v>
      </x:c>
      <x:c r="G1874" s="12" t="n">
        <x:v>50178077.512</x:v>
      </x:c>
      <x:c r="H1874" s="12" t="n">
        <x:v>1962648.37225054</x:v>
      </x:c>
      <x:c r="I1874" s="13" t="n">
        <x:v>0.0346904761904761</x:v>
      </x:c>
      <x:c r="J1874" s="2" t="n">
        <x:v>158</x:v>
      </x:c>
      <x:c r="K1874" s="2" t="n">
        <x:v>48</x:v>
      </x:c>
      <x:c r="L1874" s="12" t="n">
        <x:v>2138.75</x:v>
      </x:c>
      <x:c r="M1874" s="13" t="n">
        <x:v>0.7273693573467729</x:v>
      </x:c>
      <x:c r="N1874" s="13" t="n">
        <x:f>H1874/G1874</x:f>
        <x:v>0.03911366217211443</x:v>
      </x:c>
      <x:c r="O1874" s="13" t="n">
        <x:f>F1874/E1874</x:f>
        <x:v>0</x:v>
      </x:c>
      <x:c r="P1874" s="2" t="str">
        <x:f>IF(AND(E1874&gt;='Итоги'!$F$5,N1874&lt;='Итоги'!$B$5,O1874&gt;='Итоги'!$D$5),"Да","Нет")</x:f>
        <x:v>Нет</x:v>
      </x:c>
    </x:row>
    <x:row r="1875" ht="60" customHeight="1">
      <x:c r="A1875" s="14" t="str">
        <x:v>Строительство и ремонт (DIY)</x:v>
      </x:c>
      <x:c r="B1875" s="14" t="str">
        <x:v>Ремонт и строительство</x:v>
      </x:c>
      <x:c r="C1875" s="14" t="str">
        <x:v>Скобяные изделия</x:v>
      </x:c>
      <x:c r="D1875" s="14" t="str">
        <x:v>Фурнитура для зданий и ворот</x:v>
      </x:c>
      <x:c r="E1875" s="2" t="n">
        <x:v>4</x:v>
      </x:c>
      <x:c r="F1875" s="2" t="n">
        <x:v>0</x:v>
      </x:c>
      <x:c r="G1875" s="12" t="n">
        <x:v>487997.6731</x:v>
      </x:c>
      <x:c r="H1875" s="12" t="n">
        <x:v>19104.3476</x:v>
      </x:c>
      <x:c r="I1875" s="13" t="n">
        <x:v>0.03005</x:v>
      </x:c>
      <x:c r="J1875" s="2" t="n">
        <x:v>3</x:v>
      </x:c>
      <x:c r="K1875" s="2" t="n">
        <x:v>3</x:v>
      </x:c>
      <x:c r="L1875" s="12" t="n">
        <x:v>2115.84415</x:v>
      </x:c>
      <x:c r="M1875" s="13" t="n">
        <x:v>0.3475590342932723</x:v>
      </x:c>
      <x:c r="N1875" s="13" t="n">
        <x:f>H1875/G1875</x:f>
        <x:v>0.03914843994775597</x:v>
      </x:c>
      <x:c r="O1875" s="13" t="n">
        <x:f>F1875/E1875</x:f>
        <x:v>0</x:v>
      </x:c>
      <x:c r="P1875" s="2" t="str">
        <x:f>IF(AND(E1875&gt;='Итоги'!$F$5,N1875&lt;='Итоги'!$B$5,O1875&gt;='Итоги'!$D$5),"Да","Нет")</x:f>
        <x:v>Нет</x:v>
      </x:c>
    </x:row>
    <x:row r="1876" ht="60" customHeight="1">
      <x:c r="A1876" s="14" t="str">
        <x:v>Строительство и ремонт (DIY)</x:v>
      </x:c>
      <x:c r="B1876" s="14" t="str">
        <x:v>Ремонт и строительство</x:v>
      </x:c>
      <x:c r="C1876" s="14" t="str">
        <x:v>Отделка пола</x:v>
      </x:c>
      <x:c r="D1876" s="14" t="str">
        <x:v>Аксессуары для ремонта напольного покрытия</x:v>
      </x:c>
      <x:c r="E1876" s="2" t="n">
        <x:v>4</x:v>
      </x:c>
      <x:c r="F1876" s="2" t="n">
        <x:v>0</x:v>
      </x:c>
      <x:c r="G1876" s="12" t="n">
        <x:v>365216.7474</x:v>
      </x:c>
      <x:c r="H1876" s="12" t="n">
        <x:v>14308.31639168</x:v>
      </x:c>
      <x:c r="I1876" s="13" t="n">
        <x:v>0.039425</x:v>
      </x:c>
      <x:c r="J1876" s="2" t="n">
        <x:v>1</x:v>
      </x:c>
      <x:c r="K1876" s="2" t="n">
        <x:v>3</x:v>
      </x:c>
      <x:c r="L1876" s="12" t="n">
        <x:v>1646.8659</x:v>
      </x:c>
      <x:c r="M1876" s="13" t="n">
        <x:v>0.7128472318243969</x:v>
      </x:c>
      <x:c r="N1876" s="13" t="n">
        <x:f>H1876/G1876</x:f>
        <x:v>0.039177602050129864</x:v>
      </x:c>
      <x:c r="O1876" s="13" t="n">
        <x:f>F1876/E1876</x:f>
        <x:v>0</x:v>
      </x:c>
      <x:c r="P1876" s="2" t="str">
        <x:f>IF(AND(E1876&gt;='Итоги'!$F$5,N1876&lt;='Итоги'!$B$5,O1876&gt;='Итоги'!$D$5),"Да","Нет")</x:f>
        <x:v>Нет</x:v>
      </x:c>
    </x:row>
    <x:row r="1877" ht="60" customHeight="1">
      <x:c r="A1877" s="14" t="str">
        <x:v>Спорт и отдых</x:v>
      </x:c>
      <x:c r="B1877" s="14" t="str">
        <x:v>Товары для охоты</x:v>
      </x:c>
      <x:c r="C1877" s="14" t="str">
        <x:v>Аксессуары для охоты</x:v>
      </x:c>
      <x:c r="D1877" s="14" t="str">
        <x:v>Снаряжение патронов</x:v>
      </x:c>
      <x:c r="E1877" s="2" t="n">
        <x:v>4</x:v>
      </x:c>
      <x:c r="F1877" s="2" t="n">
        <x:v>0</x:v>
      </x:c>
      <x:c r="G1877" s="12" t="n">
        <x:v>422285.62</x:v>
      </x:c>
      <x:c r="H1877" s="12" t="n">
        <x:v>16555.77622</x:v>
      </x:c>
      <x:c r="I1877" s="13" t="n">
        <x:v>0.0404249999999999</x:v>
      </x:c>
      <x:c r="J1877" s="2" t="n">
        <x:v>2</x:v>
      </x:c>
      <x:c r="K1877" s="2" t="n">
        <x:v>3</x:v>
      </x:c>
      <x:c r="L1877" s="12" t="n">
        <x:v>932.85405</x:v>
      </x:c>
      <x:c r="M1877" s="13" t="n">
        <x:v>0.5279673032673952</x:v>
      </x:c>
      <x:c r="N1877" s="13" t="n">
        <x:f>H1877/G1877</x:f>
        <x:v>0.03920516218383188</x:v>
      </x:c>
      <x:c r="O1877" s="13" t="n">
        <x:f>F1877/E1877</x:f>
        <x:v>0</x:v>
      </x:c>
      <x:c r="P1877" s="2" t="str">
        <x:f>IF(AND(E1877&gt;='Итоги'!$F$5,N1877&lt;='Итоги'!$B$5,O1877&gt;='Итоги'!$D$5),"Да","Нет")</x:f>
        <x:v>Нет</x:v>
      </x:c>
    </x:row>
    <x:row r="1878" ht="60" customHeight="1">
      <x:c r="A1878" s="14" t="str">
        <x:v>Строительство и ремонт (DIY)</x:v>
      </x:c>
      <x:c r="B1878" s="14" t="str">
        <x:v>Ремонт и строительство</x:v>
      </x:c>
      <x:c r="C1878" s="14" t="str">
        <x:v>Скобяные изделия</x:v>
      </x:c>
      <x:c r="D1878" s="14" t="str">
        <x:v>Крепежный кронштейн</x:v>
      </x:c>
      <x:c r="E1878" s="2" t="n">
        <x:v>48</x:v>
      </x:c>
      <x:c r="F1878" s="2" t="n">
        <x:v>0</x:v>
      </x:c>
      <x:c r="G1878" s="12" t="n">
        <x:v>10530944.1474</x:v>
      </x:c>
      <x:c r="H1878" s="12" t="n">
        <x:v>412889.13558942</x:v>
      </x:c>
      <x:c r="I1878" s="13" t="n">
        <x:v>0.0556083333333333</x:v>
      </x:c>
      <x:c r="J1878" s="2" t="n">
        <x:v>17</x:v>
      </x:c>
      <x:c r="K1878" s="2" t="n">
        <x:v>22</x:v>
      </x:c>
      <x:c r="L1878" s="12" t="n">
        <x:v>1680.09675</x:v>
      </x:c>
      <x:c r="M1878" s="13" t="n">
        <x:v>0.3611482159307611</x:v>
      </x:c>
      <x:c r="N1878" s="13" t="n">
        <x:f>H1878/G1878</x:f>
        <x:v>0.03920722869766229</x:v>
      </x:c>
      <x:c r="O1878" s="13" t="n">
        <x:f>F1878/E1878</x:f>
        <x:v>0</x:v>
      </x:c>
      <x:c r="P1878" s="2" t="str">
        <x:f>IF(AND(E1878&gt;='Итоги'!$F$5,N1878&lt;='Итоги'!$B$5,O1878&gt;='Итоги'!$D$5),"Да","Нет")</x:f>
        <x:v>Нет</x:v>
      </x:c>
    </x:row>
    <x:row r="1879" ht="60" customHeight="1">
      <x:c r="A1879" s="14" t="str">
        <x:v>Смартфоны и планшеты</x:v>
      </x:c>
      <x:c r="B1879" s="14" t="str">
        <x:v>Средства связи Smart&amp;Tablets</x:v>
      </x:c>
      <x:c r="C1879" s="14" t="str">
        <x:v>Телефон Smart&amp;Tablets</x:v>
      </x:c>
      <x:c r="D1879" s="14" t="str">
        <x:v>Мобильный телефон</x:v>
      </x:c>
      <x:c r="E1879" s="2" t="n">
        <x:v>175</x:v>
      </x:c>
      <x:c r="F1879" s="2" t="n">
        <x:v>0</x:v>
      </x:c>
      <x:c r="G1879" s="12" t="n">
        <x:v>35178703.9021</x:v>
      </x:c>
      <x:c r="H1879" s="12" t="n">
        <x:v>1379954.33029688</x:v>
      </x:c>
      <x:c r="I1879" s="13" t="n">
        <x:v>0.025864</x:v>
      </x:c>
      <x:c r="J1879" s="2" t="n">
        <x:v>100</x:v>
      </x:c>
      <x:c r="K1879" s="2" t="n">
        <x:v>15</x:v>
      </x:c>
      <x:c r="L1879" s="12" t="n">
        <x:v>1956.0883</x:v>
      </x:c>
      <x:c r="M1879" s="13" t="n">
        <x:v>0.709776013004546</x:v>
      </x:c>
      <x:c r="N1879" s="13" t="n">
        <x:f>H1879/G1879</x:f>
        <x:v>0.03922698045207128</x:v>
      </x:c>
      <x:c r="O1879" s="13" t="n">
        <x:f>F1879/E1879</x:f>
        <x:v>0</x:v>
      </x:c>
      <x:c r="P1879" s="2" t="str">
        <x:f>IF(AND(E1879&gt;='Итоги'!$F$5,N1879&lt;='Итоги'!$B$5,O1879&gt;='Итоги'!$D$5),"Да","Нет")</x:f>
        <x:v>Нет</x:v>
      </x:c>
    </x:row>
    <x:row r="1880" ht="60" customHeight="1">
      <x:c r="A1880" s="14" t="str">
        <x:v>Автотовары</x:v>
      </x:c>
      <x:c r="B1880" s="14" t="str">
        <x:v>Автоинструменты и гаражное оборудование</x:v>
      </x:c>
      <x:c r="C1880" s="14" t="str">
        <x:v>Оборудование для детейлинга</x:v>
      </x:c>
      <x:c r="D1880" s="14" t="str">
        <x:v>Аппарат для детейлинга</x:v>
      </x:c>
      <x:c r="E1880" s="2" t="n">
        <x:v>16</x:v>
      </x:c>
      <x:c r="F1880" s="2" t="n">
        <x:v>0</x:v>
      </x:c>
      <x:c r="G1880" s="12" t="n">
        <x:v>2242144.2451</x:v>
      </x:c>
      <x:c r="H1880" s="12" t="n">
        <x:v>87975.542477</x:v>
      </x:c>
      <x:c r="I1880" s="13" t="n">
        <x:v>0.03236875</x:v>
      </x:c>
      <x:c r="J1880" s="2" t="n">
        <x:v>8</x:v>
      </x:c>
      <x:c r="K1880" s="2" t="n">
        <x:v>12</x:v>
      </x:c>
      <x:c r="L1880" s="12" t="n">
        <x:v>2127.3382</x:v>
      </x:c>
      <x:c r="M1880" s="13" t="n">
        <x:v>0.1753944204345606</x:v>
      </x:c>
      <x:c r="N1880" s="13" t="n">
        <x:f>H1880/G1880</x:f>
        <x:v>0.0392372358153417</x:v>
      </x:c>
      <x:c r="O1880" s="13" t="n">
        <x:f>F1880/E1880</x:f>
        <x:v>0</x:v>
      </x:c>
      <x:c r="P1880" s="2" t="str">
        <x:f>IF(AND(E1880&gt;='Итоги'!$F$5,N1880&lt;='Итоги'!$B$5,O1880&gt;='Итоги'!$D$5),"Да","Нет")</x:f>
        <x:v>Нет</x:v>
      </x:c>
    </x:row>
    <x:row r="1881" ht="60" customHeight="1">
      <x:c r="A1881" s="14" t="str">
        <x:v>Аудио и видеотехника</x:v>
      </x:c>
      <x:c r="B1881" s="14" t="str">
        <x:v>Система безопасности TV&amp;Audio</x:v>
      </x:c>
      <x:c r="C1881" s="14" t="str">
        <x:v>Умный дом TV&amp;Audio</x:v>
      </x:c>
      <x:c r="D1881" s="14" t="str">
        <x:v>Аксессуары для умного дома</x:v>
      </x:c>
      <x:c r="E1881" s="2" t="n">
        <x:v>8</x:v>
      </x:c>
      <x:c r="F1881" s="2" t="n">
        <x:v>0</x:v>
      </x:c>
      <x:c r="G1881" s="12" t="n">
        <x:v>1190852.2809</x:v>
      </x:c>
      <x:c r="H1881" s="12" t="n">
        <x:v>46761.34977058999</x:v>
      </x:c>
      <x:c r="I1881" s="13" t="n">
        <x:v>0.0424999999999999</x:v>
      </x:c>
      <x:c r="J1881" s="2" t="n">
        <x:v>3</x:v>
      </x:c>
      <x:c r="K1881" s="2" t="n">
        <x:v>5</x:v>
      </x:c>
      <x:c r="L1881" s="12" t="n">
        <x:v>1701.60745</x:v>
      </x:c>
      <x:c r="M1881" s="13" t="n">
        <x:v>0.5641637613459938</x:v>
      </x:c>
      <x:c r="N1881" s="13" t="n">
        <x:f>H1881/G1881</x:f>
        <x:v>0.03926712869479461</x:v>
      </x:c>
      <x:c r="O1881" s="13" t="n">
        <x:f>F1881/E1881</x:f>
        <x:v>0</x:v>
      </x:c>
      <x:c r="P1881" s="2" t="str">
        <x:f>IF(AND(E1881&gt;='Итоги'!$F$5,N1881&lt;='Итоги'!$B$5,O1881&gt;='Итоги'!$D$5),"Да","Нет")</x:f>
        <x:v>Нет</x:v>
      </x:c>
    </x:row>
    <x:row r="1882" ht="60" customHeight="1">
      <x:c r="A1882" s="14" t="str">
        <x:v>Аксессуары для электроники</x:v>
      </x:c>
      <x:c r="B1882" s="14" t="str">
        <x:v>Фото и видео Access</x:v>
      </x:c>
      <x:c r="C1882" s="14" t="str">
        <x:v>Аксессуар к фото и видео Access</x:v>
      </x:c>
      <x:c r="D1882" s="14" t="str">
        <x:v>Накамерный монитор</x:v>
      </x:c>
      <x:c r="E1882" s="2" t="n">
        <x:v>1</x:v>
      </x:c>
      <x:c r="F1882" s="2" t="n">
        <x:v>0</x:v>
      </x:c>
      <x:c r="G1882" s="12" t="n">
        <x:v>159643</x:v>
      </x:c>
      <x:c r="H1882" s="12" t="n">
        <x:v>6273.9699</x:v>
      </x:c>
      <x:c r="I1882" s="13" t="n">
        <x:v>0.0393</x:v>
      </x:c>
      <x:c r="J1882" s="2" t="n">
        <x:v>0</x:v>
      </x:c>
      <x:c r="K1882" s="2" t="n">
        <x:v>1</x:v>
      </x:c>
      <x:c r="L1882" s="12" t="n">
        <x:v>11403.0714</x:v>
      </x:c>
      <x:c r="M1882" s="13" t="n">
        <x:v>1</x:v>
      </x:c>
      <x:c r="N1882" s="13" t="n">
        <x:f>H1882/G1882</x:f>
        <x:v>0.0393</x:v>
      </x:c>
      <x:c r="O1882" s="13" t="n">
        <x:f>F1882/E1882</x:f>
        <x:v>0</x:v>
      </x:c>
      <x:c r="P1882" s="2" t="str">
        <x:f>IF(AND(E1882&gt;='Итоги'!$F$5,N1882&lt;='Итоги'!$B$5,O1882&gt;='Итоги'!$D$5),"Да","Нет")</x:f>
        <x:v>Нет</x:v>
      </x:c>
    </x:row>
    <x:row r="1883" ht="60" customHeight="1">
      <x:c r="A1883" s="14" t="str">
        <x:v>Детская одежда</x:v>
      </x:c>
      <x:c r="B1883" s="14" t="str">
        <x:v>Детская обувь</x:v>
      </x:c>
      <x:c r="C1883" s="14" t="str">
        <x:v>Обувь для девочки</x:v>
      </x:c>
      <x:c r="D1883" s="14" t="str">
        <x:v>Босоножки для девочки</x:v>
      </x:c>
      <x:c r="E1883" s="2" t="n">
        <x:v>117</x:v>
      </x:c>
      <x:c r="F1883" s="2" t="n">
        <x:v>0</x:v>
      </x:c>
      <x:c r="G1883" s="12" t="n">
        <x:v>5689656.2519000005</x:v>
      </x:c>
      <x:c r="H1883" s="12" t="n">
        <x:v>223638.62651062</x:v>
      </x:c>
      <x:c r="I1883" s="13" t="n">
        <x:v>0.0323350427350427</x:v>
      </x:c>
      <x:c r="J1883" s="2" t="n">
        <x:v>56</x:v>
      </x:c>
      <x:c r="K1883" s="2" t="n">
        <x:v>11</x:v>
      </x:c>
      <x:c r="L1883" s="12" t="n">
        <x:v>1690.725</x:v>
      </x:c>
      <x:c r="M1883" s="13" t="n">
        <x:v>0.7061590680207258</x:v>
      </x:c>
      <x:c r="N1883" s="13" t="n">
        <x:f>H1883/G1883</x:f>
        <x:v>0.039306175383783205</x:v>
      </x:c>
      <x:c r="O1883" s="13" t="n">
        <x:f>F1883/E1883</x:f>
        <x:v>0</x:v>
      </x:c>
      <x:c r="P1883" s="2" t="str">
        <x:f>IF(AND(E1883&gt;='Итоги'!$F$5,N1883&lt;='Итоги'!$B$5,O1883&gt;='Итоги'!$D$5),"Да","Нет")</x:f>
        <x:v>Нет</x:v>
      </x:c>
    </x:row>
    <x:row r="1884" ht="60" customHeight="1">
      <x:c r="A1884" s="14" t="str">
        <x:v>Аптека</x:v>
      </x:c>
      <x:c r="B1884" s="14" t="str">
        <x:v>Медицинские изделия</x:v>
      </x:c>
      <x:c r="C1884" s="14" t="str">
        <x:v>Расходные медицинские материалы</x:v>
      </x:c>
      <x:c r="D1884" s="14" t="str">
        <x:v>Перчатки медицинские</x:v>
      </x:c>
      <x:c r="E1884" s="2" t="n">
        <x:v>21</x:v>
      </x:c>
      <x:c r="F1884" s="2" t="n">
        <x:v>0</x:v>
      </x:c>
      <x:c r="G1884" s="12" t="n">
        <x:v>3317575.71</x:v>
      </x:c>
      <x:c r="H1884" s="12" t="n">
        <x:v>130643.498195</x:v>
      </x:c>
      <x:c r="I1884" s="13" t="n">
        <x:v>0.0374904761904761</x:v>
      </x:c>
      <x:c r="J1884" s="2" t="n">
        <x:v>4</x:v>
      </x:c>
      <x:c r="K1884" s="2" t="n">
        <x:v>5</x:v>
      </x:c>
      <x:c r="L1884" s="12" t="n">
        <x:v>1185.0251</x:v>
      </x:c>
      <x:c r="M1884" s="13" t="n">
        <x:v>0.8500715059792864</x:v>
      </x:c>
      <x:c r="N1884" s="13" t="n">
        <x:f>H1884/G1884</x:f>
        <x:v>0.03937920626836275</x:v>
      </x:c>
      <x:c r="O1884" s="13" t="n">
        <x:f>F1884/E1884</x:f>
        <x:v>0</x:v>
      </x:c>
      <x:c r="P1884" s="2" t="str">
        <x:f>IF(AND(E1884&gt;='Итоги'!$F$5,N1884&lt;='Итоги'!$B$5,O1884&gt;='Итоги'!$D$5),"Да","Нет")</x:f>
        <x:v>Нет</x:v>
      </x:c>
    </x:row>
    <x:row r="1885" ht="60" customHeight="1">
      <x:c r="A1885" s="14" t="str">
        <x:v>Аптека</x:v>
      </x:c>
      <x:c r="B1885" s="14" t="str">
        <x:v>Профессиональный уход за полостью рта</x:v>
      </x:c>
      <x:c r="C1885" s="14" t="str">
        <x:v>Профессиональный уход за полостью рта</x:v>
      </x:c>
      <x:c r="D1885" s="14" t="str">
        <x:v>Стоматологические средства</x:v>
      </x:c>
      <x:c r="E1885" s="2" t="n">
        <x:v>9</x:v>
      </x:c>
      <x:c r="F1885" s="2" t="n">
        <x:v>0</x:v>
      </x:c>
      <x:c r="G1885" s="12" t="n">
        <x:v>1241418</x:v>
      </x:c>
      <x:c r="H1885" s="12" t="n">
        <x:v>48906.0836</x:v>
      </x:c>
      <x:c r="I1885" s="13" t="n">
        <x:v>0.0316111111111111</x:v>
      </x:c>
      <x:c r="J1885" s="2" t="n">
        <x:v>5</x:v>
      </x:c>
      <x:c r="K1885" s="2" t="n">
        <x:v>7</x:v>
      </x:c>
      <x:c r="L1885" s="12" t="n">
        <x:v>2050.9561</x:v>
      </x:c>
      <x:c r="M1885" s="13" t="n">
        <x:v>0.4161225308477885</x:v>
      </x:c>
      <x:c r="N1885" s="13" t="n">
        <x:f>H1885/G1885</x:f>
        <x:v>0.03939533952302931</x:v>
      </x:c>
      <x:c r="O1885" s="13" t="n">
        <x:f>F1885/E1885</x:f>
        <x:v>0</x:v>
      </x:c>
      <x:c r="P1885" s="2" t="str">
        <x:f>IF(AND(E1885&gt;='Итоги'!$F$5,N1885&lt;='Итоги'!$B$5,O1885&gt;='Итоги'!$D$5),"Да","Нет")</x:f>
        <x:v>Нет</x:v>
      </x:c>
    </x:row>
    <x:row r="1886" ht="60" customHeight="1">
      <x:c r="A1886" s="14" t="str">
        <x:v>Детская одежда</x:v>
      </x:c>
      <x:c r="B1886" s="14" t="str">
        <x:v>Детская одежда</x:v>
      </x:c>
      <x:c r="C1886" s="14" t="str">
        <x:v>Верхняя одежда для мальчика</x:v>
      </x:c>
      <x:c r="D1886" s="14" t="str">
        <x:v>Комплект зимней верхней одежды для мальчика</x:v>
      </x:c>
      <x:c r="E1886" s="2" t="n">
        <x:v>75</x:v>
      </x:c>
      <x:c r="F1886" s="2" t="n">
        <x:v>0</x:v>
      </x:c>
      <x:c r="G1886" s="12" t="n">
        <x:v>4052594.2015</x:v>
      </x:c>
      <x:c r="H1886" s="12" t="n">
        <x:v>159681.12797</x:v>
      </x:c>
      <x:c r="I1886" s="13" t="n">
        <x:v>0.0239426666666666</x:v>
      </x:c>
      <x:c r="J1886" s="2" t="n">
        <x:v>44</x:v>
      </x:c>
      <x:c r="K1886" s="2" t="n">
        <x:v>12</x:v>
      </x:c>
      <x:c r="L1886" s="12" t="n">
        <x:v>5299</x:v>
      </x:c>
      <x:c r="M1886" s="13" t="n">
        <x:v>0.5604433424790805</x:v>
      </x:c>
      <x:c r="N1886" s="13" t="n">
        <x:f>H1886/G1886</x:f>
        <x:v>0.039402200178566285</x:v>
      </x:c>
      <x:c r="O1886" s="13" t="n">
        <x:f>F1886/E1886</x:f>
        <x:v>0</x:v>
      </x:c>
      <x:c r="P1886" s="2" t="str">
        <x:f>IF(AND(E1886&gt;='Итоги'!$F$5,N1886&lt;='Итоги'!$B$5,O1886&gt;='Итоги'!$D$5),"Да","Нет")</x:f>
        <x:v>Нет</x:v>
      </x:c>
    </x:row>
    <x:row r="1887" ht="60" customHeight="1">
      <x:c r="A1887" s="14" t="str">
        <x:v>Спорт и отдых</x:v>
      </x:c>
      <x:c r="B1887" s="14" t="str">
        <x:v>Товары для охоты</x:v>
      </x:c>
      <x:c r="C1887" s="14" t="str">
        <x:v>Аксессуары для охотничьего оружия</x:v>
      </x:c>
      <x:c r="D1887" s="14" t="str">
        <x:v>Магазин оружейный</x:v>
      </x:c>
      <x:c r="E1887" s="2" t="n">
        <x:v>14</x:v>
      </x:c>
      <x:c r="F1887" s="2" t="n">
        <x:v>0</x:v>
      </x:c>
      <x:c r="G1887" s="12" t="n">
        <x:v>1945891.4</x:v>
      </x:c>
      <x:c r="H1887" s="12" t="n">
        <x:v>76733.2788</x:v>
      </x:c>
      <x:c r="I1887" s="13" t="n">
        <x:v>0.0294571428571428</x:v>
      </x:c>
      <x:c r="J1887" s="2" t="n">
        <x:v>10</x:v>
      </x:c>
      <x:c r="K1887" s="2" t="n">
        <x:v>5</x:v>
      </x:c>
      <x:c r="L1887" s="12" t="n">
        <x:v>2384.85225</x:v>
      </x:c>
      <x:c r="M1887" s="13" t="n">
        <x:v>0.5360820238991755</x:v>
      </x:c>
      <x:c r="N1887" s="13" t="n">
        <x:f>H1887/G1887</x:f>
        <x:v>0.03943348472581769</x:v>
      </x:c>
      <x:c r="O1887" s="13" t="n">
        <x:f>F1887/E1887</x:f>
        <x:v>0</x:v>
      </x:c>
      <x:c r="P1887" s="2" t="str">
        <x:f>IF(AND(E1887&gt;='Итоги'!$F$5,N1887&lt;='Итоги'!$B$5,O1887&gt;='Итоги'!$D$5),"Да","Нет")</x:f>
        <x:v>Нет</x:v>
      </x:c>
    </x:row>
    <x:row r="1888" ht="60" customHeight="1">
      <x:c r="A1888" s="14" t="str">
        <x:v>Одежда</x:v>
      </x:c>
      <x:c r="B1888" s="14" t="str">
        <x:v>Основная одежда женская</x:v>
      </x:c>
      <x:c r="C1888" s="14" t="str">
        <x:v>Основная одежда для беременных и кормящих</x:v>
      </x:c>
      <x:c r="D1888" s="14" t="str">
        <x:v>Блуза для беременных и кормящих</x:v>
      </x:c>
      <x:c r="E1888" s="2" t="n">
        <x:v>209</x:v>
      </x:c>
      <x:c r="F1888" s="2" t="n">
        <x:v>0</x:v>
      </x:c>
      <x:c r="G1888" s="12" t="n">
        <x:v>16188982.1478</x:v>
      </x:c>
      <x:c r="H1888" s="12" t="n">
        <x:v>639192.46085921</x:v>
      </x:c>
      <x:c r="I1888" s="13" t="n">
        <x:v>0.0238641148325358</x:v>
      </x:c>
      <x:c r="J1888" s="2" t="n">
        <x:v>128</x:v>
      </x:c>
      <x:c r="K1888" s="2" t="n">
        <x:v>20</x:v>
      </x:c>
      <x:c r="L1888" s="12" t="n">
        <x:v>1445.4233</x:v>
      </x:c>
      <x:c r="M1888" s="13" t="n">
        <x:v>0.2542273744158338</x:v>
      </x:c>
      <x:c r="N1888" s="13" t="n">
        <x:f>H1888/G1888</x:f>
        <x:v>0.039483177819556306</x:v>
      </x:c>
      <x:c r="O1888" s="13" t="n">
        <x:f>F1888/E1888</x:f>
        <x:v>0</x:v>
      </x:c>
      <x:c r="P1888" s="2" t="str">
        <x:f>IF(AND(E1888&gt;='Итоги'!$F$5,N1888&lt;='Итоги'!$B$5,O1888&gt;='Итоги'!$D$5),"Да","Нет")</x:f>
        <x:v>Нет</x:v>
      </x:c>
    </x:row>
    <x:row r="1889" ht="60" customHeight="1">
      <x:c r="A1889" s="14" t="str">
        <x:v>Товары для дома</x:v>
      </x:c>
      <x:c r="B1889" s="14" t="str">
        <x:v>Антиквариат Хоум Декор</x:v>
      </x:c>
      <x:c r="C1889" s="14" t="str">
        <x:v>Коллекционирование Хоум Декор</x:v>
      </x:c>
      <x:c r="D1889" s="14" t="str">
        <x:v>Банкнота, купюра коллекционные</x:v>
      </x:c>
      <x:c r="E1889" s="2" t="n">
        <x:v>1</x:v>
      </x:c>
      <x:c r="F1889" s="2" t="n">
        <x:v>0</x:v>
      </x:c>
      <x:c r="G1889" s="12" t="n">
        <x:v>28679</x:v>
      </x:c>
      <x:c r="H1889" s="12" t="n">
        <x:v>1132.8205</x:v>
      </x:c>
      <x:c r="I1889" s="13" t="n">
        <x:v>0.0395</x:v>
      </x:c>
      <x:c r="J1889" s="2" t="n">
        <x:v>0</x:v>
      </x:c>
      <x:c r="K1889" s="2" t="n">
        <x:v>1</x:v>
      </x:c>
      <x:c r="L1889" s="12" t="n">
        <x:v>1024.25</x:v>
      </x:c>
      <x:c r="M1889" s="13" t="n">
        <x:v>1</x:v>
      </x:c>
      <x:c r="N1889" s="13" t="n">
        <x:f>H1889/G1889</x:f>
        <x:v>0.0395</x:v>
      </x:c>
      <x:c r="O1889" s="13" t="n">
        <x:f>F1889/E1889</x:f>
        <x:v>0</x:v>
      </x:c>
      <x:c r="P1889" s="2" t="str">
        <x:f>IF(AND(E1889&gt;='Итоги'!$F$5,N1889&lt;='Итоги'!$B$5,O1889&gt;='Итоги'!$D$5),"Да","Нет")</x:f>
        <x:v>Нет</x:v>
      </x:c>
    </x:row>
    <x:row r="1890" ht="60" customHeight="1">
      <x:c r="A1890" s="14" t="str">
        <x:v>Товары для дома</x:v>
      </x:c>
      <x:c r="B1890" s="14" t="str">
        <x:v>Кухня</x:v>
      </x:c>
      <x:c r="C1890" s="14" t="str">
        <x:v>Кухонные приборы</x:v>
      </x:c>
      <x:c r="D1890" s="14" t="str">
        <x:v>Сифоны и баллоны для газирования</x:v>
      </x:c>
      <x:c r="E1890" s="2" t="n">
        <x:v>36</x:v>
      </x:c>
      <x:c r="F1890" s="2" t="n">
        <x:v>0</x:v>
      </x:c>
      <x:c r="G1890" s="12" t="n">
        <x:v>4722563.591</x:v>
      </x:c>
      <x:c r="H1890" s="12" t="n">
        <x:v>186566.8606057</x:v>
      </x:c>
      <x:c r="I1890" s="13" t="n">
        <x:v>0.0462694444444444</x:v>
      </x:c>
      <x:c r="J1890" s="2" t="n">
        <x:v>18</x:v>
      </x:c>
      <x:c r="K1890" s="2" t="n">
        <x:v>13</x:v>
      </x:c>
      <x:c r="L1890" s="12" t="n">
        <x:v>2163.61825</x:v>
      </x:c>
      <x:c r="M1890" s="13" t="n">
        <x:v>0.4221424362393514</x:v>
      </x:c>
      <x:c r="N1890" s="13" t="n">
        <x:f>H1890/G1890</x:f>
        <x:v>0.03950542052228768</x:v>
      </x:c>
      <x:c r="O1890" s="13" t="n">
        <x:f>F1890/E1890</x:f>
        <x:v>0</x:v>
      </x:c>
      <x:c r="P1890" s="2" t="str">
        <x:f>IF(AND(E1890&gt;='Итоги'!$F$5,N1890&lt;='Итоги'!$B$5,O1890&gt;='Итоги'!$D$5),"Да","Нет")</x:f>
        <x:v>Нет</x:v>
      </x:c>
    </x:row>
    <x:row r="1891" ht="60" customHeight="1">
      <x:c r="A1891" s="14" t="str">
        <x:v>Мебель</x:v>
      </x:c>
      <x:c r="B1891" s="14" t="str">
        <x:v>Корпусная мебель и мебель для хранения</x:v>
      </x:c>
      <x:c r="C1891" s="14" t="str">
        <x:v>Мебель для кухни</x:v>
      </x:c>
      <x:c r="D1891" s="14" t="str">
        <x:v>Напольные модули для кухни</x:v>
      </x:c>
      <x:c r="E1891" s="2" t="n">
        <x:v>189</x:v>
      </x:c>
      <x:c r="F1891" s="2" t="n">
        <x:v>0</x:v>
      </x:c>
      <x:c r="G1891" s="12" t="n">
        <x:v>31963379.1667</x:v>
      </x:c>
      <x:c r="H1891" s="12" t="n">
        <x:v>1264950.63359756</x:v>
      </x:c>
      <x:c r="I1891" s="13" t="n">
        <x:v>0.0442391534391534</x:v>
      </x:c>
      <x:c r="J1891" s="2" t="n">
        <x:v>28</x:v>
      </x:c>
      <x:c r="K1891" s="2" t="n">
        <x:v>12</x:v>
      </x:c>
      <x:c r="L1891" s="12" t="n">
        <x:v>3747.5556</x:v>
      </x:c>
      <x:c r="M1891" s="13" t="n">
        <x:v>0.7096385867621582</x:v>
      </x:c>
      <x:c r="N1891" s="13" t="n">
        <x:f>H1891/G1891</x:f>
        <x:v>0.03957499696763624</x:v>
      </x:c>
      <x:c r="O1891" s="13" t="n">
        <x:f>F1891/E1891</x:f>
        <x:v>0</x:v>
      </x:c>
      <x:c r="P1891" s="2" t="str">
        <x:f>IF(AND(E1891&gt;='Итоги'!$F$5,N1891&lt;='Итоги'!$B$5,O1891&gt;='Итоги'!$D$5),"Да","Нет")</x:f>
        <x:v>Нет</x:v>
      </x:c>
    </x:row>
    <x:row r="1892" ht="60" customHeight="1">
      <x:c r="A1892" s="14" t="str">
        <x:v>Книги</x:v>
      </x:c>
      <x:c r="B1892" s="14" t="str">
        <x:v>Печатные книги: Нехудожественная литература</x:v>
      </x:c>
      <x:c r="C1892" s="14" t="str">
        <x:v>Печатная книга: Саморазвитие</x:v>
      </x:c>
      <x:c r="D1892" s="14" t="str">
        <x:v>Печатная книга: Саморазвитие</x:v>
      </x:c>
      <x:c r="E1892" s="2" t="n">
        <x:v>5</x:v>
      </x:c>
      <x:c r="F1892" s="2" t="n">
        <x:v>0</x:v>
      </x:c>
      <x:c r="G1892" s="12" t="n">
        <x:v>204487.6314</x:v>
      </x:c>
      <x:c r="H1892" s="12" t="n">
        <x:v>8108.437060459999</x:v>
      </x:c>
      <x:c r="I1892" s="13" t="n">
        <x:v>0.01884</x:v>
      </x:c>
      <x:c r="J1892" s="2" t="n">
        <x:v>2</x:v>
      </x:c>
      <x:c r="K1892" s="2" t="n">
        <x:v>3</x:v>
      </x:c>
      <x:c r="L1892" s="12" t="n">
        <x:v>1004.9043</x:v>
      </x:c>
      <x:c r="M1892" s="13" t="n">
        <x:v>0.9003558314970047</x:v>
      </x:c>
      <x:c r="N1892" s="13" t="n">
        <x:f>H1892/G1892</x:f>
        <x:v>0.03965245724128427</x:v>
      </x:c>
      <x:c r="O1892" s="13" t="n">
        <x:f>F1892/E1892</x:f>
        <x:v>0</x:v>
      </x:c>
      <x:c r="P1892" s="2" t="str">
        <x:f>IF(AND(E1892&gt;='Итоги'!$F$5,N1892&lt;='Итоги'!$B$5,O1892&gt;='Итоги'!$D$5),"Да","Нет")</x:f>
        <x:v>Нет</x:v>
      </x:c>
    </x:row>
    <x:row r="1893" ht="60" customHeight="1">
      <x:c r="A1893" s="14" t="str">
        <x:v>Книги</x:v>
      </x:c>
      <x:c r="B1893" s="14" t="str">
        <x:v>Печатные книги: Нехудожественная литература</x:v>
      </x:c>
      <x:c r="C1893" s="14" t="str">
        <x:v>Печатная книга: Религия</x:v>
      </x:c>
      <x:c r="D1893" s="14" t="str">
        <x:v>Печатная книга: Религия</x:v>
      </x:c>
      <x:c r="E1893" s="2" t="n">
        <x:v>13</x:v>
      </x:c>
      <x:c r="F1893" s="2" t="n">
        <x:v>0</x:v>
      </x:c>
      <x:c r="G1893" s="12" t="n">
        <x:v>797372.47</x:v>
      </x:c>
      <x:c r="H1893" s="12" t="n">
        <x:v>31624.423464000003</x:v>
      </x:c>
      <x:c r="I1893" s="13" t="n">
        <x:v>0.0358230769230769</x:v>
      </x:c>
      <x:c r="J1893" s="2" t="n">
        <x:v>4</x:v>
      </x:c>
      <x:c r="K1893" s="2" t="n">
        <x:v>9</x:v>
      </x:c>
      <x:c r="L1893" s="12" t="n">
        <x:v>2865.069</x:v>
      </x:c>
      <x:c r="M1893" s="13" t="n">
        <x:v>0.3016486887238532</x:v>
      </x:c>
      <x:c r="N1893" s="13" t="n">
        <x:f>H1893/G1893</x:f>
        <x:v>0.0396607917301183</x:v>
      </x:c>
      <x:c r="O1893" s="13" t="n">
        <x:f>F1893/E1893</x:f>
        <x:v>0</x:v>
      </x:c>
      <x:c r="P1893" s="2" t="str">
        <x:f>IF(AND(E1893&gt;='Итоги'!$F$5,N1893&lt;='Итоги'!$B$5,O1893&gt;='Итоги'!$D$5),"Да","Нет")</x:f>
        <x:v>Нет</x:v>
      </x:c>
    </x:row>
    <x:row r="1894" ht="60" customHeight="1">
      <x:c r="A1894" s="14" t="str">
        <x:v>Мелкая бытовая техника</x:v>
      </x:c>
      <x:c r="B1894" s="14" t="str">
        <x:v>Мелкая бытовая техника SDA</x:v>
      </x:c>
      <x:c r="C1894" s="14" t="str">
        <x:v>Электронная кухонная техника SDA</x:v>
      </x:c>
      <x:c r="D1894" s="14" t="str">
        <x:v>Кулер для воды</x:v>
      </x:c>
      <x:c r="E1894" s="2" t="n">
        <x:v>58</x:v>
      </x:c>
      <x:c r="F1894" s="2" t="n">
        <x:v>0</x:v>
      </x:c>
      <x:c r="G1894" s="12" t="n">
        <x:v>13044645.0919</x:v>
      </x:c>
      <x:c r="H1894" s="12" t="n">
        <x:v>517420.4583079</x:v>
      </x:c>
      <x:c r="I1894" s="13" t="n">
        <x:v>0.0399258620689655</x:v>
      </x:c>
      <x:c r="J1894" s="2" t="n">
        <x:v>35</x:v>
      </x:c>
      <x:c r="K1894" s="2" t="n">
        <x:v>6</x:v>
      </x:c>
      <x:c r="L1894" s="12" t="n">
        <x:v>7543.72565</x:v>
      </x:c>
      <x:c r="M1894" s="13" t="n">
        <x:v>0.8946540878177436</x:v>
      </x:c>
      <x:c r="N1894" s="13" t="n">
        <x:f>H1894/G1894</x:f>
        <x:v>0.039665353458269964</x:v>
      </x:c>
      <x:c r="O1894" s="13" t="n">
        <x:f>F1894/E1894</x:f>
        <x:v>0</x:v>
      </x:c>
      <x:c r="P1894" s="2" t="str">
        <x:f>IF(AND(E1894&gt;='Итоги'!$F$5,N1894&lt;='Итоги'!$B$5,O1894&gt;='Итоги'!$D$5),"Да","Нет")</x:f>
        <x:v>Нет</x:v>
      </x:c>
    </x:row>
    <x:row r="1895" ht="60" customHeight="1">
      <x:c r="A1895" s="14" t="str">
        <x:v>Строительство и ремонт (DIY)</x:v>
      </x:c>
      <x:c r="B1895" s="14" t="str">
        <x:v>Ремонт и строительство</x:v>
      </x:c>
      <x:c r="C1895" s="14" t="str">
        <x:v>Изоляционные материалы</x:v>
      </x:c>
      <x:c r="D1895" s="14" t="str">
        <x:v>Теплоизоляция жидкая</x:v>
      </x:c>
      <x:c r="E1895" s="2" t="n">
        <x:v>24</x:v>
      </x:c>
      <x:c r="F1895" s="2" t="n">
        <x:v>0</x:v>
      </x:c>
      <x:c r="G1895" s="12" t="n">
        <x:v>8089597.0778</x:v>
      </x:c>
      <x:c r="H1895" s="12" t="n">
        <x:v>321064.84469955</x:v>
      </x:c>
      <x:c r="I1895" s="13" t="n">
        <x:v>0.0370333333333333</x:v>
      </x:c>
      <x:c r="J1895" s="2" t="n">
        <x:v>14</x:v>
      </x:c>
      <x:c r="K1895" s="2" t="n">
        <x:v>8</x:v>
      </x:c>
      <x:c r="L1895" s="12" t="n">
        <x:v>4583.9622</x:v>
      </x:c>
      <x:c r="M1895" s="13" t="n">
        <x:v>0.3956849730852735</x:v>
      </x:c>
      <x:c r="N1895" s="13" t="n">
        <x:f>H1895/G1895</x:f>
        <x:v>0.0396886076786985</x:v>
      </x:c>
      <x:c r="O1895" s="13" t="n">
        <x:f>F1895/E1895</x:f>
        <x:v>0</x:v>
      </x:c>
      <x:c r="P1895" s="2" t="str">
        <x:f>IF(AND(E1895&gt;='Итоги'!$F$5,N1895&lt;='Итоги'!$B$5,O1895&gt;='Итоги'!$D$5),"Да","Нет")</x:f>
        <x:v>Нет</x:v>
      </x:c>
    </x:row>
    <x:row r="1896" ht="60" customHeight="1">
      <x:c r="A1896" s="14" t="str">
        <x:v>Аптека</x:v>
      </x:c>
      <x:c r="B1896" s="14" t="str">
        <x:v>Медицинские изделия</x:v>
      </x:c>
      <x:c r="C1896" s="14" t="str">
        <x:v>Медицинские изделия</x:v>
      </x:c>
      <x:c r="D1896" s="14" t="str">
        <x:v>Грелка</x:v>
      </x:c>
      <x:c r="E1896" s="2" t="n">
        <x:v>1</x:v>
      </x:c>
      <x:c r="F1896" s="2" t="n">
        <x:v>0</x:v>
      </x:c>
      <x:c r="G1896" s="12" t="n">
        <x:v>264455.6</x:v>
      </x:c>
      <x:c r="H1896" s="12" t="n">
        <x:v>10498.887319999998</x:v>
      </x:c>
      <x:c r="I1896" s="13" t="n">
        <x:v>0.0397</x:v>
      </x:c>
      <x:c r="J1896" s="2" t="n">
        <x:v>0</x:v>
      </x:c>
      <x:c r="K1896" s="2" t="n">
        <x:v>1</x:v>
      </x:c>
      <x:c r="L1896" s="12" t="n">
        <x:v>757.7524</x:v>
      </x:c>
      <x:c r="M1896" s="13" t="n">
        <x:v>1</x:v>
      </x:c>
      <x:c r="N1896" s="13" t="n">
        <x:f>H1896/G1896</x:f>
        <x:v>0.0397</x:v>
      </x:c>
      <x:c r="O1896" s="13" t="n">
        <x:f>F1896/E1896</x:f>
        <x:v>0</x:v>
      </x:c>
      <x:c r="P1896" s="2" t="str">
        <x:f>IF(AND(E1896&gt;='Итоги'!$F$5,N1896&lt;='Итоги'!$B$5,O1896&gt;='Итоги'!$D$5),"Да","Нет")</x:f>
        <x:v>Нет</x:v>
      </x:c>
    </x:row>
    <x:row r="1897" ht="60" customHeight="1">
      <x:c r="A1897" s="14" t="str">
        <x:v>Одежда</x:v>
      </x:c>
      <x:c r="B1897" s="14" t="str">
        <x:v>Основная одежда мужская</x:v>
      </x:c>
      <x:c r="C1897" s="14" t="str">
        <x:v>Спортивная основная одежда мужская низы</x:v>
      </x:c>
      <x:c r="D1897" s="14" t="str">
        <x:v>Спортивные брюки мужские</x:v>
      </x:c>
      <x:c r="E1897" s="2" t="n">
        <x:v>524</x:v>
      </x:c>
      <x:c r="F1897" s="2" t="n">
        <x:v>0</x:v>
      </x:c>
      <x:c r="G1897" s="12" t="n">
        <x:v>61208336.4782</x:v>
      </x:c>
      <x:c r="H1897" s="12" t="n">
        <x:v>2433616.19494097</x:v>
      </x:c>
      <x:c r="I1897" s="13" t="n">
        <x:v>0.0370423664122137</x:v>
      </x:c>
      <x:c r="J1897" s="2" t="n">
        <x:v>368</x:v>
      </x:c>
      <x:c r="K1897" s="2" t="n">
        <x:v>27</x:v>
      </x:c>
      <x:c r="L1897" s="12" t="n">
        <x:v>1827.5297</x:v>
      </x:c>
      <x:c r="M1897" s="13" t="n">
        <x:v>0.4248450333029655</x:v>
      </x:c>
      <x:c r="N1897" s="13" t="n">
        <x:f>H1897/G1897</x:f>
        <x:v>0.039759554579754476</x:v>
      </x:c>
      <x:c r="O1897" s="13" t="n">
        <x:f>F1897/E1897</x:f>
        <x:v>0</x:v>
      </x:c>
      <x:c r="P1897" s="2" t="str">
        <x:f>IF(AND(E1897&gt;='Итоги'!$F$5,N1897&lt;='Итоги'!$B$5,O1897&gt;='Итоги'!$D$5),"Да","Нет")</x:f>
        <x:v>Нет</x:v>
      </x:c>
    </x:row>
    <x:row r="1898" ht="60" customHeight="1">
      <x:c r="A1898" s="14" t="str">
        <x:v>Детская одежда</x:v>
      </x:c>
      <x:c r="B1898" s="14" t="str">
        <x:v>Детская одежда</x:v>
      </x:c>
      <x:c r="C1898" s="14" t="str">
        <x:v>Одежда для мальчика</x:v>
      </x:c>
      <x:c r="D1898" s="14" t="str">
        <x:v>Шорты для мальчика</x:v>
      </x:c>
      <x:c r="E1898" s="2" t="n">
        <x:v>23</x:v>
      </x:c>
      <x:c r="F1898" s="2" t="n">
        <x:v>0</x:v>
      </x:c>
      <x:c r="G1898" s="12" t="n">
        <x:v>1143308.3704</x:v>
      </x:c>
      <x:c r="H1898" s="12" t="n">
        <x:v>45496.56864492</x:v>
      </x:c>
      <x:c r="I1898" s="13" t="n">
        <x:v>0.0306173913043478</x:v>
      </x:c>
      <x:c r="J1898" s="2" t="n">
        <x:v>11</x:v>
      </x:c>
      <x:c r="K1898" s="2" t="n">
        <x:v>5</x:v>
      </x:c>
      <x:c r="L1898" s="12" t="n">
        <x:v>928.4974</x:v>
      </x:c>
      <x:c r="M1898" s="13" t="n">
        <x:v>0.8840191820220755</x:v>
      </x:c>
      <x:c r="N1898" s="13" t="n">
        <x:f>H1898/G1898</x:f>
        <x:v>0.039793786018554635</x:v>
      </x:c>
      <x:c r="O1898" s="13" t="n">
        <x:f>F1898/E1898</x:f>
        <x:v>0</x:v>
      </x:c>
      <x:c r="P1898" s="2" t="str">
        <x:f>IF(AND(E1898&gt;='Итоги'!$F$5,N1898&lt;='Итоги'!$B$5,O1898&gt;='Итоги'!$D$5),"Да","Нет")</x:f>
        <x:v>Нет</x:v>
      </x:c>
    </x:row>
    <x:row r="1899" ht="60" customHeight="1">
      <x:c r="A1899" s="14" t="str">
        <x:v>Товары для красоты и здоровья</x:v>
      </x:c>
      <x:c r="B1899" s="14" t="str">
        <x:v>Косметические средства для детей и беременных</x:v>
      </x:c>
      <x:c r="C1899" s="14" t="str">
        <x:v>Детская гигиена Health&amp;Beauty</x:v>
      </x:c>
      <x:c r="D1899" s="14" t="str">
        <x:v>Средство для купания, умывания детей</x:v>
      </x:c>
      <x:c r="E1899" s="2" t="n">
        <x:v>12</x:v>
      </x:c>
      <x:c r="F1899" s="2" t="n">
        <x:v>0</x:v>
      </x:c>
      <x:c r="G1899" s="12" t="n">
        <x:v>2335849.4342</x:v>
      </x:c>
      <x:c r="H1899" s="12" t="n">
        <x:v>93045.47485399</x:v>
      </x:c>
      <x:c r="I1899" s="13" t="n">
        <x:v>0.0469916666666666</x:v>
      </x:c>
      <x:c r="J1899" s="2" t="n">
        <x:v>4</x:v>
      </x:c>
      <x:c r="K1899" s="2" t="n">
        <x:v>7</x:v>
      </x:c>
      <x:c r="L1899" s="12" t="n">
        <x:v>926.27415</x:v>
      </x:c>
      <x:c r="M1899" s="13" t="n">
        <x:v>0.3617271971082253</x:v>
      </x:c>
      <x:c r="N1899" s="13" t="n">
        <x:f>H1899/G1899</x:f>
        <x:v>0.039833678272100166</x:v>
      </x:c>
      <x:c r="O1899" s="13" t="n">
        <x:f>F1899/E1899</x:f>
        <x:v>0</x:v>
      </x:c>
      <x:c r="P1899" s="2" t="str">
        <x:f>IF(AND(E1899&gt;='Итоги'!$F$5,N1899&lt;='Итоги'!$B$5,O1899&gt;='Итоги'!$D$5),"Да","Нет")</x:f>
        <x:v>Нет</x:v>
      </x:c>
    </x:row>
    <x:row r="1900" ht="60" customHeight="1">
      <x:c r="A1900" s="14" t="str">
        <x:v>Автотовары</x:v>
      </x:c>
      <x:c r="B1900" s="14" t="str">
        <x:v>Авто и мото запчасти</x:v>
      </x:c>
      <x:c r="C1900" s="14" t="str">
        <x:v>Система питания автомобиля</x:v>
      </x:c>
      <x:c r="D1900" s="14" t="str">
        <x:v>Топливный бак и составляющие</x:v>
      </x:c>
      <x:c r="E1900" s="2" t="n">
        <x:v>4</x:v>
      </x:c>
      <x:c r="F1900" s="2" t="n">
        <x:v>0</x:v>
      </x:c>
      <x:c r="G1900" s="12" t="n">
        <x:v>565580.8205</x:v>
      </x:c>
      <x:c r="H1900" s="12" t="n">
        <x:v>22533.723296350003</x:v>
      </x:c>
      <x:c r="I1900" s="13" t="n">
        <x:v>0.0795</x:v>
      </x:c>
      <x:c r="J1900" s="2" t="n">
        <x:v>1</x:v>
      </x:c>
      <x:c r="K1900" s="2" t="n">
        <x:v>4</x:v>
      </x:c>
      <x:c r="L1900" s="12" t="n">
        <x:v>3800.4452</x:v>
      </x:c>
      <x:c r="M1900" s="13" t="n">
        <x:v>0.6220434237656403</x:v>
      </x:c>
      <x:c r="N1900" s="13" t="n">
        <x:f>H1900/G1900</x:f>
        <x:v>0.03984173875703411</x:v>
      </x:c>
      <x:c r="O1900" s="13" t="n">
        <x:f>F1900/E1900</x:f>
        <x:v>0</x:v>
      </x:c>
      <x:c r="P1900" s="2" t="str">
        <x:f>IF(AND(E1900&gt;='Итоги'!$F$5,N1900&lt;='Итоги'!$B$5,O1900&gt;='Итоги'!$D$5),"Да","Нет")</x:f>
        <x:v>Нет</x:v>
      </x:c>
    </x:row>
    <x:row r="1901" ht="60" customHeight="1">
      <x:c r="A1901" s="14" t="str">
        <x:v>Детская одежда</x:v>
      </x:c>
      <x:c r="B1901" s="14" t="str">
        <x:v>Детская одежда</x:v>
      </x:c>
      <x:c r="C1901" s="14" t="str">
        <x:v>Одежда спортивная для девочки</x:v>
      </x:c>
      <x:c r="D1901" s="14" t="str">
        <x:v>Шорты спортивные для девочки</x:v>
      </x:c>
      <x:c r="E1901" s="2" t="n">
        <x:v>10</x:v>
      </x:c>
      <x:c r="F1901" s="2" t="n">
        <x:v>0</x:v>
      </x:c>
      <x:c r="G1901" s="12" t="n">
        <x:v>627225.74</x:v>
      </x:c>
      <x:c r="H1901" s="12" t="n">
        <x:v>25014.551262</x:v>
      </x:c>
      <x:c r="I1901" s="13" t="n">
        <x:v>0.03497</x:v>
      </x:c>
      <x:c r="J1901" s="2" t="n">
        <x:v>7</x:v>
      </x:c>
      <x:c r="K1901" s="2" t="n">
        <x:v>4</x:v>
      </x:c>
      <x:c r="L1901" s="12" t="n">
        <x:v>1058.94245</x:v>
      </x:c>
      <x:c r="M1901" s="13" t="n">
        <x:v>0.3061017872130056</x:v>
      </x:c>
      <x:c r="N1901" s="13" t="n">
        <x:f>H1901/G1901</x:f>
        <x:v>0.03988125752300918</x:v>
      </x:c>
      <x:c r="O1901" s="13" t="n">
        <x:f>F1901/E1901</x:f>
        <x:v>0</x:v>
      </x:c>
      <x:c r="P1901" s="2" t="str">
        <x:f>IF(AND(E1901&gt;='Итоги'!$F$5,N1901&lt;='Итоги'!$B$5,O1901&gt;='Итоги'!$D$5),"Да","Нет")</x:f>
        <x:v>Нет</x:v>
      </x:c>
    </x:row>
    <x:row r="1902" ht="60" customHeight="1">
      <x:c r="A1902" s="14" t="str">
        <x:v>Ноутбуки и компьютеры</x:v>
      </x:c>
      <x:c r="B1902" s="14" t="str">
        <x:v>Компьютерные комплектующие Lap&amp;Comp</x:v>
      </x:c>
      <x:c r="C1902" s="14" t="str">
        <x:v>Компьютерные комплектующие Lap&amp;Comp</x:v>
      </x:c>
      <x:c r="D1902" s="14" t="str">
        <x:v>Внешняя звуковая карта</x:v>
      </x:c>
      <x:c r="E1902" s="2" t="n">
        <x:v>16</x:v>
      </x:c>
      <x:c r="F1902" s="2" t="n">
        <x:v>0</x:v>
      </x:c>
      <x:c r="G1902" s="12" t="n">
        <x:v>4753005.1927</x:v>
      </x:c>
      <x:c r="H1902" s="12" t="n">
        <x:v>189556.3547242</x:v>
      </x:c>
      <x:c r="I1902" s="13" t="n">
        <x:v>0.03249375</x:v>
      </x:c>
      <x:c r="J1902" s="2" t="n">
        <x:v>10</x:v>
      </x:c>
      <x:c r="K1902" s="2" t="n">
        <x:v>8</x:v>
      </x:c>
      <x:c r="L1902" s="12" t="n">
        <x:v>16890.4376</x:v>
      </x:c>
      <x:c r="M1902" s="13" t="n">
        <x:v>0.3947007732668409</x:v>
      </x:c>
      <x:c r="N1902" s="13" t="n">
        <x:f>H1902/G1902</x:f>
        <x:v>0.03988136916310001</x:v>
      </x:c>
      <x:c r="O1902" s="13" t="n">
        <x:f>F1902/E1902</x:f>
        <x:v>0</x:v>
      </x:c>
      <x:c r="P1902" s="2" t="str">
        <x:f>IF(AND(E1902&gt;='Итоги'!$F$5,N1902&lt;='Итоги'!$B$5,O1902&gt;='Итоги'!$D$5),"Да","Нет")</x:f>
        <x:v>Нет</x:v>
      </x:c>
    </x:row>
    <x:row r="1903" ht="60" customHeight="1">
      <x:c r="A1903" s="14" t="str">
        <x:v>Аксессуары для электроники</x:v>
      </x:c>
      <x:c r="B1903" s="14" t="str">
        <x:v>Бытовая техника Access</x:v>
      </x:c>
      <x:c r="C1903" s="14" t="str">
        <x:v>Запчасти для бытовой техники Access</x:v>
      </x:c>
      <x:c r="D1903" s="14" t="str">
        <x:v>Запчасти для пылесоса</x:v>
      </x:c>
      <x:c r="E1903" s="2" t="n">
        <x:v>39</x:v>
      </x:c>
      <x:c r="F1903" s="2" t="n">
        <x:v>0</x:v>
      </x:c>
      <x:c r="G1903" s="12" t="n">
        <x:v>5003490.3423</x:v>
      </x:c>
      <x:c r="H1903" s="12" t="n">
        <x:v>199926.03713683</x:v>
      </x:c>
      <x:c r="I1903" s="13" t="n">
        <x:v>0.0394153846153846</x:v>
      </x:c>
      <x:c r="J1903" s="2" t="n">
        <x:v>20</x:v>
      </x:c>
      <x:c r="K1903" s="2" t="n">
        <x:v>15</x:v>
      </x:c>
      <x:c r="L1903" s="12" t="n">
        <x:v>1574.3358</x:v>
      </x:c>
      <x:c r="M1903" s="13" t="n">
        <x:v>0.3932279488713024</x:v>
      </x:c>
      <x:c r="N1903" s="13" t="n">
        <x:f>H1903/G1903</x:f>
        <x:v>0.039957314486376766</x:v>
      </x:c>
      <x:c r="O1903" s="13" t="n">
        <x:f>F1903/E1903</x:f>
        <x:v>0</x:v>
      </x:c>
      <x:c r="P1903" s="2" t="str">
        <x:f>IF(AND(E1903&gt;='Итоги'!$F$5,N1903&lt;='Итоги'!$B$5,O1903&gt;='Итоги'!$D$5),"Да","Нет")</x:f>
        <x:v>Нет</x:v>
      </x:c>
    </x:row>
    <x:row r="1904" ht="60" customHeight="1">
      <x:c r="A1904" s="14" t="str">
        <x:v>Товары для дома</x:v>
      </x:c>
      <x:c r="B1904" s="14" t="str">
        <x:v>Аксессуары для уборки и стирки</x:v>
      </x:c>
      <x:c r="C1904" s="14" t="str">
        <x:v>HoReCa</x:v>
      </x:c>
      <x:c r="D1904" s="14" t="str">
        <x:v>Диспенсер для бумажных полотенец, туалетной бумаги HoReCa</x:v>
      </x:c>
      <x:c r="E1904" s="2" t="n">
        <x:v>13</x:v>
      </x:c>
      <x:c r="F1904" s="2" t="n">
        <x:v>0</x:v>
      </x:c>
      <x:c r="G1904" s="12" t="n">
        <x:v>1581397.3362</x:v>
      </x:c>
      <x:c r="H1904" s="12" t="n">
        <x:v>63230.5070256</x:v>
      </x:c>
      <x:c r="I1904" s="13" t="n">
        <x:v>0.0413538461538461</x:v>
      </x:c>
      <x:c r="J1904" s="2" t="n">
        <x:v>8</x:v>
      </x:c>
      <x:c r="K1904" s="2" t="n">
        <x:v>4</x:v>
      </x:c>
      <x:c r="L1904" s="12" t="n">
        <x:v>3241</x:v>
      </x:c>
      <x:c r="M1904" s="13" t="n">
        <x:v>0.6571437554695433</x:v>
      </x:c>
      <x:c r="N1904" s="13" t="n">
        <x:f>H1904/G1904</x:f>
        <x:v>0.03998394684130365</x:v>
      </x:c>
      <x:c r="O1904" s="13" t="n">
        <x:f>F1904/E1904</x:f>
        <x:v>0</x:v>
      </x:c>
      <x:c r="P1904" s="2" t="str">
        <x:f>IF(AND(E1904&gt;='Итоги'!$F$5,N1904&lt;='Итоги'!$B$5,O1904&gt;='Итоги'!$D$5),"Да","Нет")</x:f>
        <x:v>Нет</x:v>
      </x:c>
    </x:row>
    <x:row r="1905" ht="60" customHeight="1">
      <x:c r="A1905" s="14" t="str">
        <x:v>Игрушки</x:v>
      </x:c>
      <x:c r="B1905" s="14" t="str">
        <x:v>Игрушки</x:v>
      </x:c>
      <x:c r="C1905" s="14" t="str">
        <x:v>Конструктор</x:v>
      </x:c>
      <x:c r="D1905" s="14" t="str">
        <x:v>Конструктор мягкий</x:v>
      </x:c>
      <x:c r="E1905" s="2" t="n">
        <x:v>3</x:v>
      </x:c>
      <x:c r="F1905" s="2" t="n">
        <x:v>0</x:v>
      </x:c>
      <x:c r="G1905" s="12" t="n">
        <x:v>346045.9737</x:v>
      </x:c>
      <x:c r="H1905" s="12" t="n">
        <x:v>13836.648399999998</x:v>
      </x:c>
      <x:c r="I1905" s="13" t="n">
        <x:v>0.0699333333333333</x:v>
      </x:c>
      <x:c r="J1905" s="2" t="n">
        <x:v>1</x:v>
      </x:c>
      <x:c r="K1905" s="2" t="n">
        <x:v>2</x:v>
      </x:c>
      <x:c r="L1905" s="12" t="n">
        <x:v>2053</x:v>
      </x:c>
      <x:c r="M1905" s="13" t="n">
        <x:v>0.5472566886854665</x:v>
      </x:c>
      <x:c r="N1905" s="13" t="n">
        <x:f>H1905/G1905</x:f>
        <x:v>0.039985000409210075</x:v>
      </x:c>
      <x:c r="O1905" s="13" t="n">
        <x:f>F1905/E1905</x:f>
        <x:v>0</x:v>
      </x:c>
      <x:c r="P1905" s="2" t="str">
        <x:f>IF(AND(E1905&gt;='Итоги'!$F$5,N1905&lt;='Итоги'!$B$5,O1905&gt;='Итоги'!$D$5),"Да","Нет")</x:f>
        <x:v>Нет</x:v>
      </x:c>
    </x:row>
    <x:row r="1906" ht="60" customHeight="1">
      <x:c r="A1906" s="14" t="str">
        <x:v>Одежда</x:v>
      </x:c>
      <x:c r="B1906" s="14" t="str">
        <x:v>Основная одежда женская</x:v>
      </x:c>
      <x:c r="C1906" s="14" t="str">
        <x:v>Основная одежда для беременных и кормящих</x:v>
      </x:c>
      <x:c r="D1906" s="14" t="str">
        <x:v>Джинсы для беременных</x:v>
      </x:c>
      <x:c r="E1906" s="2" t="n">
        <x:v>107</x:v>
      </x:c>
      <x:c r="F1906" s="2" t="n">
        <x:v>0</x:v>
      </x:c>
      <x:c r="G1906" s="12" t="n">
        <x:v>10773907.3335</x:v>
      </x:c>
      <x:c r="H1906" s="12" t="n">
        <x:v>431367.23283249</x:v>
      </x:c>
      <x:c r="I1906" s="13" t="n">
        <x:v>0.0290831775700934</x:v>
      </x:c>
      <x:c r="J1906" s="2" t="n">
        <x:v>63</x:v>
      </x:c>
      <x:c r="K1906" s="2" t="n">
        <x:v>13</x:v>
      </x:c>
      <x:c r="L1906" s="12" t="n">
        <x:v>1655.6578</x:v>
      </x:c>
      <x:c r="M1906" s="13" t="n">
        <x:v>0.5654264047508758</x:v>
      </x:c>
      <x:c r="N1906" s="13" t="n">
        <x:f>H1906/G1906</x:f>
        <x:v>0.04003814210385978</x:v>
      </x:c>
      <x:c r="O1906" s="13" t="n">
        <x:f>F1906/E1906</x:f>
        <x:v>0</x:v>
      </x:c>
      <x:c r="P1906" s="2" t="str">
        <x:f>IF(AND(E1906&gt;='Итоги'!$F$5,N1906&lt;='Итоги'!$B$5,O1906&gt;='Итоги'!$D$5),"Да","Нет")</x:f>
        <x:v>Нет</x:v>
      </x:c>
    </x:row>
    <x:row r="1907" ht="60" customHeight="1">
      <x:c r="A1907" s="14" t="str">
        <x:v>Спорт и отдых</x:v>
      </x:c>
      <x:c r="B1907" s="14" t="str">
        <x:v>Товары для рыбалки</x:v>
      </x:c>
      <x:c r="C1907" s="14" t="str">
        <x:v>Одежда для рыбалки</x:v>
      </x:c>
      <x:c r="D1907" s="14" t="str">
        <x:v>Полукомбинезон с сапогами рыболовный</x:v>
      </x:c>
      <x:c r="E1907" s="2" t="n">
        <x:v>15</x:v>
      </x:c>
      <x:c r="F1907" s="2" t="n">
        <x:v>0</x:v>
      </x:c>
      <x:c r="G1907" s="12" t="n">
        <x:v>1800552.31</x:v>
      </x:c>
      <x:c r="H1907" s="12" t="n">
        <x:v>72188.964049</x:v>
      </x:c>
      <x:c r="I1907" s="13" t="n">
        <x:v>0.0326399999999999</x:v>
      </x:c>
      <x:c r="J1907" s="2" t="n">
        <x:v>4</x:v>
      </x:c>
      <x:c r="K1907" s="2" t="n">
        <x:v>3</x:v>
      </x:c>
      <x:c r="L1907" s="12" t="n">
        <x:v>3697.0948</x:v>
      </x:c>
      <x:c r="M1907" s="13" t="n">
        <x:v>0.5756537503761832</x:v>
      </x:c>
      <x:c r="N1907" s="13" t="n">
        <x:f>H1907/G1907</x:f>
        <x:v>0.04009267803444155</x:v>
      </x:c>
      <x:c r="O1907" s="13" t="n">
        <x:f>F1907/E1907</x:f>
        <x:v>0</x:v>
      </x:c>
      <x:c r="P1907" s="2" t="str">
        <x:f>IF(AND(E1907&gt;='Итоги'!$F$5,N1907&lt;='Итоги'!$B$5,O1907&gt;='Итоги'!$D$5),"Да","Нет")</x:f>
        <x:v>Нет</x:v>
      </x:c>
    </x:row>
    <x:row r="1908" ht="60" customHeight="1">
      <x:c r="A1908" s="14" t="str">
        <x:v>Обувь</x:v>
      </x:c>
      <x:c r="B1908" s="14" t="str">
        <x:v>Обувь женская</x:v>
      </x:c>
      <x:c r="C1908" s="14" t="str">
        <x:v>Обувь женская повседневная</x:v>
      </x:c>
      <x:c r="D1908" s="14" t="str">
        <x:v>Женские Слипоны</x:v>
      </x:c>
      <x:c r="E1908" s="2" t="n">
        <x:v>119</x:v>
      </x:c>
      <x:c r="F1908" s="2" t="n">
        <x:v>0</x:v>
      </x:c>
      <x:c r="G1908" s="12" t="n">
        <x:v>8265083.8463</x:v>
      </x:c>
      <x:c r="H1908" s="12" t="n">
        <x:v>331486.04824211</x:v>
      </x:c>
      <x:c r="I1908" s="13" t="n">
        <x:v>0.0289781512605042</x:v>
      </x:c>
      <x:c r="J1908" s="2" t="n">
        <x:v>63</x:v>
      </x:c>
      <x:c r="K1908" s="2" t="n">
        <x:v>15</x:v>
      </x:c>
      <x:c r="L1908" s="12" t="n">
        <x:v>1856.5</x:v>
      </x:c>
      <x:c r="M1908" s="13" t="n">
        <x:v>0.3278388228587667</x:v>
      </x:c>
      <x:c r="N1908" s="13" t="n">
        <x:f>H1908/G1908</x:f>
        <x:v>0.04010679799582495</x:v>
      </x:c>
      <x:c r="O1908" s="13" t="n">
        <x:f>F1908/E1908</x:f>
        <x:v>0</x:v>
      </x:c>
      <x:c r="P1908" s="2" t="str">
        <x:f>IF(AND(E1908&gt;='Итоги'!$F$5,N1908&lt;='Итоги'!$B$5,O1908&gt;='Итоги'!$D$5),"Да","Нет")</x:f>
        <x:v>Нет</x:v>
      </x:c>
    </x:row>
    <x:row r="1909" ht="60" customHeight="1">
      <x:c r="A1909" s="14" t="str">
        <x:v>Автотовары</x:v>
      </x:c>
      <x:c r="B1909" s="14" t="str">
        <x:v>Авто и мото запчасти</x:v>
      </x:c>
      <x:c r="C1909" s="14" t="str">
        <x:v>Подвеска автомобиля</x:v>
      </x:c>
      <x:c r="D1909" s="14" t="str">
        <x:v>Амортизаторы и пружины подвески</x:v>
      </x:c>
      <x:c r="E1909" s="2" t="n">
        <x:v>147</x:v>
      </x:c>
      <x:c r="F1909" s="2" t="n">
        <x:v>0</x:v>
      </x:c>
      <x:c r="G1909" s="12" t="n">
        <x:v>18020110.8078</x:v>
      </x:c>
      <x:c r="H1909" s="12" t="n">
        <x:v>724583.58567286</x:v>
      </x:c>
      <x:c r="I1909" s="13" t="n">
        <x:v>0.0380088435374149</x:v>
      </x:c>
      <x:c r="J1909" s="2" t="n">
        <x:v>61</x:v>
      </x:c>
      <x:c r="K1909" s="2" t="n">
        <x:v>27</x:v>
      </x:c>
      <x:c r="L1909" s="12" t="n">
        <x:v>3007.1923</x:v>
      </x:c>
      <x:c r="M1909" s="13" t="n">
        <x:v>0.6754737678600348</x:v>
      </x:c>
      <x:c r="N1909" s="13" t="n">
        <x:f>H1909/G1909</x:f>
        <x:v>0.04020971865274126</x:v>
      </x:c>
      <x:c r="O1909" s="13" t="n">
        <x:f>F1909/E1909</x:f>
        <x:v>0</x:v>
      </x:c>
      <x:c r="P1909" s="2" t="str">
        <x:f>IF(AND(E1909&gt;='Итоги'!$F$5,N1909&lt;='Итоги'!$B$5,O1909&gt;='Итоги'!$D$5),"Да","Нет")</x:f>
        <x:v>Нет</x:v>
      </x:c>
    </x:row>
    <x:row r="1910" ht="60" customHeight="1">
      <x:c r="A1910" s="14" t="str">
        <x:v>Мебель</x:v>
      </x:c>
      <x:c r="B1910" s="14" t="str">
        <x:v>Мягкая мебель</x:v>
      </x:c>
      <x:c r="C1910" s="14" t="str">
        <x:v>Кресло</x:v>
      </x:c>
      <x:c r="D1910" s="14" t="str">
        <x:v>Кресла-качалки</x:v>
      </x:c>
      <x:c r="E1910" s="2" t="n">
        <x:v>67</x:v>
      </x:c>
      <x:c r="F1910" s="2" t="n">
        <x:v>0</x:v>
      </x:c>
      <x:c r="G1910" s="12" t="n">
        <x:v>14393803.097</x:v>
      </x:c>
      <x:c r="H1910" s="12" t="n">
        <x:v>578851.94202588</x:v>
      </x:c>
      <x:c r="I1910" s="13" t="n">
        <x:v>0.0397850746268656</x:v>
      </x:c>
      <x:c r="J1910" s="2" t="n">
        <x:v>24</x:v>
      </x:c>
      <x:c r="K1910" s="2" t="n">
        <x:v>13</x:v>
      </x:c>
      <x:c r="L1910" s="12" t="n">
        <x:v>8573.0244</x:v>
      </x:c>
      <x:c r="M1910" s="13" t="n">
        <x:v>0.6296398767320167</x:v>
      </x:c>
      <x:c r="N1910" s="13" t="n">
        <x:f>H1910/G1910</x:f>
        <x:v>0.040215357826211065</x:v>
      </x:c>
      <x:c r="O1910" s="13" t="n">
        <x:f>F1910/E1910</x:f>
        <x:v>0</x:v>
      </x:c>
      <x:c r="P1910" s="2" t="str">
        <x:f>IF(AND(E1910&gt;='Итоги'!$F$5,N1910&lt;='Итоги'!$B$5,O1910&gt;='Итоги'!$D$5),"Да","Нет")</x:f>
        <x:v>Нет</x:v>
      </x:c>
    </x:row>
    <x:row r="1911" ht="60" customHeight="1">
      <x:c r="A1911" s="14" t="str">
        <x:v>Детская одежда</x:v>
      </x:c>
      <x:c r="B1911" s="14" t="str">
        <x:v>Детская одежда</x:v>
      </x:c>
      <x:c r="C1911" s="14" t="str">
        <x:v>Одежда для девочки</x:v>
      </x:c>
      <x:c r="D1911" s="14" t="str">
        <x:v>Джемпер для девочки</x:v>
      </x:c>
      <x:c r="E1911" s="2" t="n">
        <x:v>19</x:v>
      </x:c>
      <x:c r="F1911" s="2" t="n">
        <x:v>0</x:v>
      </x:c>
      <x:c r="G1911" s="12" t="n">
        <x:v>1061170.13</x:v>
      </x:c>
      <x:c r="H1911" s="12" t="n">
        <x:v>42727.585862</x:v>
      </x:c>
      <x:c r="I1911" s="13" t="n">
        <x:v>0.0387210526315789</x:v>
      </x:c>
      <x:c r="J1911" s="2" t="n">
        <x:v>13</x:v>
      </x:c>
      <x:c r="K1911" s="2" t="n">
        <x:v>5</x:v>
      </x:c>
      <x:c r="L1911" s="12" t="n">
        <x:v>882.3978</x:v>
      </x:c>
      <x:c r="M1911" s="13" t="n">
        <x:v>0.3509481651165586</x:v>
      </x:c>
      <x:c r="N1911" s="13" t="n">
        <x:f>H1911/G1911</x:f>
        <x:v>0.0402645953311935</x:v>
      </x:c>
      <x:c r="O1911" s="13" t="n">
        <x:f>F1911/E1911</x:f>
        <x:v>0</x:v>
      </x:c>
      <x:c r="P1911" s="2" t="str">
        <x:f>IF(AND(E1911&gt;='Итоги'!$F$5,N1911&lt;='Итоги'!$B$5,O1911&gt;='Итоги'!$D$5),"Да","Нет")</x:f>
        <x:v>Нет</x:v>
      </x:c>
    </x:row>
    <x:row r="1912" ht="60" customHeight="1">
      <x:c r="A1912" s="14" t="str">
        <x:v>Спорт и отдых</x:v>
      </x:c>
      <x:c r="B1912" s="14" t="str">
        <x:v>Колесный транспорт</x:v>
      </x:c>
      <x:c r="C1912" s="14" t="str">
        <x:v>Запчасти для велосипеда</x:v>
      </x:c>
      <x:c r="D1912" s="14" t="str">
        <x:v>Рулевое управление для велосипеда</x:v>
      </x:c>
      <x:c r="E1912" s="2" t="n">
        <x:v>18</x:v>
      </x:c>
      <x:c r="F1912" s="2" t="n">
        <x:v>0</x:v>
      </x:c>
      <x:c r="G1912" s="12" t="n">
        <x:v>2023132.0744</x:v>
      </x:c>
      <x:c r="H1912" s="12" t="n">
        <x:v>81519.67998854</x:v>
      </x:c>
      <x:c r="I1912" s="13" t="n">
        <x:v>0.0509222222222222</x:v>
      </x:c>
      <x:c r="J1912" s="2" t="n">
        <x:v>7</x:v>
      </x:c>
      <x:c r="K1912" s="2" t="n">
        <x:v>12</x:v>
      </x:c>
      <x:c r="L1912" s="12" t="n">
        <x:v>1501.2696999999998</x:v>
      </x:c>
      <x:c r="M1912" s="13" t="n">
        <x:v>0.3592868868017784</x:v>
      </x:c>
      <x:c r="N1912" s="13" t="n">
        <x:f>H1912/G1912</x:f>
        <x:v>0.0402938003999152</x:v>
      </x:c>
      <x:c r="O1912" s="13" t="n">
        <x:f>F1912/E1912</x:f>
        <x:v>0</x:v>
      </x:c>
      <x:c r="P1912" s="2" t="str">
        <x:f>IF(AND(E1912&gt;='Итоги'!$F$5,N1912&lt;='Итоги'!$B$5,O1912&gt;='Итоги'!$D$5),"Да","Нет")</x:f>
        <x:v>Нет</x:v>
      </x:c>
    </x:row>
    <x:row r="1913" ht="60" customHeight="1">
      <x:c r="A1913" s="14" t="str">
        <x:v>Строительство и ремонт (DIY)</x:v>
      </x:c>
      <x:c r="B1913" s="14" t="str">
        <x:v>Ремонт и строительство</x:v>
      </x:c>
      <x:c r="C1913" s="14" t="str">
        <x:v>Аксессуары для ремонта</x:v>
      </x:c>
      <x:c r="D1913" s="14" t="str">
        <x:v>Тележка грузовая</x:v>
      </x:c>
      <x:c r="E1913" s="2" t="n">
        <x:v>64</x:v>
      </x:c>
      <x:c r="F1913" s="2" t="n">
        <x:v>0</x:v>
      </x:c>
      <x:c r="G1913" s="12" t="n">
        <x:v>11661451.2912</x:v>
      </x:c>
      <x:c r="H1913" s="12" t="n">
        <x:v>470214.4548785</x:v>
      </x:c>
      <x:c r="I1913" s="13" t="n">
        <x:v>0.0358046875</x:v>
      </x:c>
      <x:c r="J1913" s="2" t="n">
        <x:v>7</x:v>
      </x:c>
      <x:c r="K1913" s="2" t="n">
        <x:v>8</x:v>
      </x:c>
      <x:c r="L1913" s="12" t="n">
        <x:v>7807.22675</x:v>
      </x:c>
      <x:c r="M1913" s="13" t="n">
        <x:v>0.5711400022419192</x:v>
      </x:c>
      <x:c r="N1913" s="13" t="n">
        <x:f>H1913/G1913</x:f>
        <x:v>0.04032212141839795</x:v>
      </x:c>
      <x:c r="O1913" s="13" t="n">
        <x:f>F1913/E1913</x:f>
        <x:v>0</x:v>
      </x:c>
      <x:c r="P1913" s="2" t="str">
        <x:f>IF(AND(E1913&gt;='Итоги'!$F$5,N1913&lt;='Итоги'!$B$5,O1913&gt;='Итоги'!$D$5),"Да","Нет")</x:f>
        <x:v>Нет</x:v>
      </x:c>
    </x:row>
    <x:row r="1914" ht="60" customHeight="1">
      <x:c r="A1914" s="14" t="str">
        <x:v>Товары для детей и спорта</x:v>
      </x:c>
      <x:c r="B1914" s="14" t="str">
        <x:v>КГТ и аксессуары для детей</x:v>
      </x:c>
      <x:c r="C1914" s="14" t="str">
        <x:v>Детская мебель и аксессуары в дом</x:v>
      </x:c>
      <x:c r="D1914" s="14" t="str">
        <x:v>Аксессуары для безопасности детей</x:v>
      </x:c>
      <x:c r="E1914" s="2" t="n">
        <x:v>6</x:v>
      </x:c>
      <x:c r="F1914" s="2" t="n">
        <x:v>0</x:v>
      </x:c>
      <x:c r="G1914" s="12" t="n">
        <x:v>622825.1758</x:v>
      </x:c>
      <x:c r="H1914" s="12" t="n">
        <x:v>25120.18475094</x:v>
      </x:c>
      <x:c r="I1914" s="13" t="n">
        <x:v>0.0462333333333333</x:v>
      </x:c>
      <x:c r="J1914" s="2" t="n">
        <x:v>2</x:v>
      </x:c>
      <x:c r="K1914" s="2" t="n">
        <x:v>5</x:v>
      </x:c>
      <x:c r="L1914" s="12" t="n">
        <x:v>1212.3686</x:v>
      </x:c>
      <x:c r="M1914" s="13" t="n">
        <x:v>0.4578256645353802</x:v>
      </x:c>
      <x:c r="N1914" s="13" t="n">
        <x:f>H1914/G1914</x:f>
        <x:v>0.04033264185037782</x:v>
      </x:c>
      <x:c r="O1914" s="13" t="n">
        <x:f>F1914/E1914</x:f>
        <x:v>0</x:v>
      </x:c>
      <x:c r="P1914" s="2" t="str">
        <x:f>IF(AND(E1914&gt;='Итоги'!$F$5,N1914&lt;='Итоги'!$B$5,O1914&gt;='Итоги'!$D$5),"Да","Нет")</x:f>
        <x:v>Нет</x:v>
      </x:c>
    </x:row>
    <x:row r="1915" ht="60" customHeight="1">
      <x:c r="A1915" s="14" t="str">
        <x:v>Бакалея и кондитерские изделия</x:v>
      </x:c>
      <x:c r="B1915" s="14" t="str">
        <x:v>Кондитерские изделия</x:v>
      </x:c>
      <x:c r="C1915" s="14" t="str">
        <x:v>Зефир, мармелад</x:v>
      </x:c>
      <x:c r="D1915" s="14" t="str">
        <x:v>Пастила</x:v>
      </x:c>
      <x:c r="E1915" s="2" t="n">
        <x:v>12</x:v>
      </x:c>
      <x:c r="F1915" s="2" t="n">
        <x:v>0</x:v>
      </x:c>
      <x:c r="G1915" s="12" t="n">
        <x:v>1680292.4838</x:v>
      </x:c>
      <x:c r="H1915" s="12" t="n">
        <x:v>67788.01549789999</x:v>
      </x:c>
      <x:c r="I1915" s="13" t="n">
        <x:v>0.0340416666666666</x:v>
      </x:c>
      <x:c r="J1915" s="2" t="n">
        <x:v>4</x:v>
      </x:c>
      <x:c r="K1915" s="2" t="n">
        <x:v>7</x:v>
      </x:c>
      <x:c r="L1915" s="12" t="n">
        <x:v>1226.40475</x:v>
      </x:c>
      <x:c r="M1915" s="13" t="n">
        <x:v>0.2813718045865367</x:v>
      </x:c>
      <x:c r="N1915" s="13" t="n">
        <x:f>H1915/G1915</x:f>
        <x:v>0.040342985612002884</x:v>
      </x:c>
      <x:c r="O1915" s="13" t="n">
        <x:f>F1915/E1915</x:f>
        <x:v>0</x:v>
      </x:c>
      <x:c r="P1915" s="2" t="str">
        <x:f>IF(AND(E1915&gt;='Итоги'!$F$5,N1915&lt;='Итоги'!$B$5,O1915&gt;='Итоги'!$D$5),"Да","Нет")</x:f>
        <x:v>Нет</x:v>
      </x:c>
    </x:row>
    <x:row r="1916" ht="60" customHeight="1">
      <x:c r="A1916" s="14" t="str">
        <x:v>Детская одежда</x:v>
      </x:c>
      <x:c r="B1916" s="14" t="str">
        <x:v>Одежда для новорожденных</x:v>
      </x:c>
      <x:c r="C1916" s="14" t="str">
        <x:v>Одежда для новорожденных</x:v>
      </x:c>
      <x:c r="D1916" s="14" t="str">
        <x:v>Крестильный набор одежды</x:v>
      </x:c>
      <x:c r="E1916" s="2" t="n">
        <x:v>18</x:v>
      </x:c>
      <x:c r="F1916" s="2" t="n">
        <x:v>0</x:v>
      </x:c>
      <x:c r="G1916" s="12" t="n">
        <x:v>948315.6703</x:v>
      </x:c>
      <x:c r="H1916" s="12" t="n">
        <x:v>38334.08732944</x:v>
      </x:c>
      <x:c r="I1916" s="13" t="n">
        <x:v>0.0462777777777777</x:v>
      </x:c>
      <x:c r="J1916" s="2" t="n">
        <x:v>9</x:v>
      </x:c>
      <x:c r="K1916" s="2" t="n">
        <x:v>4</x:v>
      </x:c>
      <x:c r="L1916" s="12" t="n">
        <x:v>1481.4679</x:v>
      </x:c>
      <x:c r="M1916" s="13" t="n">
        <x:v>0.4009416333695271</x:v>
      </x:c>
      <x:c r="N1916" s="13" t="n">
        <x:f>H1916/G1916</x:f>
        <x:v>0.040423340592181715</x:v>
      </x:c>
      <x:c r="O1916" s="13" t="n">
        <x:f>F1916/E1916</x:f>
        <x:v>0</x:v>
      </x:c>
      <x:c r="P1916" s="2" t="str">
        <x:f>IF(AND(E1916&gt;='Итоги'!$F$5,N1916&lt;='Итоги'!$B$5,O1916&gt;='Итоги'!$D$5),"Да","Нет")</x:f>
        <x:v>Нет</x:v>
      </x:c>
    </x:row>
    <x:row r="1917" ht="60" customHeight="1">
      <x:c r="A1917" s="14" t="str">
        <x:v>Аксессуары для электроники</x:v>
      </x:c>
      <x:c r="B1917" s="14" t="str">
        <x:v>Бытовая техника Access</x:v>
      </x:c>
      <x:c r="C1917" s="14" t="str">
        <x:v>Запчасти для бытовой техники Access</x:v>
      </x:c>
      <x:c r="D1917" s="14" t="str">
        <x:v>Запчасти для кофемашины, кофеварки</x:v>
      </x:c>
      <x:c r="E1917" s="2" t="n">
        <x:v>13</x:v>
      </x:c>
      <x:c r="F1917" s="2" t="n">
        <x:v>0</x:v>
      </x:c>
      <x:c r="G1917" s="12" t="n">
        <x:v>1294926.9152</x:v>
      </x:c>
      <x:c r="H1917" s="12" t="n">
        <x:v>52395.34785346</x:v>
      </x:c>
      <x:c r="I1917" s="13" t="n">
        <x:v>0.0329</x:v>
      </x:c>
      <x:c r="J1917" s="2" t="n">
        <x:v>7</x:v>
      </x:c>
      <x:c r="K1917" s="2" t="n">
        <x:v>8</x:v>
      </x:c>
      <x:c r="L1917" s="12" t="n">
        <x:v>1584.7308</x:v>
      </x:c>
      <x:c r="M1917" s="13" t="n">
        <x:v>0.2202116488218624</x:v>
      </x:c>
      <x:c r="N1917" s="13" t="n">
        <x:f>H1917/G1917</x:f>
        <x:v>0.04046201159188015</x:v>
      </x:c>
      <x:c r="O1917" s="13" t="n">
        <x:f>F1917/E1917</x:f>
        <x:v>0</x:v>
      </x:c>
      <x:c r="P1917" s="2" t="str">
        <x:f>IF(AND(E1917&gt;='Итоги'!$F$5,N1917&lt;='Итоги'!$B$5,O1917&gt;='Итоги'!$D$5),"Да","Нет")</x:f>
        <x:v>Нет</x:v>
      </x:c>
    </x:row>
    <x:row r="1918" ht="60" customHeight="1">
      <x:c r="A1918" s="14" t="str">
        <x:v>Напитки</x:v>
      </x:c>
      <x:c r="B1918" s="14" t="str">
        <x:v>Напитки холодные</x:v>
      </x:c>
      <x:c r="C1918" s="14" t="str">
        <x:v>Газированные напитки</x:v>
      </x:c>
      <x:c r="D1918" s="14" t="str">
        <x:v>Газированный напиток</x:v>
      </x:c>
      <x:c r="E1918" s="2" t="n">
        <x:v>109</x:v>
      </x:c>
      <x:c r="F1918" s="2" t="n">
        <x:v>0</x:v>
      </x:c>
      <x:c r="G1918" s="12" t="n">
        <x:v>18349413.958</x:v>
      </x:c>
      <x:c r="H1918" s="12" t="n">
        <x:v>742755.80835724</x:v>
      </x:c>
      <x:c r="I1918" s="13" t="n">
        <x:v>0.043737614678899</x:v>
      </x:c>
      <x:c r="J1918" s="2" t="n">
        <x:v>42</x:v>
      </x:c>
      <x:c r="K1918" s="2" t="n">
        <x:v>31</x:v>
      </x:c>
      <x:c r="L1918" s="12" t="n">
        <x:v>1575.6526</x:v>
      </x:c>
      <x:c r="M1918" s="13" t="n">
        <x:v>0.304089189353499</x:v>
      </x:c>
      <x:c r="N1918" s="13" t="n">
        <x:f>H1918/G1918</x:f>
        <x:v>0.04047844852469593</x:v>
      </x:c>
      <x:c r="O1918" s="13" t="n">
        <x:f>F1918/E1918</x:f>
        <x:v>0</x:v>
      </x:c>
      <x:c r="P1918" s="2" t="str">
        <x:f>IF(AND(E1918&gt;='Итоги'!$F$5,N1918&lt;='Итоги'!$B$5,O1918&gt;='Итоги'!$D$5),"Да","Нет")</x:f>
        <x:v>Нет</x:v>
      </x:c>
    </x:row>
    <x:row r="1919" ht="60" customHeight="1">
      <x:c r="A1919" s="14" t="str">
        <x:v>Одежда</x:v>
      </x:c>
      <x:c r="B1919" s="14" t="str">
        <x:v>Основная одежда женская</x:v>
      </x:c>
      <x:c r="C1919" s="14" t="str">
        <x:v>Головные уборы, перчатки, шарфы женские</x:v>
      </x:c>
      <x:c r="D1919" s="14" t="str">
        <x:v>Спортивная бейсболка</x:v>
      </x:c>
      <x:c r="E1919" s="2" t="n">
        <x:v>141</x:v>
      </x:c>
      <x:c r="F1919" s="2" t="n">
        <x:v>0</x:v>
      </x:c>
      <x:c r="G1919" s="12" t="n">
        <x:v>13990140.4773</x:v>
      </x:c>
      <x:c r="H1919" s="12" t="n">
        <x:v>566507.89809813</x:v>
      </x:c>
      <x:c r="I1919" s="13" t="n">
        <x:v>0.030795744680851</x:v>
      </x:c>
      <x:c r="J1919" s="2" t="n">
        <x:v>98</x:v>
      </x:c>
      <x:c r="K1919" s="2" t="n">
        <x:v>14</x:v>
      </x:c>
      <x:c r="L1919" s="12" t="n">
        <x:v>1329.8929</x:v>
      </x:c>
      <x:c r="M1919" s="13" t="n">
        <x:v>0.5117269744300426</x:v>
      </x:c>
      <x:c r="N1919" s="13" t="n">
        <x:f>H1919/G1919</x:f>
        <x:v>0.04049336738378928</x:v>
      </x:c>
      <x:c r="O1919" s="13" t="n">
        <x:f>F1919/E1919</x:f>
        <x:v>0</x:v>
      </x:c>
      <x:c r="P1919" s="2" t="str">
        <x:f>IF(AND(E1919&gt;='Итоги'!$F$5,N1919&lt;='Итоги'!$B$5,O1919&gt;='Итоги'!$D$5),"Да","Нет")</x:f>
        <x:v>Нет</x:v>
      </x:c>
    </x:row>
    <x:row r="1920" ht="60" customHeight="1">
      <x:c r="A1920" s="14" t="str">
        <x:v>Товары для красоты и здоровья</x:v>
      </x:c>
      <x:c r="B1920" s="14" t="str">
        <x:v>Косметика для ухода за волосами</x:v>
      </x:c>
      <x:c r="C1920" s="14" t="str">
        <x:v>Окрашивание волос для женщин</x:v>
      </x:c>
      <x:c r="D1920" s="14" t="str">
        <x:v>Краска для волос женская</x:v>
      </x:c>
      <x:c r="E1920" s="2" t="n">
        <x:v>62</x:v>
      </x:c>
      <x:c r="F1920" s="2" t="n">
        <x:v>0</x:v>
      </x:c>
      <x:c r="G1920" s="12" t="n">
        <x:v>5056917.3009</x:v>
      </x:c>
      <x:c r="H1920" s="12" t="n">
        <x:v>204954.6527444</x:v>
      </x:c>
      <x:c r="I1920" s="13" t="n">
        <x:v>0.0233290322580645</x:v>
      </x:c>
      <x:c r="J1920" s="2" t="n">
        <x:v>24</x:v>
      </x:c>
      <x:c r="K1920" s="2" t="n">
        <x:v>7</x:v>
      </x:c>
      <x:c r="L1920" s="12" t="n">
        <x:v>905.8181</x:v>
      </x:c>
      <x:c r="M1920" s="13" t="n">
        <x:v>0.751539055112413</x:v>
      </x:c>
      <x:c r="N1920" s="13" t="n">
        <x:f>H1920/G1920</x:f>
        <x:v>0.04052956387242548</x:v>
      </x:c>
      <x:c r="O1920" s="13" t="n">
        <x:f>F1920/E1920</x:f>
        <x:v>0</x:v>
      </x:c>
      <x:c r="P1920" s="2" t="str">
        <x:f>IF(AND(E1920&gt;='Итоги'!$F$5,N1920&lt;='Итоги'!$B$5,O1920&gt;='Итоги'!$D$5),"Да","Нет")</x:f>
        <x:v>Нет</x:v>
      </x:c>
    </x:row>
    <x:row r="1921" ht="60" customHeight="1">
      <x:c r="A1921" s="14" t="str">
        <x:v>Строительство и ремонт (DIY)</x:v>
      </x:c>
      <x:c r="B1921" s="14" t="str">
        <x:v>Инструменты</x:v>
      </x:c>
      <x:c r="C1921" s="14" t="str">
        <x:v>Инструмент ручной для строительства, ремонта</x:v>
      </x:c>
      <x:c r="D1921" s="14" t="str">
        <x:v>Инструмент для монтажа труб</x:v>
      </x:c>
      <x:c r="E1921" s="2" t="n">
        <x:v>44</x:v>
      </x:c>
      <x:c r="F1921" s="2" t="n">
        <x:v>0</x:v>
      </x:c>
      <x:c r="G1921" s="12" t="n">
        <x:v>8011325.9453</x:v>
      </x:c>
      <x:c r="H1921" s="12" t="n">
        <x:v>324792.8136388</x:v>
      </x:c>
      <x:c r="I1921" s="13" t="n">
        <x:v>0.0395818181818181</x:v>
      </x:c>
      <x:c r="J1921" s="2" t="n">
        <x:v>14</x:v>
      </x:c>
      <x:c r="K1921" s="2" t="n">
        <x:v>20</x:v>
      </x:c>
      <x:c r="L1921" s="12" t="n">
        <x:v>2964.10015</x:v>
      </x:c>
      <x:c r="M1921" s="13" t="n">
        <x:v>0.50182854720305</x:v>
      </x:c>
      <x:c r="N1921" s="13" t="n">
        <x:f>H1921/G1921</x:f>
        <x:v>0.04054170506311081</x:v>
      </x:c>
      <x:c r="O1921" s="13" t="n">
        <x:f>F1921/E1921</x:f>
        <x:v>0</x:v>
      </x:c>
      <x:c r="P1921" s="2" t="str">
        <x:f>IF(AND(E1921&gt;='Итоги'!$F$5,N1921&lt;='Итоги'!$B$5,O1921&gt;='Итоги'!$D$5),"Да","Нет")</x:f>
        <x:v>Нет</x:v>
      </x:c>
    </x:row>
    <x:row r="1922" ht="60" customHeight="1">
      <x:c r="A1922" s="14" t="str">
        <x:v>Обувь</x:v>
      </x:c>
      <x:c r="B1922" s="14" t="str">
        <x:v>Специальная обувь</x:v>
      </x:c>
      <x:c r="C1922" s="14" t="str">
        <x:v>Спецобувь мужская</x:v>
      </x:c>
      <x:c r="D1922" s="14" t="str">
        <x:v>Рабочие сандалии мужские</x:v>
      </x:c>
      <x:c r="E1922" s="2" t="n">
        <x:v>15</x:v>
      </x:c>
      <x:c r="F1922" s="2" t="n">
        <x:v>0</x:v>
      </x:c>
      <x:c r="G1922" s="12" t="n">
        <x:v>1975679.1219</x:v>
      </x:c>
      <x:c r="H1922" s="12" t="n">
        <x:v>80210.22749665</x:v>
      </x:c>
      <x:c r="I1922" s="13" t="n">
        <x:v>0.03372</x:v>
      </x:c>
      <x:c r="J1922" s="2" t="n">
        <x:v>10</x:v>
      </x:c>
      <x:c r="K1922" s="2" t="n">
        <x:v>3</x:v>
      </x:c>
      <x:c r="L1922" s="12" t="n">
        <x:v>1849.1663</x:v>
      </x:c>
      <x:c r="M1922" s="13" t="n">
        <x:v>0.8081190189753961</x:v>
      </x:c>
      <x:c r="N1922" s="13" t="n">
        <x:f>H1922/G1922</x:f>
        <x:v>0.04059881314102882</x:v>
      </x:c>
      <x:c r="O1922" s="13" t="n">
        <x:f>F1922/E1922</x:f>
        <x:v>0</x:v>
      </x:c>
      <x:c r="P1922" s="2" t="str">
        <x:f>IF(AND(E1922&gt;='Итоги'!$F$5,N1922&lt;='Итоги'!$B$5,O1922&gt;='Итоги'!$D$5),"Да","Нет")</x:f>
        <x:v>Нет</x:v>
      </x:c>
    </x:row>
    <x:row r="1923" ht="60" customHeight="1">
      <x:c r="A1923" s="14" t="str">
        <x:v>Товары для животных</x:v>
      </x:c>
      <x:c r="B1923" s="14" t="str">
        <x:v>Зоокорм, витамины</x:v>
      </x:c>
      <x:c r="C1923" s="14" t="str">
        <x:v>Зоокорм, витамины для кошек и собак</x:v>
      </x:c>
      <x:c r="D1923" s="14" t="str">
        <x:v>Лакомство для кошек</x:v>
      </x:c>
      <x:c r="E1923" s="2" t="n">
        <x:v>22</x:v>
      </x:c>
      <x:c r="F1923" s="2" t="n">
        <x:v>0</x:v>
      </x:c>
      <x:c r="G1923" s="12" t="n">
        <x:v>5719156.94</x:v>
      </x:c>
      <x:c r="H1923" s="12" t="n">
        <x:v>232237.647871</x:v>
      </x:c>
      <x:c r="I1923" s="13" t="n">
        <x:v>0.0628</x:v>
      </x:c>
      <x:c r="J1923" s="2" t="n">
        <x:v>4</x:v>
      </x:c>
      <x:c r="K1923" s="2" t="n">
        <x:v>5</x:v>
      </x:c>
      <x:c r="L1923" s="12" t="n">
        <x:v>1008.70075</x:v>
      </x:c>
      <x:c r="M1923" s="13" t="n">
        <x:v>0.6783674623204167</x:v>
      </x:c>
      <x:c r="N1923" s="13" t="n">
        <x:f>H1923/G1923</x:f>
        <x:v>0.04060697237502281</x:v>
      </x:c>
      <x:c r="O1923" s="13" t="n">
        <x:f>F1923/E1923</x:f>
        <x:v>0</x:v>
      </x:c>
      <x:c r="P1923" s="2" t="str">
        <x:f>IF(AND(E1923&gt;='Итоги'!$F$5,N1923&lt;='Итоги'!$B$5,O1923&gt;='Итоги'!$D$5),"Да","Нет")</x:f>
        <x:v>Нет</x:v>
      </x:c>
    </x:row>
    <x:row r="1924" ht="60" customHeight="1">
      <x:c r="A1924" s="14" t="str">
        <x:v>Автотовары</x:v>
      </x:c>
      <x:c r="B1924" s="14" t="str">
        <x:v>Электронные устройства для авто</x:v>
      </x:c>
      <x:c r="C1924" s="14" t="str">
        <x:v>Аксессуар для зарядки электромобиля</x:v>
      </x:c>
      <x:c r="D1924" s="14" t="str">
        <x:v>Зарядная станция для электромобиля</x:v>
      </x:c>
      <x:c r="E1924" s="2" t="n">
        <x:v>36</x:v>
      </x:c>
      <x:c r="F1924" s="2" t="n">
        <x:v>0</x:v>
      </x:c>
      <x:c r="G1924" s="12" t="n">
        <x:v>8129501.658</x:v>
      </x:c>
      <x:c r="H1924" s="12" t="n">
        <x:v>330418.27113483</x:v>
      </x:c>
      <x:c r="I1924" s="13" t="n">
        <x:v>0.0441277777777777</x:v>
      </x:c>
      <x:c r="J1924" s="2" t="n">
        <x:v>11</x:v>
      </x:c>
      <x:c r="K1924" s="2" t="n">
        <x:v>19</x:v>
      </x:c>
      <x:c r="L1924" s="12" t="n">
        <x:v>11141.206</x:v>
      </x:c>
      <x:c r="M1924" s="13" t="n">
        <x:v>0.1245735953572764</x:v>
      </x:c>
      <x:c r="N1924" s="13" t="n">
        <x:f>H1924/G1924</x:f>
        <x:v>0.04064434513149712</x:v>
      </x:c>
      <x:c r="O1924" s="13" t="n">
        <x:f>F1924/E1924</x:f>
        <x:v>0</x:v>
      </x:c>
      <x:c r="P1924" s="2" t="str">
        <x:f>IF(AND(E1924&gt;='Итоги'!$F$5,N1924&lt;='Итоги'!$B$5,O1924&gt;='Итоги'!$D$5),"Да","Нет")</x:f>
        <x:v>Нет</x:v>
      </x:c>
    </x:row>
    <x:row r="1925" ht="60" customHeight="1">
      <x:c r="A1925" s="14" t="str">
        <x:v>Аксессуары</x:v>
      </x:c>
      <x:c r="B1925" s="14" t="str">
        <x:v>Аксессуары</x:v>
      </x:c>
      <x:c r="C1925" s="14" t="str">
        <x:v>Аксессуар для детей</x:v>
      </x:c>
      <x:c r="D1925" s="14" t="str">
        <x:v>Зонт детский</x:v>
      </x:c>
      <x:c r="E1925" s="2" t="n">
        <x:v>7</x:v>
      </x:c>
      <x:c r="F1925" s="2" t="n">
        <x:v>0</x:v>
      </x:c>
      <x:c r="G1925" s="12" t="n">
        <x:v>843455.5708</x:v>
      </x:c>
      <x:c r="H1925" s="12" t="n">
        <x:v>34322.28731914</x:v>
      </x:c>
      <x:c r="I1925" s="13" t="n">
        <x:v>0.0436714285714285</x:v>
      </x:c>
      <x:c r="J1925" s="2" t="n">
        <x:v>1</x:v>
      </x:c>
      <x:c r="K1925" s="2" t="n">
        <x:v>2</x:v>
      </x:c>
      <x:c r="L1925" s="12" t="n">
        <x:v>858.2893</x:v>
      </x:c>
      <x:c r="M1925" s="13" t="n">
        <x:v>0.5998734456399419</x:v>
      </x:c>
      <x:c r="N1925" s="13" t="n">
        <x:f>H1925/G1925</x:f>
        <x:v>0.040692466215601644</x:v>
      </x:c>
      <x:c r="O1925" s="13" t="n">
        <x:f>F1925/E1925</x:f>
        <x:v>0</x:v>
      </x:c>
      <x:c r="P1925" s="2" t="str">
        <x:f>IF(AND(E1925&gt;='Итоги'!$F$5,N1925&lt;='Итоги'!$B$5,O1925&gt;='Итоги'!$D$5),"Да","Нет")</x:f>
        <x:v>Нет</x:v>
      </x:c>
    </x:row>
    <x:row r="1926" ht="60" customHeight="1">
      <x:c r="A1926" s="14" t="str">
        <x:v>Одежда</x:v>
      </x:c>
      <x:c r="B1926" s="14" t="str">
        <x:v>Основная одежда мужская</x:v>
      </x:c>
      <x:c r="C1926" s="14" t="str">
        <x:v>Спортивная основная одежда мужская низы</x:v>
      </x:c>
      <x:c r="D1926" s="14" t="str">
        <x:v>Спортивные шорты мужские</x:v>
      </x:c>
      <x:c r="E1926" s="2" t="n">
        <x:v>1073</x:v>
      </x:c>
      <x:c r="F1926" s="2" t="n">
        <x:v>0</x:v>
      </x:c>
      <x:c r="G1926" s="12" t="n">
        <x:v>121484160.4753</x:v>
      </x:c>
      <x:c r="H1926" s="12" t="n">
        <x:v>4945021.89616687</x:v>
      </x:c>
      <x:c r="I1926" s="13" t="n">
        <x:v>0.0365826654240447</x:v>
      </x:c>
      <x:c r="J1926" s="2" t="n">
        <x:v>530</x:v>
      </x:c>
      <x:c r="K1926" s="2" t="n">
        <x:v>79</x:v>
      </x:c>
      <x:c r="L1926" s="12" t="n">
        <x:v>1719.277</x:v>
      </x:c>
      <x:c r="M1926" s="13" t="n">
        <x:v>0.290703196622743</x:v>
      </x:c>
      <x:c r="N1926" s="13" t="n">
        <x:f>H1926/G1926</x:f>
        <x:v>0.040705075269234677</x:v>
      </x:c>
      <x:c r="O1926" s="13" t="n">
        <x:f>F1926/E1926</x:f>
        <x:v>0</x:v>
      </x:c>
      <x:c r="P1926" s="2" t="str">
        <x:f>IF(AND(E1926&gt;='Итоги'!$F$5,N1926&lt;='Итоги'!$B$5,O1926&gt;='Итоги'!$D$5),"Да","Нет")</x:f>
        <x:v>Нет</x:v>
      </x:c>
    </x:row>
    <x:row r="1927" ht="60" customHeight="1">
      <x:c r="A1927" s="14" t="str">
        <x:v>Строительство и ремонт (DIY)</x:v>
      </x:c>
      <x:c r="B1927" s="14" t="str">
        <x:v>Сад и огород</x:v>
      </x:c>
      <x:c r="C1927" s="14" t="str">
        <x:v>Аксессуары для садовых растений</x:v>
      </x:c>
      <x:c r="D1927" s="14" t="str">
        <x:v>Грядка, клумба сборные</x:v>
      </x:c>
      <x:c r="E1927" s="2" t="n">
        <x:v>159</x:v>
      </x:c>
      <x:c r="F1927" s="2" t="n">
        <x:v>0</x:v>
      </x:c>
      <x:c r="G1927" s="12" t="n">
        <x:v>27256751.3142</x:v>
      </x:c>
      <x:c r="H1927" s="12" t="n">
        <x:v>1109922.40649071</x:v>
      </x:c>
      <x:c r="I1927" s="13" t="n">
        <x:v>0.0400138364779874</x:v>
      </x:c>
      <x:c r="J1927" s="2" t="n">
        <x:v>19</x:v>
      </x:c>
      <x:c r="K1927" s="2" t="n">
        <x:v>14</x:v>
      </x:c>
      <x:c r="L1927" s="12" t="n">
        <x:v>2457.1935</x:v>
      </x:c>
      <x:c r="M1927" s="13" t="n">
        <x:v>0.3594635786178824</x:v>
      </x:c>
      <x:c r="N1927" s="13" t="n">
        <x:f>H1927/G1927</x:f>
        <x:v>0.04072100866666644</x:v>
      </x:c>
      <x:c r="O1927" s="13" t="n">
        <x:f>F1927/E1927</x:f>
        <x:v>0</x:v>
      </x:c>
      <x:c r="P1927" s="2" t="str">
        <x:f>IF(AND(E1927&gt;='Итоги'!$F$5,N1927&lt;='Итоги'!$B$5,O1927&gt;='Итоги'!$D$5),"Да","Нет")</x:f>
        <x:v>Нет</x:v>
      </x:c>
    </x:row>
    <x:row r="1928" ht="60" customHeight="1">
      <x:c r="A1928" s="14" t="str">
        <x:v>Бакалея и кондитерские изделия</x:v>
      </x:c>
      <x:c r="B1928" s="14" t="str">
        <x:v>Кондитерские изделия</x:v>
      </x:c>
      <x:c r="C1928" s="14" t="str">
        <x:v>Шоколадные изделия</x:v>
      </x:c>
      <x:c r="D1928" s="14" t="str">
        <x:v>Шоколадная паста</x:v>
      </x:c>
      <x:c r="E1928" s="2" t="n">
        <x:v>10</x:v>
      </x:c>
      <x:c r="F1928" s="2" t="n">
        <x:v>0</x:v>
      </x:c>
      <x:c r="G1928" s="12" t="n">
        <x:v>1011716.4303</x:v>
      </x:c>
      <x:c r="H1928" s="12" t="n">
        <x:v>41254.9976326</x:v>
      </x:c>
      <x:c r="I1928" s="13" t="n">
        <x:v>0.06835</x:v>
      </x:c>
      <x:c r="J1928" s="2" t="n">
        <x:v>2</x:v>
      </x:c>
      <x:c r="K1928" s="2" t="n">
        <x:v>4</x:v>
      </x:c>
      <x:c r="L1928" s="12" t="n">
        <x:v>1354.78345</x:v>
      </x:c>
      <x:c r="M1928" s="13" t="n">
        <x:v>0.9421644857713248</x:v>
      </x:c>
      <x:c r="N1928" s="13" t="n">
        <x:f>H1928/G1928</x:f>
        <x:v>0.040777234012466156</x:v>
      </x:c>
      <x:c r="O1928" s="13" t="n">
        <x:f>F1928/E1928</x:f>
        <x:v>0</x:v>
      </x:c>
      <x:c r="P1928" s="2" t="str">
        <x:f>IF(AND(E1928&gt;='Итоги'!$F$5,N1928&lt;='Итоги'!$B$5,O1928&gt;='Итоги'!$D$5),"Да","Нет")</x:f>
        <x:v>Нет</x:v>
      </x:c>
    </x:row>
    <x:row r="1929" ht="60" customHeight="1">
      <x:c r="A1929" s="14" t="str">
        <x:v>Одежда</x:v>
      </x:c>
      <x:c r="B1929" s="14" t="str">
        <x:v>Спецодежда и одежда для мероприятий</x:v>
      </x:c>
      <x:c r="C1929" s="14" t="str">
        <x:v>Спецодежда мужская</x:v>
      </x:c>
      <x:c r="D1929" s="14" t="str">
        <x:v>Рабочие джинсы мужские</x:v>
      </x:c>
      <x:c r="E1929" s="2" t="n">
        <x:v>5</x:v>
      </x:c>
      <x:c r="F1929" s="2" t="n">
        <x:v>0</x:v>
      </x:c>
      <x:c r="G1929" s="12" t="n">
        <x:v>460942.26</x:v>
      </x:c>
      <x:c r="H1929" s="12" t="n">
        <x:v>18796.901832</x:v>
      </x:c>
      <x:c r="I1929" s="13" t="n">
        <x:v>0.04212</x:v>
      </x:c>
      <x:c r="J1929" s="2" t="n">
        <x:v>1</x:v>
      </x:c>
      <x:c r="K1929" s="2" t="n">
        <x:v>1</x:v>
      </x:c>
      <x:c r="L1929" s="12" t="n">
        <x:v>3259.9423</x:v>
      </x:c>
      <x:c r="M1929" s="13" t="n">
        <x:v>1</x:v>
      </x:c>
      <x:c r="N1929" s="13" t="n">
        <x:f>H1929/G1929</x:f>
        <x:v>0.04077929810991945</x:v>
      </x:c>
      <x:c r="O1929" s="13" t="n">
        <x:f>F1929/E1929</x:f>
        <x:v>0</x:v>
      </x:c>
      <x:c r="P1929" s="2" t="str">
        <x:f>IF(AND(E1929&gt;='Итоги'!$F$5,N1929&lt;='Итоги'!$B$5,O1929&gt;='Итоги'!$D$5),"Да","Нет")</x:f>
        <x:v>Нет</x:v>
      </x:c>
    </x:row>
    <x:row r="1930" ht="60" customHeight="1">
      <x:c r="A1930" s="14" t="str">
        <x:v>Товары для дома</x:v>
      </x:c>
      <x:c r="B1930" s="14" t="str">
        <x:v>Интерьер и декор</x:v>
      </x:c>
      <x:c r="C1930" s="14" t="str">
        <x:v>Камин</x:v>
      </x:c>
      <x:c r="D1930" s="14" t="str">
        <x:v>Комплектующие для печи, камина</x:v>
      </x:c>
      <x:c r="E1930" s="2" t="n">
        <x:v>31</x:v>
      </x:c>
      <x:c r="F1930" s="2" t="n">
        <x:v>0</x:v>
      </x:c>
      <x:c r="G1930" s="12" t="n">
        <x:v>2988358.991</x:v>
      </x:c>
      <x:c r="H1930" s="12" t="n">
        <x:v>121983.49675818</x:v>
      </x:c>
      <x:c r="I1930" s="13" t="n">
        <x:v>0.0475419354838709</x:v>
      </x:c>
      <x:c r="J1930" s="2" t="n">
        <x:v>15</x:v>
      </x:c>
      <x:c r="K1930" s="2" t="n">
        <x:v>9</x:v>
      </x:c>
      <x:c r="L1930" s="12" t="n">
        <x:v>4759.5817</x:v>
      </x:c>
      <x:c r="M1930" s="13" t="n">
        <x:v>0.4296554822452387</x:v>
      </x:c>
      <x:c r="N1930" s="13" t="n">
        <x:f>H1930/G1930</x:f>
        <x:v>0.04081955920475285</x:v>
      </x:c>
      <x:c r="O1930" s="13" t="n">
        <x:f>F1930/E1930</x:f>
        <x:v>0</x:v>
      </x:c>
      <x:c r="P1930" s="2" t="str">
        <x:f>IF(AND(E1930&gt;='Итоги'!$F$5,N1930&lt;='Итоги'!$B$5,O1930&gt;='Итоги'!$D$5),"Да","Нет")</x:f>
        <x:v>Нет</x:v>
      </x:c>
    </x:row>
    <x:row r="1931" ht="60" customHeight="1">
      <x:c r="A1931" s="14" t="str">
        <x:v>Аксессуары для электроники</x:v>
      </x:c>
      <x:c r="B1931" s="14" t="str">
        <x:v>Аксессуары для МБТ (кухня) Access</x:v>
      </x:c>
      <x:c r="C1931" s="14" t="str">
        <x:v>Аксессуары для кухонных комбайна, блендера, соковыжималки Access</x:v>
      </x:c>
      <x:c r="D1931" s="14" t="str">
        <x:v>Аксессуары для кухонных комбайнов</x:v>
      </x:c>
      <x:c r="E1931" s="2" t="n">
        <x:v>4</x:v>
      </x:c>
      <x:c r="F1931" s="2" t="n">
        <x:v>0</x:v>
      </x:c>
      <x:c r="G1931" s="12" t="n">
        <x:v>206083.937</x:v>
      </x:c>
      <x:c r="H1931" s="12" t="n">
        <x:v>8425.889099999999</x:v>
      </x:c>
      <x:c r="I1931" s="13" t="n">
        <x:v>0.033675</x:v>
      </x:c>
      <x:c r="J1931" s="2" t="n">
        <x:v>3</x:v>
      </x:c>
      <x:c r="K1931" s="2" t="n">
        <x:v>2</x:v>
      </x:c>
      <x:c r="L1931" s="12" t="n">
        <x:v>3698.90715</x:v>
      </x:c>
      <x:c r="M1931" s="13" t="n">
        <x:v>0.6964683375589821</x:v>
      </x:c>
      <x:c r="N1931" s="13" t="n">
        <x:f>H1931/G1931</x:f>
        <x:v>0.0408857149308051</x:v>
      </x:c>
      <x:c r="O1931" s="13" t="n">
        <x:f>F1931/E1931</x:f>
        <x:v>0</x:v>
      </x:c>
      <x:c r="P1931" s="2" t="str">
        <x:f>IF(AND(E1931&gt;='Итоги'!$F$5,N1931&lt;='Итоги'!$B$5,O1931&gt;='Итоги'!$D$5),"Да","Нет")</x:f>
        <x:v>Нет</x:v>
      </x:c>
    </x:row>
    <x:row r="1932" ht="60" customHeight="1">
      <x:c r="A1932" s="14" t="str">
        <x:v>Товары для животных</x:v>
      </x:c>
      <x:c r="B1932" s="14" t="str">
        <x:v>Зоокорм, витамины</x:v>
      </x:c>
      <x:c r="C1932" s="14" t="str">
        <x:v>Зоокорм, витамины для кошек и собак</x:v>
      </x:c>
      <x:c r="D1932" s="14" t="str">
        <x:v>Лакомство для собак</x:v>
      </x:c>
      <x:c r="E1932" s="2" t="n">
        <x:v>100</x:v>
      </x:c>
      <x:c r="F1932" s="2" t="n">
        <x:v>0</x:v>
      </x:c>
      <x:c r="G1932" s="12" t="n">
        <x:v>14017267.98</x:v>
      </x:c>
      <x:c r="H1932" s="12" t="n">
        <x:v>573219.968307</x:v>
      </x:c>
      <x:c r="I1932" s="13" t="n">
        <x:v>0.051559</x:v>
      </x:c>
      <x:c r="J1932" s="2" t="n">
        <x:v>38</x:v>
      </x:c>
      <x:c r="K1932" s="2" t="n">
        <x:v>24</x:v>
      </x:c>
      <x:c r="L1932" s="12" t="n">
        <x:v>1289.5847</x:v>
      </x:c>
      <x:c r="M1932" s="13" t="n">
        <x:v>0.5104104516092729</x:v>
      </x:c>
      <x:c r="N1932" s="13" t="n">
        <x:f>H1932/G1932</x:f>
        <x:v>0.040893843873490675</x:v>
      </x:c>
      <x:c r="O1932" s="13" t="n">
        <x:f>F1932/E1932</x:f>
        <x:v>0</x:v>
      </x:c>
      <x:c r="P1932" s="2" t="str">
        <x:f>IF(AND(E1932&gt;='Итоги'!$F$5,N1932&lt;='Итоги'!$B$5,O1932&gt;='Итоги'!$D$5),"Да","Нет")</x:f>
        <x:v>Нет</x:v>
      </x:c>
    </x:row>
    <x:row r="1933" ht="60" customHeight="1">
      <x:c r="A1933" s="14" t="str">
        <x:v>Спорт и отдых</x:v>
      </x:c>
      <x:c r="B1933" s="14" t="str">
        <x:v>Тренажеры и фитнес</x:v>
      </x:c>
      <x:c r="C1933" s="14" t="str">
        <x:v>Фитнес</x:v>
      </x:c>
      <x:c r="D1933" s="14" t="str">
        <x:v>Одежда для похудения</x:v>
      </x:c>
      <x:c r="E1933" s="2" t="n">
        <x:v>2</x:v>
      </x:c>
      <x:c r="F1933" s="2" t="n">
        <x:v>0</x:v>
      </x:c>
      <x:c r="G1933" s="12" t="n">
        <x:v>343660.7074</x:v>
      </x:c>
      <x:c r="H1933" s="12" t="n">
        <x:v>14054.594318</x:v>
      </x:c>
      <x:c r="I1933" s="13" t="n">
        <x:v>0.03095</x:v>
      </x:c>
      <x:c r="J1933" s="2" t="n">
        <x:v>1</x:v>
      </x:c>
      <x:c r="K1933" s="2" t="n">
        <x:v>2</x:v>
      </x:c>
      <x:c r="L1933" s="12" t="n">
        <x:v>935.4645</x:v>
      </x:c>
      <x:c r="M1933" s="13" t="n">
        <x:v>0.6606900792289995</x:v>
      </x:c>
      <x:c r="N1933" s="13" t="n">
        <x:f>H1933/G1933</x:f>
        <x:v>0.040896715904275065</x:v>
      </x:c>
      <x:c r="O1933" s="13" t="n">
        <x:f>F1933/E1933</x:f>
        <x:v>0</x:v>
      </x:c>
      <x:c r="P1933" s="2" t="str">
        <x:f>IF(AND(E1933&gt;='Итоги'!$F$5,N1933&lt;='Итоги'!$B$5,O1933&gt;='Итоги'!$D$5),"Да","Нет")</x:f>
        <x:v>Нет</x:v>
      </x:c>
    </x:row>
    <x:row r="1934" ht="60" customHeight="1">
      <x:c r="A1934" s="14" t="str">
        <x:v>Товары для дома</x:v>
      </x:c>
      <x:c r="B1934" s="14" t="str">
        <x:v>Интерьер и декор</x:v>
      </x:c>
      <x:c r="C1934" s="14" t="str">
        <x:v>Шкатулка, копилка</x:v>
      </x:c>
      <x:c r="D1934" s="14" t="str">
        <x:v>Шкатулка для часов</x:v>
      </x:c>
      <x:c r="E1934" s="2" t="n">
        <x:v>9</x:v>
      </x:c>
      <x:c r="F1934" s="2" t="n">
        <x:v>0</x:v>
      </x:c>
      <x:c r="G1934" s="12" t="n">
        <x:v>789568.7938</x:v>
      </x:c>
      <x:c r="H1934" s="12" t="n">
        <x:v>32302.775865270003</x:v>
      </x:c>
      <x:c r="I1934" s="13" t="n">
        <x:v>0.0408333333333333</x:v>
      </x:c>
      <x:c r="J1934" s="2" t="n">
        <x:v>1</x:v>
      </x:c>
      <x:c r="K1934" s="2" t="n">
        <x:v>2</x:v>
      </x:c>
      <x:c r="L1934" s="12" t="n">
        <x:v>1931.4854</x:v>
      </x:c>
      <x:c r="M1934" s="13" t="n">
        <x:v>0.7547344844164989</x:v>
      </x:c>
      <x:c r="N1934" s="13" t="n">
        <x:f>H1934/G1934</x:f>
        <x:v>0.040911920682433135</x:v>
      </x:c>
      <x:c r="O1934" s="13" t="n">
        <x:f>F1934/E1934</x:f>
        <x:v>0</x:v>
      </x:c>
      <x:c r="P1934" s="2" t="str">
        <x:f>IF(AND(E1934&gt;='Итоги'!$F$5,N1934&lt;='Итоги'!$B$5,O1934&gt;='Итоги'!$D$5),"Да","Нет")</x:f>
        <x:v>Нет</x:v>
      </x:c>
    </x:row>
    <x:row r="1935" ht="60" customHeight="1">
      <x:c r="A1935" s="14" t="str">
        <x:v>Строительство и ремонт (DIY)</x:v>
      </x:c>
      <x:c r="B1935" s="14" t="str">
        <x:v>Сад и огород</x:v>
      </x:c>
      <x:c r="C1935" s="14" t="str">
        <x:v>Ландшафт и садовый декор</x:v>
      </x:c>
      <x:c r="D1935" s="14" t="str">
        <x:v>Водопроводная колонка садовая</x:v>
      </x:c>
      <x:c r="E1935" s="2" t="n">
        <x:v>3</x:v>
      </x:c>
      <x:c r="F1935" s="2" t="n">
        <x:v>0</x:v>
      </x:c>
      <x:c r="G1935" s="12" t="n">
        <x:v>379578</x:v>
      </x:c>
      <x:c r="H1935" s="12" t="n">
        <x:v>15533.952</x:v>
      </x:c>
      <x:c r="I1935" s="13" t="n">
        <x:v>0.064</x:v>
      </x:c>
      <x:c r="J1935" s="2" t="n">
        <x:v>2</x:v>
      </x:c>
      <x:c r="K1935" s="2" t="n">
        <x:v>1</x:v>
      </x:c>
      <x:c r="L1935" s="12" t="n">
        <x:v>8989.5556</x:v>
      </x:c>
      <x:c r="M1935" s="13" t="n">
        <x:v>1</x:v>
      </x:c>
      <x:c r="N1935" s="13" t="n">
        <x:f>H1935/G1935</x:f>
        <x:v>0.040924268529788345</x:v>
      </x:c>
      <x:c r="O1935" s="13" t="n">
        <x:f>F1935/E1935</x:f>
        <x:v>0</x:v>
      </x:c>
      <x:c r="P1935" s="2" t="str">
        <x:f>IF(AND(E1935&gt;='Итоги'!$F$5,N1935&lt;='Итоги'!$B$5,O1935&gt;='Итоги'!$D$5),"Да","Нет")</x:f>
        <x:v>Нет</x:v>
      </x:c>
    </x:row>
    <x:row r="1936" ht="60" customHeight="1">
      <x:c r="A1936" s="14" t="str">
        <x:v>Товары для детей и спорта</x:v>
      </x:c>
      <x:c r="B1936" s="14" t="str">
        <x:v>КГТ и аксессуары для детей</x:v>
      </x:c>
      <x:c r="C1936" s="14" t="str">
        <x:v>Детская мебель и аксессуары в дом</x:v>
      </x:c>
      <x:c r="D1936" s="14" t="str">
        <x:v>Манеж детский</x:v>
      </x:c>
      <x:c r="E1936" s="2" t="n">
        <x:v>108</x:v>
      </x:c>
      <x:c r="F1936" s="2" t="n">
        <x:v>0</x:v>
      </x:c>
      <x:c r="G1936" s="12" t="n">
        <x:v>13870364.0363</x:v>
      </x:c>
      <x:c r="H1936" s="12" t="n">
        <x:v>567744.82703473</x:v>
      </x:c>
      <x:c r="I1936" s="13" t="n">
        <x:v>0.0457212962962962</x:v>
      </x:c>
      <x:c r="J1936" s="2" t="n">
        <x:v>38</x:v>
      </x:c>
      <x:c r="K1936" s="2" t="n">
        <x:v>16</x:v>
      </x:c>
      <x:c r="L1936" s="12" t="n">
        <x:v>4861.8581</x:v>
      </x:c>
      <x:c r="M1936" s="13" t="n">
        <x:v>0.7484393967549554</x:v>
      </x:c>
      <x:c r="N1936" s="13" t="n">
        <x:f>H1936/G1936</x:f>
        <x:v>0.04093222251044676</x:v>
      </x:c>
      <x:c r="O1936" s="13" t="n">
        <x:f>F1936/E1936</x:f>
        <x:v>0</x:v>
      </x:c>
      <x:c r="P1936" s="2" t="str">
        <x:f>IF(AND(E1936&gt;='Итоги'!$F$5,N1936&lt;='Итоги'!$B$5,O1936&gt;='Итоги'!$D$5),"Да","Нет")</x:f>
        <x:v>Нет</x:v>
      </x:c>
    </x:row>
    <x:row r="1937" ht="60" customHeight="1">
      <x:c r="A1937" s="14" t="str">
        <x:v>Детская одежда</x:v>
      </x:c>
      <x:c r="B1937" s="14" t="str">
        <x:v>Детская обувь</x:v>
      </x:c>
      <x:c r="C1937" s="14" t="str">
        <x:v>Обувь для мальчика</x:v>
      </x:c>
      <x:c r="D1937" s="14" t="str">
        <x:v>Мокасины для мальчика</x:v>
      </x:c>
      <x:c r="E1937" s="2" t="n">
        <x:v>26</x:v>
      </x:c>
      <x:c r="F1937" s="2" t="n">
        <x:v>0</x:v>
      </x:c>
      <x:c r="G1937" s="12" t="n">
        <x:v>1665838.5476</x:v>
      </x:c>
      <x:c r="H1937" s="12" t="n">
        <x:v>68211.38415664001</x:v>
      </x:c>
      <x:c r="I1937" s="13" t="n">
        <x:v>0.0324653846153846</x:v>
      </x:c>
      <x:c r="J1937" s="2" t="n">
        <x:v>13</x:v>
      </x:c>
      <x:c r="K1937" s="2" t="n">
        <x:v>6</x:v>
      </x:c>
      <x:c r="L1937" s="12" t="n">
        <x:v>2778.0779</x:v>
      </x:c>
      <x:c r="M1937" s="13" t="n">
        <x:v>0.5207599613118714</x:v>
      </x:c>
      <x:c r="N1937" s="13" t="n">
        <x:f>H1937/G1937</x:f>
        <x:v>0.04094717597627527</x:v>
      </x:c>
      <x:c r="O1937" s="13" t="n">
        <x:f>F1937/E1937</x:f>
        <x:v>0</x:v>
      </x:c>
      <x:c r="P1937" s="2" t="str">
        <x:f>IF(AND(E1937&gt;='Итоги'!$F$5,N1937&lt;='Итоги'!$B$5,O1937&gt;='Итоги'!$D$5),"Да","Нет")</x:f>
        <x:v>Нет</x:v>
      </x:c>
    </x:row>
    <x:row r="1938" ht="60" customHeight="1">
      <x:c r="A1938" s="14" t="str">
        <x:v>Одежда</x:v>
      </x:c>
      <x:c r="B1938" s="14" t="str">
        <x:v>Основная одежда женская</x:v>
      </x:c>
      <x:c r="C1938" s="14" t="str">
        <x:v>Пляжная одежда женская</x:v>
      </x:c>
      <x:c r="D1938" s="14" t="str">
        <x:v>Пляжная одежда женская (парео, туники, шорты, платья)</x:v>
      </x:c>
      <x:c r="E1938" s="2" t="n">
        <x:v>557</x:v>
      </x:c>
      <x:c r="F1938" s="2" t="n">
        <x:v>0</x:v>
      </x:c>
      <x:c r="G1938" s="12" t="n">
        <x:v>68924695.8754</x:v>
      </x:c>
      <x:c r="H1938" s="12" t="n">
        <x:v>2822874.24767075</x:v>
      </x:c>
      <x:c r="I1938" s="13" t="n">
        <x:v>0.0327111310592459</x:v>
      </x:c>
      <x:c r="J1938" s="2" t="n">
        <x:v>291</x:v>
      </x:c>
      <x:c r="K1938" s="2" t="n">
        <x:v>96</x:v>
      </x:c>
      <x:c r="L1938" s="12" t="n">
        <x:v>1607.1095</x:v>
      </x:c>
      <x:c r="M1938" s="13" t="n">
        <x:v>0.4403992979014916</x:v>
      </x:c>
      <x:c r="N1938" s="13" t="n">
        <x:f>H1938/G1938</x:f>
        <x:v>0.04095591880120671</x:v>
      </x:c>
      <x:c r="O1938" s="13" t="n">
        <x:f>F1938/E1938</x:f>
        <x:v>0</x:v>
      </x:c>
      <x:c r="P1938" s="2" t="str">
        <x:f>IF(AND(E1938&gt;='Итоги'!$F$5,N1938&lt;='Итоги'!$B$5,O1938&gt;='Итоги'!$D$5),"Да","Нет")</x:f>
        <x:v>Нет</x:v>
      </x:c>
    </x:row>
    <x:row r="1939" ht="60" customHeight="1">
      <x:c r="A1939" s="14" t="str">
        <x:v>Аксессуары</x:v>
      </x:c>
      <x:c r="B1939" s="14" t="str">
        <x:v>Ювелирные изделия</x:v>
      </x:c>
      <x:c r="C1939" s="14" t="str">
        <x:v>Кольцо ювелирное</x:v>
      </x:c>
      <x:c r="D1939" s="14" t="str">
        <x:v>Серебро кольцо</x:v>
      </x:c>
      <x:c r="E1939" s="2" t="n">
        <x:v>86</x:v>
      </x:c>
      <x:c r="F1939" s="2" t="n">
        <x:v>0</x:v>
      </x:c>
      <x:c r="G1939" s="12" t="n">
        <x:v>3966721.92</x:v>
      </x:c>
      <x:c r="H1939" s="12" t="n">
        <x:v>162550.128859</x:v>
      </x:c>
      <x:c r="I1939" s="13" t="n">
        <x:v>0.0197162790697674</x:v>
      </x:c>
      <x:c r="J1939" s="2" t="n">
        <x:v>64</x:v>
      </x:c>
      <x:c r="K1939" s="2" t="n">
        <x:v>16</x:v>
      </x:c>
      <x:c r="L1939" s="12" t="n">
        <x:v>3383.62325</x:v>
      </x:c>
      <x:c r="M1939" s="13" t="n">
        <x:v>0.9177018186341632</x:v>
      </x:c>
      <x:c r="N1939" s="13" t="n">
        <x:f>H1939/G1939</x:f>
        <x:v>0.04097845327635167</x:v>
      </x:c>
      <x:c r="O1939" s="13" t="n">
        <x:f>F1939/E1939</x:f>
        <x:v>0</x:v>
      </x:c>
      <x:c r="P1939" s="2" t="str">
        <x:f>IF(AND(E1939&gt;='Итоги'!$F$5,N1939&lt;='Итоги'!$B$5,O1939&gt;='Итоги'!$D$5),"Да","Нет")</x:f>
        <x:v>Нет</x:v>
      </x:c>
    </x:row>
    <x:row r="1940" ht="60" customHeight="1">
      <x:c r="A1940" s="14" t="str">
        <x:v>Одежда</x:v>
      </x:c>
      <x:c r="B1940" s="14" t="str">
        <x:v>Основная одежда женская</x:v>
      </x:c>
      <x:c r="C1940" s="14" t="str">
        <x:v>Спортивная основная одежда женская низы</x:v>
      </x:c>
      <x:c r="D1940" s="14" t="str">
        <x:v>Спортивные брюки женские</x:v>
      </x:c>
      <x:c r="E1940" s="2" t="n">
        <x:v>233</x:v>
      </x:c>
      <x:c r="F1940" s="2" t="n">
        <x:v>0</x:v>
      </x:c>
      <x:c r="G1940" s="12" t="n">
        <x:v>26697735.283</x:v>
      </x:c>
      <x:c r="H1940" s="12" t="n">
        <x:v>1094615.93292401</x:v>
      </x:c>
      <x:c r="I1940" s="13" t="n">
        <x:v>0.0342077253218884</x:v>
      </x:c>
      <x:c r="J1940" s="2" t="n">
        <x:v>149</x:v>
      </x:c>
      <x:c r="K1940" s="2" t="n">
        <x:v>8</x:v>
      </x:c>
      <x:c r="L1940" s="12" t="n">
        <x:v>1402.5952</x:v>
      </x:c>
      <x:c r="M1940" s="13" t="n">
        <x:v>0.6986253577836856</x:v>
      </x:c>
      <x:c r="N1940" s="13" t="n">
        <x:f>H1940/G1940</x:f>
        <x:v>0.04100032910360812</x:v>
      </x:c>
      <x:c r="O1940" s="13" t="n">
        <x:f>F1940/E1940</x:f>
        <x:v>0</x:v>
      </x:c>
      <x:c r="P1940" s="2" t="str">
        <x:f>IF(AND(E1940&gt;='Итоги'!$F$5,N1940&lt;='Итоги'!$B$5,O1940&gt;='Итоги'!$D$5),"Да","Нет")</x:f>
        <x:v>Нет</x:v>
      </x:c>
    </x:row>
    <x:row r="1941" ht="60" customHeight="1">
      <x:c r="A1941" s="14" t="str">
        <x:v>Одежда</x:v>
      </x:c>
      <x:c r="B1941" s="14" t="str">
        <x:v>Основная одежда женская</x:v>
      </x:c>
      <x:c r="C1941" s="14" t="str">
        <x:v>Пляжная одежда женская</x:v>
      </x:c>
      <x:c r="D1941" s="14" t="str">
        <x:v>Спортивный купальник слитный</x:v>
      </x:c>
      <x:c r="E1941" s="2" t="n">
        <x:v>465</x:v>
      </x:c>
      <x:c r="F1941" s="2" t="n">
        <x:v>0</x:v>
      </x:c>
      <x:c r="G1941" s="12" t="n">
        <x:v>57903494.2595</x:v>
      </x:c>
      <x:c r="H1941" s="12" t="n">
        <x:v>2374145.63498313</x:v>
      </x:c>
      <x:c r="I1941" s="13" t="n">
        <x:v>0.0340759139784946</x:v>
      </x:c>
      <x:c r="J1941" s="2" t="n">
        <x:v>209</x:v>
      </x:c>
      <x:c r="K1941" s="2" t="n">
        <x:v>37</x:v>
      </x:c>
      <x:c r="L1941" s="12" t="n">
        <x:v>1668.5709</x:v>
      </x:c>
      <x:c r="M1941" s="13" t="n">
        <x:v>0.3742182264129065</x:v>
      </x:c>
      <x:c r="N1941" s="13" t="n">
        <x:f>H1941/G1941</x:f>
        <x:v>0.041001767947598654</x:v>
      </x:c>
      <x:c r="O1941" s="13" t="n">
        <x:f>F1941/E1941</x:f>
        <x:v>0</x:v>
      </x:c>
      <x:c r="P1941" s="2" t="str">
        <x:f>IF(AND(E1941&gt;='Итоги'!$F$5,N1941&lt;='Итоги'!$B$5,O1941&gt;='Итоги'!$D$5),"Да","Нет")</x:f>
        <x:v>Нет</x:v>
      </x:c>
    </x:row>
    <x:row r="1942" ht="60" customHeight="1">
      <x:c r="A1942" s="14" t="str">
        <x:v>Спорт и отдых</x:v>
      </x:c>
      <x:c r="B1942" s="14" t="str">
        <x:v>Туризм</x:v>
      </x:c>
      <x:c r="C1942" s="14" t="str">
        <x:v>Мультитул, нож туристический</x:v>
      </x:c>
      <x:c r="D1942" s="14" t="str">
        <x:v>Портативная точилка/станок для заточки туристических ножей</x:v>
      </x:c>
      <x:c r="E1942" s="2" t="n">
        <x:v>3</x:v>
      </x:c>
      <x:c r="F1942" s="2" t="n">
        <x:v>0</x:v>
      </x:c>
      <x:c r="G1942" s="12" t="n">
        <x:v>414006.19</x:v>
      </x:c>
      <x:c r="H1942" s="12" t="n">
        <x:v>16978.061457</x:v>
      </x:c>
      <x:c r="I1942" s="13" t="n">
        <x:v>0.0356</x:v>
      </x:c>
      <x:c r="J1942" s="2" t="n">
        <x:v>1</x:v>
      </x:c>
      <x:c r="K1942" s="2" t="n">
        <x:v>1</x:v>
      </x:c>
      <x:c r="L1942" s="12" t="n">
        <x:v>1692.2685</x:v>
      </x:c>
      <x:c r="M1942" s="13" t="n">
        <x:v>1</x:v>
      </x:c>
      <x:c r="N1942" s="13" t="n">
        <x:f>H1942/G1942</x:f>
        <x:v>0.041009197125772445</x:v>
      </x:c>
      <x:c r="O1942" s="13" t="n">
        <x:f>F1942/E1942</x:f>
        <x:v>0</x:v>
      </x:c>
      <x:c r="P1942" s="2" t="str">
        <x:f>IF(AND(E1942&gt;='Итоги'!$F$5,N1942&lt;='Итоги'!$B$5,O1942&gt;='Итоги'!$D$5),"Да","Нет")</x:f>
        <x:v>Нет</x:v>
      </x:c>
    </x:row>
    <x:row r="1943" ht="60" customHeight="1">
      <x:c r="A1943" s="14" t="str">
        <x:v>Товары для дома</x:v>
      </x:c>
      <x:c r="B1943" s="14" t="str">
        <x:v>Интерьер и декор</x:v>
      </x:c>
      <x:c r="C1943" s="14" t="str">
        <x:v>Принадлежности, аксессуары для курения</x:v>
      </x:c>
      <x:c r="D1943" s="14" t="str">
        <x:v>Кисет для табака</x:v>
      </x:c>
      <x:c r="E1943" s="2" t="n">
        <x:v>2</x:v>
      </x:c>
      <x:c r="F1943" s="2" t="n">
        <x:v>0</x:v>
      </x:c>
      <x:c r="G1943" s="12" t="n">
        <x:v>330302.5002</x:v>
      </x:c>
      <x:c r="H1943" s="12" t="n">
        <x:v>13548.71975718</x:v>
      </x:c>
      <x:c r="I1943" s="13" t="n">
        <x:v>0.0409</x:v>
      </x:c>
      <x:c r="J1943" s="2" t="n">
        <x:v>0</x:v>
      </x:c>
      <x:c r="K1943" s="2" t="n">
        <x:v>1</x:v>
      </x:c>
      <x:c r="L1943" s="12" t="n">
        <x:v>4362.07665</x:v>
      </x:c>
      <x:c r="M1943" s="13" t="n">
        <x:v>1</x:v>
      </x:c>
      <x:c r="N1943" s="13" t="n">
        <x:f>H1943/G1943</x:f>
        <x:v>0.04101912564687272</x:v>
      </x:c>
      <x:c r="O1943" s="13" t="n">
        <x:f>F1943/E1943</x:f>
        <x:v>0</x:v>
      </x:c>
      <x:c r="P1943" s="2" t="str">
        <x:f>IF(AND(E1943&gt;='Итоги'!$F$5,N1943&lt;='Итоги'!$B$5,O1943&gt;='Итоги'!$D$5),"Да","Нет")</x:f>
        <x:v>Нет</x:v>
      </x:c>
    </x:row>
    <x:row r="1944" ht="60" customHeight="1">
      <x:c r="A1944" s="14" t="str">
        <x:v>Аптека</x:v>
      </x:c>
      <x:c r="B1944" s="14" t="str">
        <x:v>Витамины и БАДы</x:v>
      </x:c>
      <x:c r="C1944" s="14" t="str">
        <x:v>Мужское здоровье</x:v>
      </x:c>
      <x:c r="D1944" s="14" t="str">
        <x:v>БАД при воспалительных урологических заболеваниях</x:v>
      </x:c>
      <x:c r="E1944" s="2" t="n">
        <x:v>26</x:v>
      </x:c>
      <x:c r="F1944" s="2" t="n">
        <x:v>0</x:v>
      </x:c>
      <x:c r="G1944" s="12" t="n">
        <x:v>5154755.4554</x:v>
      </x:c>
      <x:c r="H1944" s="12" t="n">
        <x:v>211697.02494952</x:v>
      </x:c>
      <x:c r="I1944" s="13" t="n">
        <x:v>0.04055</x:v>
      </x:c>
      <x:c r="J1944" s="2" t="n">
        <x:v>12</x:v>
      </x:c>
      <x:c r="K1944" s="2" t="n">
        <x:v>7</x:v>
      </x:c>
      <x:c r="L1944" s="12" t="n">
        <x:v>1590.69335</x:v>
      </x:c>
      <x:c r="M1944" s="13" t="n">
        <x:v>0.4807636578188934</x:v>
      </x:c>
      <x:c r="N1944" s="13" t="n">
        <x:f>H1944/G1944</x:f>
        <x:v>0.04106829640730118</x:v>
      </x:c>
      <x:c r="O1944" s="13" t="n">
        <x:f>F1944/E1944</x:f>
        <x:v>0</x:v>
      </x:c>
      <x:c r="P1944" s="2" t="str">
        <x:f>IF(AND(E1944&gt;='Итоги'!$F$5,N1944&lt;='Итоги'!$B$5,O1944&gt;='Итоги'!$D$5),"Да","Нет")</x:f>
        <x:v>Нет</x:v>
      </x:c>
    </x:row>
    <x:row r="1945" ht="60" customHeight="1">
      <x:c r="A1945" s="14" t="str">
        <x:v>Строительство и ремонт (DIY)</x:v>
      </x:c>
      <x:c r="B1945" s="14" t="str">
        <x:v>Ремонт и строительство</x:v>
      </x:c>
      <x:c r="C1945" s="14" t="str">
        <x:v>Электротовары</x:v>
      </x:c>
      <x:c r="D1945" s="14" t="str">
        <x:v>Дифференциальный автоматический выключатель</x:v>
      </x:c>
      <x:c r="E1945" s="2" t="n">
        <x:v>24</x:v>
      </x:c>
      <x:c r="F1945" s="2" t="n">
        <x:v>0</x:v>
      </x:c>
      <x:c r="G1945" s="12" t="n">
        <x:v>4032177.6801</x:v>
      </x:c>
      <x:c r="H1945" s="12" t="n">
        <x:v>165607.29643826</x:v>
      </x:c>
      <x:c r="I1945" s="13" t="n">
        <x:v>0.0390208333333333</x:v>
      </x:c>
      <x:c r="J1945" s="2" t="n">
        <x:v>9</x:v>
      </x:c>
      <x:c r="K1945" s="2" t="n">
        <x:v>7</x:v>
      </x:c>
      <x:c r="L1945" s="12" t="n">
        <x:v>1249.60565</x:v>
      </x:c>
      <x:c r="M1945" s="13" t="n">
        <x:v>0.5097189672080691</x:v>
      </x:c>
      <x:c r="N1945" s="13" t="n">
        <x:f>H1945/G1945</x:f>
        <x:v>0.04107142828937857</x:v>
      </x:c>
      <x:c r="O1945" s="13" t="n">
        <x:f>F1945/E1945</x:f>
        <x:v>0</x:v>
      </x:c>
      <x:c r="P1945" s="2" t="str">
        <x:f>IF(AND(E1945&gt;='Итоги'!$F$5,N1945&lt;='Итоги'!$B$5,O1945&gt;='Итоги'!$D$5),"Да","Нет")</x:f>
        <x:v>Нет</x:v>
      </x:c>
    </x:row>
    <x:row r="1946" ht="60" customHeight="1">
      <x:c r="A1946" s="14" t="str">
        <x:v>Автотовары</x:v>
      </x:c>
      <x:c r="B1946" s="14" t="str">
        <x:v>Автоинструменты и гаражное оборудование</x:v>
      </x:c>
      <x:c r="C1946" s="14" t="str">
        <x:v>Аксессуары для АКБ</x:v>
      </x:c>
      <x:c r="D1946" s="14" t="str">
        <x:v>Провода прикуривания</x:v>
      </x:c>
      <x:c r="E1946" s="2" t="n">
        <x:v>10</x:v>
      </x:c>
      <x:c r="F1946" s="2" t="n">
        <x:v>0</x:v>
      </x:c>
      <x:c r="G1946" s="12" t="n">
        <x:v>1974983.616</x:v>
      </x:c>
      <x:c r="H1946" s="12" t="n">
        <x:v>81366.65378084</x:v>
      </x:c>
      <x:c r="I1946" s="13" t="n">
        <x:v>0.06161</x:v>
      </x:c>
      <x:c r="J1946" s="2" t="n">
        <x:v>4</x:v>
      </x:c>
      <x:c r="K1946" s="2" t="n">
        <x:v>5</x:v>
      </x:c>
      <x:c r="L1946" s="12" t="n">
        <x:v>1400.2301</x:v>
      </x:c>
      <x:c r="M1946" s="13" t="n">
        <x:v>0.5888989737320434</x:v>
      </x:c>
      <x:c r="N1946" s="13" t="n">
        <x:f>H1946/G1946</x:f>
        <x:v>0.0411986474832812</x:v>
      </x:c>
      <x:c r="O1946" s="13" t="n">
        <x:f>F1946/E1946</x:f>
        <x:v>0</x:v>
      </x:c>
      <x:c r="P1946" s="2" t="str">
        <x:f>IF(AND(E1946&gt;='Итоги'!$F$5,N1946&lt;='Итоги'!$B$5,O1946&gt;='Итоги'!$D$5),"Да","Нет")</x:f>
        <x:v>Нет</x:v>
      </x:c>
    </x:row>
    <x:row r="1947" ht="60" customHeight="1">
      <x:c r="A1947" s="14" t="str">
        <x:v>Одежда</x:v>
      </x:c>
      <x:c r="B1947" s="14" t="str">
        <x:v>Основная одежда женская</x:v>
      </x:c>
      <x:c r="C1947" s="14" t="str">
        <x:v>Головные уборы, перчатки, шарфы женские</x:v>
      </x:c>
      <x:c r="D1947" s="14" t="str">
        <x:v>Палантин</x:v>
      </x:c>
      <x:c r="E1947" s="2" t="n">
        <x:v>4</x:v>
      </x:c>
      <x:c r="F1947" s="2" t="n">
        <x:v>0</x:v>
      </x:c>
      <x:c r="G1947" s="12" t="n">
        <x:v>487348.44</x:v>
      </x:c>
      <x:c r="H1947" s="12" t="n">
        <x:v>20093.756512000004</x:v>
      </x:c>
      <x:c r="I1947" s="13" t="n">
        <x:v>0.042475</x:v>
      </x:c>
      <x:c r="J1947" s="2" t="n">
        <x:v>2</x:v>
      </x:c>
      <x:c r="K1947" s="2" t="n">
        <x:v>3</x:v>
      </x:c>
      <x:c r="L1947" s="12" t="n">
        <x:v>91339.75</x:v>
      </x:c>
      <x:c r="M1947" s="13" t="n">
        <x:v>0.734841789993213</x:v>
      </x:c>
      <x:c r="N1947" s="13" t="n">
        <x:f>H1947/G1947</x:f>
        <x:v>0.04123078040836656</x:v>
      </x:c>
      <x:c r="O1947" s="13" t="n">
        <x:f>F1947/E1947</x:f>
        <x:v>0</x:v>
      </x:c>
      <x:c r="P1947" s="2" t="str">
        <x:f>IF(AND(E1947&gt;='Итоги'!$F$5,N1947&lt;='Итоги'!$B$5,O1947&gt;='Итоги'!$D$5),"Да","Нет")</x:f>
        <x:v>Нет</x:v>
      </x:c>
    </x:row>
    <x:row r="1948" ht="60" customHeight="1">
      <x:c r="A1948" s="14" t="str">
        <x:v>Одежда</x:v>
      </x:c>
      <x:c r="B1948" s="14" t="str">
        <x:v>Основная одежда женская</x:v>
      </x:c>
      <x:c r="C1948" s="14" t="str">
        <x:v>Основная одежда женская верха</x:v>
      </x:c>
      <x:c r="D1948" s="14" t="str">
        <x:v>Поло женское</x:v>
      </x:c>
      <x:c r="E1948" s="2" t="n">
        <x:v>49</x:v>
      </x:c>
      <x:c r="F1948" s="2" t="n">
        <x:v>0</x:v>
      </x:c>
      <x:c r="G1948" s="12" t="n">
        <x:v>3812410.3695</x:v>
      </x:c>
      <x:c r="H1948" s="12" t="n">
        <x:v>157245.75881827998</x:v>
      </x:c>
      <x:c r="I1948" s="13" t="n">
        <x:v>0.029338775510204</x:v>
      </x:c>
      <x:c r="J1948" s="2" t="n">
        <x:v>20</x:v>
      </x:c>
      <x:c r="K1948" s="2" t="n">
        <x:v>10</x:v>
      </x:c>
      <x:c r="L1948" s="12" t="n">
        <x:v>1090.6819</x:v>
      </x:c>
      <x:c r="M1948" s="13" t="n">
        <x:v>0.2629481608852811</x:v>
      </x:c>
      <x:c r="N1948" s="13" t="n">
        <x:f>H1948/G1948</x:f>
        <x:v>0.041245758871152914</x:v>
      </x:c>
      <x:c r="O1948" s="13" t="n">
        <x:f>F1948/E1948</x:f>
        <x:v>0</x:v>
      </x:c>
      <x:c r="P1948" s="2" t="str">
        <x:f>IF(AND(E1948&gt;='Итоги'!$F$5,N1948&lt;='Итоги'!$B$5,O1948&gt;='Итоги'!$D$5),"Да","Нет")</x:f>
        <x:v>Нет</x:v>
      </x:c>
    </x:row>
    <x:row r="1949" ht="60" customHeight="1">
      <x:c r="A1949" s="14" t="str">
        <x:v>Ноутбуки и компьютеры</x:v>
      </x:c>
      <x:c r="B1949" s="14" t="str">
        <x:v>Компьютерные комплектующие Lap&amp;Comp</x:v>
      </x:c>
      <x:c r="C1949" s="14" t="str">
        <x:v>Компьютерные комплектующие Lap&amp;Comp</x:v>
      </x:c>
      <x:c r="D1949" s="14" t="str">
        <x:v>Электронный модуль</x:v>
      </x:c>
      <x:c r="E1949" s="2" t="n">
        <x:v>20</x:v>
      </x:c>
      <x:c r="F1949" s="2" t="n">
        <x:v>0</x:v>
      </x:c>
      <x:c r="G1949" s="12" t="n">
        <x:v>1844151.9024</x:v>
      </x:c>
      <x:c r="H1949" s="12" t="n">
        <x:v>76181.24284776</x:v>
      </x:c>
      <x:c r="I1949" s="13" t="n">
        <x:v>0.034455</x:v>
      </x:c>
      <x:c r="J1949" s="2" t="n">
        <x:v>10</x:v>
      </x:c>
      <x:c r="K1949" s="2" t="n">
        <x:v>8</x:v>
      </x:c>
      <x:c r="L1949" s="12" t="n">
        <x:v>2062.98545</x:v>
      </x:c>
      <x:c r="M1949" s="13" t="n">
        <x:v>0.7501298329056779</x:v>
      </x:c>
      <x:c r="N1949" s="13" t="n">
        <x:f>H1949/G1949</x:f>
        <x:v>0.041309635474505585</x:v>
      </x:c>
      <x:c r="O1949" s="13" t="n">
        <x:f>F1949/E1949</x:f>
        <x:v>0</x:v>
      </x:c>
      <x:c r="P1949" s="2" t="str">
        <x:f>IF(AND(E1949&gt;='Итоги'!$F$5,N1949&lt;='Итоги'!$B$5,O1949&gt;='Итоги'!$D$5),"Да","Нет")</x:f>
        <x:v>Нет</x:v>
      </x:c>
    </x:row>
    <x:row r="1950" ht="60" customHeight="1">
      <x:c r="A1950" s="14" t="str">
        <x:v>Спорт и отдых</x:v>
      </x:c>
      <x:c r="B1950" s="14" t="str">
        <x:v>Колесный транспорт</x:v>
      </x:c>
      <x:c r="C1950" s="14" t="str">
        <x:v>Экипировка для велоспорта</x:v>
      </x:c>
      <x:c r="D1950" s="14" t="str">
        <x:v>Велошлем</x:v>
      </x:c>
      <x:c r="E1950" s="2" t="n">
        <x:v>39</x:v>
      </x:c>
      <x:c r="F1950" s="2" t="n">
        <x:v>0</x:v>
      </x:c>
      <x:c r="G1950" s="12" t="n">
        <x:v>4412077.343</x:v>
      </x:c>
      <x:c r="H1950" s="12" t="n">
        <x:v>182746.44788872</x:v>
      </x:c>
      <x:c r="I1950" s="13" t="n">
        <x:v>0.048276923076923</x:v>
      </x:c>
      <x:c r="J1950" s="2" t="n">
        <x:v>18</x:v>
      </x:c>
      <x:c r="K1950" s="2" t="n">
        <x:v>11</x:v>
      </x:c>
      <x:c r="L1950" s="12" t="n">
        <x:v>2826.3</x:v>
      </x:c>
      <x:c r="M1950" s="13" t="n">
        <x:v>0.3763656079226623</x:v>
      </x:c>
      <x:c r="N1950" s="13" t="n">
        <x:f>H1950/G1950</x:f>
        <x:v>0.04141959301295049</x:v>
      </x:c>
      <x:c r="O1950" s="13" t="n">
        <x:f>F1950/E1950</x:f>
        <x:v>0</x:v>
      </x:c>
      <x:c r="P1950" s="2" t="str">
        <x:f>IF(AND(E1950&gt;='Итоги'!$F$5,N1950&lt;='Итоги'!$B$5,O1950&gt;='Итоги'!$D$5),"Да","Нет")</x:f>
        <x:v>Нет</x:v>
      </x:c>
    </x:row>
    <x:row r="1951" ht="60" customHeight="1">
      <x:c r="A1951" s="14" t="str">
        <x:v>Детская одежда</x:v>
      </x:c>
      <x:c r="B1951" s="14" t="str">
        <x:v>Детская одежда</x:v>
      </x:c>
      <x:c r="C1951" s="14" t="str">
        <x:v>Пляжная одежда для девочки</x:v>
      </x:c>
      <x:c r="D1951" s="14" t="str">
        <x:v>Слитный купальник для девочки</x:v>
      </x:c>
      <x:c r="E1951" s="2" t="n">
        <x:v>24</x:v>
      </x:c>
      <x:c r="F1951" s="2" t="n">
        <x:v>0</x:v>
      </x:c>
      <x:c r="G1951" s="12" t="n">
        <x:v>1116242.7768</x:v>
      </x:c>
      <x:c r="H1951" s="12" t="n">
        <x:v>46281.079543520005</x:v>
      </x:c>
      <x:c r="I1951" s="13" t="n">
        <x:v>0.0339041666666666</x:v>
      </x:c>
      <x:c r="J1951" s="2" t="n">
        <x:v>15</x:v>
      </x:c>
      <x:c r="K1951" s="2" t="n">
        <x:v>4</x:v>
      </x:c>
      <x:c r="L1951" s="12" t="n">
        <x:v>1182.15315</x:v>
      </x:c>
      <x:c r="M1951" s="13" t="n">
        <x:v>0.5952367089037364</x:v>
      </x:c>
      <x:c r="N1951" s="13" t="n">
        <x:f>H1951/G1951</x:f>
        <x:v>0.041461481772089706</x:v>
      </x:c>
      <x:c r="O1951" s="13" t="n">
        <x:f>F1951/E1951</x:f>
        <x:v>0</x:v>
      </x:c>
      <x:c r="P1951" s="2" t="str">
        <x:f>IF(AND(E1951&gt;='Итоги'!$F$5,N1951&lt;='Итоги'!$B$5,O1951&gt;='Итоги'!$D$5),"Да","Нет")</x:f>
        <x:v>Нет</x:v>
      </x:c>
    </x:row>
    <x:row r="1952" ht="60" customHeight="1">
      <x:c r="A1952" s="14" t="str">
        <x:v>Строительство и ремонт (DIY)</x:v>
      </x:c>
      <x:c r="B1952" s="14" t="str">
        <x:v>Сад и огород</x:v>
      </x:c>
      <x:c r="C1952" s="14" t="str">
        <x:v>Биотуалет и аксессуар</x:v>
      </x:c>
      <x:c r="D1952" s="14" t="str">
        <x:v>Биотуалет</x:v>
      </x:c>
      <x:c r="E1952" s="2" t="n">
        <x:v>46</x:v>
      </x:c>
      <x:c r="F1952" s="2" t="n">
        <x:v>0</x:v>
      </x:c>
      <x:c r="G1952" s="12" t="n">
        <x:v>14237549.1794</x:v>
      </x:c>
      <x:c r="H1952" s="12" t="n">
        <x:v>590637.08698481</x:v>
      </x:c>
      <x:c r="I1952" s="13" t="n">
        <x:v>0.0424565217391304</x:v>
      </x:c>
      <x:c r="J1952" s="2" t="n">
        <x:v>16</x:v>
      </x:c>
      <x:c r="K1952" s="2" t="n">
        <x:v>13</x:v>
      </x:c>
      <x:c r="L1952" s="12" t="n">
        <x:v>6394.1866</x:v>
      </x:c>
      <x:c r="M1952" s="13" t="n">
        <x:v>0.6146185170240634</x:v>
      </x:c>
      <x:c r="N1952" s="13" t="n">
        <x:f>H1952/G1952</x:f>
        <x:v>0.04148446334003818</x:v>
      </x:c>
      <x:c r="O1952" s="13" t="n">
        <x:f>F1952/E1952</x:f>
        <x:v>0</x:v>
      </x:c>
      <x:c r="P1952" s="2" t="str">
        <x:f>IF(AND(E1952&gt;='Итоги'!$F$5,N1952&lt;='Итоги'!$B$5,O1952&gt;='Итоги'!$D$5),"Да","Нет")</x:f>
        <x:v>Нет</x:v>
      </x:c>
    </x:row>
    <x:row r="1953" ht="60" customHeight="1">
      <x:c r="A1953" s="14" t="str">
        <x:v>Строительство и ремонт (DIY)</x:v>
      </x:c>
      <x:c r="B1953" s="14" t="str">
        <x:v>Сад и огород</x:v>
      </x:c>
      <x:c r="C1953" s="14" t="str">
        <x:v>Товары для бани и сауны</x:v>
      </x:c>
      <x:c r="D1953" s="14" t="str">
        <x:v>Камни для бани и сауны</x:v>
      </x:c>
      <x:c r="E1953" s="2" t="n">
        <x:v>30</x:v>
      </x:c>
      <x:c r="F1953" s="2" t="n">
        <x:v>0</x:v>
      </x:c>
      <x:c r="G1953" s="12" t="n">
        <x:v>3870874.445</x:v>
      </x:c>
      <x:c r="H1953" s="12" t="n">
        <x:v>160601.01211204</x:v>
      </x:c>
      <x:c r="I1953" s="13" t="n">
        <x:v>0.0438233333333333</x:v>
      </x:c>
      <x:c r="J1953" s="2" t="n">
        <x:v>13</x:v>
      </x:c>
      <x:c r="K1953" s="2" t="n">
        <x:v>9</x:v>
      </x:c>
      <x:c r="L1953" s="12" t="n">
        <x:v>1636.7482</x:v>
      </x:c>
      <x:c r="M1953" s="13" t="n">
        <x:v>0.2292701410520691</x:v>
      </x:c>
      <x:c r="N1953" s="13" t="n">
        <x:f>H1953/G1953</x:f>
        <x:v>0.04148959476572225</x:v>
      </x:c>
      <x:c r="O1953" s="13" t="n">
        <x:f>F1953/E1953</x:f>
        <x:v>0</x:v>
      </x:c>
      <x:c r="P1953" s="2" t="str">
        <x:f>IF(AND(E1953&gt;='Итоги'!$F$5,N1953&lt;='Итоги'!$B$5,O1953&gt;='Итоги'!$D$5),"Да","Нет")</x:f>
        <x:v>Нет</x:v>
      </x:c>
    </x:row>
    <x:row r="1954" ht="60" customHeight="1">
      <x:c r="A1954" s="14" t="str">
        <x:v>Товары для дома</x:v>
      </x:c>
      <x:c r="B1954" s="14" t="str">
        <x:v>Аксессуары для уборки и стирки</x:v>
      </x:c>
      <x:c r="C1954" s="14" t="str">
        <x:v>Принадлежности для сушки, глажения</x:v>
      </x:c>
      <x:c r="D1954" s="14" t="str">
        <x:v>Гладильная доска</x:v>
      </x:c>
      <x:c r="E1954" s="2" t="n">
        <x:v>135</x:v>
      </x:c>
      <x:c r="F1954" s="2" t="n">
        <x:v>0</x:v>
      </x:c>
      <x:c r="G1954" s="12" t="n">
        <x:v>22982132.0259</x:v>
      </x:c>
      <x:c r="H1954" s="12" t="n">
        <x:v>953630.75248899</x:v>
      </x:c>
      <x:c r="I1954" s="13" t="n">
        <x:v>0.0480044444444444</x:v>
      </x:c>
      <x:c r="J1954" s="2" t="n">
        <x:v>45</x:v>
      </x:c>
      <x:c r="K1954" s="2" t="n">
        <x:v>23</x:v>
      </x:c>
      <x:c r="L1954" s="12" t="n">
        <x:v>3580.3529</x:v>
      </x:c>
      <x:c r="M1954" s="13" t="n">
        <x:v>0.4950011055753866</x:v>
      </x:c>
      <x:c r="N1954" s="13" t="n">
        <x:f>H1954/G1954</x:f>
        <x:v>0.041494442352619156</x:v>
      </x:c>
      <x:c r="O1954" s="13" t="n">
        <x:f>F1954/E1954</x:f>
        <x:v>0</x:v>
      </x:c>
      <x:c r="P1954" s="2" t="str">
        <x:f>IF(AND(E1954&gt;='Итоги'!$F$5,N1954&lt;='Итоги'!$B$5,O1954&gt;='Итоги'!$D$5),"Да","Нет")</x:f>
        <x:v>Нет</x:v>
      </x:c>
    </x:row>
    <x:row r="1955" ht="60" customHeight="1">
      <x:c r="A1955" s="14" t="str">
        <x:v>Спорт и отдых</x:v>
      </x:c>
      <x:c r="B1955" s="14" t="str">
        <x:v>Товары для охоты</x:v>
      </x:c>
      <x:c r="C1955" s="14" t="str">
        <x:v>Аксессуары для охоты</x:v>
      </x:c>
      <x:c r="D1955" s="14" t="str">
        <x:v>Подсумок оружейный</x:v>
      </x:c>
      <x:c r="E1955" s="2" t="n">
        <x:v>4</x:v>
      </x:c>
      <x:c r="F1955" s="2" t="n">
        <x:v>0</x:v>
      </x:c>
      <x:c r="G1955" s="12" t="n">
        <x:v>371888.23</x:v>
      </x:c>
      <x:c r="H1955" s="12" t="n">
        <x:v>15434.686008</x:v>
      </x:c>
      <x:c r="I1955" s="13" t="n">
        <x:v>0.0406</x:v>
      </x:c>
      <x:c r="J1955" s="2" t="n">
        <x:v>3</x:v>
      </x:c>
      <x:c r="K1955" s="2" t="n">
        <x:v>2</x:v>
      </x:c>
      <x:c r="L1955" s="12" t="n">
        <x:v>2344.68465</x:v>
      </x:c>
      <x:c r="M1955" s="13" t="n">
        <x:v>0.7444361979404404</x:v>
      </x:c>
      <x:c r="N1955" s="13" t="n">
        <x:f>H1955/G1955</x:f>
        <x:v>0.041503561454472496</x:v>
      </x:c>
      <x:c r="O1955" s="13" t="n">
        <x:f>F1955/E1955</x:f>
        <x:v>0</x:v>
      </x:c>
      <x:c r="P1955" s="2" t="str">
        <x:f>IF(AND(E1955&gt;='Итоги'!$F$5,N1955&lt;='Итоги'!$B$5,O1955&gt;='Итоги'!$D$5),"Да","Нет")</x:f>
        <x:v>Нет</x:v>
      </x:c>
    </x:row>
    <x:row r="1956" ht="60" customHeight="1">
      <x:c r="A1956" s="14" t="str">
        <x:v>Строительство и ремонт (DIY)</x:v>
      </x:c>
      <x:c r="B1956" s="14" t="str">
        <x:v>Ремонт и строительство</x:v>
      </x:c>
      <x:c r="C1956" s="14" t="str">
        <x:v>Магниты для ремонта, строительства</x:v>
      </x:c>
      <x:c r="D1956" s="14" t="str">
        <x:v>Магнитные крепления и держатели</x:v>
      </x:c>
      <x:c r="E1956" s="2" t="n">
        <x:v>4</x:v>
      </x:c>
      <x:c r="F1956" s="2" t="n">
        <x:v>0</x:v>
      </x:c>
      <x:c r="G1956" s="12" t="n">
        <x:v>715408.8</x:v>
      </x:c>
      <x:c r="H1956" s="12" t="n">
        <x:v>29755.24378</x:v>
      </x:c>
      <x:c r="I1956" s="13" t="n">
        <x:v>0.05675</x:v>
      </x:c>
      <x:c r="J1956" s="2" t="n">
        <x:v>0</x:v>
      </x:c>
      <x:c r="K1956" s="2" t="n">
        <x:v>2</x:v>
      </x:c>
      <x:c r="L1956" s="12" t="n">
        <x:v>1174.79875</x:v>
      </x:c>
      <x:c r="M1956" s="13" t="n">
        <x:v>0.8409384955846224</x:v>
      </x:c>
      <x:c r="N1956" s="13" t="n">
        <x:f>H1956/G1956</x:f>
        <x:v>0.04159194544433895</x:v>
      </x:c>
      <x:c r="O1956" s="13" t="n">
        <x:f>F1956/E1956</x:f>
        <x:v>0</x:v>
      </x:c>
      <x:c r="P1956" s="2" t="str">
        <x:f>IF(AND(E1956&gt;='Итоги'!$F$5,N1956&lt;='Итоги'!$B$5,O1956&gt;='Итоги'!$D$5),"Да","Нет")</x:f>
        <x:v>Нет</x:v>
      </x:c>
    </x:row>
    <x:row r="1957" ht="60" customHeight="1">
      <x:c r="A1957" s="14" t="str">
        <x:v>Товары для дома</x:v>
      </x:c>
      <x:c r="B1957" s="14" t="str">
        <x:v>Домашний текстиль</x:v>
      </x:c>
      <x:c r="C1957" s="14" t="str">
        <x:v>Постельное белье</x:v>
      </x:c>
      <x:c r="D1957" s="14" t="str">
        <x:v>Пододеяльник</x:v>
      </x:c>
      <x:c r="E1957" s="2" t="n">
        <x:v>44</x:v>
      </x:c>
      <x:c r="F1957" s="2" t="n">
        <x:v>0</x:v>
      </x:c>
      <x:c r="G1957" s="12" t="n">
        <x:v>4377435.7358</x:v>
      </x:c>
      <x:c r="H1957" s="12" t="n">
        <x:v>182079.40766864</x:v>
      </x:c>
      <x:c r="I1957" s="13" t="n">
        <x:v>0.041525</x:v>
      </x:c>
      <x:c r="J1957" s="2" t="n">
        <x:v>16</x:v>
      </x:c>
      <x:c r="K1957" s="2" t="n">
        <x:v>3</x:v>
      </x:c>
      <x:c r="L1957" s="12" t="n">
        <x:v>1312.6005</x:v>
      </x:c>
      <x:c r="M1957" s="13" t="n">
        <x:v>0.9958471120772084</x:v>
      </x:c>
      <x:c r="N1957" s="13" t="n">
        <x:f>H1957/G1957</x:f>
        <x:v>0.04159499274416281</x:v>
      </x:c>
      <x:c r="O1957" s="13" t="n">
        <x:f>F1957/E1957</x:f>
        <x:v>0</x:v>
      </x:c>
      <x:c r="P1957" s="2" t="str">
        <x:f>IF(AND(E1957&gt;='Итоги'!$F$5,N1957&lt;='Итоги'!$B$5,O1957&gt;='Итоги'!$D$5),"Да","Нет")</x:f>
        <x:v>Нет</x:v>
      </x:c>
    </x:row>
    <x:row r="1958" ht="60" customHeight="1">
      <x:c r="A1958" s="14" t="str">
        <x:v>Книги</x:v>
      </x:c>
      <x:c r="B1958" s="14" t="str">
        <x:v>Печатные книги: Современные листовые издания</x:v>
      </x:c>
      <x:c r="C1958" s="14" t="str">
        <x:v>Печатные книги: Современные листовые издания</x:v>
      </x:c>
      <x:c r="D1958" s="14" t="str">
        <x:v>Буклет, листовка, брошюра</x:v>
      </x:c>
      <x:c r="E1958" s="2" t="n">
        <x:v>1</x:v>
      </x:c>
      <x:c r="F1958" s="2" t="n">
        <x:v>0</x:v>
      </x:c>
      <x:c r="G1958" s="12" t="n">
        <x:v>92401.956</x:v>
      </x:c>
      <x:c r="H1958" s="12" t="n">
        <x:v>3853.161565200001</x:v>
      </x:c>
      <x:c r="I1958" s="13" t="n">
        <x:v>0.0417</x:v>
      </x:c>
      <x:c r="J1958" s="2" t="n">
        <x:v>0</x:v>
      </x:c>
      <x:c r="K1958" s="2" t="n">
        <x:v>1</x:v>
      </x:c>
      <x:c r="L1958" s="12" t="n">
        <x:v>789.7603</x:v>
      </x:c>
      <x:c r="M1958" s="13" t="n">
        <x:v>1</x:v>
      </x:c>
      <x:c r="N1958" s="13" t="n">
        <x:f>H1958/G1958</x:f>
        <x:v>0.04170000000000001</x:v>
      </x:c>
      <x:c r="O1958" s="13" t="n">
        <x:f>F1958/E1958</x:f>
        <x:v>0</x:v>
      </x:c>
      <x:c r="P1958" s="2" t="str">
        <x:f>IF(AND(E1958&gt;='Итоги'!$F$5,N1958&lt;='Итоги'!$B$5,O1958&gt;='Итоги'!$D$5),"Да","Нет")</x:f>
        <x:v>Нет</x:v>
      </x:c>
    </x:row>
    <x:row r="1959" ht="60" customHeight="1">
      <x:c r="A1959" s="14" t="str">
        <x:v>Детская одежда</x:v>
      </x:c>
      <x:c r="B1959" s="14" t="str">
        <x:v>Детская одежда</x:v>
      </x:c>
      <x:c r="C1959" s="14" t="str">
        <x:v>Одежда для девочки</x:v>
      </x:c>
      <x:c r="D1959" s="14" t="str">
        <x:v>Блузка для девочки</x:v>
      </x:c>
      <x:c r="E1959" s="2" t="n">
        <x:v>169</x:v>
      </x:c>
      <x:c r="F1959" s="2" t="n">
        <x:v>0</x:v>
      </x:c>
      <x:c r="G1959" s="12" t="n">
        <x:v>16783030.9498</x:v>
      </x:c>
      <x:c r="H1959" s="12" t="n">
        <x:v>700284.96173604</x:v>
      </x:c>
      <x:c r="I1959" s="13" t="n">
        <x:v>0.0395437869822485</x:v>
      </x:c>
      <x:c r="J1959" s="2" t="n">
        <x:v>58</x:v>
      </x:c>
      <x:c r="K1959" s="2" t="n">
        <x:v>21</x:v>
      </x:c>
      <x:c r="L1959" s="12" t="n">
        <x:v>1194.8668</x:v>
      </x:c>
      <x:c r="M1959" s="13" t="n">
        <x:v>0.4005048718914566</x:v>
      </x:c>
      <x:c r="N1959" s="13" t="n">
        <x:f>H1959/G1959</x:f>
        <x:v>0.04172577431518024</x:v>
      </x:c>
      <x:c r="O1959" s="13" t="n">
        <x:f>F1959/E1959</x:f>
        <x:v>0</x:v>
      </x:c>
      <x:c r="P1959" s="2" t="str">
        <x:f>IF(AND(E1959&gt;='Итоги'!$F$5,N1959&lt;='Итоги'!$B$5,O1959&gt;='Итоги'!$D$5),"Да","Нет")</x:f>
        <x:v>Нет</x:v>
      </x:c>
    </x:row>
    <x:row r="1960" ht="60" customHeight="1">
      <x:c r="A1960" s="14" t="str">
        <x:v>Детская одежда</x:v>
      </x:c>
      <x:c r="B1960" s="14" t="str">
        <x:v>Детская одежда</x:v>
      </x:c>
      <x:c r="C1960" s="14" t="str">
        <x:v>Одежда для девочки</x:v>
      </x:c>
      <x:c r="D1960" s="14" t="str">
        <x:v>Туника для девочки</x:v>
      </x:c>
      <x:c r="E1960" s="2" t="n">
        <x:v>27</x:v>
      </x:c>
      <x:c r="F1960" s="2" t="n">
        <x:v>0</x:v>
      </x:c>
      <x:c r="G1960" s="12" t="n">
        <x:v>1683220.3049</x:v>
      </x:c>
      <x:c r="H1960" s="12" t="n">
        <x:v>70307.3103807</x:v>
      </x:c>
      <x:c r="I1960" s="13" t="n">
        <x:v>0.0392703703703703</x:v>
      </x:c>
      <x:c r="J1960" s="2" t="n">
        <x:v>18</x:v>
      </x:c>
      <x:c r="K1960" s="2" t="n">
        <x:v>12</x:v>
      </x:c>
      <x:c r="L1960" s="12" t="n">
        <x:v>1092.1375</x:v>
      </x:c>
      <x:c r="M1960" s="13" t="n">
        <x:v>0.1886650999726779</x:v>
      </x:c>
      <x:c r="N1960" s="13" t="n">
        <x:f>H1960/G1960</x:f>
        <x:v>0.041769523677934094</x:v>
      </x:c>
      <x:c r="O1960" s="13" t="n">
        <x:f>F1960/E1960</x:f>
        <x:v>0</x:v>
      </x:c>
      <x:c r="P1960" s="2" t="str">
        <x:f>IF(AND(E1960&gt;='Итоги'!$F$5,N1960&lt;='Итоги'!$B$5,O1960&gt;='Итоги'!$D$5),"Да","Нет")</x:f>
        <x:v>Нет</x:v>
      </x:c>
    </x:row>
    <x:row r="1961" ht="60" customHeight="1">
      <x:c r="A1961" s="14" t="str">
        <x:v>Спорт и отдых</x:v>
      </x:c>
      <x:c r="B1961" s="14" t="str">
        <x:v>Тренажеры и фитнес</x:v>
      </x:c>
      <x:c r="C1961" s="14" t="str">
        <x:v>Фитнес</x:v>
      </x:c>
      <x:c r="D1961" s="14" t="str">
        <x:v>Жилет утяжелитель для фитнеса</x:v>
      </x:c>
      <x:c r="E1961" s="2" t="n">
        <x:v>16</x:v>
      </x:c>
      <x:c r="F1961" s="2" t="n">
        <x:v>0</x:v>
      </x:c>
      <x:c r="G1961" s="12" t="n">
        <x:v>2274336.5719</x:v>
      </x:c>
      <x:c r="H1961" s="12" t="n">
        <x:v>95033.812996</x:v>
      </x:c>
      <x:c r="I1961" s="13" t="n">
        <x:v>0.03514375</x:v>
      </x:c>
      <x:c r="J1961" s="2" t="n">
        <x:v>6</x:v>
      </x:c>
      <x:c r="K1961" s="2" t="n">
        <x:v>7</x:v>
      </x:c>
      <x:c r="L1961" s="12" t="n">
        <x:v>4151.7786</x:v>
      </x:c>
      <x:c r="M1961" s="13" t="n">
        <x:v>0.5945987012688551</x:v>
      </x:c>
      <x:c r="N1961" s="13" t="n">
        <x:f>H1961/G1961</x:f>
        <x:v>0.041785289903951174</x:v>
      </x:c>
      <x:c r="O1961" s="13" t="n">
        <x:f>F1961/E1961</x:f>
        <x:v>0</x:v>
      </x:c>
      <x:c r="P1961" s="2" t="str">
        <x:f>IF(AND(E1961&gt;='Итоги'!$F$5,N1961&lt;='Итоги'!$B$5,O1961&gt;='Итоги'!$D$5),"Да","Нет")</x:f>
        <x:v>Нет</x:v>
      </x:c>
    </x:row>
    <x:row r="1962" ht="60" customHeight="1">
      <x:c r="A1962" s="14" t="str">
        <x:v>Хобби и творчество</x:v>
      </x:c>
      <x:c r="B1962" s="14" t="str">
        <x:v>Детское творчество и хобби</x:v>
      </x:c>
      <x:c r="C1962" s="14" t="str">
        <x:v>Рисование для детей</x:v>
      </x:c>
      <x:c r="D1962" s="14" t="str">
        <x:v>Мольберт детский</x:v>
      </x:c>
      <x:c r="E1962" s="2" t="n">
        <x:v>11</x:v>
      </x:c>
      <x:c r="F1962" s="2" t="n">
        <x:v>0</x:v>
      </x:c>
      <x:c r="G1962" s="12" t="n">
        <x:v>958373.1334</x:v>
      </x:c>
      <x:c r="H1962" s="12" t="n">
        <x:v>40058.17800262</x:v>
      </x:c>
      <x:c r="I1962" s="13" t="n">
        <x:v>0.0458272727272727</x:v>
      </x:c>
      <x:c r="J1962" s="2" t="n">
        <x:v>0</x:v>
      </x:c>
      <x:c r="K1962" s="2" t="n">
        <x:v>2</x:v>
      </x:c>
      <x:c r="L1962" s="12" t="n">
        <x:v>2017.8043</x:v>
      </x:c>
      <x:c r="M1962" s="13" t="n">
        <x:v>0.9634025633882612</x:v>
      </x:c>
      <x:c r="N1962" s="13" t="n">
        <x:f>H1962/G1962</x:f>
        <x:v>0.04179810201951974</x:v>
      </x:c>
      <x:c r="O1962" s="13" t="n">
        <x:f>F1962/E1962</x:f>
        <x:v>0</x:v>
      </x:c>
      <x:c r="P1962" s="2" t="str">
        <x:f>IF(AND(E1962&gt;='Итоги'!$F$5,N1962&lt;='Итоги'!$B$5,O1962&gt;='Итоги'!$D$5),"Да","Нет")</x:f>
        <x:v>Нет</x:v>
      </x:c>
    </x:row>
    <x:row r="1963" ht="60" customHeight="1">
      <x:c r="A1963" s="14" t="str">
        <x:v>Одежда</x:v>
      </x:c>
      <x:c r="B1963" s="14" t="str">
        <x:v>Основная одежда женская</x:v>
      </x:c>
      <x:c r="C1963" s="14" t="str">
        <x:v>Головные уборы, перчатки, шарфы женские</x:v>
      </x:c>
      <x:c r="D1963" s="14" t="str">
        <x:v>Женская пляжная шляпа</x:v>
      </x:c>
      <x:c r="E1963" s="2" t="n">
        <x:v>71</x:v>
      </x:c>
      <x:c r="F1963" s="2" t="n">
        <x:v>0</x:v>
      </x:c>
      <x:c r="G1963" s="12" t="n">
        <x:v>11722059.703</x:v>
      </x:c>
      <x:c r="H1963" s="12" t="n">
        <x:v>490605.26621376</x:v>
      </x:c>
      <x:c r="I1963" s="13" t="n">
        <x:v>0.0538309859154929</x:v>
      </x:c>
      <x:c r="J1963" s="2" t="n">
        <x:v>29</x:v>
      </x:c>
      <x:c r="K1963" s="2" t="n">
        <x:v>25</x:v>
      </x:c>
      <x:c r="L1963" s="12" t="n">
        <x:v>1083.2138</x:v>
      </x:c>
      <x:c r="M1963" s="13" t="n">
        <x:v>0.2456072433467625</x:v>
      </x:c>
      <x:c r="N1963" s="13" t="n">
        <x:f>H1963/G1963</x:f>
        <x:v>0.041853162212456614</x:v>
      </x:c>
      <x:c r="O1963" s="13" t="n">
        <x:f>F1963/E1963</x:f>
        <x:v>0</x:v>
      </x:c>
      <x:c r="P1963" s="2" t="str">
        <x:f>IF(AND(E1963&gt;='Итоги'!$F$5,N1963&lt;='Итоги'!$B$5,O1963&gt;='Итоги'!$D$5),"Да","Нет")</x:f>
        <x:v>Нет</x:v>
      </x:c>
    </x:row>
    <x:row r="1964" ht="60" customHeight="1">
      <x:c r="A1964" s="14" t="str">
        <x:v>Спорт и отдых</x:v>
      </x:c>
      <x:c r="B1964" s="14" t="str">
        <x:v>Тренажеры и фитнес</x:v>
      </x:c>
      <x:c r="C1964" s="14" t="str">
        <x:v>Кросстренинг и тяжёлая атлетика</x:v>
      </x:c>
      <x:c r="D1964" s="14" t="str">
        <x:v>Гриф</x:v>
      </x:c>
      <x:c r="E1964" s="2" t="n">
        <x:v>21</x:v>
      </x:c>
      <x:c r="F1964" s="2" t="n">
        <x:v>0</x:v>
      </x:c>
      <x:c r="G1964" s="12" t="n">
        <x:v>3908070.1407</x:v>
      </x:c>
      <x:c r="H1964" s="12" t="n">
        <x:v>163747.43789883002</x:v>
      </x:c>
      <x:c r="I1964" s="13" t="n">
        <x:v>0.0526523809523809</x:v>
      </x:c>
      <x:c r="J1964" s="2" t="n">
        <x:v>6</x:v>
      </x:c>
      <x:c r="K1964" s="2" t="n">
        <x:v>6</x:v>
      </x:c>
      <x:c r="L1964" s="12" t="n">
        <x:v>2420.975</x:v>
      </x:c>
      <x:c r="M1964" s="13" t="n">
        <x:v>0.3733189245776118</x:v>
      </x:c>
      <x:c r="N1964" s="13" t="n">
        <x:f>H1964/G1964</x:f>
        <x:v>0.04189982062847525</x:v>
      </x:c>
      <x:c r="O1964" s="13" t="n">
        <x:f>F1964/E1964</x:f>
        <x:v>0</x:v>
      </x:c>
      <x:c r="P1964" s="2" t="str">
        <x:f>IF(AND(E1964&gt;='Итоги'!$F$5,N1964&lt;='Итоги'!$B$5,O1964&gt;='Итоги'!$D$5),"Да","Нет")</x:f>
        <x:v>Нет</x:v>
      </x:c>
    </x:row>
    <x:row r="1965" ht="60" customHeight="1">
      <x:c r="A1965" s="14" t="str">
        <x:v>Бытовая химия и гигиена рта</x:v>
      </x:c>
      <x:c r="B1965" s="14" t="str">
        <x:v>Средства для стирки</x:v>
      </x:c>
      <x:c r="C1965" s="14" t="str">
        <x:v>Гель жидкое средство для стирки</x:v>
      </x:c>
      <x:c r="D1965" s="14" t="str">
        <x:v>Гель жидкое средство для стирки детского белья</x:v>
      </x:c>
      <x:c r="E1965" s="2" t="n">
        <x:v>17</x:v>
      </x:c>
      <x:c r="F1965" s="2" t="n">
        <x:v>0</x:v>
      </x:c>
      <x:c r="G1965" s="12" t="n">
        <x:v>4910505.1244</x:v>
      </x:c>
      <x:c r="H1965" s="12" t="n">
        <x:v>206037.78955592003</x:v>
      </x:c>
      <x:c r="I1965" s="13" t="n">
        <x:v>0.0431235294117647</x:v>
      </x:c>
      <x:c r="J1965" s="2" t="n">
        <x:v>8</x:v>
      </x:c>
      <x:c r="K1965" s="2" t="n">
        <x:v>4</x:v>
      </x:c>
      <x:c r="L1965" s="12" t="n">
        <x:v>1134.76</x:v>
      </x:c>
      <x:c r="M1965" s="13" t="n">
        <x:v>0.7254973242972226</x:v>
      </x:c>
      <x:c r="N1965" s="13" t="n">
        <x:f>H1965/G1965</x:f>
        <x:v>0.041958573372040855</x:v>
      </x:c>
      <x:c r="O1965" s="13" t="n">
        <x:f>F1965/E1965</x:f>
        <x:v>0</x:v>
      </x:c>
      <x:c r="P1965" s="2" t="str">
        <x:f>IF(AND(E1965&gt;='Итоги'!$F$5,N1965&lt;='Итоги'!$B$5,O1965&gt;='Итоги'!$D$5),"Да","Нет")</x:f>
        <x:v>Нет</x:v>
      </x:c>
    </x:row>
    <x:row r="1966" ht="60" customHeight="1">
      <x:c r="A1966" s="14" t="str">
        <x:v>Аптека</x:v>
      </x:c>
      <x:c r="B1966" s="14" t="str">
        <x:v>Ортопедия и компрессионный трикотаж</x:v>
      </x:c>
      <x:c r="C1966" s="14" t="str">
        <x:v>Компрессионный трикотаж</x:v>
      </x:c>
      <x:c r="D1966" s="14" t="str">
        <x:v>Компрессионный эластичный бинт</x:v>
      </x:c>
      <x:c r="E1966" s="2" t="n">
        <x:v>3</x:v>
      </x:c>
      <x:c r="F1966" s="2" t="n">
        <x:v>0</x:v>
      </x:c>
      <x:c r="G1966" s="12" t="n">
        <x:v>455739.4304</x:v>
      </x:c>
      <x:c r="H1966" s="12" t="n">
        <x:v>19173.66639152</x:v>
      </x:c>
      <x:c r="I1966" s="13" t="n">
        <x:v>0.0467333333333333</x:v>
      </x:c>
      <x:c r="J1966" s="2" t="n">
        <x:v>1</x:v>
      </x:c>
      <x:c r="K1966" s="2" t="n">
        <x:v>2</x:v>
      </x:c>
      <x:c r="L1966" s="12" t="n">
        <x:v>1004.9202</x:v>
      </x:c>
      <x:c r="M1966" s="13" t="n">
        <x:v>0.6074182129841886</x:v>
      </x:c>
      <x:c r="N1966" s="13" t="n">
        <x:f>H1966/G1966</x:f>
        <x:v>0.04207155473620393</x:v>
      </x:c>
      <x:c r="O1966" s="13" t="n">
        <x:f>F1966/E1966</x:f>
        <x:v>0</x:v>
      </x:c>
      <x:c r="P1966" s="2" t="str">
        <x:f>IF(AND(E1966&gt;='Итоги'!$F$5,N1966&lt;='Итоги'!$B$5,O1966&gt;='Итоги'!$D$5),"Да","Нет")</x:f>
        <x:v>Нет</x:v>
      </x:c>
    </x:row>
    <x:row r="1967" ht="60" customHeight="1">
      <x:c r="A1967" s="14" t="str">
        <x:v>Автотовары</x:v>
      </x:c>
      <x:c r="B1967" s="14" t="str">
        <x:v>Авто и мото запчасти</x:v>
      </x:c>
      <x:c r="C1967" s="14" t="str">
        <x:v>Трансмиссия</x:v>
      </x:c>
      <x:c r="D1967" s="14" t="str">
        <x:v>КПП и составляющие</x:v>
      </x:c>
      <x:c r="E1967" s="2" t="n">
        <x:v>18</x:v>
      </x:c>
      <x:c r="F1967" s="2" t="n">
        <x:v>0</x:v>
      </x:c>
      <x:c r="G1967" s="12" t="n">
        <x:v>2385970.7097</x:v>
      </x:c>
      <x:c r="H1967" s="12" t="n">
        <x:v>100415.00212093</x:v>
      </x:c>
      <x:c r="I1967" s="13" t="n">
        <x:v>0.0450944444444444</x:v>
      </x:c>
      <x:c r="J1967" s="2" t="n">
        <x:v>11</x:v>
      </x:c>
      <x:c r="K1967" s="2" t="n">
        <x:v>11</x:v>
      </x:c>
      <x:c r="L1967" s="12" t="n">
        <x:v>3258.6347</x:v>
      </x:c>
      <x:c r="M1967" s="13" t="n">
        <x:v>0.2871544052131915</x:v>
      </x:c>
      <x:c r="N1967" s="13" t="n">
        <x:f>H1967/G1967</x:f>
        <x:v>0.042085597158716036</x:v>
      </x:c>
      <x:c r="O1967" s="13" t="n">
        <x:f>F1967/E1967</x:f>
        <x:v>0</x:v>
      </x:c>
      <x:c r="P1967" s="2" t="str">
        <x:f>IF(AND(E1967&gt;='Итоги'!$F$5,N1967&lt;='Итоги'!$B$5,O1967&gt;='Итоги'!$D$5),"Да","Нет")</x:f>
        <x:v>Нет</x:v>
      </x:c>
    </x:row>
    <x:row r="1968" ht="60" customHeight="1">
      <x:c r="A1968" s="14" t="str">
        <x:v>Товары для животных</x:v>
      </x:c>
      <x:c r="B1968" s="14" t="str">
        <x:v>Товары для прогулки и дрессировки животных</x:v>
      </x:c>
      <x:c r="C1968" s="14" t="str">
        <x:v>Аксессуары для транспортировки и сна</x:v>
      </x:c>
      <x:c r="D1968" s="14" t="str">
        <x:v>Покрывало для животных</x:v>
      </x:c>
      <x:c r="E1968" s="2" t="n">
        <x:v>1</x:v>
      </x:c>
      <x:c r="F1968" s="2" t="n">
        <x:v>0</x:v>
      </x:c>
      <x:c r="G1968" s="12" t="n">
        <x:v>87484.44</x:v>
      </x:c>
      <x:c r="H1968" s="12" t="n">
        <x:v>3683.094924</x:v>
      </x:c>
      <x:c r="I1968" s="13" t="n">
        <x:v>0.0421</x:v>
      </x:c>
      <x:c r="J1968" s="2" t="n">
        <x:v>0</x:v>
      </x:c>
      <x:c r="K1968" s="2" t="n">
        <x:v>1</x:v>
      </x:c>
      <x:c r="L1968" s="12" t="n">
        <x:v>4374.222</x:v>
      </x:c>
      <x:c r="M1968" s="13" t="n">
        <x:v>1</x:v>
      </x:c>
      <x:c r="N1968" s="13" t="n">
        <x:f>H1968/G1968</x:f>
        <x:v>0.0421</x:v>
      </x:c>
      <x:c r="O1968" s="13" t="n">
        <x:f>F1968/E1968</x:f>
        <x:v>0</x:v>
      </x:c>
      <x:c r="P1968" s="2" t="str">
        <x:f>IF(AND(E1968&gt;='Итоги'!$F$5,N1968&lt;='Итоги'!$B$5,O1968&gt;='Итоги'!$D$5),"Да","Нет")</x:f>
        <x:v>Нет</x:v>
      </x:c>
    </x:row>
    <x:row r="1969" ht="60" customHeight="1">
      <x:c r="A1969" s="14" t="str">
        <x:v>Спорт и отдых</x:v>
      </x:c>
      <x:c r="B1969" s="14" t="str">
        <x:v>Товары для охоты</x:v>
      </x:c>
      <x:c r="C1969" s="14" t="str">
        <x:v>Уход за охотничьим оружием</x:v>
      </x:c>
      <x:c r="D1969" s="14" t="str">
        <x:v>Растворитель омеднения</x:v>
      </x:c>
      <x:c r="E1969" s="2" t="n">
        <x:v>5</x:v>
      </x:c>
      <x:c r="F1969" s="2" t="n">
        <x:v>0</x:v>
      </x:c>
      <x:c r="G1969" s="12" t="n">
        <x:v>517231.0096</x:v>
      </x:c>
      <x:c r="H1969" s="12" t="n">
        <x:v>21810.810367970003</x:v>
      </x:c>
      <x:c r="I1969" s="13" t="n">
        <x:v>0.0413</x:v>
      </x:c>
      <x:c r="J1969" s="2" t="n">
        <x:v>1</x:v>
      </x:c>
      <x:c r="K1969" s="2" t="n">
        <x:v>1</x:v>
      </x:c>
      <x:c r="L1969" s="12" t="n">
        <x:v>1061.1922</x:v>
      </x:c>
      <x:c r="M1969" s="13" t="n">
        <x:v>1</x:v>
      </x:c>
      <x:c r="N1969" s="13" t="n">
        <x:f>H1969/G1969</x:f>
        <x:v>0.042168412108232585</x:v>
      </x:c>
      <x:c r="O1969" s="13" t="n">
        <x:f>F1969/E1969</x:f>
        <x:v>0</x:v>
      </x:c>
      <x:c r="P1969" s="2" t="str">
        <x:f>IF(AND(E1969&gt;='Итоги'!$F$5,N1969&lt;='Итоги'!$B$5,O1969&gt;='Итоги'!$D$5),"Да","Нет")</x:f>
        <x:v>Нет</x:v>
      </x:c>
    </x:row>
    <x:row r="1970" ht="60" customHeight="1">
      <x:c r="A1970" s="14" t="str">
        <x:v>Товары для дома</x:v>
      </x:c>
      <x:c r="B1970" s="14" t="str">
        <x:v>Аксессуары для уборки и стирки</x:v>
      </x:c>
      <x:c r="C1970" s="14" t="str">
        <x:v>HoReCa</x:v>
      </x:c>
      <x:c r="D1970" s="14" t="str">
        <x:v>Стрейч пленка, пузырчатая пленка</x:v>
      </x:c>
      <x:c r="E1970" s="2" t="n">
        <x:v>20</x:v>
      </x:c>
      <x:c r="F1970" s="2" t="n">
        <x:v>0</x:v>
      </x:c>
      <x:c r="G1970" s="12" t="n">
        <x:v>3601594.876</x:v>
      </x:c>
      <x:c r="H1970" s="12" t="n">
        <x:v>151958.01672054</x:v>
      </x:c>
      <x:c r="I1970" s="13" t="n">
        <x:v>0.04464</x:v>
      </x:c>
      <x:c r="J1970" s="2" t="n">
        <x:v>1</x:v>
      </x:c>
      <x:c r="K1970" s="2" t="n">
        <x:v>11</x:v>
      </x:c>
      <x:c r="L1970" s="12" t="n">
        <x:v>2442.09465</x:v>
      </x:c>
      <x:c r="M1970" s="13" t="n">
        <x:v>0.3376982527392956</x:v>
      </x:c>
      <x:c r="N1970" s="13" t="n">
        <x:f>H1970/G1970</x:f>
        <x:v>0.042191868311770665</x:v>
      </x:c>
      <x:c r="O1970" s="13" t="n">
        <x:f>F1970/E1970</x:f>
        <x:v>0</x:v>
      </x:c>
      <x:c r="P1970" s="2" t="str">
        <x:f>IF(AND(E1970&gt;='Итоги'!$F$5,N1970&lt;='Итоги'!$B$5,O1970&gt;='Итоги'!$D$5),"Да","Нет")</x:f>
        <x:v>Нет</x:v>
      </x:c>
    </x:row>
    <x:row r="1971" ht="60" customHeight="1">
      <x:c r="A1971" s="14" t="str">
        <x:v>Ноутбуки и компьютеры</x:v>
      </x:c>
      <x:c r="B1971" s="14" t="str">
        <x:v>Компьютерная периферия Lap&amp;Comp</x:v>
      </x:c>
      <x:c r="C1971" s="14" t="str">
        <x:v>Периферийное оборудование Lap&amp;Comp</x:v>
      </x:c>
      <x:c r="D1971" s="14" t="str">
        <x:v>Компьютерная акустическая система</x:v>
      </x:c>
      <x:c r="E1971" s="2" t="n">
        <x:v>91</x:v>
      </x:c>
      <x:c r="F1971" s="2" t="n">
        <x:v>0</x:v>
      </x:c>
      <x:c r="G1971" s="12" t="n">
        <x:v>16416793.5227</x:v>
      </x:c>
      <x:c r="H1971" s="12" t="n">
        <x:v>692760.04089087</x:v>
      </x:c>
      <x:c r="I1971" s="13" t="n">
        <x:v>0.0485131868131868</x:v>
      </x:c>
      <x:c r="J1971" s="2" t="n">
        <x:v>44</x:v>
      </x:c>
      <x:c r="K1971" s="2" t="n">
        <x:v>13</x:v>
      </x:c>
      <x:c r="L1971" s="12" t="n">
        <x:v>2830.4403</x:v>
      </x:c>
      <x:c r="M1971" s="13" t="n">
        <x:v>0.8189449005379735</x:v>
      </x:c>
      <x:c r="N1971" s="13" t="n">
        <x:f>H1971/G1971</x:f>
        <x:v>0.04219825509366184</x:v>
      </x:c>
      <x:c r="O1971" s="13" t="n">
        <x:f>F1971/E1971</x:f>
        <x:v>0</x:v>
      </x:c>
      <x:c r="P1971" s="2" t="str">
        <x:f>IF(AND(E1971&gt;='Итоги'!$F$5,N1971&lt;='Итоги'!$B$5,O1971&gt;='Итоги'!$D$5),"Да","Нет")</x:f>
        <x:v>Нет</x:v>
      </x:c>
    </x:row>
    <x:row r="1972" ht="60" customHeight="1">
      <x:c r="A1972" s="14" t="str">
        <x:v>Аксессуары</x:v>
      </x:c>
      <x:c r="B1972" s="14" t="str">
        <x:v>Бижутерия и часы бижутерные</x:v>
      </x:c>
      <x:c r="C1972" s="14" t="str">
        <x:v>Часы бижу</x:v>
      </x:c>
      <x:c r="D1972" s="14" t="str">
        <x:v>Бижу часы наручные детские</x:v>
      </x:c>
      <x:c r="E1972" s="2" t="n">
        <x:v>1</x:v>
      </x:c>
      <x:c r="F1972" s="2" t="n">
        <x:v>0</x:v>
      </x:c>
      <x:c r="G1972" s="12" t="n">
        <x:v>70357.1644</x:v>
      </x:c>
      <x:c r="H1972" s="12" t="n">
        <x:v>2969.07233768</x:v>
      </x:c>
      <x:c r="I1972" s="13" t="n">
        <x:v>0.0422</x:v>
      </x:c>
      <x:c r="J1972" s="2" t="n">
        <x:v>0</x:v>
      </x:c>
      <x:c r="K1972" s="2" t="n">
        <x:v>1</x:v>
      </x:c>
      <x:c r="L1972" s="12" t="n">
        <x:v>3059.0071</x:v>
      </x:c>
      <x:c r="M1972" s="13" t="n">
        <x:v>1</x:v>
      </x:c>
      <x:c r="N1972" s="13" t="n">
        <x:f>H1972/G1972</x:f>
        <x:v>0.04220000000000001</x:v>
      </x:c>
      <x:c r="O1972" s="13" t="n">
        <x:f>F1972/E1972</x:f>
        <x:v>0</x:v>
      </x:c>
      <x:c r="P1972" s="2" t="str">
        <x:f>IF(AND(E1972&gt;='Итоги'!$F$5,N1972&lt;='Итоги'!$B$5,O1972&gt;='Итоги'!$D$5),"Да","Нет")</x:f>
        <x:v>Нет</x:v>
      </x:c>
    </x:row>
    <x:row r="1973" ht="60" customHeight="1">
      <x:c r="A1973" s="14" t="str">
        <x:v>Мелкая бытовая техника</x:v>
      </x:c>
      <x:c r="B1973" s="14" t="str">
        <x:v>SDA Климатическая техника</x:v>
      </x:c>
      <x:c r="C1973" s="14" t="str">
        <x:v>Климатическая техника SDA</x:v>
      </x:c>
      <x:c r="D1973" s="14" t="str">
        <x:v>Обогреватель инфракрасный</x:v>
      </x:c>
      <x:c r="E1973" s="2" t="n">
        <x:v>16</x:v>
      </x:c>
      <x:c r="F1973" s="2" t="n">
        <x:v>0</x:v>
      </x:c>
      <x:c r="G1973" s="12" t="n">
        <x:v>2690762.4644</x:v>
      </x:c>
      <x:c r="H1973" s="12" t="n">
        <x:v>113638.26919648</x:v>
      </x:c>
      <x:c r="I1973" s="13" t="n">
        <x:v>0.0543</x:v>
      </x:c>
      <x:c r="J1973" s="2" t="n">
        <x:v>0</x:v>
      </x:c>
      <x:c r="K1973" s="2" t="n">
        <x:v>2</x:v>
      </x:c>
      <x:c r="L1973" s="12" t="n">
        <x:v>4822.8276000000005</x:v>
      </x:c>
      <x:c r="M1973" s="13" t="n">
        <x:v>0.9583024968259252</x:v>
      </x:c>
      <x:c r="N1973" s="13" t="n">
        <x:f>H1973/G1973</x:f>
        <x:v>0.0422327391213329</x:v>
      </x:c>
      <x:c r="O1973" s="13" t="n">
        <x:f>F1973/E1973</x:f>
        <x:v>0</x:v>
      </x:c>
      <x:c r="P1973" s="2" t="str">
        <x:f>IF(AND(E1973&gt;='Итоги'!$F$5,N1973&lt;='Итоги'!$B$5,O1973&gt;='Итоги'!$D$5),"Да","Нет")</x:f>
        <x:v>Нет</x:v>
      </x:c>
    </x:row>
    <x:row r="1974" ht="60" customHeight="1">
      <x:c r="A1974" s="14" t="str">
        <x:v>Спорт и отдых</x:v>
      </x:c>
      <x:c r="B1974" s="14" t="str">
        <x:v>Всесезонные виды спорта</x:v>
      </x:c>
      <x:c r="C1974" s="14" t="str">
        <x:v>Баскетбол</x:v>
      </x:c>
      <x:c r="D1974" s="14" t="str">
        <x:v>Щит баскетбольный</x:v>
      </x:c>
      <x:c r="E1974" s="2" t="n">
        <x:v>25</x:v>
      </x:c>
      <x:c r="F1974" s="2" t="n">
        <x:v>0</x:v>
      </x:c>
      <x:c r="G1974" s="12" t="n">
        <x:v>3423791.9034</x:v>
      </x:c>
      <x:c r="H1974" s="12" t="n">
        <x:v>144602.96782432</x:v>
      </x:c>
      <x:c r="I1974" s="13" t="n">
        <x:v>0.035872</x:v>
      </x:c>
      <x:c r="J1974" s="2" t="n">
        <x:v>5</x:v>
      </x:c>
      <x:c r="K1974" s="2" t="n">
        <x:v>5</x:v>
      </x:c>
      <x:c r="L1974" s="12" t="n">
        <x:v>9509</x:v>
      </x:c>
      <x:c r="M1974" s="13" t="n">
        <x:v>0.8749785582543941</x:v>
      </x:c>
      <x:c r="N1974" s="13" t="n">
        <x:f>H1974/G1974</x:f>
        <x:v>0.042234742035788406</x:v>
      </x:c>
      <x:c r="O1974" s="13" t="n">
        <x:f>F1974/E1974</x:f>
        <x:v>0</x:v>
      </x:c>
      <x:c r="P1974" s="2" t="str">
        <x:f>IF(AND(E1974&gt;='Итоги'!$F$5,N1974&lt;='Итоги'!$B$5,O1974&gt;='Итоги'!$D$5),"Да","Нет")</x:f>
        <x:v>Нет</x:v>
      </x:c>
    </x:row>
    <x:row r="1975" ht="60" customHeight="1">
      <x:c r="A1975" s="14" t="str">
        <x:v>Одежда</x:v>
      </x:c>
      <x:c r="B1975" s="14" t="str">
        <x:v>Основная одежда женская</x:v>
      </x:c>
      <x:c r="C1975" s="14" t="str">
        <x:v>Головные уборы, перчатки, шарфы женские</x:v>
      </x:c>
      <x:c r="D1975" s="14" t="str">
        <x:v>Женская шляпа</x:v>
      </x:c>
      <x:c r="E1975" s="2" t="n">
        <x:v>43</x:v>
      </x:c>
      <x:c r="F1975" s="2" t="n">
        <x:v>0</x:v>
      </x:c>
      <x:c r="G1975" s="12" t="n">
        <x:v>4561012.9065</x:v>
      </x:c>
      <x:c r="H1975" s="12" t="n">
        <x:v>192836.78880904</x:v>
      </x:c>
      <x:c r="I1975" s="13" t="n">
        <x:v>0.0408953488372093</x:v>
      </x:c>
      <x:c r="J1975" s="2" t="n">
        <x:v>19</x:v>
      </x:c>
      <x:c r="K1975" s="2" t="n">
        <x:v>20</x:v>
      </x:c>
      <x:c r="L1975" s="12" t="n">
        <x:v>1091.7247</x:v>
      </x:c>
      <x:c r="M1975" s="13" t="n">
        <x:v>0.1623587039283902</x:v>
      </x:c>
      <x:c r="N1975" s="13" t="n">
        <x:f>H1975/G1975</x:f>
        <x:v>0.042279378015840315</x:v>
      </x:c>
      <x:c r="O1975" s="13" t="n">
        <x:f>F1975/E1975</x:f>
        <x:v>0</x:v>
      </x:c>
      <x:c r="P1975" s="2" t="str">
        <x:f>IF(AND(E1975&gt;='Итоги'!$F$5,N1975&lt;='Итоги'!$B$5,O1975&gt;='Итоги'!$D$5),"Да","Нет")</x:f>
        <x:v>Нет</x:v>
      </x:c>
    </x:row>
    <x:row r="1976" ht="60" customHeight="1">
      <x:c r="A1976" s="14" t="str">
        <x:v>Игрушки</x:v>
      </x:c>
      <x:c r="B1976" s="14" t="str">
        <x:v>Игрушки</x:v>
      </x:c>
      <x:c r="C1976" s="14" t="str">
        <x:v>Игрушки для самых маленьких</x:v>
      </x:c>
      <x:c r="D1976" s="14" t="str">
        <x:v>Игрушка-подвеска</x:v>
      </x:c>
      <x:c r="E1976" s="2" t="n">
        <x:v>3</x:v>
      </x:c>
      <x:c r="F1976" s="2" t="n">
        <x:v>0</x:v>
      </x:c>
      <x:c r="G1976" s="12" t="n">
        <x:v>353557.81200000003</x:v>
      </x:c>
      <x:c r="H1976" s="12" t="n">
        <x:v>14948.9495116</x:v>
      </x:c>
      <x:c r="I1976" s="13" t="n">
        <x:v>0.0734666666666666</x:v>
      </x:c>
      <x:c r="J1976" s="2" t="n">
        <x:v>0</x:v>
      </x:c>
      <x:c r="K1976" s="2" t="n">
        <x:v>3</x:v>
      </x:c>
      <x:c r="L1976" s="12" t="n">
        <x:v>1285.5</x:v>
      </x:c>
      <x:c r="M1976" s="13" t="n">
        <x:v>0.5308410495537289</x:v>
      </x:c>
      <x:c r="N1976" s="13" t="n">
        <x:f>H1976/G1976</x:f>
        <x:v>0.042281485528595814</x:v>
      </x:c>
      <x:c r="O1976" s="13" t="n">
        <x:f>F1976/E1976</x:f>
        <x:v>0</x:v>
      </x:c>
      <x:c r="P1976" s="2" t="str">
        <x:f>IF(AND(E1976&gt;='Итоги'!$F$5,N1976&lt;='Итоги'!$B$5,O1976&gt;='Итоги'!$D$5),"Да","Нет")</x:f>
        <x:v>Нет</x:v>
      </x:c>
    </x:row>
    <x:row r="1977" ht="60" customHeight="1">
      <x:c r="A1977" s="14" t="str">
        <x:v>Спорт и отдых</x:v>
      </x:c>
      <x:c r="B1977" s="14" t="str">
        <x:v>Колесный транспорт</x:v>
      </x:c>
      <x:c r="C1977" s="14" t="str">
        <x:v>Велоаксессуары</x:v>
      </x:c>
      <x:c r="D1977" s="14" t="str">
        <x:v>Дополнительные боковые колеса для велосипеда</x:v>
      </x:c>
      <x:c r="E1977" s="2" t="n">
        <x:v>2</x:v>
      </x:c>
      <x:c r="F1977" s="2" t="n">
        <x:v>0</x:v>
      </x:c>
      <x:c r="G1977" s="12" t="n">
        <x:v>419418.968</x:v>
      </x:c>
      <x:c r="H1977" s="12" t="n">
        <x:v>17739.2149</x:v>
      </x:c>
      <x:c r="I1977" s="13" t="n">
        <x:v>0.0627</x:v>
      </x:c>
      <x:c r="J1977" s="2" t="n">
        <x:v>0</x:v>
      </x:c>
      <x:c r="K1977" s="2" t="n">
        <x:v>2</x:v>
      </x:c>
      <x:c r="L1977" s="12" t="n">
        <x:v>823.7199</x:v>
      </x:c>
      <x:c r="M1977" s="13" t="n">
        <x:v>0.7898474872981901</x:v>
      </x:c>
      <x:c r="N1977" s="13" t="n">
        <x:f>H1977/G1977</x:f>
        <x:v>0.042294736894207416</x:v>
      </x:c>
      <x:c r="O1977" s="13" t="n">
        <x:f>F1977/E1977</x:f>
        <x:v>0</x:v>
      </x:c>
      <x:c r="P1977" s="2" t="str">
        <x:f>IF(AND(E1977&gt;='Итоги'!$F$5,N1977&lt;='Итоги'!$B$5,O1977&gt;='Итоги'!$D$5),"Да","Нет")</x:f>
        <x:v>Нет</x:v>
      </x:c>
    </x:row>
    <x:row r="1978" ht="60" customHeight="1">
      <x:c r="A1978" s="14" t="str">
        <x:v>Автотовары</x:v>
      </x:c>
      <x:c r="B1978" s="14" t="str">
        <x:v>Масла и автохимия</x:v>
      </x:c>
      <x:c r="C1978" s="14" t="str">
        <x:v>Дополнительная авто-мото химия</x:v>
      </x:c>
      <x:c r="D1978" s="14" t="str">
        <x:v>Автохимия - Герметик, клей</x:v>
      </x:c>
      <x:c r="E1978" s="2" t="n">
        <x:v>42</x:v>
      </x:c>
      <x:c r="F1978" s="2" t="n">
        <x:v>0</x:v>
      </x:c>
      <x:c r="G1978" s="12" t="n">
        <x:v>7059075.864</x:v>
      </x:c>
      <x:c r="H1978" s="12" t="n">
        <x:v>298610.52068584</x:v>
      </x:c>
      <x:c r="I1978" s="13" t="n">
        <x:v>0.0513023809523809</x:v>
      </x:c>
      <x:c r="J1978" s="2" t="n">
        <x:v>17</x:v>
      </x:c>
      <x:c r="K1978" s="2" t="n">
        <x:v>24</x:v>
      </x:c>
      <x:c r="L1978" s="12" t="n">
        <x:v>954.428</x:v>
      </x:c>
      <x:c r="M1978" s="13" t="n">
        <x:v>0.2415270969100892</x:v>
      </x:c>
      <x:c r="N1978" s="13" t="n">
        <x:f>H1978/G1978</x:f>
        <x:v>0.04230164492333893</x:v>
      </x:c>
      <x:c r="O1978" s="13" t="n">
        <x:f>F1978/E1978</x:f>
        <x:v>0</x:v>
      </x:c>
      <x:c r="P1978" s="2" t="str">
        <x:f>IF(AND(E1978&gt;='Итоги'!$F$5,N1978&lt;='Итоги'!$B$5,O1978&gt;='Итоги'!$D$5),"Да","Нет")</x:f>
        <x:v>Нет</x:v>
      </x:c>
    </x:row>
    <x:row r="1979" ht="60" customHeight="1">
      <x:c r="A1979" s="14" t="str">
        <x:v>Строительство и ремонт (DIY)</x:v>
      </x:c>
      <x:c r="B1979" s="14" t="str">
        <x:v>Ремонт и строительство</x:v>
      </x:c>
      <x:c r="C1979" s="14" t="str">
        <x:v>Стройматериалы</x:v>
      </x:c>
      <x:c r="D1979" s="14" t="str">
        <x:v>Сетка строительная</x:v>
      </x:c>
      <x:c r="E1979" s="2" t="n">
        <x:v>54</x:v>
      </x:c>
      <x:c r="F1979" s="2" t="n">
        <x:v>0</x:v>
      </x:c>
      <x:c r="G1979" s="12" t="n">
        <x:v>9855621.8842</x:v>
      </x:c>
      <x:c r="H1979" s="12" t="n">
        <x:v>417470.69589066</x:v>
      </x:c>
      <x:c r="I1979" s="13" t="n">
        <x:v>0.0255574074074074</x:v>
      </x:c>
      <x:c r="J1979" s="2" t="n">
        <x:v>31</x:v>
      </x:c>
      <x:c r="K1979" s="2" t="n">
        <x:v>10</x:v>
      </x:c>
      <x:c r="L1979" s="12" t="n">
        <x:v>1910.8067</x:v>
      </x:c>
      <x:c r="M1979" s="13" t="n">
        <x:v>0.6151039254274397</x:v>
      </x:c>
      <x:c r="N1979" s="13" t="n">
        <x:f>H1979/G1979</x:f>
        <x:v>0.042358635588478334</x:v>
      </x:c>
      <x:c r="O1979" s="13" t="n">
        <x:f>F1979/E1979</x:f>
        <x:v>0</x:v>
      </x:c>
      <x:c r="P1979" s="2" t="str">
        <x:f>IF(AND(E1979&gt;='Итоги'!$F$5,N1979&lt;='Итоги'!$B$5,O1979&gt;='Итоги'!$D$5),"Да","Нет")</x:f>
        <x:v>Нет</x:v>
      </x:c>
    </x:row>
    <x:row r="1980" ht="60" customHeight="1">
      <x:c r="A1980" s="14" t="str">
        <x:v>Аптека</x:v>
      </x:c>
      <x:c r="B1980" s="14" t="str">
        <x:v>Медицинские изделия</x:v>
      </x:c>
      <x:c r="C1980" s="14" t="str">
        <x:v>Медицинские изделия</x:v>
      </x:c>
      <x:c r="D1980" s="14" t="str">
        <x:v>Стойка для рециркулятора</x:v>
      </x:c>
      <x:c r="E1980" s="2" t="n">
        <x:v>3</x:v>
      </x:c>
      <x:c r="F1980" s="2" t="n">
        <x:v>0</x:v>
      </x:c>
      <x:c r="G1980" s="12" t="n">
        <x:v>333522.66000000003</x:v>
      </x:c>
      <x:c r="H1980" s="12" t="n">
        <x:v>14137.65276</x:v>
      </x:c>
      <x:c r="I1980" s="13" t="n">
        <x:v>0.0406</x:v>
      </x:c>
      <x:c r="J1980" s="2" t="n">
        <x:v>1</x:v>
      </x:c>
      <x:c r="K1980" s="2" t="n">
        <x:v>1</x:v>
      </x:c>
      <x:c r="L1980" s="12" t="n">
        <x:v>932.2049</x:v>
      </x:c>
      <x:c r="M1980" s="13" t="n">
        <x:v>1</x:v>
      </x:c>
      <x:c r="N1980" s="13" t="n">
        <x:f>H1980/G1980</x:f>
        <x:v>0.04238888224266381</x:v>
      </x:c>
      <x:c r="O1980" s="13" t="n">
        <x:f>F1980/E1980</x:f>
        <x:v>0</x:v>
      </x:c>
      <x:c r="P1980" s="2" t="str">
        <x:f>IF(AND(E1980&gt;='Итоги'!$F$5,N1980&lt;='Итоги'!$B$5,O1980&gt;='Итоги'!$D$5),"Да","Нет")</x:f>
        <x:v>Нет</x:v>
      </x:c>
    </x:row>
    <x:row r="1981" ht="60" customHeight="1">
      <x:c r="A1981" s="14" t="str">
        <x:v>Игрушки</x:v>
      </x:c>
      <x:c r="B1981" s="14" t="str">
        <x:v>Игрушки</x:v>
      </x:c>
      <x:c r="C1981" s="14" t="str">
        <x:v>Конструктор</x:v>
      </x:c>
      <x:c r="D1981" s="14" t="str">
        <x:v>Конструктор пластиковый</x:v>
      </x:c>
      <x:c r="E1981" s="2" t="n">
        <x:v>503</x:v>
      </x:c>
      <x:c r="F1981" s="2" t="n">
        <x:v>0</x:v>
      </x:c>
      <x:c r="G1981" s="12" t="n">
        <x:v>54194461.2164</x:v>
      </x:c>
      <x:c r="H1981" s="12" t="n">
        <x:v>2298819.55943594</x:v>
      </x:c>
      <x:c r="I1981" s="13" t="n">
        <x:v>0.0433878727634194</x:v>
      </x:c>
      <x:c r="J1981" s="2" t="n">
        <x:v>231</x:v>
      </x:c>
      <x:c r="K1981" s="2" t="n">
        <x:v>78</x:v>
      </x:c>
      <x:c r="L1981" s="12" t="n">
        <x:v>2781.2868</x:v>
      </x:c>
      <x:c r="M1981" s="13" t="n">
        <x:v>0.4014343657911757</x:v>
      </x:c>
      <x:c r="N1981" s="13" t="n">
        <x:f>H1981/G1981</x:f>
        <x:v>0.04241797976838794</x:v>
      </x:c>
      <x:c r="O1981" s="13" t="n">
        <x:f>F1981/E1981</x:f>
        <x:v>0</x:v>
      </x:c>
      <x:c r="P1981" s="2" t="str">
        <x:f>IF(AND(E1981&gt;='Итоги'!$F$5,N1981&lt;='Итоги'!$B$5,O1981&gt;='Итоги'!$D$5),"Да","Нет")</x:f>
        <x:v>Нет</x:v>
      </x:c>
    </x:row>
    <x:row r="1982" ht="60" customHeight="1">
      <x:c r="A1982" s="14" t="str">
        <x:v>Строительство и ремонт (DIY)</x:v>
      </x:c>
      <x:c r="B1982" s="14" t="str">
        <x:v>Ремонт и строительство</x:v>
      </x:c>
      <x:c r="C1982" s="14" t="str">
        <x:v>Аксессуары для ремонта</x:v>
      </x:c>
      <x:c r="D1982" s="14" t="str">
        <x:v>Форма для бетона и гипса</x:v>
      </x:c>
      <x:c r="E1982" s="2" t="n">
        <x:v>28</x:v>
      </x:c>
      <x:c r="F1982" s="2" t="n">
        <x:v>0</x:v>
      </x:c>
      <x:c r="G1982" s="12" t="n">
        <x:v>4687803.5463000005</x:v>
      </x:c>
      <x:c r="H1982" s="12" t="n">
        <x:v>198863.96588519</x:v>
      </x:c>
      <x:c r="I1982" s="13" t="n">
        <x:v>0.0351071428571428</x:v>
      </x:c>
      <x:c r="J1982" s="2" t="n">
        <x:v>12</x:v>
      </x:c>
      <x:c r="K1982" s="2" t="n">
        <x:v>10</x:v>
      </x:c>
      <x:c r="L1982" s="12" t="n">
        <x:v>1545.8557</x:v>
      </x:c>
      <x:c r="M1982" s="13" t="n">
        <x:v>0.4106369402189126</x:v>
      </x:c>
      <x:c r="N1982" s="13" t="n">
        <x:f>H1982/G1982</x:f>
        <x:v>0.04242156564819142</x:v>
      </x:c>
      <x:c r="O1982" s="13" t="n">
        <x:f>F1982/E1982</x:f>
        <x:v>0</x:v>
      </x:c>
      <x:c r="P1982" s="2" t="str">
        <x:f>IF(AND(E1982&gt;='Итоги'!$F$5,N1982&lt;='Итоги'!$B$5,O1982&gt;='Итоги'!$D$5),"Да","Нет")</x:f>
        <x:v>Нет</x:v>
      </x:c>
    </x:row>
    <x:row r="1983" ht="60" customHeight="1">
      <x:c r="A1983" s="14" t="str">
        <x:v>Товары для дома</x:v>
      </x:c>
      <x:c r="B1983" s="14" t="str">
        <x:v>Принадлежности для Нового года</x:v>
      </x:c>
      <x:c r="C1983" s="14" t="str">
        <x:v>Елка</x:v>
      </x:c>
      <x:c r="D1983" s="14" t="str">
        <x:v>Елка искусственная напольная</x:v>
      </x:c>
      <x:c r="E1983" s="2" t="n">
        <x:v>6</x:v>
      </x:c>
      <x:c r="F1983" s="2" t="n">
        <x:v>0</x:v>
      </x:c>
      <x:c r="G1983" s="12" t="n">
        <x:v>896170.86</x:v>
      </x:c>
      <x:c r="H1983" s="12" t="n">
        <x:v>38025.0261</x:v>
      </x:c>
      <x:c r="I1983" s="13" t="n">
        <x:v>0.0458833333333333</x:v>
      </x:c>
      <x:c r="J1983" s="2" t="n">
        <x:v>3</x:v>
      </x:c>
      <x:c r="K1983" s="2" t="n">
        <x:v>2</x:v>
      </x:c>
      <x:c r="L1983" s="12" t="n">
        <x:v>14572.75</x:v>
      </x:c>
      <x:c r="M1983" s="13" t="n">
        <x:v>0.8337448731595669</x:v>
      </x:c>
      <x:c r="N1983" s="13" t="n">
        <x:f>H1983/G1983</x:f>
        <x:v>0.04243055403519816</x:v>
      </x:c>
      <x:c r="O1983" s="13" t="n">
        <x:f>F1983/E1983</x:f>
        <x:v>0</x:v>
      </x:c>
      <x:c r="P1983" s="2" t="str">
        <x:f>IF(AND(E1983&gt;='Итоги'!$F$5,N1983&lt;='Итоги'!$B$5,O1983&gt;='Итоги'!$D$5),"Да","Нет")</x:f>
        <x:v>Нет</x:v>
      </x:c>
    </x:row>
    <x:row r="1984" ht="60" customHeight="1">
      <x:c r="A1984" s="14" t="str">
        <x:v>Спорт и отдых</x:v>
      </x:c>
      <x:c r="B1984" s="14" t="str">
        <x:v>Товары для рыбалки</x:v>
      </x:c>
      <x:c r="C1984" s="14" t="str">
        <x:v>Лодки</x:v>
      </x:c>
      <x:c r="D1984" s="14" t="str">
        <x:v>Комплектующие для лодок</x:v>
      </x:c>
      <x:c r="E1984" s="2" t="n">
        <x:v>251</x:v>
      </x:c>
      <x:c r="F1984" s="2" t="n">
        <x:v>0</x:v>
      </x:c>
      <x:c r="G1984" s="12" t="n">
        <x:v>30170756.1138</x:v>
      </x:c>
      <x:c r="H1984" s="12" t="n">
        <x:v>1281062.32369755</x:v>
      </x:c>
      <x:c r="I1984" s="13" t="n">
        <x:v>0.0366956175298804</x:v>
      </x:c>
      <x:c r="J1984" s="2" t="n">
        <x:v>132</x:v>
      </x:c>
      <x:c r="K1984" s="2" t="n">
        <x:v>50</x:v>
      </x:c>
      <x:c r="L1984" s="12" t="n">
        <x:v>2551.8621</x:v>
      </x:c>
      <x:c r="M1984" s="13" t="n">
        <x:v>0.391888552872294</x:v>
      </x:c>
      <x:c r="N1984" s="13" t="n">
        <x:f>H1984/G1984</x:f>
        <x:v>0.042460398369386455</x:v>
      </x:c>
      <x:c r="O1984" s="13" t="n">
        <x:f>F1984/E1984</x:f>
        <x:v>0</x:v>
      </x:c>
      <x:c r="P1984" s="2" t="str">
        <x:f>IF(AND(E1984&gt;='Итоги'!$F$5,N1984&lt;='Итоги'!$B$5,O1984&gt;='Итоги'!$D$5),"Да","Нет")</x:f>
        <x:v>Нет</x:v>
      </x:c>
    </x:row>
    <x:row r="1985" ht="60" customHeight="1">
      <x:c r="A1985" s="14" t="str">
        <x:v>Спорт и отдых</x:v>
      </x:c>
      <x:c r="B1985" s="14" t="str">
        <x:v>Товары для охоты</x:v>
      </x:c>
      <x:c r="C1985" s="14" t="str">
        <x:v>Аксессуары для охоты</x:v>
      </x:c>
      <x:c r="D1985" s="14" t="str">
        <x:v>Наушники стрелковые</x:v>
      </x:c>
      <x:c r="E1985" s="2" t="n">
        <x:v>44</x:v>
      </x:c>
      <x:c r="F1985" s="2" t="n">
        <x:v>0</x:v>
      </x:c>
      <x:c r="G1985" s="12" t="n">
        <x:v>9867145.6641</x:v>
      </x:c>
      <x:c r="H1985" s="12" t="n">
        <x:v>419089.73657044</x:v>
      </x:c>
      <x:c r="I1985" s="13" t="n">
        <x:v>0.0427772727272727</x:v>
      </x:c>
      <x:c r="J1985" s="2" t="n">
        <x:v>17</x:v>
      </x:c>
      <x:c r="K1985" s="2" t="n">
        <x:v>16</x:v>
      </x:c>
      <x:c r="L1985" s="12" t="n">
        <x:v>4395.9184000000005</x:v>
      </x:c>
      <x:c r="M1985" s="13" t="n">
        <x:v>0.2493882618712155</x:v>
      </x:c>
      <x:c r="N1985" s="13" t="n">
        <x:f>H1985/G1985</x:f>
        <x:v>0.042473249188489194</x:v>
      </x:c>
      <x:c r="O1985" s="13" t="n">
        <x:f>F1985/E1985</x:f>
        <x:v>0</x:v>
      </x:c>
      <x:c r="P1985" s="2" t="str">
        <x:f>IF(AND(E1985&gt;='Итоги'!$F$5,N1985&lt;='Итоги'!$B$5,O1985&gt;='Итоги'!$D$5),"Да","Нет")</x:f>
        <x:v>Нет</x:v>
      </x:c>
    </x:row>
    <x:row r="1986" ht="60" customHeight="1">
      <x:c r="A1986" s="14" t="str">
        <x:v>Детская одежда</x:v>
      </x:c>
      <x:c r="B1986" s="14" t="str">
        <x:v>Детская одежда</x:v>
      </x:c>
      <x:c r="C1986" s="14" t="str">
        <x:v>Школьная одежда для девочки</x:v>
      </x:c>
      <x:c r="D1986" s="14" t="str">
        <x:v>Школьный жилет для девочки</x:v>
      </x:c>
      <x:c r="E1986" s="2" t="n">
        <x:v>25</x:v>
      </x:c>
      <x:c r="F1986" s="2" t="n">
        <x:v>0</x:v>
      </x:c>
      <x:c r="G1986" s="12" t="n">
        <x:v>1140417.7653</x:v>
      </x:c>
      <x:c r="H1986" s="12" t="n">
        <x:v>48457.23589275</x:v>
      </x:c>
      <x:c r="I1986" s="13" t="n">
        <x:v>0.025808</x:v>
      </x:c>
      <x:c r="J1986" s="2" t="n">
        <x:v>13</x:v>
      </x:c>
      <x:c r="K1986" s="2" t="n">
        <x:v>8</x:v>
      </x:c>
      <x:c r="L1986" s="12" t="n">
        <x:v>1342.9714</x:v>
      </x:c>
      <x:c r="M1986" s="13" t="n">
        <x:v>0.4908668007751877</x:v>
      </x:c>
      <x:c r="N1986" s="13" t="n">
        <x:f>H1986/G1986</x:f>
        <x:v>0.04249077607099778</x:v>
      </x:c>
      <x:c r="O1986" s="13" t="n">
        <x:f>F1986/E1986</x:f>
        <x:v>0</x:v>
      </x:c>
      <x:c r="P1986" s="2" t="str">
        <x:f>IF(AND(E1986&gt;='Итоги'!$F$5,N1986&lt;='Итоги'!$B$5,O1986&gt;='Итоги'!$D$5),"Да","Нет")</x:f>
        <x:v>Нет</x:v>
      </x:c>
    </x:row>
    <x:row r="1987" ht="60" customHeight="1">
      <x:c r="A1987" s="14" t="str">
        <x:v>Строительство и ремонт (DIY)</x:v>
      </x:c>
      <x:c r="B1987" s="14" t="str">
        <x:v>Инструменты</x:v>
      </x:c>
      <x:c r="C1987" s="14" t="str">
        <x:v>Оснастка для инструмента</x:v>
      </x:c>
      <x:c r="D1987" s="14" t="str">
        <x:v>Запчасти для электроинструмента</x:v>
      </x:c>
      <x:c r="E1987" s="2" t="n">
        <x:v>28</x:v>
      </x:c>
      <x:c r="F1987" s="2" t="n">
        <x:v>0</x:v>
      </x:c>
      <x:c r="G1987" s="12" t="n">
        <x:v>3565722.2082</x:v>
      </x:c>
      <x:c r="H1987" s="12" t="n">
        <x:v>151587.71694034</x:v>
      </x:c>
      <x:c r="I1987" s="13" t="n">
        <x:v>0.0267392857142857</x:v>
      </x:c>
      <x:c r="J1987" s="2" t="n">
        <x:v>17</x:v>
      </x:c>
      <x:c r="K1987" s="2" t="n">
        <x:v>9</x:v>
      </x:c>
      <x:c r="L1987" s="12" t="n">
        <x:v>1693.8775</x:v>
      </x:c>
      <x:c r="M1987" s="13" t="n">
        <x:v>0.3612193866751597</x:v>
      </x:c>
      <x:c r="N1987" s="13" t="n">
        <x:f>H1987/G1987</x:f>
        <x:v>0.042512486416282684</x:v>
      </x:c>
      <x:c r="O1987" s="13" t="n">
        <x:f>F1987/E1987</x:f>
        <x:v>0</x:v>
      </x:c>
      <x:c r="P1987" s="2" t="str">
        <x:f>IF(AND(E1987&gt;='Итоги'!$F$5,N1987&lt;='Итоги'!$B$5,O1987&gt;='Итоги'!$D$5),"Да","Нет")</x:f>
        <x:v>Нет</x:v>
      </x:c>
    </x:row>
    <x:row r="1988" ht="60" customHeight="1">
      <x:c r="A1988" s="14" t="str">
        <x:v>Товары для дома</x:v>
      </x:c>
      <x:c r="B1988" s="14" t="str">
        <x:v>Интерьер и декор</x:v>
      </x:c>
      <x:c r="C1988" s="14" t="str">
        <x:v>Украшение интерьера</x:v>
      </x:c>
      <x:c r="D1988" s="14" t="str">
        <x:v>Декоративный бар</x:v>
      </x:c>
      <x:c r="E1988" s="2" t="n">
        <x:v>18</x:v>
      </x:c>
      <x:c r="F1988" s="2" t="n">
        <x:v>0</x:v>
      </x:c>
      <x:c r="G1988" s="12" t="n">
        <x:v>2971836.554</x:v>
      </x:c>
      <x:c r="H1988" s="12" t="n">
        <x:v>126577.8855667</x:v>
      </x:c>
      <x:c r="I1988" s="13" t="n">
        <x:v>0.0568277777777777</x:v>
      </x:c>
      <x:c r="J1988" s="2" t="n">
        <x:v>9</x:v>
      </x:c>
      <x:c r="K1988" s="2" t="n">
        <x:v>4</x:v>
      </x:c>
      <x:c r="L1988" s="12" t="n">
        <x:v>8342.00255</x:v>
      </x:c>
      <x:c r="M1988" s="13" t="n">
        <x:v>0.644271758156724</x:v>
      </x:c>
      <x:c r="N1988" s="13" t="n">
        <x:f>H1988/G1988</x:f>
        <x:v>0.042592478848249606</x:v>
      </x:c>
      <x:c r="O1988" s="13" t="n">
        <x:f>F1988/E1988</x:f>
        <x:v>0</x:v>
      </x:c>
      <x:c r="P1988" s="2" t="str">
        <x:f>IF(AND(E1988&gt;='Итоги'!$F$5,N1988&lt;='Итоги'!$B$5,O1988&gt;='Итоги'!$D$5),"Да","Нет")</x:f>
        <x:v>Нет</x:v>
      </x:c>
    </x:row>
    <x:row r="1989" ht="60" customHeight="1">
      <x:c r="A1989" s="14" t="str">
        <x:v>Товары для дома</x:v>
      </x:c>
      <x:c r="B1989" s="14" t="str">
        <x:v>Кухня</x:v>
      </x:c>
      <x:c r="C1989" s="14" t="str">
        <x:v>Питьевое стекло, аксессуар для бара, сосуд для жидкости</x:v>
      </x:c>
      <x:c r="D1989" s="14" t="str">
        <x:v>Крышка для напитков</x:v>
      </x:c>
      <x:c r="E1989" s="2" t="n">
        <x:v>8</x:v>
      </x:c>
      <x:c r="F1989" s="2" t="n">
        <x:v>0</x:v>
      </x:c>
      <x:c r="G1989" s="12" t="n">
        <x:v>1601189.1526</x:v>
      </x:c>
      <x:c r="H1989" s="12" t="n">
        <x:v>68217.70579779</x:v>
      </x:c>
      <x:c r="I1989" s="13" t="n">
        <x:v>0.03985</x:v>
      </x:c>
      <x:c r="J1989" s="2" t="n">
        <x:v>3</x:v>
      </x:c>
      <x:c r="K1989" s="2" t="n">
        <x:v>4</x:v>
      </x:c>
      <x:c r="L1989" s="12" t="n">
        <x:v>1829.98855</x:v>
      </x:c>
      <x:c r="M1989" s="13" t="n">
        <x:v>0.7519715023330469</x:v>
      </x:c>
      <x:c r="N1989" s="13" t="n">
        <x:f>H1989/G1989</x:f>
        <x:v>0.04260440166423721</x:v>
      </x:c>
      <x:c r="O1989" s="13" t="n">
        <x:f>F1989/E1989</x:f>
        <x:v>0</x:v>
      </x:c>
      <x:c r="P1989" s="2" t="str">
        <x:f>IF(AND(E1989&gt;='Итоги'!$F$5,N1989&lt;='Итоги'!$B$5,O1989&gt;='Итоги'!$D$5),"Да","Нет")</x:f>
        <x:v>Нет</x:v>
      </x:c>
    </x:row>
    <x:row r="1990" ht="60" customHeight="1">
      <x:c r="A1990" s="14" t="str">
        <x:v>Детская одежда</x:v>
      </x:c>
      <x:c r="B1990" s="14" t="str">
        <x:v>Одежда для новорожденных</x:v>
      </x:c>
      <x:c r="C1990" s="14" t="str">
        <x:v>Одежда для новорожденных</x:v>
      </x:c>
      <x:c r="D1990" s="14" t="str">
        <x:v>Туника для новорожденных</x:v>
      </x:c>
      <x:c r="E1990" s="2" t="n">
        <x:v>7</x:v>
      </x:c>
      <x:c r="F1990" s="2" t="n">
        <x:v>0</x:v>
      </x:c>
      <x:c r="G1990" s="12" t="n">
        <x:v>364117.6728</x:v>
      </x:c>
      <x:c r="H1990" s="12" t="n">
        <x:v>15536.36092776</x:v>
      </x:c>
      <x:c r="I1990" s="13" t="n">
        <x:v>0.0506285714285714</x:v>
      </x:c>
      <x:c r="J1990" s="2" t="n">
        <x:v>2</x:v>
      </x:c>
      <x:c r="K1990" s="2" t="n">
        <x:v>2</x:v>
      </x:c>
      <x:c r="L1990" s="12" t="n">
        <x:v>1000.1262</x:v>
      </x:c>
      <x:c r="M1990" s="13" t="n">
        <x:v>0.8833112941943422</x:v>
      </x:c>
      <x:c r="N1990" s="13" t="n">
        <x:f>H1990/G1990</x:f>
        <x:v>0.042668516494374344</x:v>
      </x:c>
      <x:c r="O1990" s="13" t="n">
        <x:f>F1990/E1990</x:f>
        <x:v>0</x:v>
      </x:c>
      <x:c r="P1990" s="2" t="str">
        <x:f>IF(AND(E1990&gt;='Итоги'!$F$5,N1990&lt;='Итоги'!$B$5,O1990&gt;='Итоги'!$D$5),"Да","Нет")</x:f>
        <x:v>Нет</x:v>
      </x:c>
    </x:row>
    <x:row r="1991" ht="60" customHeight="1">
      <x:c r="A1991" s="14" t="str">
        <x:v>Ноутбуки и компьютеры</x:v>
      </x:c>
      <x:c r="B1991" s="14" t="str">
        <x:v>Компьютерная периферия Lap&amp;Comp</x:v>
      </x:c>
      <x:c r="C1991" s="14" t="str">
        <x:v>Сетевое оборудование Lap&amp;Comp</x:v>
      </x:c>
      <x:c r="D1991" s="14" t="str">
        <x:v>Сетевой адаптер</x:v>
      </x:c>
      <x:c r="E1991" s="2" t="n">
        <x:v>27</x:v>
      </x:c>
      <x:c r="F1991" s="2" t="n">
        <x:v>0</x:v>
      </x:c>
      <x:c r="G1991" s="12" t="n">
        <x:v>5149927.422</x:v>
      </x:c>
      <x:c r="H1991" s="12" t="n">
        <x:v>219903.89873668</x:v>
      </x:c>
      <x:c r="I1991" s="13" t="n">
        <x:v>0.0226037037037037</x:v>
      </x:c>
      <x:c r="J1991" s="2" t="n">
        <x:v>19</x:v>
      </x:c>
      <x:c r="K1991" s="2" t="n">
        <x:v>12</x:v>
      </x:c>
      <x:c r="L1991" s="12" t="n">
        <x:v>1792.6154</x:v>
      </x:c>
      <x:c r="M1991" s="13" t="n">
        <x:v>0.3576405745704119</x:v>
      </x:c>
      <x:c r="N1991" s="13" t="n">
        <x:f>H1991/G1991</x:f>
        <x:v>0.04270038793115248</x:v>
      </x:c>
      <x:c r="O1991" s="13" t="n">
        <x:f>F1991/E1991</x:f>
        <x:v>0</x:v>
      </x:c>
      <x:c r="P1991" s="2" t="str">
        <x:f>IF(AND(E1991&gt;='Итоги'!$F$5,N1991&lt;='Итоги'!$B$5,O1991&gt;='Итоги'!$D$5),"Да","Нет")</x:f>
        <x:v>Нет</x:v>
      </x:c>
    </x:row>
    <x:row r="1992" ht="60" customHeight="1">
      <x:c r="A1992" s="14" t="str">
        <x:v>Мебель</x:v>
      </x:c>
      <x:c r="B1992" s="14" t="str">
        <x:v>Компьютерная и офисная мебель</x:v>
      </x:c>
      <x:c r="C1992" s="14" t="str">
        <x:v>Компьютерный, офисный столы</x:v>
      </x:c>
      <x:c r="D1992" s="14" t="str">
        <x:v>Парта</x:v>
      </x:c>
      <x:c r="E1992" s="2" t="n">
        <x:v>10</x:v>
      </x:c>
      <x:c r="F1992" s="2" t="n">
        <x:v>0</x:v>
      </x:c>
      <x:c r="G1992" s="12" t="n">
        <x:v>2416997.7508</x:v>
      </x:c>
      <x:c r="H1992" s="12" t="n">
        <x:v>103237.16923648</x:v>
      </x:c>
      <x:c r="I1992" s="13" t="n">
        <x:v>0.06049</x:v>
      </x:c>
      <x:c r="J1992" s="2" t="n">
        <x:v>2</x:v>
      </x:c>
      <x:c r="K1992" s="2" t="n">
        <x:v>2</x:v>
      </x:c>
      <x:c r="L1992" s="12" t="n">
        <x:v>11170.5139</x:v>
      </x:c>
      <x:c r="M1992" s="13" t="n">
        <x:v>0.9441397907981868</x:v>
      </x:c>
      <x:c r="N1992" s="13" t="n">
        <x:f>H1992/G1992</x:f>
        <x:v>0.04271297695759527</x:v>
      </x:c>
      <x:c r="O1992" s="13" t="n">
        <x:f>F1992/E1992</x:f>
        <x:v>0</x:v>
      </x:c>
      <x:c r="P1992" s="2" t="str">
        <x:f>IF(AND(E1992&gt;='Итоги'!$F$5,N1992&lt;='Итоги'!$B$5,O1992&gt;='Итоги'!$D$5),"Да","Нет")</x:f>
        <x:v>Нет</x:v>
      </x:c>
    </x:row>
    <x:row r="1993" ht="60" customHeight="1">
      <x:c r="A1993" s="14" t="str">
        <x:v>Мебель</x:v>
      </x:c>
      <x:c r="B1993" s="14" t="str">
        <x:v>Корпусная мебель и мебель для хранения</x:v>
      </x:c>
      <x:c r="C1993" s="14" t="str">
        <x:v>Гардеробная система для хранения</x:v>
      </x:c>
      <x:c r="D1993" s="14" t="str">
        <x:v>Мебельные модули гардеробных систем</x:v>
      </x:c>
      <x:c r="E1993" s="2" t="n">
        <x:v>3</x:v>
      </x:c>
      <x:c r="F1993" s="2" t="n">
        <x:v>0</x:v>
      </x:c>
      <x:c r="G1993" s="12" t="n">
        <x:v>162778.5674</x:v>
      </x:c>
      <x:c r="H1993" s="12" t="n">
        <x:v>6966.2864907</x:v>
      </x:c>
      <x:c r="I1993" s="13" t="n">
        <x:v>0.023</x:v>
      </x:c>
      <x:c r="J1993" s="2" t="n">
        <x:v>1</x:v>
      </x:c>
      <x:c r="K1993" s="2" t="n">
        <x:v>2</x:v>
      </x:c>
      <x:c r="L1993" s="12" t="n">
        <x:v>4056.8856</x:v>
      </x:c>
      <x:c r="M1993" s="13" t="n">
        <x:v>0.8439598013073557</x:v>
      </x:c>
      <x:c r="N1993" s="13" t="n">
        <x:f>H1993/G1993</x:f>
        <x:v>0.04279609165979182</x:v>
      </x:c>
      <x:c r="O1993" s="13" t="n">
        <x:f>F1993/E1993</x:f>
        <x:v>0</x:v>
      </x:c>
      <x:c r="P1993" s="2" t="str">
        <x:f>IF(AND(E1993&gt;='Итоги'!$F$5,N1993&lt;='Итоги'!$B$5,O1993&gt;='Итоги'!$D$5),"Да","Нет")</x:f>
        <x:v>Нет</x:v>
      </x:c>
    </x:row>
    <x:row r="1994" ht="60" customHeight="1">
      <x:c r="A1994" s="14" t="str">
        <x:v>Спорт и отдых</x:v>
      </x:c>
      <x:c r="B1994" s="14" t="str">
        <x:v>Водные виды спорта</x:v>
      </x:c>
      <x:c r="C1994" s="14" t="str">
        <x:v>Плавание</x:v>
      </x:c>
      <x:c r="D1994" s="14" t="str">
        <x:v>Джаммеры</x:v>
      </x:c>
      <x:c r="E1994" s="2" t="n">
        <x:v>26</x:v>
      </x:c>
      <x:c r="F1994" s="2" t="n">
        <x:v>0</x:v>
      </x:c>
      <x:c r="G1994" s="12" t="n">
        <x:v>1535523.2922</x:v>
      </x:c>
      <x:c r="H1994" s="12" t="n">
        <x:v>65792.924014</x:v>
      </x:c>
      <x:c r="I1994" s="13" t="n">
        <x:v>0.0524923076923076</x:v>
      </x:c>
      <x:c r="J1994" s="2" t="n">
        <x:v>9</x:v>
      </x:c>
      <x:c r="K1994" s="2" t="n">
        <x:v>5</x:v>
      </x:c>
      <x:c r="L1994" s="12" t="n">
        <x:v>2080.22775</x:v>
      </x:c>
      <x:c r="M1994" s="13" t="n">
        <x:v>0.5667541655803481</x:v>
      </x:c>
      <x:c r="N1994" s="13" t="n">
        <x:f>H1994/G1994</x:f>
        <x:v>0.04284723282818855</x:v>
      </x:c>
      <x:c r="O1994" s="13" t="n">
        <x:f>F1994/E1994</x:f>
        <x:v>0</x:v>
      </x:c>
      <x:c r="P1994" s="2" t="str">
        <x:f>IF(AND(E1994&gt;='Итоги'!$F$5,N1994&lt;='Итоги'!$B$5,O1994&gt;='Итоги'!$D$5),"Да","Нет")</x:f>
        <x:v>Нет</x:v>
      </x:c>
    </x:row>
    <x:row r="1995" ht="60" customHeight="1">
      <x:c r="A1995" s="14" t="str">
        <x:v>Хобби и творчество</x:v>
      </x:c>
      <x:c r="B1995" s="14" t="str">
        <x:v>Взрослое творчество и хобби</x:v>
      </x:c>
      <x:c r="C1995" s="14" t="str">
        <x:v>Живопись и аэрография</x:v>
      </x:c>
      <x:c r="D1995" s="14" t="str">
        <x:v>Принадлежности для чистки аэрографа</x:v>
      </x:c>
      <x:c r="E1995" s="2" t="n">
        <x:v>1</x:v>
      </x:c>
      <x:c r="F1995" s="2" t="n">
        <x:v>0</x:v>
      </x:c>
      <x:c r="G1995" s="12" t="n">
        <x:v>121841.1918</x:v>
      </x:c>
      <x:c r="H1995" s="12" t="n">
        <x:v>5226.98712822</x:v>
      </x:c>
      <x:c r="I1995" s="13" t="n">
        <x:v>0.0429</x:v>
      </x:c>
      <x:c r="J1995" s="2" t="n">
        <x:v>0</x:v>
      </x:c>
      <x:c r="K1995" s="2" t="n">
        <x:v>1</x:v>
      </x:c>
      <x:c r="L1995" s="12" t="n">
        <x:v>966.9936</x:v>
      </x:c>
      <x:c r="M1995" s="13" t="n">
        <x:v>1</x:v>
      </x:c>
      <x:c r="N1995" s="13" t="n">
        <x:f>H1995/G1995</x:f>
        <x:v>0.0429</x:v>
      </x:c>
      <x:c r="O1995" s="13" t="n">
        <x:f>F1995/E1995</x:f>
        <x:v>0</x:v>
      </x:c>
      <x:c r="P1995" s="2" t="str">
        <x:f>IF(AND(E1995&gt;='Итоги'!$F$5,N1995&lt;='Итоги'!$B$5,O1995&gt;='Итоги'!$D$5),"Да","Нет")</x:f>
        <x:v>Нет</x:v>
      </x:c>
    </x:row>
    <x:row r="1996" ht="60" customHeight="1">
      <x:c r="A1996" s="14" t="str">
        <x:v>Строительство и ремонт (DIY)</x:v>
      </x:c>
      <x:c r="B1996" s="14" t="str">
        <x:v>Сад и огород</x:v>
      </x:c>
      <x:c r="C1996" s="14" t="str">
        <x:v>Садовый инструмент</x:v>
      </x:c>
      <x:c r="D1996" s="14" t="str">
        <x:v>Аэратор механический</x:v>
      </x:c>
      <x:c r="E1996" s="2" t="n">
        <x:v>3</x:v>
      </x:c>
      <x:c r="F1996" s="2" t="n">
        <x:v>0</x:v>
      </x:c>
      <x:c r="G1996" s="12" t="n">
        <x:v>682781.0444</x:v>
      </x:c>
      <x:c r="H1996" s="12" t="n">
        <x:v>29294.96151684</x:v>
      </x:c>
      <x:c r="I1996" s="13" t="n">
        <x:v>0.0742999999999999</x:v>
      </x:c>
      <x:c r="J1996" s="2" t="n">
        <x:v>1</x:v>
      </x:c>
      <x:c r="K1996" s="2" t="n">
        <x:v>2</x:v>
      </x:c>
      <x:c r="L1996" s="12" t="n">
        <x:v>1106.3617</x:v>
      </x:c>
      <x:c r="M1996" s="13" t="n">
        <x:v>0.8071753082780808</x:v>
      </x:c>
      <x:c r="N1996" s="13" t="n">
        <x:f>H1996/G1996</x:f>
        <x:v>0.04290535268533006</x:v>
      </x:c>
      <x:c r="O1996" s="13" t="n">
        <x:f>F1996/E1996</x:f>
        <x:v>0</x:v>
      </x:c>
      <x:c r="P1996" s="2" t="str">
        <x:f>IF(AND(E1996&gt;='Итоги'!$F$5,N1996&lt;='Итоги'!$B$5,O1996&gt;='Итоги'!$D$5),"Да","Нет")</x:f>
        <x:v>Нет</x:v>
      </x:c>
    </x:row>
    <x:row r="1997" ht="60" customHeight="1">
      <x:c r="A1997" s="14" t="str">
        <x:v>Одежда</x:v>
      </x:c>
      <x:c r="B1997" s="14" t="str">
        <x:v>Основная одежда женская</x:v>
      </x:c>
      <x:c r="C1997" s="14" t="str">
        <x:v>Основная одежда женская верха</x:v>
      </x:c>
      <x:c r="D1997" s="14" t="str">
        <x:v>Толстовка, свитшот женские</x:v>
      </x:c>
      <x:c r="E1997" s="2" t="n">
        <x:v>323</x:v>
      </x:c>
      <x:c r="F1997" s="2" t="n">
        <x:v>0</x:v>
      </x:c>
      <x:c r="G1997" s="12" t="n">
        <x:v>21311445.7545</x:v>
      </x:c>
      <x:c r="H1997" s="12" t="n">
        <x:v>914495.7472216</x:v>
      </x:c>
      <x:c r="I1997" s="13" t="n">
        <x:v>0.0202247678018575</x:v>
      </x:c>
      <x:c r="J1997" s="2" t="n">
        <x:v>252</x:v>
      </x:c>
      <x:c r="K1997" s="2" t="n">
        <x:v>32</x:v>
      </x:c>
      <x:c r="L1997" s="12" t="n">
        <x:v>1641</x:v>
      </x:c>
      <x:c r="M1997" s="13" t="n">
        <x:v>0.5613749927300831</x:v>
      </x:c>
      <x:c r="N1997" s="13" t="n">
        <x:f>H1997/G1997</x:f>
        <x:v>0.04291101400422355</x:v>
      </x:c>
      <x:c r="O1997" s="13" t="n">
        <x:f>F1997/E1997</x:f>
        <x:v>0</x:v>
      </x:c>
      <x:c r="P1997" s="2" t="str">
        <x:f>IF(AND(E1997&gt;='Итоги'!$F$5,N1997&lt;='Итоги'!$B$5,O1997&gt;='Итоги'!$D$5),"Да","Нет")</x:f>
        <x:v>Нет</x:v>
      </x:c>
    </x:row>
    <x:row r="1998" ht="60" customHeight="1">
      <x:c r="A1998" s="14" t="str">
        <x:v>Одежда</x:v>
      </x:c>
      <x:c r="B1998" s="14" t="str">
        <x:v>Основная одежда мужская</x:v>
      </x:c>
      <x:c r="C1998" s="14" t="str">
        <x:v>Основная одежда мужская верха</x:v>
      </x:c>
      <x:c r="D1998" s="14" t="str">
        <x:v>Кофта, лонгслив мужские</x:v>
      </x:c>
      <x:c r="E1998" s="2" t="n">
        <x:v>85</x:v>
      </x:c>
      <x:c r="F1998" s="2" t="n">
        <x:v>0</x:v>
      </x:c>
      <x:c r="G1998" s="12" t="n">
        <x:v>7957919.5282</x:v>
      </x:c>
      <x:c r="H1998" s="12" t="n">
        <x:v>341597.52394363</x:v>
      </x:c>
      <x:c r="I1998" s="13" t="n">
        <x:v>0.0374729411764705</x:v>
      </x:c>
      <x:c r="J1998" s="2" t="n">
        <x:v>52</x:v>
      </x:c>
      <x:c r="K1998" s="2" t="n">
        <x:v>12</x:v>
      </x:c>
      <x:c r="L1998" s="12" t="n">
        <x:v>1463.6068</x:v>
      </x:c>
      <x:c r="M1998" s="13" t="n">
        <x:v>0.3009854874144189</x:v>
      </x:c>
      <x:c r="N1998" s="13" t="n">
        <x:f>H1998/G1998</x:f>
        <x:v>0.04292548105483242</x:v>
      </x:c>
      <x:c r="O1998" s="13" t="n">
        <x:f>F1998/E1998</x:f>
        <x:v>0</x:v>
      </x:c>
      <x:c r="P1998" s="2" t="str">
        <x:f>IF(AND(E1998&gt;='Итоги'!$F$5,N1998&lt;='Итоги'!$B$5,O1998&gt;='Итоги'!$D$5),"Да","Нет")</x:f>
        <x:v>Нет</x:v>
      </x:c>
    </x:row>
    <x:row r="1999" ht="60" customHeight="1">
      <x:c r="A1999" s="14" t="str">
        <x:v>Строительство и ремонт (DIY)</x:v>
      </x:c>
      <x:c r="B1999" s="14" t="str">
        <x:v>Сад и огород</x:v>
      </x:c>
      <x:c r="C1999" s="14" t="str">
        <x:v>Товары для бани и сауны</x:v>
      </x:c>
      <x:c r="D1999" s="14" t="str">
        <x:v>Веник для бани</x:v>
      </x:c>
      <x:c r="E1999" s="2" t="n">
        <x:v>14</x:v>
      </x:c>
      <x:c r="F1999" s="2" t="n">
        <x:v>0</x:v>
      </x:c>
      <x:c r="G1999" s="12" t="n">
        <x:v>1771925.8633</x:v>
      </x:c>
      <x:c r="H1999" s="12" t="n">
        <x:v>76096.527489</x:v>
      </x:c>
      <x:c r="I1999" s="13" t="n">
        <x:v>0.0532142857142857</x:v>
      </x:c>
      <x:c r="J1999" s="2" t="n">
        <x:v>6</x:v>
      </x:c>
      <x:c r="K1999" s="2" t="n">
        <x:v>7</x:v>
      </x:c>
      <x:c r="L1999" s="12" t="n">
        <x:v>1503.8027000000002</x:v>
      </x:c>
      <x:c r="M1999" s="13" t="n">
        <x:v>0.4460745901794976</x:v>
      </x:c>
      <x:c r="N1999" s="13" t="n">
        <x:f>H1999/G1999</x:f>
        <x:v>0.04294566102629108</x:v>
      </x:c>
      <x:c r="O1999" s="13" t="n">
        <x:f>F1999/E1999</x:f>
        <x:v>0</x:v>
      </x:c>
      <x:c r="P1999" s="2" t="str">
        <x:f>IF(AND(E1999&gt;='Итоги'!$F$5,N1999&lt;='Итоги'!$B$5,O1999&gt;='Итоги'!$D$5),"Да","Нет")</x:f>
        <x:v>Нет</x:v>
      </x:c>
    </x:row>
    <x:row r="2000" ht="60" customHeight="1">
      <x:c r="A2000" s="14" t="str">
        <x:v>Автотовары</x:v>
      </x:c>
      <x:c r="B2000" s="14" t="str">
        <x:v>Авто и мото запчасти</x:v>
      </x:c>
      <x:c r="C2000" s="14" t="str">
        <x:v>Электрооборудование автомобиля</x:v>
      </x:c>
      <x:c r="D2000" s="14" t="str">
        <x:v>Генератор автомобильный и комплектующие</x:v>
      </x:c>
      <x:c r="E2000" s="2" t="n">
        <x:v>54</x:v>
      </x:c>
      <x:c r="F2000" s="2" t="n">
        <x:v>0</x:v>
      </x:c>
      <x:c r="G2000" s="12" t="n">
        <x:v>7810572.4329</x:v>
      </x:c>
      <x:c r="H2000" s="12" t="n">
        <x:v>335726.25398831</x:v>
      </x:c>
      <x:c r="I2000" s="13" t="n">
        <x:v>0.0360351851851851</x:v>
      </x:c>
      <x:c r="J2000" s="2" t="n">
        <x:v>10</x:v>
      </x:c>
      <x:c r="K2000" s="2" t="n">
        <x:v>8</x:v>
      </x:c>
      <x:c r="L2000" s="12" t="n">
        <x:v>7020.881450000001</x:v>
      </x:c>
      <x:c r="M2000" s="13" t="n">
        <x:v>0.7197802096705781</x:v>
      </x:c>
      <x:c r="N2000" s="13" t="n">
        <x:f>H2000/G2000</x:f>
        <x:v>0.04298356578503141</x:v>
      </x:c>
      <x:c r="O2000" s="13" t="n">
        <x:f>F2000/E2000</x:f>
        <x:v>0</x:v>
      </x:c>
      <x:c r="P2000" s="2" t="str">
        <x:f>IF(AND(E2000&gt;='Итоги'!$F$5,N2000&lt;='Итоги'!$B$5,O2000&gt;='Итоги'!$D$5),"Да","Нет")</x:f>
        <x:v>Нет</x:v>
      </x:c>
    </x:row>
    <x:row r="2001" ht="60" customHeight="1">
      <x:c r="A2001" s="14" t="str">
        <x:v>Бакалея и кондитерские изделия</x:v>
      </x:c>
      <x:c r="B2001" s="14" t="str">
        <x:v>Бакалея</x:v>
      </x:c>
      <x:c r="C2001" s="14" t="str">
        <x:v>Снэки, чипсы, готовые завтраки</x:v>
      </x:c>
      <x:c r="D2001" s="14" t="str">
        <x:v>Семечки</x:v>
      </x:c>
      <x:c r="E2001" s="2" t="n">
        <x:v>2</x:v>
      </x:c>
      <x:c r="F2001" s="2" t="n">
        <x:v>0</x:v>
      </x:c>
      <x:c r="G2001" s="12" t="n">
        <x:v>336650.3662</x:v>
      </x:c>
      <x:c r="H2001" s="12" t="n">
        <x:v>14515.05054036</x:v>
      </x:c>
      <x:c r="I2001" s="13" t="n">
        <x:v>0.0655</x:v>
      </x:c>
      <x:c r="J2001" s="2" t="n">
        <x:v>0</x:v>
      </x:c>
      <x:c r="K2001" s="2" t="n">
        <x:v>2</x:v>
      </x:c>
      <x:c r="L2001" s="12" t="n">
        <x:v>1024.9661999999998</x:v>
      </x:c>
      <x:c r="M2001" s="13" t="n">
        <x:v>0.6796460748956108</x:v>
      </x:c>
      <x:c r="N2001" s="13" t="n">
        <x:f>H2001/G2001</x:f>
        <x:v>0.0431160990680069</x:v>
      </x:c>
      <x:c r="O2001" s="13" t="n">
        <x:f>F2001/E2001</x:f>
        <x:v>0</x:v>
      </x:c>
      <x:c r="P2001" s="2" t="str">
        <x:f>IF(AND(E2001&gt;='Итоги'!$F$5,N2001&lt;='Итоги'!$B$5,O2001&gt;='Итоги'!$D$5),"Да","Нет")</x:f>
        <x:v>Нет</x:v>
      </x:c>
    </x:row>
    <x:row r="2002" ht="60" customHeight="1">
      <x:c r="A2002" s="14" t="str">
        <x:v>Спорт и отдых</x:v>
      </x:c>
      <x:c r="B2002" s="14" t="str">
        <x:v>Водные виды спорта</x:v>
      </x:c>
      <x:c r="C2002" s="14" t="str">
        <x:v>SUP-доска</x:v>
      </x:c>
      <x:c r="D2002" s="14" t="str">
        <x:v>Sup-доска</x:v>
      </x:c>
      <x:c r="E2002" s="2" t="n">
        <x:v>270</x:v>
      </x:c>
      <x:c r="F2002" s="2" t="n">
        <x:v>0</x:v>
      </x:c>
      <x:c r="G2002" s="12" t="n">
        <x:v>69054245.3847</x:v>
      </x:c>
      <x:c r="H2002" s="12" t="n">
        <x:v>2979911.88092898</x:v>
      </x:c>
      <x:c r="I2002" s="13" t="n">
        <x:v>0.0333674074074074</x:v>
      </x:c>
      <x:c r="J2002" s="2" t="n">
        <x:v>113</x:v>
      </x:c>
      <x:c r="K2002" s="2" t="n">
        <x:v>43</x:v>
      </x:c>
      <x:c r="L2002" s="12" t="n">
        <x:v>19594.75065</x:v>
      </x:c>
      <x:c r="M2002" s="13" t="n">
        <x:v>0.5692654483515616</x:v>
      </x:c>
      <x:c r="N2002" s="13" t="n">
        <x:f>H2002/G2002</x:f>
        <x:v>0.04315320317133209</x:v>
      </x:c>
      <x:c r="O2002" s="13" t="n">
        <x:f>F2002/E2002</x:f>
        <x:v>0</x:v>
      </x:c>
      <x:c r="P2002" s="2" t="str">
        <x:f>IF(AND(E2002&gt;='Итоги'!$F$5,N2002&lt;='Итоги'!$B$5,O2002&gt;='Итоги'!$D$5),"Да","Нет")</x:f>
        <x:v>Нет</x:v>
      </x:c>
    </x:row>
    <x:row r="2003" ht="60" customHeight="1">
      <x:c r="A2003" s="14" t="str">
        <x:v>Спорт и отдых</x:v>
      </x:c>
      <x:c r="B2003" s="14" t="str">
        <x:v>Туризм</x:v>
      </x:c>
      <x:c r="C2003" s="14" t="str">
        <x:v>Приготовление пищи, посуда туристическая</x:v>
      </x:c>
      <x:c r="D2003" s="14" t="str">
        <x:v>Фляга для туризма</x:v>
      </x:c>
      <x:c r="E2003" s="2" t="n">
        <x:v>10</x:v>
      </x:c>
      <x:c r="F2003" s="2" t="n">
        <x:v>0</x:v>
      </x:c>
      <x:c r="G2003" s="12" t="n">
        <x:v>1452632.7281</x:v>
      </x:c>
      <x:c r="H2003" s="12" t="n">
        <x:v>62687.042148</x:v>
      </x:c>
      <x:c r="I2003" s="13" t="n">
        <x:v>0.05685</x:v>
      </x:c>
      <x:c r="J2003" s="2" t="n">
        <x:v>3</x:v>
      </x:c>
      <x:c r="K2003" s="2" t="n">
        <x:v>8</x:v>
      </x:c>
      <x:c r="L2003" s="12" t="n">
        <x:v>1128.4547</x:v>
      </x:c>
      <x:c r="M2003" s="13" t="n">
        <x:v>0.3276729869790134</x:v>
      </x:c>
      <x:c r="N2003" s="13" t="n">
        <x:f>H2003/G2003</x:f>
        <x:v>0.04315408907934545</x:v>
      </x:c>
      <x:c r="O2003" s="13" t="n">
        <x:f>F2003/E2003</x:f>
        <x:v>0</x:v>
      </x:c>
      <x:c r="P2003" s="2" t="str">
        <x:f>IF(AND(E2003&gt;='Итоги'!$F$5,N2003&lt;='Итоги'!$B$5,O2003&gt;='Итоги'!$D$5),"Да","Нет")</x:f>
        <x:v>Нет</x:v>
      </x:c>
    </x:row>
    <x:row r="2004" ht="60" customHeight="1">
      <x:c r="A2004" s="14" t="str">
        <x:v>Товары для детей и спорта</x:v>
      </x:c>
      <x:c r="B2004" s="14" t="str">
        <x:v>КГТ и аксессуары для детей</x:v>
      </x:c>
      <x:c r="C2004" s="14" t="str">
        <x:v>Автокресла и аксессуары</x:v>
      </x:c>
      <x:c r="D2004" s="14" t="str">
        <x:v>Бустер, удерживающее устройство</x:v>
      </x:c>
      <x:c r="E2004" s="2" t="n">
        <x:v>38</x:v>
      </x:c>
      <x:c r="F2004" s="2" t="n">
        <x:v>0</x:v>
      </x:c>
      <x:c r="G2004" s="12" t="n">
        <x:v>4216942.8159</x:v>
      </x:c>
      <x:c r="H2004" s="12" t="n">
        <x:v>182038.55026666</x:v>
      </x:c>
      <x:c r="I2004" s="13" t="n">
        <x:v>0.0445657894736842</x:v>
      </x:c>
      <x:c r="J2004" s="2" t="n">
        <x:v>14</x:v>
      </x:c>
      <x:c r="K2004" s="2" t="n">
        <x:v>3</x:v>
      </x:c>
      <x:c r="L2004" s="12" t="n">
        <x:v>2686.03785</x:v>
      </x:c>
      <x:c r="M2004" s="13" t="n">
        <x:v>0.8406936732774679</x:v>
      </x:c>
      <x:c r="N2004" s="13" t="n">
        <x:f>H2004/G2004</x:f>
        <x:v>0.04316837059783759</x:v>
      </x:c>
      <x:c r="O2004" s="13" t="n">
        <x:f>F2004/E2004</x:f>
        <x:v>0</x:v>
      </x:c>
      <x:c r="P2004" s="2" t="str">
        <x:f>IF(AND(E2004&gt;='Итоги'!$F$5,N2004&lt;='Итоги'!$B$5,O2004&gt;='Итоги'!$D$5),"Да","Нет")</x:f>
        <x:v>Нет</x:v>
      </x:c>
    </x:row>
    <x:row r="2005" ht="60" customHeight="1">
      <x:c r="A2005" s="14" t="str">
        <x:v>Спорт и отдых</x:v>
      </x:c>
      <x:c r="B2005" s="14" t="str">
        <x:v>Активный отдых</x:v>
      </x:c>
      <x:c r="C2005" s="14" t="str">
        <x:v>Батут</x:v>
      </x:c>
      <x:c r="D2005" s="14" t="str">
        <x:v>Аксессуары для батута</x:v>
      </x:c>
      <x:c r="E2005" s="2" t="n">
        <x:v>5</x:v>
      </x:c>
      <x:c r="F2005" s="2" t="n">
        <x:v>0</x:v>
      </x:c>
      <x:c r="G2005" s="12" t="n">
        <x:v>717458.0408</x:v>
      </x:c>
      <x:c r="H2005" s="12" t="n">
        <x:v>31072.29473524</x:v>
      </x:c>
      <x:c r="I2005" s="13" t="n">
        <x:v>0.0502</x:v>
      </x:c>
      <x:c r="J2005" s="2" t="n">
        <x:v>1</x:v>
      </x:c>
      <x:c r="K2005" s="2" t="n">
        <x:v>4</x:v>
      </x:c>
      <x:c r="L2005" s="12" t="n">
        <x:v>1692.4091</x:v>
      </x:c>
      <x:c r="M2005" s="13" t="n">
        <x:v>0.4400426673704373</x:v>
      </x:c>
      <x:c r="N2005" s="13" t="n">
        <x:f>H2005/G2005</x:f>
        <x:v>0.043308866816229294</x:v>
      </x:c>
      <x:c r="O2005" s="13" t="n">
        <x:f>F2005/E2005</x:f>
        <x:v>0</x:v>
      </x:c>
      <x:c r="P2005" s="2" t="str">
        <x:f>IF(AND(E2005&gt;='Итоги'!$F$5,N2005&lt;='Итоги'!$B$5,O2005&gt;='Итоги'!$D$5),"Да","Нет")</x:f>
        <x:v>Нет</x:v>
      </x:c>
    </x:row>
    <x:row r="2006" ht="60" customHeight="1">
      <x:c r="A2006" s="14" t="str">
        <x:v>Товары для животных</x:v>
      </x:c>
      <x:c r="B2006" s="14" t="str">
        <x:v>Спальное место животного</x:v>
      </x:c>
      <x:c r="C2006" s="14" t="str">
        <x:v>Аквариум Оборудование</x:v>
      </x:c>
      <x:c r="D2006" s="14" t="str">
        <x:v>УФ-стерилизатор аквариумный</x:v>
      </x:c>
      <x:c r="E2006" s="2" t="n">
        <x:v>4</x:v>
      </x:c>
      <x:c r="F2006" s="2" t="n">
        <x:v>0</x:v>
      </x:c>
      <x:c r="G2006" s="12" t="n">
        <x:v>1218859.86</x:v>
      </x:c>
      <x:c r="H2006" s="12" t="n">
        <x:v>52827.266982</x:v>
      </x:c>
      <x:c r="I2006" s="13" t="n">
        <x:v>0.0432</x:v>
      </x:c>
      <x:c r="J2006" s="2" t="n">
        <x:v>0</x:v>
      </x:c>
      <x:c r="K2006" s="2" t="n">
        <x:v>1</x:v>
      </x:c>
      <x:c r="L2006" s="12" t="n">
        <x:v>3681.2605</x:v>
      </x:c>
      <x:c r="M2006" s="13" t="n">
        <x:v>1</x:v>
      </x:c>
      <x:c r="N2006" s="13" t="n">
        <x:f>H2006/G2006</x:f>
        <x:v>0.04334154295802308</x:v>
      </x:c>
      <x:c r="O2006" s="13" t="n">
        <x:f>F2006/E2006</x:f>
        <x:v>0</x:v>
      </x:c>
      <x:c r="P2006" s="2" t="str">
        <x:f>IF(AND(E2006&gt;='Итоги'!$F$5,N2006&lt;='Итоги'!$B$5,O2006&gt;='Итоги'!$D$5),"Да","Нет")</x:f>
        <x:v>Нет</x:v>
      </x:c>
    </x:row>
    <x:row r="2007" ht="60" customHeight="1">
      <x:c r="A2007" s="14" t="str">
        <x:v>Аптека</x:v>
      </x:c>
      <x:c r="B2007" s="14" t="str">
        <x:v>Тату</x:v>
      </x:c>
      <x:c r="C2007" s="14" t="str">
        <x:v>Тату краска, хна, прочее</x:v>
      </x:c>
      <x:c r="D2007" s="14" t="str">
        <x:v>Тату краска</x:v>
      </x:c>
      <x:c r="E2007" s="2" t="n">
        <x:v>7</x:v>
      </x:c>
      <x:c r="F2007" s="2" t="n">
        <x:v>0</x:v>
      </x:c>
      <x:c r="G2007" s="12" t="n">
        <x:v>1379810.8711</x:v>
      </x:c>
      <x:c r="H2007" s="12" t="n">
        <x:v>59848.43375222</x:v>
      </x:c>
      <x:c r="I2007" s="13" t="n">
        <x:v>0.0335428571428571</x:v>
      </x:c>
      <x:c r="J2007" s="2" t="n">
        <x:v>3</x:v>
      </x:c>
      <x:c r="K2007" s="2" t="n">
        <x:v>2</x:v>
      </x:c>
      <x:c r="L2007" s="12" t="n">
        <x:v>2703.2905</x:v>
      </x:c>
      <x:c r="M2007" s="13" t="n">
        <x:v>0.6567583773112078</x:v>
      </x:c>
      <x:c r="N2007" s="13" t="n">
        <x:f>H2007/G2007</x:f>
        <x:v>0.043374374710142834</x:v>
      </x:c>
      <x:c r="O2007" s="13" t="n">
        <x:f>F2007/E2007</x:f>
        <x:v>0</x:v>
      </x:c>
      <x:c r="P2007" s="2" t="str">
        <x:f>IF(AND(E2007&gt;='Итоги'!$F$5,N2007&lt;='Итоги'!$B$5,O2007&gt;='Итоги'!$D$5),"Да","Нет")</x:f>
        <x:v>Нет</x:v>
      </x:c>
    </x:row>
    <x:row r="2008" ht="60" customHeight="1">
      <x:c r="A2008" s="14" t="str">
        <x:v>Спорт и отдых</x:v>
      </x:c>
      <x:c r="B2008" s="14" t="str">
        <x:v>Колесный транспорт</x:v>
      </x:c>
      <x:c r="C2008" s="14" t="str">
        <x:v>Велоаксессуары</x:v>
      </x:c>
      <x:c r="D2008" s="14" t="str">
        <x:v>Корзина для велосипеда</x:v>
      </x:c>
      <x:c r="E2008" s="2" t="n">
        <x:v>7</x:v>
      </x:c>
      <x:c r="F2008" s="2" t="n">
        <x:v>0</x:v>
      </x:c>
      <x:c r="G2008" s="12" t="n">
        <x:v>2275689.6511</x:v>
      </x:c>
      <x:c r="H2008" s="12" t="n">
        <x:v>98859.3543886</x:v>
      </x:c>
      <x:c r="I2008" s="13" t="n">
        <x:v>0.0542571428571428</x:v>
      </x:c>
      <x:c r="J2008" s="2" t="n">
        <x:v>1</x:v>
      </x:c>
      <x:c r="K2008" s="2" t="n">
        <x:v>6</x:v>
      </x:c>
      <x:c r="L2008" s="12" t="n">
        <x:v>1388.7063</x:v>
      </x:c>
      <x:c r="M2008" s="13" t="n">
        <x:v>0.2834524363584473</x:v>
      </x:c>
      <x:c r="N2008" s="13" t="n">
        <x:f>H2008/G2008</x:f>
        <x:v>0.04344149227062414</x:v>
      </x:c>
      <x:c r="O2008" s="13" t="n">
        <x:f>F2008/E2008</x:f>
        <x:v>0</x:v>
      </x:c>
      <x:c r="P2008" s="2" t="str">
        <x:f>IF(AND(E2008&gt;='Итоги'!$F$5,N2008&lt;='Итоги'!$B$5,O2008&gt;='Итоги'!$D$5),"Да","Нет")</x:f>
        <x:v>Нет</x:v>
      </x:c>
    </x:row>
    <x:row r="2009" ht="60" customHeight="1">
      <x:c r="A2009" s="14" t="str">
        <x:v>Товары для дома</x:v>
      </x:c>
      <x:c r="B2009" s="14" t="str">
        <x:v>Антиквариат Хоум Декор</x:v>
      </x:c>
      <x:c r="C2009" s="14" t="str">
        <x:v>Коллекционирование Хоум Декор</x:v>
      </x:c>
      <x:c r="D2009" s="14" t="str">
        <x:v>Наклейки коллекционные</x:v>
      </x:c>
      <x:c r="E2009" s="2" t="n">
        <x:v>10</x:v>
      </x:c>
      <x:c r="F2009" s="2" t="n">
        <x:v>0</x:v>
      </x:c>
      <x:c r="G2009" s="12" t="n">
        <x:v>2080042.4377</x:v>
      </x:c>
      <x:c r="H2009" s="12" t="n">
        <x:v>90373.63082085</x:v>
      </x:c>
      <x:c r="I2009" s="13" t="n">
        <x:v>0.02918</x:v>
      </x:c>
      <x:c r="J2009" s="2" t="n">
        <x:v>4</x:v>
      </x:c>
      <x:c r="K2009" s="2" t="n">
        <x:v>3</x:v>
      </x:c>
      <x:c r="L2009" s="12" t="n">
        <x:v>1034.0738</x:v>
      </x:c>
      <x:c r="M2009" s="13" t="n">
        <x:v>0.8572680269310834</x:v>
      </x:c>
      <x:c r="N2009" s="13" t="n">
        <x:f>H2009/G2009</x:f>
        <x:v>0.04344797451381826</x:v>
      </x:c>
      <x:c r="O2009" s="13" t="n">
        <x:f>F2009/E2009</x:f>
        <x:v>0</x:v>
      </x:c>
      <x:c r="P2009" s="2" t="str">
        <x:f>IF(AND(E2009&gt;='Итоги'!$F$5,N2009&lt;='Итоги'!$B$5,O2009&gt;='Итоги'!$D$5),"Да","Нет")</x:f>
        <x:v>Нет</x:v>
      </x:c>
    </x:row>
    <x:row r="2010" ht="60" customHeight="1">
      <x:c r="A2010" s="14" t="str">
        <x:v>Детская одежда</x:v>
      </x:c>
      <x:c r="B2010" s="14" t="str">
        <x:v>Детская одежда</x:v>
      </x:c>
      <x:c r="C2010" s="14" t="str">
        <x:v>Белье и ЧНИ для мальчиков</x:v>
      </x:c>
      <x:c r="D2010" s="14" t="str">
        <x:v>Трусы для мальчика</x:v>
      </x:c>
      <x:c r="E2010" s="2" t="n">
        <x:v>16</x:v>
      </x:c>
      <x:c r="F2010" s="2" t="n">
        <x:v>0</x:v>
      </x:c>
      <x:c r="G2010" s="12" t="n">
        <x:v>1577617.574</x:v>
      </x:c>
      <x:c r="H2010" s="12" t="n">
        <x:v>68631.7581493</x:v>
      </x:c>
      <x:c r="I2010" s="13" t="n">
        <x:v>0.04078125</x:v>
      </x:c>
      <x:c r="J2010" s="2" t="n">
        <x:v>11</x:v>
      </x:c>
      <x:c r="K2010" s="2" t="n">
        <x:v>4</x:v>
      </x:c>
      <x:c r="L2010" s="12" t="n">
        <x:v>775.39975</x:v>
      </x:c>
      <x:c r="M2010" s="13" t="n">
        <x:v>0.4937136830474988</x:v>
      </x:c>
      <x:c r="N2010" s="13" t="n">
        <x:f>H2010/G2010</x:f>
        <x:v>0.043503418876912184</x:v>
      </x:c>
      <x:c r="O2010" s="13" t="n">
        <x:f>F2010/E2010</x:f>
        <x:v>0</x:v>
      </x:c>
      <x:c r="P2010" s="2" t="str">
        <x:f>IF(AND(E2010&gt;='Итоги'!$F$5,N2010&lt;='Итоги'!$B$5,O2010&gt;='Итоги'!$D$5),"Да","Нет")</x:f>
        <x:v>Нет</x:v>
      </x:c>
    </x:row>
    <x:row r="2011" ht="60" customHeight="1">
      <x:c r="A2011" s="14" t="str">
        <x:v>Аксессуары для электроники</x:v>
      </x:c>
      <x:c r="B2011" s="14" t="str">
        <x:v>Фото и видео Access</x:v>
      </x:c>
      <x:c r="C2011" s="14" t="str">
        <x:v>Аксессуар к фото и видео Access</x:v>
      </x:c>
      <x:c r="D2011" s="14" t="str">
        <x:v>Светофильтр</x:v>
      </x:c>
      <x:c r="E2011" s="2" t="n">
        <x:v>8</x:v>
      </x:c>
      <x:c r="F2011" s="2" t="n">
        <x:v>0</x:v>
      </x:c>
      <x:c r="G2011" s="12" t="n">
        <x:v>940227.9678</x:v>
      </x:c>
      <x:c r="H2011" s="12" t="n">
        <x:v>40928.685905000006</x:v>
      </x:c>
      <x:c r="I2011" s="13" t="n">
        <x:v>0.0354375</x:v>
      </x:c>
      <x:c r="J2011" s="2" t="n">
        <x:v>5</x:v>
      </x:c>
      <x:c r="K2011" s="2" t="n">
        <x:v>3</x:v>
      </x:c>
      <x:c r="L2011" s="12" t="n">
        <x:v>1744.75145</x:v>
      </x:c>
      <x:c r="M2011" s="13" t="n">
        <x:v>0.751755469956783</x:v>
      </x:c>
      <x:c r="N2011" s="13" t="n">
        <x:f>H2011/G2011</x:f>
        <x:v>0.043530598223713045</x:v>
      </x:c>
      <x:c r="O2011" s="13" t="n">
        <x:f>F2011/E2011</x:f>
        <x:v>0</x:v>
      </x:c>
      <x:c r="P2011" s="2" t="str">
        <x:f>IF(AND(E2011&gt;='Итоги'!$F$5,N2011&lt;='Итоги'!$B$5,O2011&gt;='Итоги'!$D$5),"Да","Нет")</x:f>
        <x:v>Нет</x:v>
      </x:c>
    </x:row>
    <x:row r="2012" ht="60" customHeight="1">
      <x:c r="A2012" s="14" t="str">
        <x:v>Одежда</x:v>
      </x:c>
      <x:c r="B2012" s="14" t="str">
        <x:v>Основная одежда мужская</x:v>
      </x:c>
      <x:c r="C2012" s="14" t="str">
        <x:v>Основная одежда мужская комплект</x:v>
      </x:c>
      <x:c r="D2012" s="14" t="str">
        <x:v>Комплект одежды мужской</x:v>
      </x:c>
      <x:c r="E2012" s="2" t="n">
        <x:v>350</x:v>
      </x:c>
      <x:c r="F2012" s="2" t="n">
        <x:v>0</x:v>
      </x:c>
      <x:c r="G2012" s="12" t="n">
        <x:v>40384991.9946</x:v>
      </x:c>
      <x:c r="H2012" s="12" t="n">
        <x:v>1759938.8902033</x:v>
      </x:c>
      <x:c r="I2012" s="13" t="n">
        <x:v>0.0378971428571428</x:v>
      </x:c>
      <x:c r="J2012" s="2" t="n">
        <x:v>156</x:v>
      </x:c>
      <x:c r="K2012" s="2" t="n">
        <x:v>23</x:v>
      </x:c>
      <x:c r="L2012" s="12" t="n">
        <x:v>2675.14525</x:v>
      </x:c>
      <x:c r="M2012" s="13" t="n">
        <x:v>0.4815960407074147</x:v>
      </x:c>
      <x:c r="N2012" s="13" t="n">
        <x:f>H2012/G2012</x:f>
        <x:v>0.043579032786205</x:v>
      </x:c>
      <x:c r="O2012" s="13" t="n">
        <x:f>F2012/E2012</x:f>
        <x:v>0</x:v>
      </x:c>
      <x:c r="P2012" s="2" t="str">
        <x:f>IF(AND(E2012&gt;='Итоги'!$F$5,N2012&lt;='Итоги'!$B$5,O2012&gt;='Итоги'!$D$5),"Да","Нет")</x:f>
        <x:v>Нет</x:v>
      </x:c>
    </x:row>
    <x:row r="2013" ht="60" customHeight="1">
      <x:c r="A2013" s="14" t="str">
        <x:v>Товары для дома</x:v>
      </x:c>
      <x:c r="B2013" s="14" t="str">
        <x:v>Аксессуары для уборки и стирки</x:v>
      </x:c>
      <x:c r="C2013" s="14" t="str">
        <x:v>HoReCa</x:v>
      </x:c>
      <x:c r="D2013" s="14" t="str">
        <x:v>Уборочная тележка</x:v>
      </x:c>
      <x:c r="E2013" s="2" t="n">
        <x:v>8</x:v>
      </x:c>
      <x:c r="F2013" s="2" t="n">
        <x:v>0</x:v>
      </x:c>
      <x:c r="G2013" s="12" t="n">
        <x:v>1460167.6875</x:v>
      </x:c>
      <x:c r="H2013" s="12" t="n">
        <x:v>63646.7648586</x:v>
      </x:c>
      <x:c r="I2013" s="13" t="n">
        <x:v>0.0837125</x:v>
      </x:c>
      <x:c r="J2013" s="2" t="n">
        <x:v>6</x:v>
      </x:c>
      <x:c r="K2013" s="2" t="n">
        <x:v>4</x:v>
      </x:c>
      <x:c r="L2013" s="12" t="n">
        <x:v>6542.97435</x:v>
      </x:c>
      <x:c r="M2013" s="13" t="n">
        <x:v>0.4927502547545588</x:v>
      </x:c>
      <x:c r="N2013" s="13" t="n">
        <x:f>H2013/G2013</x:f>
        <x:v>0.04358866820808209</x:v>
      </x:c>
      <x:c r="O2013" s="13" t="n">
        <x:f>F2013/E2013</x:f>
        <x:v>0</x:v>
      </x:c>
      <x:c r="P2013" s="2" t="str">
        <x:f>IF(AND(E2013&gt;='Итоги'!$F$5,N2013&lt;='Итоги'!$B$5,O2013&gt;='Итоги'!$D$5),"Да","Нет")</x:f>
        <x:v>Нет</x:v>
      </x:c>
    </x:row>
    <x:row r="2014" ht="60" customHeight="1">
      <x:c r="A2014" s="14" t="str">
        <x:v>Товары для животных</x:v>
      </x:c>
      <x:c r="B2014" s="14" t="str">
        <x:v>Спальное место животного</x:v>
      </x:c>
      <x:c r="C2014" s="14" t="str">
        <x:v>Посуда для животных</x:v>
      </x:c>
      <x:c r="D2014" s="14" t="str">
        <x:v>Кормушка для животных</x:v>
      </x:c>
      <x:c r="E2014" s="2" t="n">
        <x:v>10</x:v>
      </x:c>
      <x:c r="F2014" s="2" t="n">
        <x:v>0</x:v>
      </x:c>
      <x:c r="G2014" s="12" t="n">
        <x:v>2264257.8289</x:v>
      </x:c>
      <x:c r="H2014" s="12" t="n">
        <x:v>98744.11878045</x:v>
      </x:c>
      <x:c r="I2014" s="13" t="n">
        <x:v>0.04268</x:v>
      </x:c>
      <x:c r="J2014" s="2" t="n">
        <x:v>1</x:v>
      </x:c>
      <x:c r="K2014" s="2" t="n">
        <x:v>8</x:v>
      </x:c>
      <x:c r="L2014" s="12" t="n">
        <x:v>3133.4197</x:v>
      </x:c>
      <x:c r="M2014" s="13" t="n">
        <x:v>0.2594229033914239</x:v>
      </x:c>
      <x:c r="N2014" s="13" t="n">
        <x:f>H2014/G2014</x:f>
        <x:v>0.04360992706754641</x:v>
      </x:c>
      <x:c r="O2014" s="13" t="n">
        <x:f>F2014/E2014</x:f>
        <x:v>0</x:v>
      </x:c>
      <x:c r="P2014" s="2" t="str">
        <x:f>IF(AND(E2014&gt;='Итоги'!$F$5,N2014&lt;='Итоги'!$B$5,O2014&gt;='Итоги'!$D$5),"Да","Нет")</x:f>
        <x:v>Нет</x:v>
      </x:c>
    </x:row>
    <x:row r="2015" ht="60" customHeight="1">
      <x:c r="A2015" s="14" t="str">
        <x:v>Детская одежда</x:v>
      </x:c>
      <x:c r="B2015" s="14" t="str">
        <x:v>Детская одежда</x:v>
      </x:c>
      <x:c r="C2015" s="14" t="str">
        <x:v>Одежда для девочки</x:v>
      </x:c>
      <x:c r="D2015" s="14" t="str">
        <x:v>Кардиган для девочки</x:v>
      </x:c>
      <x:c r="E2015" s="2" t="n">
        <x:v>31</x:v>
      </x:c>
      <x:c r="F2015" s="2" t="n">
        <x:v>0</x:v>
      </x:c>
      <x:c r="G2015" s="12" t="n">
        <x:v>1338255.4439</x:v>
      </x:c>
      <x:c r="H2015" s="12" t="n">
        <x:v>58364.144052760006</x:v>
      </x:c>
      <x:c r="I2015" s="13" t="n">
        <x:v>0.0378483870967742</x:v>
      </x:c>
      <x:c r="J2015" s="2" t="n">
        <x:v>7</x:v>
      </x:c>
      <x:c r="K2015" s="2" t="n">
        <x:v>6</x:v>
      </x:c>
      <x:c r="L2015" s="12" t="n">
        <x:v>870.117</x:v>
      </x:c>
      <x:c r="M2015" s="13" t="n">
        <x:v>0.610185430234662</x:v>
      </x:c>
      <x:c r="N2015" s="13" t="n">
        <x:f>H2015/G2015</x:f>
        <x:v>0.0436121103177976</x:v>
      </x:c>
      <x:c r="O2015" s="13" t="n">
        <x:f>F2015/E2015</x:f>
        <x:v>0</x:v>
      </x:c>
      <x:c r="P2015" s="2" t="str">
        <x:f>IF(AND(E2015&gt;='Итоги'!$F$5,N2015&lt;='Итоги'!$B$5,O2015&gt;='Итоги'!$D$5),"Да","Нет")</x:f>
        <x:v>Нет</x:v>
      </x:c>
    </x:row>
    <x:row r="2016" ht="60" customHeight="1">
      <x:c r="A2016" s="14" t="str">
        <x:v>Товары для животных</x:v>
      </x:c>
      <x:c r="B2016" s="14" t="str">
        <x:v>Товары для прогулки и дрессировки животных</x:v>
      </x:c>
      <x:c r="C2016" s="14" t="str">
        <x:v>Одежда, обувь для животных</x:v>
      </x:c>
      <x:c r="D2016" s="14" t="str">
        <x:v>Одежда для животных</x:v>
      </x:c>
      <x:c r="E2016" s="2" t="n">
        <x:v>29</x:v>
      </x:c>
      <x:c r="F2016" s="2" t="n">
        <x:v>0</x:v>
      </x:c>
      <x:c r="G2016" s="12" t="n">
        <x:v>2096025.1646</x:v>
      </x:c>
      <x:c r="H2016" s="12" t="n">
        <x:v>91499.81445473</x:v>
      </x:c>
      <x:c r="I2016" s="13" t="n">
        <x:v>0.0384655172413793</x:v>
      </x:c>
      <x:c r="J2016" s="2" t="n">
        <x:v>10</x:v>
      </x:c>
      <x:c r="K2016" s="2" t="n">
        <x:v>14</x:v>
      </x:c>
      <x:c r="L2016" s="12" t="n">
        <x:v>2169.7333</x:v>
      </x:c>
      <x:c r="M2016" s="13" t="n">
        <x:v>0.4265068953361554</x:v>
      </x:c>
      <x:c r="N2016" s="13" t="n">
        <x:f>H2016/G2016</x:f>
        <x:v>0.04365396751913119</x:v>
      </x:c>
      <x:c r="O2016" s="13" t="n">
        <x:f>F2016/E2016</x:f>
        <x:v>0</x:v>
      </x:c>
      <x:c r="P2016" s="2" t="str">
        <x:f>IF(AND(E2016&gt;='Итоги'!$F$5,N2016&lt;='Итоги'!$B$5,O2016&gt;='Итоги'!$D$5),"Да","Нет")</x:f>
        <x:v>Нет</x:v>
      </x:c>
    </x:row>
    <x:row r="2017" ht="60" customHeight="1">
      <x:c r="A2017" s="14" t="str">
        <x:v>Ноутбуки и компьютеры</x:v>
      </x:c>
      <x:c r="B2017" s="14" t="str">
        <x:v>Расходный материал для электроники Lap&amp;Comp</x:v>
      </x:c>
      <x:c r="C2017" s="14" t="str">
        <x:v>Расходный материал для электроники Lap&amp;Comp</x:v>
      </x:c>
      <x:c r="D2017" s="14" t="str">
        <x:v>Запчасти и расходные материалы для 3D принтера (не ручка)</x:v>
      </x:c>
      <x:c r="E2017" s="2" t="n">
        <x:v>206</x:v>
      </x:c>
      <x:c r="F2017" s="2" t="n">
        <x:v>0</x:v>
      </x:c>
      <x:c r="G2017" s="12" t="n">
        <x:v>33501443.1306</x:v>
      </x:c>
      <x:c r="H2017" s="12" t="n">
        <x:v>1463861.24758408</x:v>
      </x:c>
      <x:c r="I2017" s="13" t="n">
        <x:v>0.0391946601941747</x:v>
      </x:c>
      <x:c r="J2017" s="2" t="n">
        <x:v>69</x:v>
      </x:c>
      <x:c r="K2017" s="2" t="n">
        <x:v>39</x:v>
      </x:c>
      <x:c r="L2017" s="12" t="n">
        <x:v>1788.32785</x:v>
      </x:c>
      <x:c r="M2017" s="13" t="n">
        <x:v>0.5665168224877031</x:v>
      </x:c>
      <x:c r="N2017" s="13" t="n">
        <x:f>H2017/G2017</x:f>
        <x:v>0.04369546833781016</x:v>
      </x:c>
      <x:c r="O2017" s="13" t="n">
        <x:f>F2017/E2017</x:f>
        <x:v>0</x:v>
      </x:c>
      <x:c r="P2017" s="2" t="str">
        <x:f>IF(AND(E2017&gt;='Итоги'!$F$5,N2017&lt;='Итоги'!$B$5,O2017&gt;='Итоги'!$D$5),"Да","Нет")</x:f>
        <x:v>Нет</x:v>
      </x:c>
    </x:row>
    <x:row r="2018" ht="60" customHeight="1">
      <x:c r="A2018" s="14" t="str">
        <x:v>Товары для животных</x:v>
      </x:c>
      <x:c r="B2018" s="14" t="str">
        <x:v>Зоокорм, витамины</x:v>
      </x:c>
      <x:c r="C2018" s="14" t="str">
        <x:v>Зоокорм, витамины для кошек и собак</x:v>
      </x:c>
      <x:c r="D2018" s="14" t="str">
        <x:v>Корм консервированный для кошек</x:v>
      </x:c>
      <x:c r="E2018" s="2" t="n">
        <x:v>464</x:v>
      </x:c>
      <x:c r="F2018" s="2" t="n">
        <x:v>0</x:v>
      </x:c>
      <x:c r="G2018" s="12" t="n">
        <x:v>77827254.43</x:v>
      </x:c>
      <x:c r="H2018" s="12" t="n">
        <x:v>3400978.688163</x:v>
      </x:c>
      <x:c r="I2018" s="13" t="n">
        <x:v>0.0391711206896551</x:v>
      </x:c>
      <x:c r="J2018" s="2" t="n">
        <x:v>270</x:v>
      </x:c>
      <x:c r="K2018" s="2" t="n">
        <x:v>31</x:v>
      </x:c>
      <x:c r="L2018" s="12" t="n">
        <x:v>1505.0468500000002</x:v>
      </x:c>
      <x:c r="M2018" s="13" t="n">
        <x:v>0.7334198857206171</x:v>
      </x:c>
      <x:c r="N2018" s="13" t="n">
        <x:f>H2018/G2018</x:f>
        <x:v>0.04369907062855384</x:v>
      </x:c>
      <x:c r="O2018" s="13" t="n">
        <x:f>F2018/E2018</x:f>
        <x:v>0</x:v>
      </x:c>
      <x:c r="P2018" s="2" t="str">
        <x:f>IF(AND(E2018&gt;='Итоги'!$F$5,N2018&lt;='Итоги'!$B$5,O2018&gt;='Итоги'!$D$5),"Да","Нет")</x:f>
        <x:v>Нет</x:v>
      </x:c>
    </x:row>
    <x:row r="2019" ht="60" customHeight="1">
      <x:c r="A2019" s="14" t="str">
        <x:v>Бакалея и кондитерские изделия</x:v>
      </x:c>
      <x:c r="B2019" s="14" t="str">
        <x:v>Бакалея</x:v>
      </x:c>
      <x:c r="C2019" s="14" t="str">
        <x:v>Приправы, специи, травы</x:v>
      </x:c>
      <x:c r="D2019" s="14" t="str">
        <x:v>Дрожжи</x:v>
      </x:c>
      <x:c r="E2019" s="2" t="n">
        <x:v>47</x:v>
      </x:c>
      <x:c r="F2019" s="2" t="n">
        <x:v>0</x:v>
      </x:c>
      <x:c r="G2019" s="12" t="n">
        <x:v>7008766.5811</x:v>
      </x:c>
      <x:c r="H2019" s="12" t="n">
        <x:v>306287.44841066</x:v>
      </x:c>
      <x:c r="I2019" s="13" t="n">
        <x:v>0.0385680851063829</x:v>
      </x:c>
      <x:c r="J2019" s="2" t="n">
        <x:v>18</x:v>
      </x:c>
      <x:c r="K2019" s="2" t="n">
        <x:v>6</x:v>
      </x:c>
      <x:c r="L2019" s="12" t="n">
        <x:v>1404.7097</x:v>
      </x:c>
      <x:c r="M2019" s="13" t="n">
        <x:v>0.8925781194182907</x:v>
      </x:c>
      <x:c r="N2019" s="13" t="n">
        <x:f>H2019/G2019</x:f>
        <x:v>0.043700620482440056</x:v>
      </x:c>
      <x:c r="O2019" s="13" t="n">
        <x:f>F2019/E2019</x:f>
        <x:v>0</x:v>
      </x:c>
      <x:c r="P2019" s="2" t="str">
        <x:f>IF(AND(E2019&gt;='Итоги'!$F$5,N2019&lt;='Итоги'!$B$5,O2019&gt;='Итоги'!$D$5),"Да","Нет")</x:f>
        <x:v>Нет</x:v>
      </x:c>
    </x:row>
    <x:row r="2020" ht="60" customHeight="1">
      <x:c r="A2020" s="14" t="str">
        <x:v>Одежда</x:v>
      </x:c>
      <x:c r="B2020" s="14" t="str">
        <x:v>Основная одежда женская</x:v>
      </x:c>
      <x:c r="C2020" s="14" t="str">
        <x:v>Основная одежда женская низы</x:v>
      </x:c>
      <x:c r="D2020" s="14" t="str">
        <x:v>Юбка женская</x:v>
      </x:c>
      <x:c r="E2020" s="2" t="n">
        <x:v>2773</x:v>
      </x:c>
      <x:c r="F2020" s="2" t="n">
        <x:v>0</x:v>
      </x:c>
      <x:c r="G2020" s="12" t="n">
        <x:v>301254121.458</x:v>
      </x:c>
      <x:c r="H2020" s="12" t="n">
        <x:v>13176659.79425881</x:v>
      </x:c>
      <x:c r="I2020" s="13" t="n">
        <x:v>0.0348588532275513</x:v>
      </x:c>
      <x:c r="J2020" s="2" t="n">
        <x:v>1309</x:v>
      </x:c>
      <x:c r="K2020" s="2" t="n">
        <x:v>309</x:v>
      </x:c>
      <x:c r="L2020" s="12" t="n">
        <x:v>1685.16</x:v>
      </x:c>
      <x:c r="M2020" s="13" t="n">
        <x:v>0.313428120926684</x:v>
      </x:c>
      <x:c r="N2020" s="13" t="n">
        <x:f>H2020/G2020</x:f>
        <x:v>0.04373935111820823</x:v>
      </x:c>
      <x:c r="O2020" s="13" t="n">
        <x:f>F2020/E2020</x:f>
        <x:v>0</x:v>
      </x:c>
      <x:c r="P2020" s="2" t="str">
        <x:f>IF(AND(E2020&gt;='Итоги'!$F$5,N2020&lt;='Итоги'!$B$5,O2020&gt;='Итоги'!$D$5),"Да","Нет")</x:f>
        <x:v>Нет</x:v>
      </x:c>
    </x:row>
    <x:row r="2021" ht="60" customHeight="1">
      <x:c r="A2021" s="14" t="str">
        <x:v>Аптека</x:v>
      </x:c>
      <x:c r="B2021" s="14" t="str">
        <x:v>Профессиональные стоматологические приборы и материалы</x:v>
      </x:c>
      <x:c r="C2021" s="14" t="str">
        <x:v>Профессиональные стоматологические материалы</x:v>
      </x:c>
      <x:c r="D2021" s="14" t="str">
        <x:v>Цементы и прокладочные материалы стоматологические</x:v>
      </x:c>
      <x:c r="E2021" s="2" t="n">
        <x:v>6</x:v>
      </x:c>
      <x:c r="F2021" s="2" t="n">
        <x:v>0</x:v>
      </x:c>
      <x:c r="G2021" s="12" t="n">
        <x:v>1192459.09</x:v>
      </x:c>
      <x:c r="H2021" s="12" t="n">
        <x:v>52165.354908</x:v>
      </x:c>
      <x:c r="I2021" s="13" t="n">
        <x:v>0.0504</x:v>
      </x:c>
      <x:c r="J2021" s="2" t="n">
        <x:v>3</x:v>
      </x:c>
      <x:c r="K2021" s="2" t="n">
        <x:v>4</x:v>
      </x:c>
      <x:c r="L2021" s="12" t="n">
        <x:v>3942.4119</x:v>
      </x:c>
      <x:c r="M2021" s="13" t="n">
        <x:v>0.6999661514593343</x:v>
      </x:c>
      <x:c r="N2021" s="13" t="n">
        <x:f>H2021/G2021</x:f>
        <x:v>0.04374603317250909</x:v>
      </x:c>
      <x:c r="O2021" s="13" t="n">
        <x:f>F2021/E2021</x:f>
        <x:v>0</x:v>
      </x:c>
      <x:c r="P2021" s="2" t="str">
        <x:f>IF(AND(E2021&gt;='Итоги'!$F$5,N2021&lt;='Итоги'!$B$5,O2021&gt;='Итоги'!$D$5),"Да","Нет")</x:f>
        <x:v>Нет</x:v>
      </x:c>
    </x:row>
    <x:row r="2022" ht="60" customHeight="1">
      <x:c r="A2022" s="14" t="str">
        <x:v>Спорт и отдых</x:v>
      </x:c>
      <x:c r="B2022" s="14" t="str">
        <x:v>Колесный транспорт</x:v>
      </x:c>
      <x:c r="C2022" s="14" t="str">
        <x:v>Ролики</x:v>
      </x:c>
      <x:c r="D2022" s="14" t="str">
        <x:v>Защита роликовая</x:v>
      </x:c>
      <x:c r="E2022" s="2" t="n">
        <x:v>15</x:v>
      </x:c>
      <x:c r="F2022" s="2" t="n">
        <x:v>0</x:v>
      </x:c>
      <x:c r="G2022" s="12" t="n">
        <x:v>1880360.5923</x:v>
      </x:c>
      <x:c r="H2022" s="12" t="n">
        <x:v>82311.16774402</x:v>
      </x:c>
      <x:c r="I2022" s="13" t="n">
        <x:v>0.0443333333333333</x:v>
      </x:c>
      <x:c r="J2022" s="2" t="n">
        <x:v>1</x:v>
      </x:c>
      <x:c r="K2022" s="2" t="n">
        <x:v>6</x:v>
      </x:c>
      <x:c r="L2022" s="12" t="n">
        <x:v>1246.1826</x:v>
      </x:c>
      <x:c r="M2022" s="13" t="n">
        <x:v>0.4251579368732338</x:v>
      </x:c>
      <x:c r="N2022" s="13" t="n">
        <x:f>H2022/G2022</x:f>
        <x:v>0.04377413996075055</x:v>
      </x:c>
      <x:c r="O2022" s="13" t="n">
        <x:f>F2022/E2022</x:f>
        <x:v>0</x:v>
      </x:c>
      <x:c r="P2022" s="2" t="str">
        <x:f>IF(AND(E2022&gt;='Итоги'!$F$5,N2022&lt;='Итоги'!$B$5,O2022&gt;='Итоги'!$D$5),"Да","Нет")</x:f>
        <x:v>Нет</x:v>
      </x:c>
    </x:row>
    <x:row r="2023" ht="60" customHeight="1">
      <x:c r="A2023" s="14" t="str">
        <x:v>Товары для дома</x:v>
      </x:c>
      <x:c r="B2023" s="14" t="str">
        <x:v>Кухня</x:v>
      </x:c>
      <x:c r="C2023" s="14" t="str">
        <x:v>Столовые приборы</x:v>
      </x:c>
      <x:c r="D2023" s="14" t="str">
        <x:v>Набор столовых вилок</x:v>
      </x:c>
      <x:c r="E2023" s="2" t="n">
        <x:v>1</x:v>
      </x:c>
      <x:c r="F2023" s="2" t="n">
        <x:v>0</x:v>
      </x:c>
      <x:c r="G2023" s="12" t="n">
        <x:v>255114.5896</x:v>
      </x:c>
      <x:c r="H2023" s="12" t="n">
        <x:v>11174.01902448</x:v>
      </x:c>
      <x:c r="I2023" s="13" t="n">
        <x:v>0.0438</x:v>
      </x:c>
      <x:c r="J2023" s="2" t="n">
        <x:v>0</x:v>
      </x:c>
      <x:c r="K2023" s="2" t="n">
        <x:v>1</x:v>
      </x:c>
      <x:c r="L2023" s="12" t="n">
        <x:v>853.2261</x:v>
      </x:c>
      <x:c r="M2023" s="13" t="n">
        <x:v>1</x:v>
      </x:c>
      <x:c r="N2023" s="13" t="n">
        <x:f>H2023/G2023</x:f>
        <x:v>0.0438</x:v>
      </x:c>
      <x:c r="O2023" s="13" t="n">
        <x:f>F2023/E2023</x:f>
        <x:v>0</x:v>
      </x:c>
      <x:c r="P2023" s="2" t="str">
        <x:f>IF(AND(E2023&gt;='Итоги'!$F$5,N2023&lt;='Итоги'!$B$5,O2023&gt;='Итоги'!$D$5),"Да","Нет")</x:f>
        <x:v>Нет</x:v>
      </x:c>
    </x:row>
    <x:row r="2024" ht="60" customHeight="1">
      <x:c r="A2024" s="14" t="str">
        <x:v>Товары для животных</x:v>
      </x:c>
      <x:c r="B2024" s="14" t="str">
        <x:v>Фермерское хозяйство - Корма и кормовые добавки для птицеводства и животноводства</x:v>
      </x:c>
      <x:c r="C2024" s="14" t="str">
        <x:v>Кормовые комплексы и витамины для сельскохозяйственных животных и птиц</x:v>
      </x:c>
      <x:c r="D2024" s="14" t="str">
        <x:v>Витамины для сельхозживотных и птиц</x:v>
      </x:c>
      <x:c r="E2024" s="2" t="n">
        <x:v>1</x:v>
      </x:c>
      <x:c r="F2024" s="2" t="n">
        <x:v>0</x:v>
      </x:c>
      <x:c r="G2024" s="12" t="n">
        <x:v>187552.73</x:v>
      </x:c>
      <x:c r="H2024" s="12" t="n">
        <x:v>8214.809574</x:v>
      </x:c>
      <x:c r="I2024" s="13" t="n">
        <x:v>0.0438</x:v>
      </x:c>
      <x:c r="J2024" s="2" t="n">
        <x:v>0</x:v>
      </x:c>
      <x:c r="K2024" s="2" t="n">
        <x:v>1</x:v>
      </x:c>
      <x:c r="L2024" s="12" t="n">
        <x:v>868.2997</x:v>
      </x:c>
      <x:c r="M2024" s="13" t="n">
        <x:v>1</x:v>
      </x:c>
      <x:c r="N2024" s="13" t="n">
        <x:f>H2024/G2024</x:f>
        <x:v>0.0438</x:v>
      </x:c>
      <x:c r="O2024" s="13" t="n">
        <x:f>F2024/E2024</x:f>
        <x:v>0</x:v>
      </x:c>
      <x:c r="P2024" s="2" t="str">
        <x:f>IF(AND(E2024&gt;='Итоги'!$F$5,N2024&lt;='Итоги'!$B$5,O2024&gt;='Итоги'!$D$5),"Да","Нет")</x:f>
        <x:v>Нет</x:v>
      </x:c>
    </x:row>
    <x:row r="2025" ht="60" customHeight="1">
      <x:c r="A2025" s="14" t="str">
        <x:v>Крупная бытовая техника</x:v>
      </x:c>
      <x:c r="B2025" s="14" t="str">
        <x:v>MDA Отдельностоящая техника</x:v>
      </x:c>
      <x:c r="C2025" s="14" t="str">
        <x:v>MDA Стиральная машина</x:v>
      </x:c>
      <x:c r="D2025" s="14" t="str">
        <x:v>Стиральная машина активаторного типа</x:v>
      </x:c>
      <x:c r="E2025" s="2" t="n">
        <x:v>7</x:v>
      </x:c>
      <x:c r="F2025" s="2" t="n">
        <x:v>0</x:v>
      </x:c>
      <x:c r="G2025" s="12" t="n">
        <x:v>1211746.6</x:v>
      </x:c>
      <x:c r="H2025" s="12" t="n">
        <x:v>53077.9615</x:v>
      </x:c>
      <x:c r="I2025" s="13" t="n">
        <x:v>0.0251714285714285</x:v>
      </x:c>
      <x:c r="J2025" s="2" t="n">
        <x:v>4</x:v>
      </x:c>
      <x:c r="K2025" s="2" t="n">
        <x:v>1</x:v>
      </x:c>
      <x:c r="L2025" s="12" t="n">
        <x:v>11056.8889</x:v>
      </x:c>
      <x:c r="M2025" s="13" t="n">
        <x:v>1</x:v>
      </x:c>
      <x:c r="N2025" s="13" t="n">
        <x:f>H2025/G2025</x:f>
        <x:v>0.04380285572907734</x:v>
      </x:c>
      <x:c r="O2025" s="13" t="n">
        <x:f>F2025/E2025</x:f>
        <x:v>0</x:v>
      </x:c>
      <x:c r="P2025" s="2" t="str">
        <x:f>IF(AND(E2025&gt;='Итоги'!$F$5,N2025&lt;='Итоги'!$B$5,O2025&gt;='Итоги'!$D$5),"Да","Нет")</x:f>
        <x:v>Нет</x:v>
      </x:c>
    </x:row>
    <x:row r="2026" ht="60" customHeight="1">
      <x:c r="A2026" s="14" t="str">
        <x:v>Спорт и отдых</x:v>
      </x:c>
      <x:c r="B2026" s="14" t="str">
        <x:v>Зимние виды спорта</x:v>
      </x:c>
      <x:c r="C2026" s="14" t="str">
        <x:v>Фигурное катание</x:v>
      </x:c>
      <x:c r="D2026" s="14" t="str">
        <x:v>Коньки фигурные детские раздвижные</x:v>
      </x:c>
      <x:c r="E2026" s="2" t="n">
        <x:v>6</x:v>
      </x:c>
      <x:c r="F2026" s="2" t="n">
        <x:v>0</x:v>
      </x:c>
      <x:c r="G2026" s="12" t="n">
        <x:v>595933.2356</x:v>
      </x:c>
      <x:c r="H2026" s="12" t="n">
        <x:v>26141.78982204</x:v>
      </x:c>
      <x:c r="I2026" s="13" t="n">
        <x:v>0.04575</x:v>
      </x:c>
      <x:c r="J2026" s="2" t="n">
        <x:v>0</x:v>
      </x:c>
      <x:c r="K2026" s="2" t="n">
        <x:v>1</x:v>
      </x:c>
      <x:c r="L2026" s="12" t="n">
        <x:v>4986.42255</x:v>
      </x:c>
      <x:c r="M2026" s="13" t="n">
        <x:v>1</x:v>
      </x:c>
      <x:c r="N2026" s="13" t="n">
        <x:f>H2026/G2026</x:f>
        <x:v>0.04386697747394439</x:v>
      </x:c>
      <x:c r="O2026" s="13" t="n">
        <x:f>F2026/E2026</x:f>
        <x:v>0</x:v>
      </x:c>
      <x:c r="P2026" s="2" t="str">
        <x:f>IF(AND(E2026&gt;='Итоги'!$F$5,N2026&lt;='Итоги'!$B$5,O2026&gt;='Итоги'!$D$5),"Да","Нет")</x:f>
        <x:v>Нет</x:v>
      </x:c>
    </x:row>
    <x:row r="2027" ht="60" customHeight="1">
      <x:c r="A2027" s="14" t="str">
        <x:v>Аптека</x:v>
      </x:c>
      <x:c r="B2027" s="14" t="str">
        <x:v>Средства реабилитации</x:v>
      </x:c>
      <x:c r="C2027" s="14" t="str">
        <x:v>Средства по уходу за лежачими больными</x:v>
      </x:c>
      <x:c r="D2027" s="14" t="str">
        <x:v>Средства ухода за кожей лежачих больных</x:v>
      </x:c>
      <x:c r="E2027" s="2" t="n">
        <x:v>13</x:v>
      </x:c>
      <x:c r="F2027" s="2" t="n">
        <x:v>0</x:v>
      </x:c>
      <x:c r="G2027" s="12" t="n">
        <x:v>2132866.5939</x:v>
      </x:c>
      <x:c r="H2027" s="12" t="n">
        <x:v>93774.148259</x:v>
      </x:c>
      <x:c r="I2027" s="13" t="n">
        <x:v>0.0415923076923076</x:v>
      </x:c>
      <x:c r="J2027" s="2" t="n">
        <x:v>5</x:v>
      </x:c>
      <x:c r="K2027" s="2" t="n">
        <x:v>9</x:v>
      </x:c>
      <x:c r="L2027" s="12" t="n">
        <x:v>1089.7464</x:v>
      </x:c>
      <x:c r="M2027" s="13" t="n">
        <x:v>0.4445591030924345</x:v>
      </x:c>
      <x:c r="N2027" s="13" t="n">
        <x:f>H2027/G2027</x:f>
        <x:v>0.04396625111349867</x:v>
      </x:c>
      <x:c r="O2027" s="13" t="n">
        <x:f>F2027/E2027</x:f>
        <x:v>0</x:v>
      </x:c>
      <x:c r="P2027" s="2" t="str">
        <x:f>IF(AND(E2027&gt;='Итоги'!$F$5,N2027&lt;='Итоги'!$B$5,O2027&gt;='Итоги'!$D$5),"Да","Нет")</x:f>
        <x:v>Нет</x:v>
      </x:c>
    </x:row>
    <x:row r="2028" ht="60" customHeight="1">
      <x:c r="A2028" s="14" t="str">
        <x:v>Спорт и отдых</x:v>
      </x:c>
      <x:c r="B2028" s="14" t="str">
        <x:v>Колесный транспорт</x:v>
      </x:c>
      <x:c r="C2028" s="14" t="str">
        <x:v>Велоаксессуары</x:v>
      </x:c>
      <x:c r="D2028" s="14" t="str">
        <x:v>Багажник на велосипед</x:v>
      </x:c>
      <x:c r="E2028" s="2" t="n">
        <x:v>22</x:v>
      </x:c>
      <x:c r="F2028" s="2" t="n">
        <x:v>0</x:v>
      </x:c>
      <x:c r="G2028" s="12" t="n">
        <x:v>3279212.1962</x:v>
      </x:c>
      <x:c r="H2028" s="12" t="n">
        <x:v>144185.2963908</x:v>
      </x:c>
      <x:c r="I2028" s="13" t="n">
        <x:v>0.054540909090909</x:v>
      </x:c>
      <x:c r="J2028" s="2" t="n">
        <x:v>9</x:v>
      </x:c>
      <x:c r="K2028" s="2" t="n">
        <x:v>10</x:v>
      </x:c>
      <x:c r="L2028" s="12" t="n">
        <x:v>1530.6307000000002</x:v>
      </x:c>
      <x:c r="M2028" s="13" t="n">
        <x:v>0.5451079400934804</x:v>
      </x:c>
      <x:c r="N2028" s="13" t="n">
        <x:f>H2028/G2028</x:f>
        <x:v>0.043969492598827264</x:v>
      </x:c>
      <x:c r="O2028" s="13" t="n">
        <x:f>F2028/E2028</x:f>
        <x:v>0</x:v>
      </x:c>
      <x:c r="P2028" s="2" t="str">
        <x:f>IF(AND(E2028&gt;='Итоги'!$F$5,N2028&lt;='Итоги'!$B$5,O2028&gt;='Итоги'!$D$5),"Да","Нет")</x:f>
        <x:v>Нет</x:v>
      </x:c>
    </x:row>
    <x:row r="2029" ht="60" customHeight="1">
      <x:c r="A2029" s="14" t="str">
        <x:v>Детская одежда</x:v>
      </x:c>
      <x:c r="B2029" s="14" t="str">
        <x:v>Одежда для новорожденных</x:v>
      </x:c>
      <x:c r="C2029" s="14" t="str">
        <x:v>Одежда для новорожденных</x:v>
      </x:c>
      <x:c r="D2029" s="14" t="str">
        <x:v>Спальный мешок, кокон для новорожденных</x:v>
      </x:c>
      <x:c r="E2029" s="2" t="n">
        <x:v>4</x:v>
      </x:c>
      <x:c r="F2029" s="2" t="n">
        <x:v>0</x:v>
      </x:c>
      <x:c r="G2029" s="12" t="n">
        <x:v>264958.33</x:v>
      </x:c>
      <x:c r="H2029" s="12" t="n">
        <x:v>11650.479934</x:v>
      </x:c>
      <x:c r="I2029" s="13" t="n">
        <x:v>0.0674</x:v>
      </x:c>
      <x:c r="J2029" s="2" t="n">
        <x:v>2</x:v>
      </x:c>
      <x:c r="K2029" s="2" t="n">
        <x:v>4</x:v>
      </x:c>
      <x:c r="L2029" s="12" t="n">
        <x:v>1037.4629</x:v>
      </x:c>
      <x:c r="M2029" s="13" t="n">
        <x:v>0.6501286387183978</x:v>
      </x:c>
      <x:c r="N2029" s="13" t="n">
        <x:f>H2029/G2029</x:f>
        <x:v>0.043970989453322715</x:v>
      </x:c>
      <x:c r="O2029" s="13" t="n">
        <x:f>F2029/E2029</x:f>
        <x:v>0</x:v>
      </x:c>
      <x:c r="P2029" s="2" t="str">
        <x:f>IF(AND(E2029&gt;='Итоги'!$F$5,N2029&lt;='Итоги'!$B$5,O2029&gt;='Итоги'!$D$5),"Да","Нет")</x:f>
        <x:v>Нет</x:v>
      </x:c>
    </x:row>
    <x:row r="2030" ht="60" customHeight="1">
      <x:c r="A2030" s="14" t="str">
        <x:v>Одежда</x:v>
      </x:c>
      <x:c r="B2030" s="14" t="str">
        <x:v>Основная одежда мужская</x:v>
      </x:c>
      <x:c r="C2030" s="14" t="str">
        <x:v>Спортивная основная одежда мужская верха</x:v>
      </x:c>
      <x:c r="D2030" s="14" t="str">
        <x:v>Спортивная майка мужская</x:v>
      </x:c>
      <x:c r="E2030" s="2" t="n">
        <x:v>67</x:v>
      </x:c>
      <x:c r="F2030" s="2" t="n">
        <x:v>0</x:v>
      </x:c>
      <x:c r="G2030" s="12" t="n">
        <x:v>4348738.926</x:v>
      </x:c>
      <x:c r="H2030" s="12" t="n">
        <x:v>191311.48352645</x:v>
      </x:c>
      <x:c r="I2030" s="13" t="n">
        <x:v>0.0316865671641791</x:v>
      </x:c>
      <x:c r="J2030" s="2" t="n">
        <x:v>42</x:v>
      </x:c>
      <x:c r="K2030" s="2" t="n">
        <x:v>5</x:v>
      </x:c>
      <x:c r="L2030" s="12" t="n">
        <x:v>2183.8977</x:v>
      </x:c>
      <x:c r="M2030" s="13" t="n">
        <x:v>0.5081832301054534</x:v>
      </x:c>
      <x:c r="N2030" s="13" t="n">
        <x:f>H2030/G2030</x:f>
        <x:v>0.04399240487458272</x:v>
      </x:c>
      <x:c r="O2030" s="13" t="n">
        <x:f>F2030/E2030</x:f>
        <x:v>0</x:v>
      </x:c>
      <x:c r="P2030" s="2" t="str">
        <x:f>IF(AND(E2030&gt;='Итоги'!$F$5,N2030&lt;='Итоги'!$B$5,O2030&gt;='Итоги'!$D$5),"Да","Нет")</x:f>
        <x:v>Нет</x:v>
      </x:c>
    </x:row>
    <x:row r="2031" ht="60" customHeight="1">
      <x:c r="A2031" s="14" t="str">
        <x:v>Детская одежда</x:v>
      </x:c>
      <x:c r="B2031" s="14" t="str">
        <x:v>Детская одежда</x:v>
      </x:c>
      <x:c r="C2031" s="14" t="str">
        <x:v>Белье и ЧНИ для девочек</x:v>
      </x:c>
      <x:c r="D2031" s="14" t="str">
        <x:v>Бюстгальтер для девочки</x:v>
      </x:c>
      <x:c r="E2031" s="2" t="n">
        <x:v>11</x:v>
      </x:c>
      <x:c r="F2031" s="2" t="n">
        <x:v>0</x:v>
      </x:c>
      <x:c r="G2031" s="12" t="n">
        <x:v>1265137.8224</x:v>
      </x:c>
      <x:c r="H2031" s="12" t="n">
        <x:v>55661.0268626</x:v>
      </x:c>
      <x:c r="I2031" s="13" t="n">
        <x:v>0.0394181818181818</x:v>
      </x:c>
      <x:c r="J2031" s="2" t="n">
        <x:v>1</x:v>
      </x:c>
      <x:c r="K2031" s="2" t="n">
        <x:v>4</x:v>
      </x:c>
      <x:c r="L2031" s="12" t="n">
        <x:v>952.882</x:v>
      </x:c>
      <x:c r="M2031" s="13" t="n">
        <x:v>0.4009870967556965</x:v>
      </x:c>
      <x:c r="N2031" s="13" t="n">
        <x:f>H2031/G2031</x:f>
        <x:v>0.04399601836028391</x:v>
      </x:c>
      <x:c r="O2031" s="13" t="n">
        <x:f>F2031/E2031</x:f>
        <x:v>0</x:v>
      </x:c>
      <x:c r="P2031" s="2" t="str">
        <x:f>IF(AND(E2031&gt;='Итоги'!$F$5,N2031&lt;='Итоги'!$B$5,O2031&gt;='Итоги'!$D$5),"Да","Нет")</x:f>
        <x:v>Нет</x:v>
      </x:c>
    </x:row>
    <x:row r="2032" ht="60" customHeight="1">
      <x:c r="A2032" s="14" t="str">
        <x:v>Аксессуары для электроники</x:v>
      </x:c>
      <x:c r="B2032" s="14" t="str">
        <x:v>Фото и видео Access</x:v>
      </x:c>
      <x:c r="C2032" s="14" t="str">
        <x:v>Аксессуар к фото и видео Access</x:v>
      </x:c>
      <x:c r="D2032" s="14" t="str">
        <x:v>Батарейная рукоятка</x:v>
      </x:c>
      <x:c r="E2032" s="2" t="n">
        <x:v>1</x:v>
      </x:c>
      <x:c r="F2032" s="2" t="n">
        <x:v>0</x:v>
      </x:c>
      <x:c r="G2032" s="12" t="n">
        <x:v>220019.12</x:v>
      </x:c>
      <x:c r="H2032" s="12" t="n">
        <x:v>9680.84128</x:v>
      </x:c>
      <x:c r="I2032" s="13" t="n">
        <x:v>0.044</x:v>
      </x:c>
      <x:c r="J2032" s="2" t="n">
        <x:v>0</x:v>
      </x:c>
      <x:c r="K2032" s="2" t="n">
        <x:v>1</x:v>
      </x:c>
      <x:c r="L2032" s="12" t="n">
        <x:v>1068.054</x:v>
      </x:c>
      <x:c r="M2032" s="13" t="n">
        <x:v>1</x:v>
      </x:c>
      <x:c r="N2032" s="13" t="n">
        <x:f>H2032/G2032</x:f>
        <x:v>0.044000000000000004</x:v>
      </x:c>
      <x:c r="O2032" s="13" t="n">
        <x:f>F2032/E2032</x:f>
        <x:v>0</x:v>
      </x:c>
      <x:c r="P2032" s="2" t="str">
        <x:f>IF(AND(E2032&gt;='Итоги'!$F$5,N2032&lt;='Итоги'!$B$5,O2032&gt;='Итоги'!$D$5),"Да","Нет")</x:f>
        <x:v>Нет</x:v>
      </x:c>
    </x:row>
    <x:row r="2033" ht="60" customHeight="1">
      <x:c r="A2033" s="14" t="str">
        <x:v>Автотовары</x:v>
      </x:c>
      <x:c r="B2033" s="14" t="str">
        <x:v>Авто и мото запчасти</x:v>
      </x:c>
      <x:c r="C2033" s="14" t="str">
        <x:v>Кузовные детали</x:v>
      </x:c>
      <x:c r="D2033" s="14" t="str">
        <x:v>Ограничитель двери для авто</x:v>
      </x:c>
      <x:c r="E2033" s="2" t="n">
        <x:v>6</x:v>
      </x:c>
      <x:c r="F2033" s="2" t="n">
        <x:v>0</x:v>
      </x:c>
      <x:c r="G2033" s="12" t="n">
        <x:v>754166.2063</x:v>
      </x:c>
      <x:c r="H2033" s="12" t="n">
        <x:v>33197.50578848</x:v>
      </x:c>
      <x:c r="I2033" s="13" t="n">
        <x:v>0.0707</x:v>
      </x:c>
      <x:c r="J2033" s="2" t="n">
        <x:v>4</x:v>
      </x:c>
      <x:c r="K2033" s="2" t="n">
        <x:v>4</x:v>
      </x:c>
      <x:c r="L2033" s="12" t="n">
        <x:v>1076.1257999999998</x:v>
      </x:c>
      <x:c r="M2033" s="13" t="n">
        <x:v>0.5322359126501741</x:v>
      </x:c>
      <x:c r="N2033" s="13" t="n">
        <x:f>H2033/G2033</x:f>
        <x:v>0.044018819076168406</x:v>
      </x:c>
      <x:c r="O2033" s="13" t="n">
        <x:f>F2033/E2033</x:f>
        <x:v>0</x:v>
      </x:c>
      <x:c r="P2033" s="2" t="str">
        <x:f>IF(AND(E2033&gt;='Итоги'!$F$5,N2033&lt;='Итоги'!$B$5,O2033&gt;='Итоги'!$D$5),"Да","Нет")</x:f>
        <x:v>Нет</x:v>
      </x:c>
    </x:row>
    <x:row r="2034" ht="60" customHeight="1">
      <x:c r="A2034" s="14" t="str">
        <x:v>Ноутбуки и компьютеры</x:v>
      </x:c>
      <x:c r="B2034" s="14" t="str">
        <x:v>Компьютерные комплектующие Lap&amp;Comp</x:v>
      </x:c>
      <x:c r="C2034" s="14" t="str">
        <x:v>Компьютерные комплектующие Lap&amp;Comp</x:v>
      </x:c>
      <x:c r="D2034" s="14" t="str">
        <x:v>Звуковая карта для ПК</x:v>
      </x:c>
      <x:c r="E2034" s="2" t="n">
        <x:v>2</x:v>
      </x:c>
      <x:c r="F2034" s="2" t="n">
        <x:v>0</x:v>
      </x:c>
      <x:c r="G2034" s="12" t="n">
        <x:v>233189.07</x:v>
      </x:c>
      <x:c r="H2034" s="12" t="n">
        <x:v>10269.515956</x:v>
      </x:c>
      <x:c r="I2034" s="13" t="n">
        <x:v>0.0659</x:v>
      </x:c>
      <x:c r="J2034" s="2" t="n">
        <x:v>1</x:v>
      </x:c>
      <x:c r="K2034" s="2" t="n">
        <x:v>2</x:v>
      </x:c>
      <x:c r="L2034" s="12" t="n">
        <x:v>2599.2633</x:v>
      </x:c>
      <x:c r="M2034" s="13" t="n">
        <x:v>0.6658616117813755</x:v>
      </x:c>
      <x:c r="N2034" s="13" t="n">
        <x:f>H2034/G2034</x:f>
        <x:v>0.044039439567214705</x:v>
      </x:c>
      <x:c r="O2034" s="13" t="n">
        <x:f>F2034/E2034</x:f>
        <x:v>0</x:v>
      </x:c>
      <x:c r="P2034" s="2" t="str">
        <x:f>IF(AND(E2034&gt;='Итоги'!$F$5,N2034&lt;='Итоги'!$B$5,O2034&gt;='Итоги'!$D$5),"Да","Нет")</x:f>
        <x:v>Нет</x:v>
      </x:c>
    </x:row>
    <x:row r="2035" ht="60" customHeight="1">
      <x:c r="A2035" s="14" t="str">
        <x:v>Детская одежда</x:v>
      </x:c>
      <x:c r="B2035" s="14" t="str">
        <x:v>Детская одежда</x:v>
      </x:c>
      <x:c r="C2035" s="14" t="str">
        <x:v>Пляжная одежда для мальчика</x:v>
      </x:c>
      <x:c r="D2035" s="14" t="str">
        <x:v>Накидка пляжная для мальчика</x:v>
      </x:c>
      <x:c r="E2035" s="2" t="n">
        <x:v>3</x:v>
      </x:c>
      <x:c r="F2035" s="2" t="n">
        <x:v>0</x:v>
      </x:c>
      <x:c r="G2035" s="12" t="n">
        <x:v>131712.78</x:v>
      </x:c>
      <x:c r="H2035" s="12" t="n">
        <x:v>5801.055632</x:v>
      </x:c>
      <x:c r="I2035" s="13" t="n">
        <x:v>0.0257333333333333</x:v>
      </x:c>
      <x:c r="J2035" s="2" t="n">
        <x:v>1</x:v>
      </x:c>
      <x:c r="K2035" s="2" t="n">
        <x:v>1</x:v>
      </x:c>
      <x:c r="L2035" s="12" t="n">
        <x:v>844.0931</x:v>
      </x:c>
      <x:c r="M2035" s="13" t="n">
        <x:v>1</x:v>
      </x:c>
      <x:c r="N2035" s="13" t="n">
        <x:f>H2035/G2035</x:f>
        <x:v>0.044043225205633044</x:v>
      </x:c>
      <x:c r="O2035" s="13" t="n">
        <x:f>F2035/E2035</x:f>
        <x:v>0</x:v>
      </x:c>
      <x:c r="P2035" s="2" t="str">
        <x:f>IF(AND(E2035&gt;='Итоги'!$F$5,N2035&lt;='Итоги'!$B$5,O2035&gt;='Итоги'!$D$5),"Да","Нет")</x:f>
        <x:v>Нет</x:v>
      </x:c>
    </x:row>
    <x:row r="2036" ht="60" customHeight="1">
      <x:c r="A2036" s="14" t="str">
        <x:v>Товары для животных</x:v>
      </x:c>
      <x:c r="B2036" s="14" t="str">
        <x:v>Зоокорм, витамины</x:v>
      </x:c>
      <x:c r="C2036" s="14" t="str">
        <x:v>Зоокорм, витамины для кошек и собак</x:v>
      </x:c>
      <x:c r="D2036" s="14" t="str">
        <x:v>Корм сухой для кошек</x:v>
      </x:c>
      <x:c r="E2036" s="2" t="n">
        <x:v>1175</x:v>
      </x:c>
      <x:c r="F2036" s="2" t="n">
        <x:v>0</x:v>
      </x:c>
      <x:c r="G2036" s="12" t="n">
        <x:v>242742359.33</x:v>
      </x:c>
      <x:c r="H2036" s="12" t="n">
        <x:v>10755484.061805</x:v>
      </x:c>
      <x:c r="I2036" s="13" t="n">
        <x:v>0.0352654468085106</x:v>
      </x:c>
      <x:c r="J2036" s="2" t="n">
        <x:v>612</x:v>
      </x:c>
      <x:c r="K2036" s="2" t="n">
        <x:v>75</x:v>
      </x:c>
      <x:c r="L2036" s="12" t="n">
        <x:v>2475.7927</x:v>
      </x:c>
      <x:c r="M2036" s="13" t="n">
        <x:v>0.6708219826133796</x:v>
      </x:c>
      <x:c r="N2036" s="13" t="n">
        <x:f>H2036/G2036</x:f>
        <x:v>0.044308229068430884</x:v>
      </x:c>
      <x:c r="O2036" s="13" t="n">
        <x:f>F2036/E2036</x:f>
        <x:v>0</x:v>
      </x:c>
      <x:c r="P2036" s="2" t="str">
        <x:f>IF(AND(E2036&gt;='Итоги'!$F$5,N2036&lt;='Итоги'!$B$5,O2036&gt;='Итоги'!$D$5),"Да","Нет")</x:f>
        <x:v>Нет</x:v>
      </x:c>
    </x:row>
    <x:row r="2037" ht="60" customHeight="1">
      <x:c r="A2037" s="14" t="str">
        <x:v>Одежда</x:v>
      </x:c>
      <x:c r="B2037" s="14" t="str">
        <x:v>Белье, домашняя одежда и ЧНИ</x:v>
      </x:c>
      <x:c r="C2037" s="14" t="str">
        <x:v>Спортивное белье, носки</x:v>
      </x:c>
      <x:c r="D2037" s="14" t="str">
        <x:v>Спортивное бра</x:v>
      </x:c>
      <x:c r="E2037" s="2" t="n">
        <x:v>72</x:v>
      </x:c>
      <x:c r="F2037" s="2" t="n">
        <x:v>0</x:v>
      </x:c>
      <x:c r="G2037" s="12" t="n">
        <x:v>7138574.7659</x:v>
      </x:c>
      <x:c r="H2037" s="12" t="n">
        <x:v>316391.00674693</x:v>
      </x:c>
      <x:c r="I2037" s="13" t="n">
        <x:v>0.0297430555555555</x:v>
      </x:c>
      <x:c r="J2037" s="2" t="n">
        <x:v>46</x:v>
      </x:c>
      <x:c r="K2037" s="2" t="n">
        <x:v>4</x:v>
      </x:c>
      <x:c r="L2037" s="12" t="n">
        <x:v>1298.15535</x:v>
      </x:c>
      <x:c r="M2037" s="13" t="n">
        <x:v>0.4391273186454867</x:v>
      </x:c>
      <x:c r="N2037" s="13" t="n">
        <x:f>H2037/G2037</x:f>
        <x:v>0.04432131302431499</x:v>
      </x:c>
      <x:c r="O2037" s="13" t="n">
        <x:f>F2037/E2037</x:f>
        <x:v>0</x:v>
      </x:c>
      <x:c r="P2037" s="2" t="str">
        <x:f>IF(AND(E2037&gt;='Итоги'!$F$5,N2037&lt;='Итоги'!$B$5,O2037&gt;='Итоги'!$D$5),"Да","Нет")</x:f>
        <x:v>Нет</x:v>
      </x:c>
    </x:row>
    <x:row r="2038" ht="60" customHeight="1">
      <x:c r="A2038" s="14" t="str">
        <x:v>Спорт и отдых</x:v>
      </x:c>
      <x:c r="B2038" s="14" t="str">
        <x:v>Туризм</x:v>
      </x:c>
      <x:c r="C2038" s="14" t="str">
        <x:v>Туристическая мебель</x:v>
      </x:c>
      <x:c r="D2038" s="14" t="str">
        <x:v>Стул складной туристический</x:v>
      </x:c>
      <x:c r="E2038" s="2" t="n">
        <x:v>188</x:v>
      </x:c>
      <x:c r="F2038" s="2" t="n">
        <x:v>0</x:v>
      </x:c>
      <x:c r="G2038" s="12" t="n">
        <x:v>32262064.557</x:v>
      </x:c>
      <x:c r="H2038" s="12" t="n">
        <x:v>1430073.1094134</x:v>
      </x:c>
      <x:c r="I2038" s="13" t="n">
        <x:v>0.0498297872340425</x:v>
      </x:c>
      <x:c r="J2038" s="2" t="n">
        <x:v>39</x:v>
      </x:c>
      <x:c r="K2038" s="2" t="n">
        <x:v>40</x:v>
      </x:c>
      <x:c r="L2038" s="12" t="n">
        <x:v>2122.0646</x:v>
      </x:c>
      <x:c r="M2038" s="13" t="n">
        <x:v>0.4961624397663312</x:v>
      </x:c>
      <x:c r="N2038" s="13" t="n">
        <x:f>H2038/G2038</x:f>
        <x:v>0.044326769816196175</x:v>
      </x:c>
      <x:c r="O2038" s="13" t="n">
        <x:f>F2038/E2038</x:f>
        <x:v>0</x:v>
      </x:c>
      <x:c r="P2038" s="2" t="str">
        <x:f>IF(AND(E2038&gt;='Итоги'!$F$5,N2038&lt;='Итоги'!$B$5,O2038&gt;='Итоги'!$D$5),"Да","Нет")</x:f>
        <x:v>Нет</x:v>
      </x:c>
    </x:row>
    <x:row r="2039" ht="60" customHeight="1">
      <x:c r="A2039" s="14" t="str">
        <x:v>Мелкая бытовая техника</x:v>
      </x:c>
      <x:c r="B2039" s="14" t="str">
        <x:v>Мелкая бытовая техника SDA</x:v>
      </x:c>
      <x:c r="C2039" s="14" t="str">
        <x:v>Электронная кухонная техника SDA</x:v>
      </x:c>
      <x:c r="D2039" s="14" t="str">
        <x:v>Попкорница</x:v>
      </x:c>
      <x:c r="E2039" s="2" t="n">
        <x:v>9</x:v>
      </x:c>
      <x:c r="F2039" s="2" t="n">
        <x:v>0</x:v>
      </x:c>
      <x:c r="G2039" s="12" t="n">
        <x:v>852391.7519</x:v>
      </x:c>
      <x:c r="H2039" s="12" t="n">
        <x:v>37788.10768924</x:v>
      </x:c>
      <x:c r="I2039" s="13" t="n">
        <x:v>0.0276666666666666</x:v>
      </x:c>
      <x:c r="J2039" s="2" t="n">
        <x:v>4</x:v>
      </x:c>
      <x:c r="K2039" s="2" t="n">
        <x:v>5</x:v>
      </x:c>
      <x:c r="L2039" s="12" t="n">
        <x:v>2884.5714</x:v>
      </x:c>
      <x:c r="M2039" s="13" t="n">
        <x:v>0.4589243555302403</x:v>
      </x:c>
      <x:c r="N2039" s="13" t="n">
        <x:f>H2039/G2039</x:f>
        <x:v>0.04433185516519778</x:v>
      </x:c>
      <x:c r="O2039" s="13" t="n">
        <x:f>F2039/E2039</x:f>
        <x:v>0</x:v>
      </x:c>
      <x:c r="P2039" s="2" t="str">
        <x:f>IF(AND(E2039&gt;='Итоги'!$F$5,N2039&lt;='Итоги'!$B$5,O2039&gt;='Итоги'!$D$5),"Да","Нет")</x:f>
        <x:v>Нет</x:v>
      </x:c>
    </x:row>
    <x:row r="2040" ht="60" customHeight="1">
      <x:c r="A2040" s="14" t="str">
        <x:v>Аудио и видеотехника</x:v>
      </x:c>
      <x:c r="B2040" s="14" t="str">
        <x:v>Электронные товары хобби и отдых TV&amp;Audio</x:v>
      </x:c>
      <x:c r="C2040" s="14" t="str">
        <x:v>Оборудование для сцены TV&amp;Audio</x:v>
      </x:c>
      <x:c r="D2040" s="14" t="str">
        <x:v>Сценический свет</x:v>
      </x:c>
      <x:c r="E2040" s="2" t="n">
        <x:v>25</x:v>
      </x:c>
      <x:c r="F2040" s="2" t="n">
        <x:v>0</x:v>
      </x:c>
      <x:c r="G2040" s="12" t="n">
        <x:v>3813792.0695</x:v>
      </x:c>
      <x:c r="H2040" s="12" t="n">
        <x:v>169282.40217831</x:v>
      </x:c>
      <x:c r="I2040" s="13" t="n">
        <x:v>0.03524</x:v>
      </x:c>
      <x:c r="J2040" s="2" t="n">
        <x:v>10</x:v>
      </x:c>
      <x:c r="K2040" s="2" t="n">
        <x:v>14</x:v>
      </x:c>
      <x:c r="L2040" s="12" t="n">
        <x:v>4941.5577</x:v>
      </x:c>
      <x:c r="M2040" s="13" t="n">
        <x:v>0.3463917144211786</x:v>
      </x:c>
      <x:c r="N2040" s="13" t="n">
        <x:f>H2040/G2040</x:f>
        <x:v>0.044386898680740985</x:v>
      </x:c>
      <x:c r="O2040" s="13" t="n">
        <x:f>F2040/E2040</x:f>
        <x:v>0</x:v>
      </x:c>
      <x:c r="P2040" s="2" t="str">
        <x:f>IF(AND(E2040&gt;='Итоги'!$F$5,N2040&lt;='Итоги'!$B$5,O2040&gt;='Итоги'!$D$5),"Да","Нет")</x:f>
        <x:v>Нет</x:v>
      </x:c>
    </x:row>
    <x:row r="2041" ht="60" customHeight="1">
      <x:c r="A2041" s="14" t="str">
        <x:v>Товары для красоты и здоровья</x:v>
      </x:c>
      <x:c r="B2041" s="14" t="str">
        <x:v>Декоративная косметика</x:v>
      </x:c>
      <x:c r="C2041" s="14" t="str">
        <x:v>Глаза, ресницы, брови</x:v>
      </x:c>
      <x:c r="D2041" s="14" t="str">
        <x:v>Ламинирование, биозавивка ресниц</x:v>
      </x:c>
      <x:c r="E2041" s="2" t="n">
        <x:v>22</x:v>
      </x:c>
      <x:c r="F2041" s="2" t="n">
        <x:v>0</x:v>
      </x:c>
      <x:c r="G2041" s="12" t="n">
        <x:v>3244498.849</x:v>
      </x:c>
      <x:c r="H2041" s="12" t="n">
        <x:v>144035.76968646</x:v>
      </x:c>
      <x:c r="I2041" s="13" t="n">
        <x:v>0.0427863636363636</x:v>
      </x:c>
      <x:c r="J2041" s="2" t="n">
        <x:v>11</x:v>
      </x:c>
      <x:c r="K2041" s="2" t="n">
        <x:v>7</x:v>
      </x:c>
      <x:c r="L2041" s="12" t="n">
        <x:v>1165.24375</x:v>
      </x:c>
      <x:c r="M2041" s="13" t="n">
        <x:v>0.3123646222319864</x:v>
      </x:c>
      <x:c r="N2041" s="13" t="n">
        <x:f>H2041/G2041</x:f>
        <x:v>0.04439384212783858</x:v>
      </x:c>
      <x:c r="O2041" s="13" t="n">
        <x:f>F2041/E2041</x:f>
        <x:v>0</x:v>
      </x:c>
      <x:c r="P2041" s="2" t="str">
        <x:f>IF(AND(E2041&gt;='Итоги'!$F$5,N2041&lt;='Итоги'!$B$5,O2041&gt;='Итоги'!$D$5),"Да","Нет")</x:f>
        <x:v>Нет</x:v>
      </x:c>
    </x:row>
    <x:row r="2042" ht="60" customHeight="1">
      <x:c r="A2042" s="14" t="str">
        <x:v>Бакалея и кондитерские изделия</x:v>
      </x:c>
      <x:c r="B2042" s="14" t="str">
        <x:v>Кондитерские изделия</x:v>
      </x:c>
      <x:c r="C2042" s="14" t="str">
        <x:v>Мучные изделия</x:v>
      </x:c>
      <x:c r="D2042" s="14" t="str">
        <x:v>Крекеры</x:v>
      </x:c>
      <x:c r="E2042" s="2" t="n">
        <x:v>2</x:v>
      </x:c>
      <x:c r="F2042" s="2" t="n">
        <x:v>0</x:v>
      </x:c>
      <x:c r="G2042" s="12" t="n">
        <x:v>275689.034</x:v>
      </x:c>
      <x:c r="H2042" s="12" t="n">
        <x:v>12247.3547472</x:v>
      </x:c>
      <x:c r="I2042" s="13" t="n">
        <x:v>0.0408</x:v>
      </x:c>
      <x:c r="J2042" s="2" t="n">
        <x:v>0</x:v>
      </x:c>
      <x:c r="K2042" s="2" t="n">
        <x:v>1</x:v>
      </x:c>
      <x:c r="L2042" s="12" t="n">
        <x:v>1275.2035500000002</x:v>
      </x:c>
      <x:c r="M2042" s="13" t="n">
        <x:v>1</x:v>
      </x:c>
      <x:c r="N2042" s="13" t="n">
        <x:f>H2042/G2042</x:f>
        <x:v>0.04442452632047744</x:v>
      </x:c>
      <x:c r="O2042" s="13" t="n">
        <x:f>F2042/E2042</x:f>
        <x:v>0</x:v>
      </x:c>
      <x:c r="P2042" s="2" t="str">
        <x:f>IF(AND(E2042&gt;='Итоги'!$F$5,N2042&lt;='Итоги'!$B$5,O2042&gt;='Итоги'!$D$5),"Да","Нет")</x:f>
        <x:v>Нет</x:v>
      </x:c>
    </x:row>
    <x:row r="2043" ht="60" customHeight="1">
      <x:c r="A2043" s="14" t="str">
        <x:v>Одежда</x:v>
      </x:c>
      <x:c r="B2043" s="14" t="str">
        <x:v>Основная одежда женская</x:v>
      </x:c>
      <x:c r="C2043" s="14" t="str">
        <x:v>Основная одежда женская верха</x:v>
      </x:c>
      <x:c r="D2043" s="14" t="str">
        <x:v>Туника женская</x:v>
      </x:c>
      <x:c r="E2043" s="2" t="n">
        <x:v>675</x:v>
      </x:c>
      <x:c r="F2043" s="2" t="n">
        <x:v>0</x:v>
      </x:c>
      <x:c r="G2043" s="12" t="n">
        <x:v>79736113.1366</x:v>
      </x:c>
      <x:c r="H2043" s="12" t="n">
        <x:v>3543004.20999973</x:v>
      </x:c>
      <x:c r="I2043" s="13" t="n">
        <x:v>0.0425469629629629</x:v>
      </x:c>
      <x:c r="J2043" s="2" t="n">
        <x:v>296</x:v>
      </x:c>
      <x:c r="K2043" s="2" t="n">
        <x:v>96</x:v>
      </x:c>
      <x:c r="L2043" s="12" t="n">
        <x:v>1363.2287</x:v>
      </x:c>
      <x:c r="M2043" s="13" t="n">
        <x:v>0.2653240256514226</x:v>
      </x:c>
      <x:c r="N2043" s="13" t="n">
        <x:f>H2043/G2043</x:f>
        <x:v>0.04443412238981387</x:v>
      </x:c>
      <x:c r="O2043" s="13" t="n">
        <x:f>F2043/E2043</x:f>
        <x:v>0</x:v>
      </x:c>
      <x:c r="P2043" s="2" t="str">
        <x:f>IF(AND(E2043&gt;='Итоги'!$F$5,N2043&lt;='Итоги'!$B$5,O2043&gt;='Итоги'!$D$5),"Да","Нет")</x:f>
        <x:v>Нет</x:v>
      </x:c>
    </x:row>
    <x:row r="2044" ht="60" customHeight="1">
      <x:c r="A2044" s="14" t="str">
        <x:v>Спорт и отдых</x:v>
      </x:c>
      <x:c r="B2044" s="14" t="str">
        <x:v>Туризм</x:v>
      </x:c>
      <x:c r="C2044" s="14" t="str">
        <x:v>Коврик туристический</x:v>
      </x:c>
      <x:c r="D2044" s="14" t="str">
        <x:v>Коврик, подушка надувные туристические</x:v>
      </x:c>
      <x:c r="E2044" s="2" t="n">
        <x:v>266</x:v>
      </x:c>
      <x:c r="F2044" s="2" t="n">
        <x:v>0</x:v>
      </x:c>
      <x:c r="G2044" s="12" t="n">
        <x:v>53512957.6603</x:v>
      </x:c>
      <x:c r="H2044" s="12" t="n">
        <x:v>2386654.84540694</x:v>
      </x:c>
      <x:c r="I2044" s="13" t="n">
        <x:v>0.0389496240601503</x:v>
      </x:c>
      <x:c r="J2044" s="2" t="n">
        <x:v>84</x:v>
      </x:c>
      <x:c r="K2044" s="2" t="n">
        <x:v>28</x:v>
      </x:c>
      <x:c r="L2044" s="12" t="n">
        <x:v>3183.68365</x:v>
      </x:c>
      <x:c r="M2044" s="13" t="n">
        <x:v>0.7161601285053163</x:v>
      </x:c>
      <x:c r="N2044" s="13" t="n">
        <x:f>H2044/G2044</x:f>
        <x:v>0.04459956895967914</x:v>
      </x:c>
      <x:c r="O2044" s="13" t="n">
        <x:f>F2044/E2044</x:f>
        <x:v>0</x:v>
      </x:c>
      <x:c r="P2044" s="2" t="str">
        <x:f>IF(AND(E2044&gt;='Итоги'!$F$5,N2044&lt;='Итоги'!$B$5,O2044&gt;='Итоги'!$D$5),"Да","Нет")</x:f>
        <x:v>Нет</x:v>
      </x:c>
    </x:row>
    <x:row r="2045" ht="60" customHeight="1">
      <x:c r="A2045" s="14" t="str">
        <x:v>Строительство и ремонт (DIY)</x:v>
      </x:c>
      <x:c r="B2045" s="14" t="str">
        <x:v>Сад и огород</x:v>
      </x:c>
      <x:c r="C2045" s="14" t="str">
        <x:v>Садовый инструмент</x:v>
      </x:c>
      <x:c r="D2045" s="14" t="str">
        <x:v>Запчасти для мотоблока</x:v>
      </x:c>
      <x:c r="E2045" s="2" t="n">
        <x:v>24</x:v>
      </x:c>
      <x:c r="F2045" s="2" t="n">
        <x:v>0</x:v>
      </x:c>
      <x:c r="G2045" s="12" t="n">
        <x:v>4317521.8756</x:v>
      </x:c>
      <x:c r="H2045" s="12" t="n">
        <x:v>192695.7025796</x:v>
      </x:c>
      <x:c r="I2045" s="13" t="n">
        <x:v>0.0432291666666666</x:v>
      </x:c>
      <x:c r="J2045" s="2" t="n">
        <x:v>14</x:v>
      </x:c>
      <x:c r="K2045" s="2" t="n">
        <x:v>4</x:v>
      </x:c>
      <x:c r="L2045" s="12" t="n">
        <x:v>3070.64405</x:v>
      </x:c>
      <x:c r="M2045" s="13" t="n">
        <x:v>0.9476174049567332</x:v>
      </x:c>
      <x:c r="N2045" s="13" t="n">
        <x:f>H2045/G2045</x:f>
        <x:v>0.04463108888193447</x:v>
      </x:c>
      <x:c r="O2045" s="13" t="n">
        <x:f>F2045/E2045</x:f>
        <x:v>0</x:v>
      </x:c>
      <x:c r="P2045" s="2" t="str">
        <x:f>IF(AND(E2045&gt;='Итоги'!$F$5,N2045&lt;='Итоги'!$B$5,O2045&gt;='Итоги'!$D$5),"Да","Нет")</x:f>
        <x:v>Нет</x:v>
      </x:c>
    </x:row>
    <x:row r="2046" ht="60" customHeight="1">
      <x:c r="A2046" s="14" t="str">
        <x:v>Спорт и отдых</x:v>
      </x:c>
      <x:c r="B2046" s="14" t="str">
        <x:v>Активный отдых</x:v>
      </x:c>
      <x:c r="C2046" s="14" t="str">
        <x:v>Бассейны</x:v>
      </x:c>
      <x:c r="D2046" s="14" t="str">
        <x:v>Аксессуары к бассейну</x:v>
      </x:c>
      <x:c r="E2046" s="2" t="n">
        <x:v>248</x:v>
      </x:c>
      <x:c r="F2046" s="2" t="n">
        <x:v>0</x:v>
      </x:c>
      <x:c r="G2046" s="12" t="n">
        <x:v>42579667.6716</x:v>
      </x:c>
      <x:c r="H2046" s="12" t="n">
        <x:v>1902370.34973843</x:v>
      </x:c>
      <x:c r="I2046" s="13" t="n">
        <x:v>0.0340129032258064</x:v>
      </x:c>
      <x:c r="J2046" s="2" t="n">
        <x:v>154</x:v>
      </x:c>
      <x:c r="K2046" s="2" t="n">
        <x:v>62</x:v>
      </x:c>
      <x:c r="L2046" s="12" t="n">
        <x:v>1644.8863</x:v>
      </x:c>
      <x:c r="M2046" s="13" t="n">
        <x:v>0.4847218950270507</x:v>
      </x:c>
      <x:c r="N2046" s="13" t="n">
        <x:f>H2046/G2046</x:f>
        <x:v>0.04467790506047755</x:v>
      </x:c>
      <x:c r="O2046" s="13" t="n">
        <x:f>F2046/E2046</x:f>
        <x:v>0</x:v>
      </x:c>
      <x:c r="P2046" s="2" t="str">
        <x:f>IF(AND(E2046&gt;='Итоги'!$F$5,N2046&lt;='Итоги'!$B$5,O2046&gt;='Итоги'!$D$5),"Да","Нет")</x:f>
        <x:v>Нет</x:v>
      </x:c>
    </x:row>
    <x:row r="2047" ht="60" customHeight="1">
      <x:c r="A2047" s="14" t="str">
        <x:v>Хобби и творчество</x:v>
      </x:c>
      <x:c r="B2047" s="14" t="str">
        <x:v>Взрослое творчество и хобби</x:v>
      </x:c>
      <x:c r="C2047" s="14" t="str">
        <x:v>Глина, пластика</x:v>
      </x:c>
      <x:c r="D2047" s="14" t="str">
        <x:v>Оборудование для изготовления изделий из глины</x:v>
      </x:c>
      <x:c r="E2047" s="2" t="n">
        <x:v>2</x:v>
      </x:c>
      <x:c r="F2047" s="2" t="n">
        <x:v>0</x:v>
      </x:c>
      <x:c r="G2047" s="12" t="n">
        <x:v>213940.2527</x:v>
      </x:c>
      <x:c r="H2047" s="12" t="n">
        <x:v>9563.5328</x:v>
      </x:c>
      <x:c r="I2047" s="13" t="n">
        <x:v>0.0422</x:v>
      </x:c>
      <x:c r="J2047" s="2" t="n">
        <x:v>1</x:v>
      </x:c>
      <x:c r="K2047" s="2" t="n">
        <x:v>2</x:v>
      </x:c>
      <x:c r="L2047" s="12" t="n">
        <x:v>4671.6947</x:v>
      </x:c>
      <x:c r="M2047" s="13" t="n">
        <x:v>0.5296431997717277</x:v>
      </x:c>
      <x:c r="N2047" s="13" t="n">
        <x:f>H2047/G2047</x:f>
        <x:v>0.04470188606073382</x:v>
      </x:c>
      <x:c r="O2047" s="13" t="n">
        <x:f>F2047/E2047</x:f>
        <x:v>0</x:v>
      </x:c>
      <x:c r="P2047" s="2" t="str">
        <x:f>IF(AND(E2047&gt;='Итоги'!$F$5,N2047&lt;='Итоги'!$B$5,O2047&gt;='Итоги'!$D$5),"Да","Нет")</x:f>
        <x:v>Нет</x:v>
      </x:c>
    </x:row>
    <x:row r="2048" ht="60" customHeight="1">
      <x:c r="A2048" s="14" t="str">
        <x:v>Товары для дома</x:v>
      </x:c>
      <x:c r="B2048" s="14" t="str">
        <x:v>Домашний текстиль</x:v>
      </x:c>
      <x:c r="C2048" s="14" t="str">
        <x:v>Шторы</x:v>
      </x:c>
      <x:c r="D2048" s="14" t="str">
        <x:v>Шторы уличные</x:v>
      </x:c>
      <x:c r="E2048" s="2" t="n">
        <x:v>45</x:v>
      </x:c>
      <x:c r="F2048" s="2" t="n">
        <x:v>0</x:v>
      </x:c>
      <x:c r="G2048" s="12" t="n">
        <x:v>5284068.7702</x:v>
      </x:c>
      <x:c r="H2048" s="12" t="n">
        <x:v>236312.88352882</x:v>
      </x:c>
      <x:c r="I2048" s="13" t="n">
        <x:v>0.0526466666666666</x:v>
      </x:c>
      <x:c r="J2048" s="2" t="n">
        <x:v>29</x:v>
      </x:c>
      <x:c r="K2048" s="2" t="n">
        <x:v>6</x:v>
      </x:c>
      <x:c r="L2048" s="12" t="n">
        <x:v>1373.432</x:v>
      </x:c>
      <x:c r="M2048" s="13" t="n">
        <x:v>0.641279771907992</x:v>
      </x:c>
      <x:c r="N2048" s="13" t="n">
        <x:f>H2048/G2048</x:f>
        <x:v>0.04472176533006698</x:v>
      </x:c>
      <x:c r="O2048" s="13" t="n">
        <x:f>F2048/E2048</x:f>
        <x:v>0</x:v>
      </x:c>
      <x:c r="P2048" s="2" t="str">
        <x:f>IF(AND(E2048&gt;='Итоги'!$F$5,N2048&lt;='Итоги'!$B$5,O2048&gt;='Итоги'!$D$5),"Да","Нет")</x:f>
        <x:v>Нет</x:v>
      </x:c>
    </x:row>
    <x:row r="2049" ht="60" customHeight="1">
      <x:c r="A2049" s="14" t="str">
        <x:v>Строительство и ремонт (DIY)</x:v>
      </x:c>
      <x:c r="B2049" s="14" t="str">
        <x:v>Ремонт и строительство</x:v>
      </x:c>
      <x:c r="C2049" s="14" t="str">
        <x:v>Строительная химия</x:v>
      </x:c>
      <x:c r="D2049" s="14" t="str">
        <x:v>Клей для напольного покрытия</x:v>
      </x:c>
      <x:c r="E2049" s="2" t="n">
        <x:v>36</x:v>
      </x:c>
      <x:c r="F2049" s="2" t="n">
        <x:v>0</x:v>
      </x:c>
      <x:c r="G2049" s="12" t="n">
        <x:v>7335641.5194</x:v>
      </x:c>
      <x:c r="H2049" s="12" t="n">
        <x:v>328114.31069423</x:v>
      </x:c>
      <x:c r="I2049" s="13" t="n">
        <x:v>0.0499277777777777</x:v>
      </x:c>
      <x:c r="J2049" s="2" t="n">
        <x:v>3</x:v>
      </x:c>
      <x:c r="K2049" s="2" t="n">
        <x:v>12</x:v>
      </x:c>
      <x:c r="L2049" s="12" t="n">
        <x:v>4860.0321</x:v>
      </x:c>
      <x:c r="M2049" s="13" t="n">
        <x:v>0.2705797895726982</x:v>
      </x:c>
      <x:c r="N2049" s="13" t="n">
        <x:f>H2049/G2049</x:f>
        <x:v>0.04472878204673602</x:v>
      </x:c>
      <x:c r="O2049" s="13" t="n">
        <x:f>F2049/E2049</x:f>
        <x:v>0</x:v>
      </x:c>
      <x:c r="P2049" s="2" t="str">
        <x:f>IF(AND(E2049&gt;='Итоги'!$F$5,N2049&lt;='Итоги'!$B$5,O2049&gt;='Итоги'!$D$5),"Да","Нет")</x:f>
        <x:v>Нет</x:v>
      </x:c>
    </x:row>
    <x:row r="2050" ht="60" customHeight="1">
      <x:c r="A2050" s="14" t="str">
        <x:v>Спорт и отдых</x:v>
      </x:c>
      <x:c r="B2050" s="14" t="str">
        <x:v>Страйкбол и пневматика</x:v>
      </x:c>
      <x:c r="C2050" s="14" t="str">
        <x:v>Оружие пневматическое</x:v>
      </x:c>
      <x:c r="D2050" s="14" t="str">
        <x:v>Винтовка пневматическая</x:v>
      </x:c>
      <x:c r="E2050" s="2" t="n">
        <x:v>34</x:v>
      </x:c>
      <x:c r="F2050" s="2" t="n">
        <x:v>0</x:v>
      </x:c>
      <x:c r="G2050" s="12" t="n">
        <x:v>8477331.26</x:v>
      </x:c>
      <x:c r="H2050" s="12" t="n">
        <x:v>379370.810095</x:v>
      </x:c>
      <x:c r="I2050" s="13" t="n">
        <x:v>0.0404264705882352</x:v>
      </x:c>
      <x:c r="J2050" s="2" t="n">
        <x:v>16</x:v>
      </x:c>
      <x:c r="K2050" s="2" t="n">
        <x:v>3</x:v>
      </x:c>
      <x:c r="L2050" s="12" t="n">
        <x:v>14616.97385</x:v>
      </x:c>
      <x:c r="M2050" s="13" t="n">
        <x:v>0.9267297713219242</x:v>
      </x:c>
      <x:c r="N2050" s="13" t="n">
        <x:f>H2050/G2050</x:f>
        <x:v>0.04475120748024185</x:v>
      </x:c>
      <x:c r="O2050" s="13" t="n">
        <x:f>F2050/E2050</x:f>
        <x:v>0</x:v>
      </x:c>
      <x:c r="P2050" s="2" t="str">
        <x:f>IF(AND(E2050&gt;='Итоги'!$F$5,N2050&lt;='Итоги'!$B$5,O2050&gt;='Итоги'!$D$5),"Да","Нет")</x:f>
        <x:v>Нет</x:v>
      </x:c>
    </x:row>
    <x:row r="2051" ht="60" customHeight="1">
      <x:c r="A2051" s="14" t="str">
        <x:v>Аптека</x:v>
      </x:c>
      <x:c r="B2051" s="14" t="str">
        <x:v>Спортивное питание</x:v>
      </x:c>
      <x:c r="C2051" s="14" t="str">
        <x:v>Витаминно-минеральные комплексы спортивные</x:v>
      </x:c>
      <x:c r="D2051" s="14" t="str">
        <x:v>Минералы для спортивного питания</x:v>
      </x:c>
      <x:c r="E2051" s="2" t="n">
        <x:v>33</x:v>
      </x:c>
      <x:c r="F2051" s="2" t="n">
        <x:v>0</x:v>
      </x:c>
      <x:c r="G2051" s="12" t="n">
        <x:v>5066993.8393</x:v>
      </x:c>
      <x:c r="H2051" s="12" t="n">
        <x:v>226773.812307</x:v>
      </x:c>
      <x:c r="I2051" s="13" t="n">
        <x:v>0.0524575757575757</x:v>
      </x:c>
      <x:c r="J2051" s="2" t="n">
        <x:v>10</x:v>
      </x:c>
      <x:c r="K2051" s="2" t="n">
        <x:v>13</x:v>
      </x:c>
      <x:c r="L2051" s="12" t="n">
        <x:v>1856.5426</x:v>
      </x:c>
      <x:c r="M2051" s="13" t="n">
        <x:v>0.5703391697234108</x:v>
      </x:c>
      <x:c r="N2051" s="13" t="n">
        <x:f>H2051/G2051</x:f>
        <x:v>0.04475509927565425</x:v>
      </x:c>
      <x:c r="O2051" s="13" t="n">
        <x:f>F2051/E2051</x:f>
        <x:v>0</x:v>
      </x:c>
      <x:c r="P2051" s="2" t="str">
        <x:f>IF(AND(E2051&gt;='Итоги'!$F$5,N2051&lt;='Итоги'!$B$5,O2051&gt;='Итоги'!$D$5),"Да","Нет")</x:f>
        <x:v>Нет</x:v>
      </x:c>
    </x:row>
    <x:row r="2052" ht="60" customHeight="1">
      <x:c r="A2052" s="14" t="str">
        <x:v>Строительство и ремонт (DIY)</x:v>
      </x:c>
      <x:c r="B2052" s="14" t="str">
        <x:v>Инструменты</x:v>
      </x:c>
      <x:c r="C2052" s="14" t="str">
        <x:v>Электроинструмент для строительства, ремонта</x:v>
      </x:c>
      <x:c r="D2052" s="14" t="str">
        <x:v>Аксессуары для пайки</x:v>
      </x:c>
      <x:c r="E2052" s="2" t="n">
        <x:v>38</x:v>
      </x:c>
      <x:c r="F2052" s="2" t="n">
        <x:v>0</x:v>
      </x:c>
      <x:c r="G2052" s="12" t="n">
        <x:v>6091922.9901</x:v>
      </x:c>
      <x:c r="H2052" s="12" t="n">
        <x:v>272652.1135236</x:v>
      </x:c>
      <x:c r="I2052" s="13" t="n">
        <x:v>0.0423552631578947</x:v>
      </x:c>
      <x:c r="J2052" s="2" t="n">
        <x:v>16</x:v>
      </x:c>
      <x:c r="K2052" s="2" t="n">
        <x:v>21</x:v>
      </x:c>
      <x:c r="L2052" s="12" t="n">
        <x:v>1777.2145</x:v>
      </x:c>
      <x:c r="M2052" s="13" t="n">
        <x:v>0.2439605831549758</x:v>
      </x:c>
      <x:c r="N2052" s="13" t="n">
        <x:f>H2052/G2052</x:f>
        <x:v>0.04475632964610479</x:v>
      </x:c>
      <x:c r="O2052" s="13" t="n">
        <x:f>F2052/E2052</x:f>
        <x:v>0</x:v>
      </x:c>
      <x:c r="P2052" s="2" t="str">
        <x:f>IF(AND(E2052&gt;='Итоги'!$F$5,N2052&lt;='Итоги'!$B$5,O2052&gt;='Итоги'!$D$5),"Да","Нет")</x:f>
        <x:v>Нет</x:v>
      </x:c>
    </x:row>
    <x:row r="2053" ht="60" customHeight="1">
      <x:c r="A2053" s="14" t="str">
        <x:v>Спорт и отдых</x:v>
      </x:c>
      <x:c r="B2053" s="14" t="str">
        <x:v>Товары для рыбалки</x:v>
      </x:c>
      <x:c r="C2053" s="14" t="str">
        <x:v>Лодки</x:v>
      </x:c>
      <x:c r="D2053" s="14" t="str">
        <x:v>Якорь лодочный</x:v>
      </x:c>
      <x:c r="E2053" s="2" t="n">
        <x:v>20</x:v>
      </x:c>
      <x:c r="F2053" s="2" t="n">
        <x:v>0</x:v>
      </x:c>
      <x:c r="G2053" s="12" t="n">
        <x:v>3732497.9105</x:v>
      </x:c>
      <x:c r="H2053" s="12" t="n">
        <x:v>167185.79644501</x:v>
      </x:c>
      <x:c r="I2053" s="13" t="n">
        <x:v>0.05697</x:v>
      </x:c>
      <x:c r="J2053" s="2" t="n">
        <x:v>4</x:v>
      </x:c>
      <x:c r="K2053" s="2" t="n">
        <x:v>6</x:v>
      </x:c>
      <x:c r="L2053" s="12" t="n">
        <x:v>1467.45155</x:v>
      </x:c>
      <x:c r="M2053" s="13" t="n">
        <x:v>0.3140932555921922</x:v>
      </x:c>
      <x:c r="N2053" s="13" t="n">
        <x:f>H2053/G2053</x:f>
        <x:v>0.044791933030878514</x:v>
      </x:c>
      <x:c r="O2053" s="13" t="n">
        <x:f>F2053/E2053</x:f>
        <x:v>0</x:v>
      </x:c>
      <x:c r="P2053" s="2" t="str">
        <x:f>IF(AND(E2053&gt;='Итоги'!$F$5,N2053&lt;='Итоги'!$B$5,O2053&gt;='Итоги'!$D$5),"Да","Нет")</x:f>
        <x:v>Нет</x:v>
      </x:c>
    </x:row>
    <x:row r="2054" ht="60" customHeight="1">
      <x:c r="A2054" s="14" t="str">
        <x:v>Аптека</x:v>
      </x:c>
      <x:c r="B2054" s="14" t="str">
        <x:v>Витамины и БАДы</x:v>
      </x:c>
      <x:c r="C2054" s="14" t="str">
        <x:v>Для костно-мышечной системы</x:v>
      </x:c>
      <x:c r="D2054" s="14" t="str">
        <x:v>БАД для восстановления хрящевой ткани</x:v>
      </x:c>
      <x:c r="E2054" s="2" t="n">
        <x:v>24</x:v>
      </x:c>
      <x:c r="F2054" s="2" t="n">
        <x:v>0</x:v>
      </x:c>
      <x:c r="G2054" s="12" t="n">
        <x:v>4937333.6517</x:v>
      </x:c>
      <x:c r="H2054" s="12" t="n">
        <x:v>221260.68496668</x:v>
      </x:c>
      <x:c r="I2054" s="13" t="n">
        <x:v>0.0490916666666666</x:v>
      </x:c>
      <x:c r="J2054" s="2" t="n">
        <x:v>14</x:v>
      </x:c>
      <x:c r="K2054" s="2" t="n">
        <x:v>6</x:v>
      </x:c>
      <x:c r="L2054" s="12" t="n">
        <x:v>2315.2566</x:v>
      </x:c>
      <x:c r="M2054" s="13" t="n">
        <x:v>0.4488386161905372</x:v>
      </x:c>
      <x:c r="N2054" s="13" t="n">
        <x:f>H2054/G2054</x:f>
        <x:v>0.044813800438723954</x:v>
      </x:c>
      <x:c r="O2054" s="13" t="n">
        <x:f>F2054/E2054</x:f>
        <x:v>0</x:v>
      </x:c>
      <x:c r="P2054" s="2" t="str">
        <x:f>IF(AND(E2054&gt;='Итоги'!$F$5,N2054&lt;='Итоги'!$B$5,O2054&gt;='Итоги'!$D$5),"Да","Нет")</x:f>
        <x:v>Нет</x:v>
      </x:c>
    </x:row>
    <x:row r="2055" ht="60" customHeight="1">
      <x:c r="A2055" s="14" t="str">
        <x:v>Строительство и ремонт (DIY)</x:v>
      </x:c>
      <x:c r="B2055" s="14" t="str">
        <x:v>Сад и огород</x:v>
      </x:c>
      <x:c r="C2055" s="14" t="str">
        <x:v>Ландшафт и садовый декор</x:v>
      </x:c>
      <x:c r="D2055" s="14" t="str">
        <x:v>Газон искусственный</x:v>
      </x:c>
      <x:c r="E2055" s="2" t="n">
        <x:v>5</x:v>
      </x:c>
      <x:c r="F2055" s="2" t="n">
        <x:v>0</x:v>
      </x:c>
      <x:c r="G2055" s="12" t="n">
        <x:v>750709.5161</x:v>
      </x:c>
      <x:c r="H2055" s="12" t="n">
        <x:v>33660.041024</x:v>
      </x:c>
      <x:c r="I2055" s="13" t="n">
        <x:v>0.0692199999999999</x:v>
      </x:c>
      <x:c r="J2055" s="2" t="n">
        <x:v>3</x:v>
      </x:c>
      <x:c r="K2055" s="2" t="n">
        <x:v>3</x:v>
      </x:c>
      <x:c r="L2055" s="12" t="n">
        <x:v>1771.1872</x:v>
      </x:c>
      <x:c r="M2055" s="13" t="n">
        <x:v>0.7036877977042071</x:v>
      </x:c>
      <x:c r="N2055" s="13" t="n">
        <x:f>H2055/G2055</x:f>
        <x:v>0.0448376373312367</x:v>
      </x:c>
      <x:c r="O2055" s="13" t="n">
        <x:f>F2055/E2055</x:f>
        <x:v>0</x:v>
      </x:c>
      <x:c r="P2055" s="2" t="str">
        <x:f>IF(AND(E2055&gt;='Итоги'!$F$5,N2055&lt;='Итоги'!$B$5,O2055&gt;='Итоги'!$D$5),"Да","Нет")</x:f>
        <x:v>Нет</x:v>
      </x:c>
    </x:row>
    <x:row r="2056" ht="60" customHeight="1">
      <x:c r="A2056" s="14" t="str">
        <x:v>Мелкая бытовая техника</x:v>
      </x:c>
      <x:c r="B2056" s="14" t="str">
        <x:v>Мелкая бытовая техника SDA</x:v>
      </x:c>
      <x:c r="C2056" s="14" t="str">
        <x:v>Электронная кухонная техника SDA</x:v>
      </x:c>
      <x:c r="D2056" s="14" t="str">
        <x:v>Омлетница</x:v>
      </x:c>
      <x:c r="E2056" s="2" t="n">
        <x:v>2</x:v>
      </x:c>
      <x:c r="F2056" s="2" t="n">
        <x:v>0</x:v>
      </x:c>
      <x:c r="G2056" s="12" t="n">
        <x:v>171192.47999999998</x:v>
      </x:c>
      <x:c r="H2056" s="12" t="n">
        <x:v>7698.681916</x:v>
      </x:c>
      <x:c r="I2056" s="13" t="n">
        <x:v>0.04375</x:v>
      </x:c>
      <x:c r="J2056" s="2" t="n">
        <x:v>0</x:v>
      </x:c>
      <x:c r="K2056" s="2" t="n">
        <x:v>2</x:v>
      </x:c>
      <x:c r="L2056" s="12" t="n">
        <x:v>1133.64145</x:v>
      </x:c>
      <x:c r="M2056" s="13" t="n">
        <x:v>0.5176687667589137</x:v>
      </x:c>
      <x:c r="N2056" s="13" t="n">
        <x:f>H2056/G2056</x:f>
        <x:v>0.04497091178304094</x:v>
      </x:c>
      <x:c r="O2056" s="13" t="n">
        <x:f>F2056/E2056</x:f>
        <x:v>0</x:v>
      </x:c>
      <x:c r="P2056" s="2" t="str">
        <x:f>IF(AND(E2056&gt;='Итоги'!$F$5,N2056&lt;='Итоги'!$B$5,O2056&gt;='Итоги'!$D$5),"Да","Нет")</x:f>
        <x:v>Нет</x:v>
      </x:c>
    </x:row>
    <x:row r="2057" ht="60" customHeight="1">
      <x:c r="A2057" s="14" t="str">
        <x:v>Одежда</x:v>
      </x:c>
      <x:c r="B2057" s="14" t="str">
        <x:v>Основная одежда женская</x:v>
      </x:c>
      <x:c r="C2057" s="14" t="str">
        <x:v>Спортивная основная одежда женская комплект</x:v>
      </x:c>
      <x:c r="D2057" s="14" t="str">
        <x:v>Спортивный костюм женский</x:v>
      </x:c>
      <x:c r="E2057" s="2" t="n">
        <x:v>1639</x:v>
      </x:c>
      <x:c r="F2057" s="2" t="n">
        <x:v>0</x:v>
      </x:c>
      <x:c r="G2057" s="12" t="n">
        <x:v>192676177.9127</x:v>
      </x:c>
      <x:c r="H2057" s="12" t="n">
        <x:v>8669185.48652962</x:v>
      </x:c>
      <x:c r="I2057" s="13" t="n">
        <x:v>0.0441431360585723</x:v>
      </x:c>
      <x:c r="J2057" s="2" t="n">
        <x:v>602</x:v>
      </x:c>
      <x:c r="K2057" s="2" t="n">
        <x:v>144</x:v>
      </x:c>
      <x:c r="L2057" s="12" t="n">
        <x:v>1790.69</x:v>
      </x:c>
      <x:c r="M2057" s="13" t="n">
        <x:v>0.4362136367168412</x:v>
      </x:c>
      <x:c r="N2057" s="13" t="n">
        <x:f>H2057/G2057</x:f>
        <x:v>0.044993551254984714</x:v>
      </x:c>
      <x:c r="O2057" s="13" t="n">
        <x:f>F2057/E2057</x:f>
        <x:v>0</x:v>
      </x:c>
      <x:c r="P2057" s="2" t="str">
        <x:f>IF(AND(E2057&gt;='Итоги'!$F$5,N2057&lt;='Итоги'!$B$5,O2057&gt;='Итоги'!$D$5),"Да","Нет")</x:f>
        <x:v>Нет</x:v>
      </x:c>
    </x:row>
    <x:row r="2058" ht="60" customHeight="1">
      <x:c r="A2058" s="14" t="str">
        <x:v>Детская одежда</x:v>
      </x:c>
      <x:c r="B2058" s="14" t="str">
        <x:v>Детская одежда</x:v>
      </x:c>
      <x:c r="C2058" s="14" t="str">
        <x:v>Одежда для мальчика</x:v>
      </x:c>
      <x:c r="D2058" s="14" t="str">
        <x:v>Рубашка для мальчика</x:v>
      </x:c>
      <x:c r="E2058" s="2" t="n">
        <x:v>147</x:v>
      </x:c>
      <x:c r="F2058" s="2" t="n">
        <x:v>0</x:v>
      </x:c>
      <x:c r="G2058" s="12" t="n">
        <x:v>9772814.6877</x:v>
      </x:c>
      <x:c r="H2058" s="12" t="n">
        <x:v>439727.10394758</x:v>
      </x:c>
      <x:c r="I2058" s="13" t="n">
        <x:v>0.049738775510204</x:v>
      </x:c>
      <x:c r="J2058" s="2" t="n">
        <x:v>64</x:v>
      </x:c>
      <x:c r="K2058" s="2" t="n">
        <x:v>11</x:v>
      </x:c>
      <x:c r="L2058" s="12" t="n">
        <x:v>1022.1686</x:v>
      </x:c>
      <x:c r="M2058" s="13" t="n">
        <x:v>0.7166319639534937</x:v>
      </x:c>
      <x:c r="N2058" s="13" t="n">
        <x:f>H2058/G2058</x:f>
        <x:v>0.044994929096631456</x:v>
      </x:c>
      <x:c r="O2058" s="13" t="n">
        <x:f>F2058/E2058</x:f>
        <x:v>0</x:v>
      </x:c>
      <x:c r="P2058" s="2" t="str">
        <x:f>IF(AND(E2058&gt;='Итоги'!$F$5,N2058&lt;='Итоги'!$B$5,O2058&gt;='Итоги'!$D$5),"Да","Нет")</x:f>
        <x:v>Нет</x:v>
      </x:c>
    </x:row>
    <x:row r="2059" ht="60" customHeight="1">
      <x:c r="A2059" s="14" t="str">
        <x:v>Хобби и творчество</x:v>
      </x:c>
      <x:c r="B2059" s="14" t="str">
        <x:v>Взрослое творчество и хобби</x:v>
      </x:c>
      <x:c r="C2059" s="14" t="str">
        <x:v>Литье</x:v>
      </x:c>
      <x:c r="D2059" s="14" t="str">
        <x:v>Материалы для изготовления форм</x:v>
      </x:c>
      <x:c r="E2059" s="2" t="n">
        <x:v>15</x:v>
      </x:c>
      <x:c r="F2059" s="2" t="n">
        <x:v>0</x:v>
      </x:c>
      <x:c r="G2059" s="12" t="n">
        <x:v>1428188.2775</x:v>
      </x:c>
      <x:c r="H2059" s="12" t="n">
        <x:v>64304.69420976</x:v>
      </x:c>
      <x:c r="I2059" s="13" t="n">
        <x:v>0.04366</x:v>
      </x:c>
      <x:c r="J2059" s="2" t="n">
        <x:v>3</x:v>
      </x:c>
      <x:c r="K2059" s="2" t="n">
        <x:v>5</x:v>
      </x:c>
      <x:c r="L2059" s="12" t="n">
        <x:v>1219.8239</x:v>
      </x:c>
      <x:c r="M2059" s="13" t="n">
        <x:v>0.3595271973516111</x:v>
      </x:c>
      <x:c r="N2059" s="13" t="n">
        <x:f>H2059/G2059</x:f>
        <x:v>0.04502536200781832</x:v>
      </x:c>
      <x:c r="O2059" s="13" t="n">
        <x:f>F2059/E2059</x:f>
        <x:v>0</x:v>
      </x:c>
      <x:c r="P2059" s="2" t="str">
        <x:f>IF(AND(E2059&gt;='Итоги'!$F$5,N2059&lt;='Итоги'!$B$5,O2059&gt;='Итоги'!$D$5),"Да","Нет")</x:f>
        <x:v>Нет</x:v>
      </x:c>
    </x:row>
    <x:row r="2060" ht="60" customHeight="1">
      <x:c r="A2060" s="14" t="str">
        <x:v>Одежда</x:v>
      </x:c>
      <x:c r="B2060" s="14" t="str">
        <x:v>Основная одежда женская</x:v>
      </x:c>
      <x:c r="C2060" s="14" t="str">
        <x:v>Головные уборы, перчатки, шарфы женские</x:v>
      </x:c>
      <x:c r="D2060" s="14" t="str">
        <x:v>Женская шаль утепленная</x:v>
      </x:c>
      <x:c r="E2060" s="2" t="n">
        <x:v>2</x:v>
      </x:c>
      <x:c r="F2060" s="2" t="n">
        <x:v>0</x:v>
      </x:c>
      <x:c r="G2060" s="12" t="n">
        <x:v>162827.5</x:v>
      </x:c>
      <x:c r="H2060" s="12" t="n">
        <x:v>7332.317650000001</x:v>
      </x:c>
      <x:c r="I2060" s="13" t="n">
        <x:v>0.07625</x:v>
      </x:c>
      <x:c r="J2060" s="2" t="n">
        <x:v>0</x:v>
      </x:c>
      <x:c r="K2060" s="2" t="n">
        <x:v>2</x:v>
      </x:c>
      <x:c r="L2060" s="12" t="n">
        <x:v>6907.22745</x:v>
      </x:c>
      <x:c r="M2060" s="13" t="n">
        <x:v>0.8112542414518432</x:v>
      </x:c>
      <x:c r="N2060" s="13" t="n">
        <x:f>H2060/G2060</x:f>
        <x:v>0.04503119958238013</x:v>
      </x:c>
      <x:c r="O2060" s="13" t="n">
        <x:f>F2060/E2060</x:f>
        <x:v>0</x:v>
      </x:c>
      <x:c r="P2060" s="2" t="str">
        <x:f>IF(AND(E2060&gt;='Итоги'!$F$5,N2060&lt;='Итоги'!$B$5,O2060&gt;='Итоги'!$D$5),"Да","Нет")</x:f>
        <x:v>Нет</x:v>
      </x:c>
    </x:row>
    <x:row r="2061" ht="60" customHeight="1">
      <x:c r="A2061" s="14" t="str">
        <x:v>Одежда</x:v>
      </x:c>
      <x:c r="B2061" s="14" t="str">
        <x:v>Основная одежда женская</x:v>
      </x:c>
      <x:c r="C2061" s="14" t="str">
        <x:v>Основная одежда для беременных и кормящих</x:v>
      </x:c>
      <x:c r="D2061" s="14" t="str">
        <x:v>Костюм домашний для беременных и кормящих</x:v>
      </x:c>
      <x:c r="E2061" s="2" t="n">
        <x:v>34</x:v>
      </x:c>
      <x:c r="F2061" s="2" t="n">
        <x:v>0</x:v>
      </x:c>
      <x:c r="G2061" s="12" t="n">
        <x:v>3373936.6558</x:v>
      </x:c>
      <x:c r="H2061" s="12" t="n">
        <x:v>152014.6914887</x:v>
      </x:c>
      <x:c r="I2061" s="13" t="n">
        <x:v>0.0311764705882352</x:v>
      </x:c>
      <x:c r="J2061" s="2" t="n">
        <x:v>12</x:v>
      </x:c>
      <x:c r="K2061" s="2" t="n">
        <x:v>7</x:v>
      </x:c>
      <x:c r="L2061" s="12" t="n">
        <x:v>1069.5113</x:v>
      </x:c>
      <x:c r="M2061" s="13" t="n">
        <x:v>0.4292590209748893</x:v>
      </x:c>
      <x:c r="N2061" s="13" t="n">
        <x:f>H2061/G2061</x:f>
        <x:v>0.0450555855064373</x:v>
      </x:c>
      <x:c r="O2061" s="13" t="n">
        <x:f>F2061/E2061</x:f>
        <x:v>0</x:v>
      </x:c>
      <x:c r="P2061" s="2" t="str">
        <x:f>IF(AND(E2061&gt;='Итоги'!$F$5,N2061&lt;='Итоги'!$B$5,O2061&gt;='Итоги'!$D$5),"Да","Нет")</x:f>
        <x:v>Нет</x:v>
      </x:c>
    </x:row>
    <x:row r="2062" ht="60" customHeight="1">
      <x:c r="A2062" s="14" t="str">
        <x:v>Спорт и отдых</x:v>
      </x:c>
      <x:c r="B2062" s="14" t="str">
        <x:v>Водные виды спорта</x:v>
      </x:c>
      <x:c r="C2062" s="14" t="str">
        <x:v>Отдых на воде</x:v>
      </x:c>
      <x:c r="D2062" s="14" t="str">
        <x:v>Гидроодежда для вейкбординга, серфинга, виндсерфинга</x:v>
      </x:c>
      <x:c r="E2062" s="2" t="n">
        <x:v>22</x:v>
      </x:c>
      <x:c r="F2062" s="2" t="n">
        <x:v>0</x:v>
      </x:c>
      <x:c r="G2062" s="12" t="n">
        <x:v>1277944.0903</x:v>
      </x:c>
      <x:c r="H2062" s="12" t="n">
        <x:v>57591.24854905</x:v>
      </x:c>
      <x:c r="I2062" s="13" t="n">
        <x:v>0.0248181818181818</x:v>
      </x:c>
      <x:c r="J2062" s="2" t="n">
        <x:v>14</x:v>
      </x:c>
      <x:c r="K2062" s="2" t="n">
        <x:v>6</x:v>
      </x:c>
      <x:c r="L2062" s="12" t="n">
        <x:v>2076.5375000000004</x:v>
      </x:c>
      <x:c r="M2062" s="13" t="n">
        <x:v>0.57521098119984</x:v>
      </x:c>
      <x:c r="N2062" s="13" t="n">
        <x:f>H2062/G2062</x:f>
        <x:v>0.045065546283429604</x:v>
      </x:c>
      <x:c r="O2062" s="13" t="n">
        <x:f>F2062/E2062</x:f>
        <x:v>0</x:v>
      </x:c>
      <x:c r="P2062" s="2" t="str">
        <x:f>IF(AND(E2062&gt;='Итоги'!$F$5,N2062&lt;='Итоги'!$B$5,O2062&gt;='Итоги'!$D$5),"Да","Нет")</x:f>
        <x:v>Нет</x:v>
      </x:c>
    </x:row>
    <x:row r="2063" ht="60" customHeight="1">
      <x:c r="A2063" s="14" t="str">
        <x:v>Строительство и ремонт (DIY)</x:v>
      </x:c>
      <x:c r="B2063" s="14" t="str">
        <x:v>Ремонт и строительство</x:v>
      </x:c>
      <x:c r="C2063" s="14" t="str">
        <x:v>Строительная химия</x:v>
      </x:c>
      <x:c r="D2063" s="14" t="str">
        <x:v>Клей для плитки, камня</x:v>
      </x:c>
      <x:c r="E2063" s="2" t="n">
        <x:v>7</x:v>
      </x:c>
      <x:c r="F2063" s="2" t="n">
        <x:v>0</x:v>
      </x:c>
      <x:c r="G2063" s="12" t="n">
        <x:v>1300404.6169</x:v>
      </x:c>
      <x:c r="H2063" s="12" t="n">
        <x:v>58605.549778</x:v>
      </x:c>
      <x:c r="I2063" s="13" t="n">
        <x:v>0.0590285714285714</x:v>
      </x:c>
      <x:c r="J2063" s="2" t="n">
        <x:v>4</x:v>
      </x:c>
      <x:c r="K2063" s="2" t="n">
        <x:v>4</x:v>
      </x:c>
      <x:c r="L2063" s="12" t="n">
        <x:v>1176.5913</x:v>
      </x:c>
      <x:c r="M2063" s="13" t="n">
        <x:v>0.4765913615236412</x:v>
      </x:c>
      <x:c r="N2063" s="13" t="n">
        <x:f>H2063/G2063</x:f>
        <x:v>0.04506716526253822</x:v>
      </x:c>
      <x:c r="O2063" s="13" t="n">
        <x:f>F2063/E2063</x:f>
        <x:v>0</x:v>
      </x:c>
      <x:c r="P2063" s="2" t="str">
        <x:f>IF(AND(E2063&gt;='Итоги'!$F$5,N2063&lt;='Итоги'!$B$5,O2063&gt;='Итоги'!$D$5),"Да","Нет")</x:f>
        <x:v>Нет</x:v>
      </x:c>
    </x:row>
    <x:row r="2064" ht="60" customHeight="1">
      <x:c r="A2064" s="14" t="str">
        <x:v>Товары для детей и спорта</x:v>
      </x:c>
      <x:c r="B2064" s="14" t="str">
        <x:v>КГТ и аксессуары для детей</x:v>
      </x:c>
      <x:c r="C2064" s="14" t="str">
        <x:v>Автокресла и аксессуары</x:v>
      </x:c>
      <x:c r="D2064" s="14" t="str">
        <x:v>Детское автокресло группы 0-1-2-3 (0-36 кг)</x:v>
      </x:c>
      <x:c r="E2064" s="2" t="n">
        <x:v>56</x:v>
      </x:c>
      <x:c r="F2064" s="2" t="n">
        <x:v>0</x:v>
      </x:c>
      <x:c r="G2064" s="12" t="n">
        <x:v>8709759.368</x:v>
      </x:c>
      <x:c r="H2064" s="12" t="n">
        <x:v>392598.47234981</x:v>
      </x:c>
      <x:c r="I2064" s="13" t="n">
        <x:v>0.0438</x:v>
      </x:c>
      <x:c r="J2064" s="2" t="n">
        <x:v>13</x:v>
      </x:c>
      <x:c r="K2064" s="2" t="n">
        <x:v>4</x:v>
      </x:c>
      <x:c r="L2064" s="12" t="n">
        <x:v>10738.092</x:v>
      </x:c>
      <x:c r="M2064" s="13" t="n">
        <x:v>0.87470846737634</x:v>
      </x:c>
      <x:c r="N2064" s="13" t="n">
        <x:f>H2064/G2064</x:f>
        <x:v>0.0450756967858644</x:v>
      </x:c>
      <x:c r="O2064" s="13" t="n">
        <x:f>F2064/E2064</x:f>
        <x:v>0</x:v>
      </x:c>
      <x:c r="P2064" s="2" t="str">
        <x:f>IF(AND(E2064&gt;='Итоги'!$F$5,N2064&lt;='Итоги'!$B$5,O2064&gt;='Итоги'!$D$5),"Да","Нет")</x:f>
        <x:v>Нет</x:v>
      </x:c>
    </x:row>
    <x:row r="2065" ht="60" customHeight="1">
      <x:c r="A2065" s="14" t="str">
        <x:v>Строительство и ремонт (DIY)</x:v>
      </x:c>
      <x:c r="B2065" s="14" t="str">
        <x:v>Ремонт и строительство</x:v>
      </x:c>
      <x:c r="C2065" s="14" t="str">
        <x:v>Изоляционные материалы</x:v>
      </x:c>
      <x:c r="D2065" s="14" t="str">
        <x:v>Пароизоляция (листовая)</x:v>
      </x:c>
      <x:c r="E2065" s="2" t="n">
        <x:v>60</x:v>
      </x:c>
      <x:c r="F2065" s="2" t="n">
        <x:v>0</x:v>
      </x:c>
      <x:c r="G2065" s="12" t="n">
        <x:v>13681739.0542</x:v>
      </x:c>
      <x:c r="H2065" s="12" t="n">
        <x:v>617211.12750808</x:v>
      </x:c>
      <x:c r="I2065" s="13" t="n">
        <x:v>0.0296083333333333</x:v>
      </x:c>
      <x:c r="J2065" s="2" t="n">
        <x:v>21</x:v>
      </x:c>
      <x:c r="K2065" s="2" t="n">
        <x:v>11</x:v>
      </x:c>
      <x:c r="L2065" s="12" t="n">
        <x:v>3938.04715</x:v>
      </x:c>
      <x:c r="M2065" s="13" t="n">
        <x:v>0.6939026904833132</x:v>
      </x:c>
      <x:c r="N2065" s="13" t="n">
        <x:f>H2065/G2065</x:f>
        <x:v>0.045112037662976</x:v>
      </x:c>
      <x:c r="O2065" s="13" t="n">
        <x:f>F2065/E2065</x:f>
        <x:v>0</x:v>
      </x:c>
      <x:c r="P2065" s="2" t="str">
        <x:f>IF(AND(E2065&gt;='Итоги'!$F$5,N2065&lt;='Итоги'!$B$5,O2065&gt;='Итоги'!$D$5),"Да","Нет")</x:f>
        <x:v>Нет</x:v>
      </x:c>
    </x:row>
    <x:row r="2066" ht="60" customHeight="1">
      <x:c r="A2066" s="14" t="str">
        <x:v>Автотовары</x:v>
      </x:c>
      <x:c r="B2066" s="14" t="str">
        <x:v>Авто и мото запчасти</x:v>
      </x:c>
      <x:c r="C2066" s="14" t="str">
        <x:v>Двигатель</x:v>
      </x:c>
      <x:c r="D2066" s="14" t="str">
        <x:v>Комплектующие ДВС</x:v>
      </x:c>
      <x:c r="E2066" s="2" t="n">
        <x:v>36</x:v>
      </x:c>
      <x:c r="F2066" s="2" t="n">
        <x:v>0</x:v>
      </x:c>
      <x:c r="G2066" s="12" t="n">
        <x:v>4495603.3599000005</x:v>
      </x:c>
      <x:c r="H2066" s="12" t="n">
        <x:v>202822.30404713</x:v>
      </x:c>
      <x:c r="I2066" s="13" t="n">
        <x:v>0.0475916666666666</x:v>
      </x:c>
      <x:c r="J2066" s="2" t="n">
        <x:v>21</x:v>
      </x:c>
      <x:c r="K2066" s="2" t="n">
        <x:v>16</x:v>
      </x:c>
      <x:c r="L2066" s="12" t="n">
        <x:v>2662.4577</x:v>
      </x:c>
      <x:c r="M2066" s="13" t="n">
        <x:v>0.3629154763636202</x:v>
      </x:c>
      <x:c r="N2066" s="13" t="n">
        <x:f>H2066/G2066</x:f>
        <x:v>0.04511570256759519</x:v>
      </x:c>
      <x:c r="O2066" s="13" t="n">
        <x:f>F2066/E2066</x:f>
        <x:v>0</x:v>
      </x:c>
      <x:c r="P2066" s="2" t="str">
        <x:f>IF(AND(E2066&gt;='Итоги'!$F$5,N2066&lt;='Итоги'!$B$5,O2066&gt;='Итоги'!$D$5),"Да","Нет")</x:f>
        <x:v>Нет</x:v>
      </x:c>
    </x:row>
    <x:row r="2067" ht="60" customHeight="1">
      <x:c r="A2067" s="14" t="str">
        <x:v>Бакалея и кондитерские изделия</x:v>
      </x:c>
      <x:c r="B2067" s="14" t="str">
        <x:v>Бакалея</x:v>
      </x:c>
      <x:c r="C2067" s="14" t="str">
        <x:v>Масла, соусы, уксус</x:v>
      </x:c>
      <x:c r="D2067" s="14" t="str">
        <x:v>Томатная паста</x:v>
      </x:c>
      <x:c r="E2067" s="2" t="n">
        <x:v>4</x:v>
      </x:c>
      <x:c r="F2067" s="2" t="n">
        <x:v>0</x:v>
      </x:c>
      <x:c r="G2067" s="12" t="n">
        <x:v>547578.5896</x:v>
      </x:c>
      <x:c r="H2067" s="12" t="n">
        <x:v>24765.54109028</x:v>
      </x:c>
      <x:c r="I2067" s="13" t="n">
        <x:v>0.0514</x:v>
      </x:c>
      <x:c r="J2067" s="2" t="n">
        <x:v>0</x:v>
      </x:c>
      <x:c r="K2067" s="2" t="n">
        <x:v>2</x:v>
      </x:c>
      <x:c r="L2067" s="12" t="n">
        <x:v>1367.75325</x:v>
      </x:c>
      <x:c r="M2067" s="13" t="n">
        <x:v>0.5419879550381895</x:v>
      </x:c>
      <x:c r="N2067" s="13" t="n">
        <x:f>H2067/G2067</x:f>
        <x:v>0.04522737294818439</x:v>
      </x:c>
      <x:c r="O2067" s="13" t="n">
        <x:f>F2067/E2067</x:f>
        <x:v>0</x:v>
      </x:c>
      <x:c r="P2067" s="2" t="str">
        <x:f>IF(AND(E2067&gt;='Итоги'!$F$5,N2067&lt;='Итоги'!$B$5,O2067&gt;='Итоги'!$D$5),"Да","Нет")</x:f>
        <x:v>Нет</x:v>
      </x:c>
    </x:row>
    <x:row r="2068" ht="60" customHeight="1">
      <x:c r="A2068" s="14" t="str">
        <x:v>Товары для красоты и здоровья</x:v>
      </x:c>
      <x:c r="B2068" s="14" t="str">
        <x:v>Косметика для ухода за кожей</x:v>
      </x:c>
      <x:c r="C2068" s="14" t="str">
        <x:v>Лицо</x:v>
      </x:c>
      <x:c r="D2068" s="14" t="str">
        <x:v>Бальзам для губ</x:v>
      </x:c>
      <x:c r="E2068" s="2" t="n">
        <x:v>16</x:v>
      </x:c>
      <x:c r="F2068" s="2" t="n">
        <x:v>0</x:v>
      </x:c>
      <x:c r="G2068" s="12" t="n">
        <x:v>2148923.8385</x:v>
      </x:c>
      <x:c r="H2068" s="12" t="n">
        <x:v>97310.32180098</x:v>
      </x:c>
      <x:c r="I2068" s="13" t="n">
        <x:v>0.06510625</x:v>
      </x:c>
      <x:c r="J2068" s="2" t="n">
        <x:v>3</x:v>
      </x:c>
      <x:c r="K2068" s="2" t="n">
        <x:v>4</x:v>
      </x:c>
      <x:c r="L2068" s="12" t="n">
        <x:v>1084.61895</x:v>
      </x:c>
      <x:c r="M2068" s="13" t="n">
        <x:v>0.5656679124321603</x:v>
      </x:c>
      <x:c r="N2068" s="13" t="n">
        <x:f>H2068/G2068</x:f>
        <x:v>0.04528328089510372</x:v>
      </x:c>
      <x:c r="O2068" s="13" t="n">
        <x:f>F2068/E2068</x:f>
        <x:v>0</x:v>
      </x:c>
      <x:c r="P2068" s="2" t="str">
        <x:f>IF(AND(E2068&gt;='Итоги'!$F$5,N2068&lt;='Итоги'!$B$5,O2068&gt;='Итоги'!$D$5),"Да","Нет")</x:f>
        <x:v>Нет</x:v>
      </x:c>
    </x:row>
    <x:row r="2069" ht="60" customHeight="1">
      <x:c r="A2069" s="14" t="str">
        <x:v>Одежда</x:v>
      </x:c>
      <x:c r="B2069" s="14" t="str">
        <x:v>Спецодежда и одежда для мероприятий</x:v>
      </x:c>
      <x:c r="C2069" s="14" t="str">
        <x:v>Спецодежда мужская</x:v>
      </x:c>
      <x:c r="D2069" s="14" t="str">
        <x:v>Рабочий полукомбинезон мужской</x:v>
      </x:c>
      <x:c r="E2069" s="2" t="n">
        <x:v>41</x:v>
      </x:c>
      <x:c r="F2069" s="2" t="n">
        <x:v>0</x:v>
      </x:c>
      <x:c r="G2069" s="12" t="n">
        <x:v>4330282.3781</x:v>
      </x:c>
      <x:c r="H2069" s="12" t="n">
        <x:v>196166.57356877</x:v>
      </x:c>
      <x:c r="I2069" s="13" t="n">
        <x:v>0.0368073170731707</x:v>
      </x:c>
      <x:c r="J2069" s="2" t="n">
        <x:v>6</x:v>
      </x:c>
      <x:c r="K2069" s="2" t="n">
        <x:v>5</x:v>
      </x:c>
      <x:c r="L2069" s="12" t="n">
        <x:v>1607.817</x:v>
      </x:c>
      <x:c r="M2069" s="13" t="n">
        <x:v>0.4461319561676369</x:v>
      </x:c>
      <x:c r="N2069" s="13" t="n">
        <x:f>H2069/G2069</x:f>
        <x:v>0.04530110427921841</x:v>
      </x:c>
      <x:c r="O2069" s="13" t="n">
        <x:f>F2069/E2069</x:f>
        <x:v>0</x:v>
      </x:c>
      <x:c r="P2069" s="2" t="str">
        <x:f>IF(AND(E2069&gt;='Итоги'!$F$5,N2069&lt;='Итоги'!$B$5,O2069&gt;='Итоги'!$D$5),"Да","Нет")</x:f>
        <x:v>Нет</x:v>
      </x:c>
    </x:row>
    <x:row r="2070" ht="60" customHeight="1">
      <x:c r="A2070" s="14" t="str">
        <x:v>Спорт и отдых</x:v>
      </x:c>
      <x:c r="B2070" s="14" t="str">
        <x:v>Активный отдых</x:v>
      </x:c>
      <x:c r="C2070" s="14" t="str">
        <x:v>Батут</x:v>
      </x:c>
      <x:c r="D2070" s="14" t="str">
        <x:v>Батут каркасный</x:v>
      </x:c>
      <x:c r="E2070" s="2" t="n">
        <x:v>150</x:v>
      </x:c>
      <x:c r="F2070" s="2" t="n">
        <x:v>0</x:v>
      </x:c>
      <x:c r="G2070" s="12" t="n">
        <x:v>38387256.861</x:v>
      </x:c>
      <x:c r="H2070" s="12" t="n">
        <x:v>1741510.58166354</x:v>
      </x:c>
      <x:c r="I2070" s="13" t="n">
        <x:v>0.0593153333333333</x:v>
      </x:c>
      <x:c r="J2070" s="2" t="n">
        <x:v>32</x:v>
      </x:c>
      <x:c r="K2070" s="2" t="n">
        <x:v>17</x:v>
      </x:c>
      <x:c r="L2070" s="12" t="n">
        <x:v>11849.3305</x:v>
      </x:c>
      <x:c r="M2070" s="13" t="n">
        <x:v>0.7955240402401724</x:v>
      </x:c>
      <x:c r="N2070" s="13" t="n">
        <x:f>H2070/G2070</x:f>
        <x:v>0.045366893184619526</x:v>
      </x:c>
      <x:c r="O2070" s="13" t="n">
        <x:f>F2070/E2070</x:f>
        <x:v>0</x:v>
      </x:c>
      <x:c r="P2070" s="2" t="str">
        <x:f>IF(AND(E2070&gt;='Итоги'!$F$5,N2070&lt;='Итоги'!$B$5,O2070&gt;='Итоги'!$D$5),"Да","Нет")</x:f>
        <x:v>Нет</x:v>
      </x:c>
    </x:row>
    <x:row r="2071" ht="60" customHeight="1">
      <x:c r="A2071" s="14" t="str">
        <x:v>Мебель</x:v>
      </x:c>
      <x:c r="B2071" s="14" t="str">
        <x:v>Компьютерная и офисная мебель</x:v>
      </x:c>
      <x:c r="C2071" s="14" t="str">
        <x:v>Компьютерный, офисный кресло, стул</x:v>
      </x:c>
      <x:c r="D2071" s="14" t="str">
        <x:v>Компьютерные и офисные кресла</x:v>
      </x:c>
      <x:c r="E2071" s="2" t="n">
        <x:v>657</x:v>
      </x:c>
      <x:c r="F2071" s="2" t="n">
        <x:v>0</x:v>
      </x:c>
      <x:c r="G2071" s="12" t="n">
        <x:v>136309398.7653</x:v>
      </x:c>
      <x:c r="H2071" s="12" t="n">
        <x:v>6184883.39710066</x:v>
      </x:c>
      <x:c r="I2071" s="13" t="n">
        <x:v>0.0448057838660578</x:v>
      </x:c>
      <x:c r="J2071" s="2" t="n">
        <x:v>203</x:v>
      </x:c>
      <x:c r="K2071" s="2" t="n">
        <x:v>39</x:v>
      </x:c>
      <x:c r="L2071" s="12" t="n">
        <x:v>7293.6043</x:v>
      </x:c>
      <x:c r="M2071" s="13" t="n">
        <x:v>0.7992260900811275</x:v>
      </x:c>
      <x:c r="N2071" s="13" t="n">
        <x:f>H2071/G2071</x:f>
        <x:v>0.045373858685635496</x:v>
      </x:c>
      <x:c r="O2071" s="13" t="n">
        <x:f>F2071/E2071</x:f>
        <x:v>0</x:v>
      </x:c>
      <x:c r="P2071" s="2" t="str">
        <x:f>IF(AND(E2071&gt;='Итоги'!$F$5,N2071&lt;='Итоги'!$B$5,O2071&gt;='Итоги'!$D$5),"Да","Нет")</x:f>
        <x:v>Нет</x:v>
      </x:c>
    </x:row>
    <x:row r="2072" ht="60" customHeight="1">
      <x:c r="A2072" s="14" t="str">
        <x:v>Школьные принадлежности и канцелярия</x:v>
      </x:c>
      <x:c r="B2072" s="14" t="str">
        <x:v>Товары для школы, канцелярия, оборудование</x:v>
      </x:c>
      <x:c r="C2072" s="14" t="str">
        <x:v>Печати и штампы</x:v>
      </x:c>
      <x:c r="D2072" s="14" t="str">
        <x:v>Датер, нумератор</x:v>
      </x:c>
      <x:c r="E2072" s="2" t="n">
        <x:v>1</x:v>
      </x:c>
      <x:c r="F2072" s="2" t="n">
        <x:v>0</x:v>
      </x:c>
      <x:c r="G2072" s="12" t="n">
        <x:v>102184</x:v>
      </x:c>
      <x:c r="H2072" s="12" t="n">
        <x:v>4639.153600000001</x:v>
      </x:c>
      <x:c r="I2072" s="13" t="n">
        <x:v>0.0454</x:v>
      </x:c>
      <x:c r="J2072" s="2" t="n">
        <x:v>0</x:v>
      </x:c>
      <x:c r="K2072" s="2" t="n">
        <x:v>1</x:v>
      </x:c>
      <x:c r="L2072" s="12" t="n">
        <x:v>4257.6667</x:v>
      </x:c>
      <x:c r="M2072" s="13" t="n">
        <x:v>1</x:v>
      </x:c>
      <x:c r="N2072" s="13" t="n">
        <x:f>H2072/G2072</x:f>
        <x:v>0.0454</x:v>
      </x:c>
      <x:c r="O2072" s="13" t="n">
        <x:f>F2072/E2072</x:f>
        <x:v>0</x:v>
      </x:c>
      <x:c r="P2072" s="2" t="str">
        <x:f>IF(AND(E2072&gt;='Итоги'!$F$5,N2072&lt;='Итоги'!$B$5,O2072&gt;='Итоги'!$D$5),"Да","Нет")</x:f>
        <x:v>Нет</x:v>
      </x:c>
    </x:row>
    <x:row r="2073" ht="60" customHeight="1">
      <x:c r="A2073" s="14" t="str">
        <x:v>Напитки</x:v>
      </x:c>
      <x:c r="B2073" s="14" t="str">
        <x:v>Напитки холодные</x:v>
      </x:c>
      <x:c r="C2073" s="14" t="str">
        <x:v>Вода</x:v>
      </x:c>
      <x:c r="D2073" s="14" t="str">
        <x:v>Вода минеральная</x:v>
      </x:c>
      <x:c r="E2073" s="2" t="n">
        <x:v>9</x:v>
      </x:c>
      <x:c r="F2073" s="2" t="n">
        <x:v>0</x:v>
      </x:c>
      <x:c r="G2073" s="12" t="n">
        <x:v>1438104.5467</x:v>
      </x:c>
      <x:c r="H2073" s="12" t="n">
        <x:v>65328.39418021</x:v>
      </x:c>
      <x:c r="I2073" s="13" t="n">
        <x:v>0.0313</x:v>
      </x:c>
      <x:c r="J2073" s="2" t="n">
        <x:v>6</x:v>
      </x:c>
      <x:c r="K2073" s="2" t="n">
        <x:v>3</x:v>
      </x:c>
      <x:c r="L2073" s="12" t="n">
        <x:v>1414.2277</x:v>
      </x:c>
      <x:c r="M2073" s="13" t="n">
        <x:v>0.4465169668460516</x:v>
      </x:c>
      <x:c r="N2073" s="13" t="n">
        <x:f>H2073/G2073</x:f>
        <x:v>0.045426735024319494</x:v>
      </x:c>
      <x:c r="O2073" s="13" t="n">
        <x:f>F2073/E2073</x:f>
        <x:v>0</x:v>
      </x:c>
      <x:c r="P2073" s="2" t="str">
        <x:f>IF(AND(E2073&gt;='Итоги'!$F$5,N2073&lt;='Итоги'!$B$5,O2073&gt;='Итоги'!$D$5),"Да","Нет")</x:f>
        <x:v>Нет</x:v>
      </x:c>
    </x:row>
    <x:row r="2074" ht="60" customHeight="1">
      <x:c r="A2074" s="14" t="str">
        <x:v>Одежда</x:v>
      </x:c>
      <x:c r="B2074" s="14" t="str">
        <x:v>Основная одежда мужская</x:v>
      </x:c>
      <x:c r="C2074" s="14" t="str">
        <x:v>Основная одежда мужская низы</x:v>
      </x:c>
      <x:c r="D2074" s="14" t="str">
        <x:v>Брюки мужские</x:v>
      </x:c>
      <x:c r="E2074" s="2" t="n">
        <x:v>3067</x:v>
      </x:c>
      <x:c r="F2074" s="2" t="n">
        <x:v>0</x:v>
      </x:c>
      <x:c r="G2074" s="12" t="n">
        <x:v>335124618.91</x:v>
      </x:c>
      <x:c r="H2074" s="12" t="n">
        <x:v>15224176.19574737</x:v>
      </x:c>
      <x:c r="I2074" s="13" t="n">
        <x:v>0.0400797848059993</x:v>
      </x:c>
      <x:c r="J2074" s="2" t="n">
        <x:v>1441</x:v>
      </x:c>
      <x:c r="K2074" s="2" t="n">
        <x:v>156</x:v>
      </x:c>
      <x:c r="L2074" s="12" t="n">
        <x:v>2182.0323</x:v>
      </x:c>
      <x:c r="M2074" s="13" t="n">
        <x:v>0.3652948873355571</x:v>
      </x:c>
      <x:c r="N2074" s="13" t="n">
        <x:f>H2074/G2074</x:f>
        <x:v>0.04542840285880616</x:v>
      </x:c>
      <x:c r="O2074" s="13" t="n">
        <x:f>F2074/E2074</x:f>
        <x:v>0</x:v>
      </x:c>
      <x:c r="P2074" s="2" t="str">
        <x:f>IF(AND(E2074&gt;='Итоги'!$F$5,N2074&lt;='Итоги'!$B$5,O2074&gt;='Итоги'!$D$5),"Да","Нет")</x:f>
        <x:v>Нет</x:v>
      </x:c>
    </x:row>
    <x:row r="2075" ht="60" customHeight="1">
      <x:c r="A2075" s="14" t="str">
        <x:v>Обувь</x:v>
      </x:c>
      <x:c r="B2075" s="14" t="str">
        <x:v>Обувь женская</x:v>
      </x:c>
      <x:c r="C2075" s="14" t="str">
        <x:v>Спортивная обувь женская</x:v>
      </x:c>
      <x:c r="D2075" s="14" t="str">
        <x:v>Спортивные аквашуз женские</x:v>
      </x:c>
      <x:c r="E2075" s="2" t="n">
        <x:v>189</x:v>
      </x:c>
      <x:c r="F2075" s="2" t="n">
        <x:v>0</x:v>
      </x:c>
      <x:c r="G2075" s="12" t="n">
        <x:v>19061311.2564</x:v>
      </x:c>
      <x:c r="H2075" s="12" t="n">
        <x:v>866619.11269545</x:v>
      </x:c>
      <x:c r="I2075" s="13" t="n">
        <x:v>0.039815873015873</x:v>
      </x:c>
      <x:c r="J2075" s="2" t="n">
        <x:v>45</x:v>
      </x:c>
      <x:c r="K2075" s="2" t="n">
        <x:v>3</x:v>
      </x:c>
      <x:c r="L2075" s="12" t="n">
        <x:v>1219.7178</x:v>
      </x:c>
      <x:c r="M2075" s="13" t="n">
        <x:v>0.9431806226375768</x:v>
      </x:c>
      <x:c r="N2075" s="13" t="n">
        <x:f>H2075/G2075</x:f>
        <x:v>0.045464821440575086</x:v>
      </x:c>
      <x:c r="O2075" s="13" t="n">
        <x:f>F2075/E2075</x:f>
        <x:v>0</x:v>
      </x:c>
      <x:c r="P2075" s="2" t="str">
        <x:f>IF(AND(E2075&gt;='Итоги'!$F$5,N2075&lt;='Итоги'!$B$5,O2075&gt;='Итоги'!$D$5),"Да","Нет")</x:f>
        <x:v>Нет</x:v>
      </x:c>
    </x:row>
    <x:row r="2076" ht="60" customHeight="1">
      <x:c r="A2076" s="14" t="str">
        <x:v>Аксессуары для электроники</x:v>
      </x:c>
      <x:c r="B2076" s="14" t="str">
        <x:v>Аксессуары для МБТ (кухня) Access</x:v>
      </x:c>
      <x:c r="C2076" s="14" t="str">
        <x:v>Аксессуары для сушильной машины для овощей и фруктов Access</x:v>
      </x:c>
      <x:c r="D2076" s="14" t="str">
        <x:v>Аксессуары для сушильной машины для овощей и фруктов</x:v>
      </x:c>
      <x:c r="E2076" s="2" t="n">
        <x:v>6</x:v>
      </x:c>
      <x:c r="F2076" s="2" t="n">
        <x:v>0</x:v>
      </x:c>
      <x:c r="G2076" s="12" t="n">
        <x:v>502330.2066</x:v>
      </x:c>
      <x:c r="H2076" s="12" t="n">
        <x:v>22838.5683055</x:v>
      </x:c>
      <x:c r="I2076" s="13" t="n">
        <x:v>0.02975</x:v>
      </x:c>
      <x:c r="J2076" s="2" t="n">
        <x:v>4</x:v>
      </x:c>
      <x:c r="K2076" s="2" t="n">
        <x:v>4</x:v>
      </x:c>
      <x:c r="L2076" s="12" t="n">
        <x:v>1007.52975</x:v>
      </x:c>
      <x:c r="M2076" s="13" t="n">
        <x:v>0.4477104304003843</x:v>
      </x:c>
      <x:c r="N2076" s="13" t="n">
        <x:f>H2076/G2076</x:f>
        <x:v>0.045465249760873135</x:v>
      </x:c>
      <x:c r="O2076" s="13" t="n">
        <x:f>F2076/E2076</x:f>
        <x:v>0</x:v>
      </x:c>
      <x:c r="P2076" s="2" t="str">
        <x:f>IF(AND(E2076&gt;='Итоги'!$F$5,N2076&lt;='Итоги'!$B$5,O2076&gt;='Итоги'!$D$5),"Да","Нет")</x:f>
        <x:v>Нет</x:v>
      </x:c>
    </x:row>
    <x:row r="2077" ht="60" customHeight="1">
      <x:c r="A2077" s="14" t="str">
        <x:v>Строительство и ремонт (DIY)</x:v>
      </x:c>
      <x:c r="B2077" s="14" t="str">
        <x:v>Ремонт и строительство</x:v>
      </x:c>
      <x:c r="C2077" s="14" t="str">
        <x:v>Стройматериалы</x:v>
      </x:c>
      <x:c r="D2077" s="14" t="str">
        <x:v>Комплект натяжного потолка</x:v>
      </x:c>
      <x:c r="E2077" s="2" t="n">
        <x:v>21</x:v>
      </x:c>
      <x:c r="F2077" s="2" t="n">
        <x:v>0</x:v>
      </x:c>
      <x:c r="G2077" s="12" t="n">
        <x:v>3018387.5874</x:v>
      </x:c>
      <x:c r="H2077" s="12" t="n">
        <x:v>137374.42136095</x:v>
      </x:c>
      <x:c r="I2077" s="13" t="n">
        <x:v>0.0411571428571428</x:v>
      </x:c>
      <x:c r="J2077" s="2" t="n">
        <x:v>5</x:v>
      </x:c>
      <x:c r="K2077" s="2" t="n">
        <x:v>4</x:v>
      </x:c>
      <x:c r="L2077" s="12" t="n">
        <x:v>2886.3417</x:v>
      </x:c>
      <x:c r="M2077" s="13" t="n">
        <x:v>0.5092899520316918</x:v>
      </x:c>
      <x:c r="N2077" s="13" t="n">
        <x:f>H2077/G2077</x:f>
        <x:v>0.045512518648833475</x:v>
      </x:c>
      <x:c r="O2077" s="13" t="n">
        <x:f>F2077/E2077</x:f>
        <x:v>0</x:v>
      </x:c>
      <x:c r="P2077" s="2" t="str">
        <x:f>IF(AND(E2077&gt;='Итоги'!$F$5,N2077&lt;='Итоги'!$B$5,O2077&gt;='Итоги'!$D$5),"Да","Нет")</x:f>
        <x:v>Нет</x:v>
      </x:c>
    </x:row>
    <x:row r="2078" ht="60" customHeight="1">
      <x:c r="A2078" s="14" t="str">
        <x:v>Товары для животных</x:v>
      </x:c>
      <x:c r="B2078" s="14" t="str">
        <x:v>Зоокорм, витамины</x:v>
      </x:c>
      <x:c r="C2078" s="14" t="str">
        <x:v>Зоокорм, витамины для кошек и собак</x:v>
      </x:c>
      <x:c r="D2078" s="14" t="str">
        <x:v>Добавка к зоокорму</x:v>
      </x:c>
      <x:c r="E2078" s="2" t="n">
        <x:v>35</x:v>
      </x:c>
      <x:c r="F2078" s="2" t="n">
        <x:v>0</x:v>
      </x:c>
      <x:c r="G2078" s="12" t="n">
        <x:v>6021466.28</x:v>
      </x:c>
      <x:c r="H2078" s="12" t="n">
        <x:v>274419.395397</x:v>
      </x:c>
      <x:c r="I2078" s="13" t="n">
        <x:v>0.0472428571428571</x:v>
      </x:c>
      <x:c r="J2078" s="2" t="n">
        <x:v>17</x:v>
      </x:c>
      <x:c r="K2078" s="2" t="n">
        <x:v>15</x:v>
      </x:c>
      <x:c r="L2078" s="12" t="n">
        <x:v>1558.9689</x:v>
      </x:c>
      <x:c r="M2078" s="13" t="n">
        <x:v>0.386604707516522</x:v>
      </x:c>
      <x:c r="N2078" s="13" t="n">
        <x:f>H2078/G2078</x:f>
        <x:v>0.04557351692036711</x:v>
      </x:c>
      <x:c r="O2078" s="13" t="n">
        <x:f>F2078/E2078</x:f>
        <x:v>0</x:v>
      </x:c>
      <x:c r="P2078" s="2" t="str">
        <x:f>IF(AND(E2078&gt;='Итоги'!$F$5,N2078&lt;='Итоги'!$B$5,O2078&gt;='Итоги'!$D$5),"Да","Нет")</x:f>
        <x:v>Нет</x:v>
      </x:c>
    </x:row>
    <x:row r="2079" ht="60" customHeight="1">
      <x:c r="A2079" s="14" t="str">
        <x:v>Спорт и отдых</x:v>
      </x:c>
      <x:c r="B2079" s="14" t="str">
        <x:v>Колесный транспорт</x:v>
      </x:c>
      <x:c r="C2079" s="14" t="str">
        <x:v>Ролики</x:v>
      </x:c>
      <x:c r="D2079" s="14" t="str">
        <x:v>Роликовые коньки детские спортивные</x:v>
      </x:c>
      <x:c r="E2079" s="2" t="n">
        <x:v>77</x:v>
      </x:c>
      <x:c r="F2079" s="2" t="n">
        <x:v>0</x:v>
      </x:c>
      <x:c r="G2079" s="12" t="n">
        <x:v>10077040.2616</x:v>
      </x:c>
      <x:c r="H2079" s="12" t="n">
        <x:v>459408.73241375</x:v>
      </x:c>
      <x:c r="I2079" s="13" t="n">
        <x:v>0.0461090909090909</x:v>
      </x:c>
      <x:c r="J2079" s="2" t="n">
        <x:v>17</x:v>
      </x:c>
      <x:c r="K2079" s="2" t="n">
        <x:v>3</x:v>
      </x:c>
      <x:c r="L2079" s="12" t="n">
        <x:v>3499.5526</x:v>
      </x:c>
      <x:c r="M2079" s="13" t="n">
        <x:v>0.9755956120432376</x:v>
      </x:c>
      <x:c r="N2079" s="13" t="n">
        <x:f>H2079/G2079</x:f>
        <x:v>0.04558964938985036</x:v>
      </x:c>
      <x:c r="O2079" s="13" t="n">
        <x:f>F2079/E2079</x:f>
        <x:v>0</x:v>
      </x:c>
      <x:c r="P2079" s="2" t="str">
        <x:f>IF(AND(E2079&gt;='Итоги'!$F$5,N2079&lt;='Итоги'!$B$5,O2079&gt;='Итоги'!$D$5),"Да","Нет")</x:f>
        <x:v>Нет</x:v>
      </x:c>
    </x:row>
    <x:row r="2080" ht="60" customHeight="1">
      <x:c r="A2080" s="14" t="str">
        <x:v>Спорт и отдых</x:v>
      </x:c>
      <x:c r="B2080" s="14" t="str">
        <x:v>Товары для охоты</x:v>
      </x:c>
      <x:c r="C2080" s="14" t="str">
        <x:v>Одежда для охоты</x:v>
      </x:c>
      <x:c r="D2080" s="14" t="str">
        <x:v>Одежда для охоты</x:v>
      </x:c>
      <x:c r="E2080" s="2" t="n">
        <x:v>17</x:v>
      </x:c>
      <x:c r="F2080" s="2" t="n">
        <x:v>0</x:v>
      </x:c>
      <x:c r="G2080" s="12" t="n">
        <x:v>862757.1118000001</x:v>
      </x:c>
      <x:c r="H2080" s="12" t="n">
        <x:v>39384.314212000005</x:v>
      </x:c>
      <x:c r="I2080" s="13" t="n">
        <x:v>0.0292941176470588</x:v>
      </x:c>
      <x:c r="J2080" s="2" t="n">
        <x:v>9</x:v>
      </x:c>
      <x:c r="K2080" s="2" t="n">
        <x:v>9</x:v>
      </x:c>
      <x:c r="L2080" s="12" t="n">
        <x:v>2434.7015</x:v>
      </x:c>
      <x:c r="M2080" s="13" t="n">
        <x:v>0.464898018589709</x:v>
      </x:c>
      <x:c r="N2080" s="13" t="n">
        <x:f>H2080/G2080</x:f>
        <x:v>0.04564936489463546</x:v>
      </x:c>
      <x:c r="O2080" s="13" t="n">
        <x:f>F2080/E2080</x:f>
        <x:v>0</x:v>
      </x:c>
      <x:c r="P2080" s="2" t="str">
        <x:f>IF(AND(E2080&gt;='Итоги'!$F$5,N2080&lt;='Итоги'!$B$5,O2080&gt;='Итоги'!$D$5),"Да","Нет")</x:f>
        <x:v>Нет</x:v>
      </x:c>
    </x:row>
    <x:row r="2081" ht="60" customHeight="1">
      <x:c r="A2081" s="14" t="str">
        <x:v>Бакалея и кондитерские изделия</x:v>
      </x:c>
      <x:c r="B2081" s="14" t="str">
        <x:v>Бакалея</x:v>
      </x:c>
      <x:c r="C2081" s="14" t="str">
        <x:v>Консервы</x:v>
      </x:c>
      <x:c r="D2081" s="14" t="str">
        <x:v>Мясные консервы</x:v>
      </x:c>
      <x:c r="E2081" s="2" t="n">
        <x:v>93</x:v>
      </x:c>
      <x:c r="F2081" s="2" t="n">
        <x:v>0</x:v>
      </x:c>
      <x:c r="G2081" s="12" t="n">
        <x:v>10592514.2003</x:v>
      </x:c>
      <x:c r="H2081" s="12" t="n">
        <x:v>483832.35977813</x:v>
      </x:c>
      <x:c r="I2081" s="13" t="n">
        <x:v>0.0457903225806451</x:v>
      </x:c>
      <x:c r="J2081" s="2" t="n">
        <x:v>37</x:v>
      </x:c>
      <x:c r="K2081" s="2" t="n">
        <x:v>28</x:v>
      </x:c>
      <x:c r="L2081" s="12" t="n">
        <x:v>1770.4368</x:v>
      </x:c>
      <x:c r="M2081" s="13" t="n">
        <x:v>0.1698865474779381</x:v>
      </x:c>
      <x:c r="N2081" s="13" t="n">
        <x:f>H2081/G2081</x:f>
        <x:v>0.045676819556628674</x:v>
      </x:c>
      <x:c r="O2081" s="13" t="n">
        <x:f>F2081/E2081</x:f>
        <x:v>0</x:v>
      </x:c>
      <x:c r="P2081" s="2" t="str">
        <x:f>IF(AND(E2081&gt;='Итоги'!$F$5,N2081&lt;='Итоги'!$B$5,O2081&gt;='Итоги'!$D$5),"Да","Нет")</x:f>
        <x:v>Нет</x:v>
      </x:c>
    </x:row>
    <x:row r="2082" ht="60" customHeight="1">
      <x:c r="A2082" s="14" t="str">
        <x:v>Одежда</x:v>
      </x:c>
      <x:c r="B2082" s="14" t="str">
        <x:v>Верхняя одежда</x:v>
      </x:c>
      <x:c r="C2082" s="14" t="str">
        <x:v>Верхняя одежда женская</x:v>
      </x:c>
      <x:c r="D2082" s="14" t="str">
        <x:v>Ветровка женская</x:v>
      </x:c>
      <x:c r="E2082" s="2" t="n">
        <x:v>148</x:v>
      </x:c>
      <x:c r="F2082" s="2" t="n">
        <x:v>0</x:v>
      </x:c>
      <x:c r="G2082" s="12" t="n">
        <x:v>11744027.2532</x:v>
      </x:c>
      <x:c r="H2082" s="12" t="n">
        <x:v>536586.3821755</x:v>
      </x:c>
      <x:c r="I2082" s="13" t="n">
        <x:v>0.0392635135135135</x:v>
      </x:c>
      <x:c r="J2082" s="2" t="n">
        <x:v>77</x:v>
      </x:c>
      <x:c r="K2082" s="2" t="n">
        <x:v>25</x:v>
      </x:c>
      <x:c r="L2082" s="12" t="n">
        <x:v>2198.95575</x:v>
      </x:c>
      <x:c r="M2082" s="13" t="n">
        <x:v>0.1913169402759846</x:v>
      </x:c>
      <x:c r="N2082" s="13" t="n">
        <x:f>H2082/G2082</x:f>
        <x:v>0.04569015130898062</x:v>
      </x:c>
      <x:c r="O2082" s="13" t="n">
        <x:f>F2082/E2082</x:f>
        <x:v>0</x:v>
      </x:c>
      <x:c r="P2082" s="2" t="str">
        <x:f>IF(AND(E2082&gt;='Итоги'!$F$5,N2082&lt;='Итоги'!$B$5,O2082&gt;='Итоги'!$D$5),"Да","Нет")</x:f>
        <x:v>Нет</x:v>
      </x:c>
    </x:row>
    <x:row r="2083" ht="60" customHeight="1">
      <x:c r="A2083" s="14" t="str">
        <x:v>Аптека</x:v>
      </x:c>
      <x:c r="B2083" s="14" t="str">
        <x:v>Медицинские изделия</x:v>
      </x:c>
      <x:c r="C2083" s="14" t="str">
        <x:v>Расходные медицинские материалы</x:v>
      </x:c>
      <x:c r="D2083" s="14" t="str">
        <x:v>Чехол на кушетку</x:v>
      </x:c>
      <x:c r="E2083" s="2" t="n">
        <x:v>2</x:v>
      </x:c>
      <x:c r="F2083" s="2" t="n">
        <x:v>0</x:v>
      </x:c>
      <x:c r="G2083" s="12" t="n">
        <x:v>133923</x:v>
      </x:c>
      <x:c r="H2083" s="12" t="n">
        <x:v>6122.9802</x:v>
      </x:c>
      <x:c r="I2083" s="13" t="n">
        <x:v>0.06275</x:v>
      </x:c>
      <x:c r="J2083" s="2" t="n">
        <x:v>0</x:v>
      </x:c>
      <x:c r="K2083" s="2" t="n">
        <x:v>2</x:v>
      </x:c>
      <x:c r="L2083" s="12" t="n">
        <x:v>1399.1375</x:v>
      </x:c>
      <x:c r="M2083" s="13" t="n">
        <x:v>0.6397034116619251</x:v>
      </x:c>
      <x:c r="N2083" s="13" t="n">
        <x:f>H2083/G2083</x:f>
        <x:v>0.04572015411841133</x:v>
      </x:c>
      <x:c r="O2083" s="13" t="n">
        <x:f>F2083/E2083</x:f>
        <x:v>0</x:v>
      </x:c>
      <x:c r="P2083" s="2" t="str">
        <x:f>IF(AND(E2083&gt;='Итоги'!$F$5,N2083&lt;='Итоги'!$B$5,O2083&gt;='Итоги'!$D$5),"Да","Нет")</x:f>
        <x:v>Нет</x:v>
      </x:c>
    </x:row>
    <x:row r="2084" ht="60" customHeight="1">
      <x:c r="A2084" s="14" t="str">
        <x:v>Книги</x:v>
      </x:c>
      <x:c r="B2084" s="14" t="str">
        <x:v>Печатные книги: Учебная литература</x:v>
      </x:c>
      <x:c r="C2084" s="14" t="str">
        <x:v>Печатная книга: Пособие для школы</x:v>
      </x:c>
      <x:c r="D2084" s="14" t="str">
        <x:v>Печатная книга: Пособие для школы</x:v>
      </x:c>
      <x:c r="E2084" s="2" t="n">
        <x:v>23</x:v>
      </x:c>
      <x:c r="F2084" s="2" t="n">
        <x:v>0</x:v>
      </x:c>
      <x:c r="G2084" s="12" t="n">
        <x:v>1605409.2462</x:v>
      </x:c>
      <x:c r="H2084" s="12" t="n">
        <x:v>73476.11082688</x:v>
      </x:c>
      <x:c r="I2084" s="13" t="n">
        <x:v>0.0383434782608695</x:v>
      </x:c>
      <x:c r="J2084" s="2" t="n">
        <x:v>10</x:v>
      </x:c>
      <x:c r="K2084" s="2" t="n">
        <x:v>6</x:v>
      </x:c>
      <x:c r="L2084" s="12" t="n">
        <x:v>1261.8889</x:v>
      </x:c>
      <x:c r="M2084" s="13" t="n">
        <x:v>0.6798360051702561</x:v>
      </x:c>
      <x:c r="N2084" s="13" t="n">
        <x:f>H2084/G2084</x:f>
        <x:v>0.04576783832583361</x:v>
      </x:c>
      <x:c r="O2084" s="13" t="n">
        <x:f>F2084/E2084</x:f>
        <x:v>0</x:v>
      </x:c>
      <x:c r="P2084" s="2" t="str">
        <x:f>IF(AND(E2084&gt;='Итоги'!$F$5,N2084&lt;='Итоги'!$B$5,O2084&gt;='Итоги'!$D$5),"Да","Нет")</x:f>
        <x:v>Нет</x:v>
      </x:c>
    </x:row>
    <x:row r="2085" ht="60" customHeight="1">
      <x:c r="A2085" s="14" t="str">
        <x:v>Аксессуары для электроники</x:v>
      </x:c>
      <x:c r="B2085" s="14" t="str">
        <x:v>Аксессуары для МБТ (кухня) Access</x:v>
      </x:c>
      <x:c r="C2085" s="14" t="str">
        <x:v>Аксессуары для кофемашины, кофеварки Access</x:v>
      </x:c>
      <x:c r="D2085" s="14" t="str">
        <x:v>Набор аксессуаров для кофемашин</x:v>
      </x:c>
      <x:c r="E2085" s="2" t="n">
        <x:v>22</x:v>
      </x:c>
      <x:c r="F2085" s="2" t="n">
        <x:v>0</x:v>
      </x:c>
      <x:c r="G2085" s="12" t="n">
        <x:v>2315886.994</x:v>
      </x:c>
      <x:c r="H2085" s="12" t="n">
        <x:v>106040.68388118</x:v>
      </x:c>
      <x:c r="I2085" s="13" t="n">
        <x:v>0.0492818181818181</x:v>
      </x:c>
      <x:c r="J2085" s="2" t="n">
        <x:v>12</x:v>
      </x:c>
      <x:c r="K2085" s="2" t="n">
        <x:v>13</x:v>
      </x:c>
      <x:c r="L2085" s="12" t="n">
        <x:v>1510.6037</x:v>
      </x:c>
      <x:c r="M2085" s="13" t="n">
        <x:v>0.1869250552473201</x:v>
      </x:c>
      <x:c r="N2085" s="13" t="n">
        <x:f>H2085/G2085</x:f>
        <x:v>0.045788367116318805</x:v>
      </x:c>
      <x:c r="O2085" s="13" t="n">
        <x:f>F2085/E2085</x:f>
        <x:v>0</x:v>
      </x:c>
      <x:c r="P2085" s="2" t="str">
        <x:f>IF(AND(E2085&gt;='Итоги'!$F$5,N2085&lt;='Итоги'!$B$5,O2085&gt;='Итоги'!$D$5),"Да","Нет")</x:f>
        <x:v>Нет</x:v>
      </x:c>
    </x:row>
    <x:row r="2086" ht="60" customHeight="1">
      <x:c r="A2086" s="14" t="str">
        <x:v>Строительство и ремонт (DIY)</x:v>
      </x:c>
      <x:c r="B2086" s="14" t="str">
        <x:v>Освещение</x:v>
      </x:c>
      <x:c r="C2086" s="14" t="str">
        <x:v>Светильник домашний</x:v>
      </x:c>
      <x:c r="D2086" s="14" t="str">
        <x:v>Светильник переносной</x:v>
      </x:c>
      <x:c r="E2086" s="2" t="n">
        <x:v>9</x:v>
      </x:c>
      <x:c r="F2086" s="2" t="n">
        <x:v>0</x:v>
      </x:c>
      <x:c r="G2086" s="12" t="n">
        <x:v>2010099.0914</x:v>
      </x:c>
      <x:c r="H2086" s="12" t="n">
        <x:v>92054.28158102</x:v>
      </x:c>
      <x:c r="I2086" s="13" t="n">
        <x:v>0.0703</x:v>
      </x:c>
      <x:c r="J2086" s="2" t="n">
        <x:v>1</x:v>
      </x:c>
      <x:c r="K2086" s="2" t="n">
        <x:v>7</x:v>
      </x:c>
      <x:c r="L2086" s="12" t="n">
        <x:v>1259.0068</x:v>
      </x:c>
      <x:c r="M2086" s="13" t="n">
        <x:v>0.4358193104748149</x:v>
      </x:c>
      <x:c r="N2086" s="13" t="n">
        <x:f>H2086/G2086</x:f>
        <x:v>0.04579589233927057</x:v>
      </x:c>
      <x:c r="O2086" s="13" t="n">
        <x:f>F2086/E2086</x:f>
        <x:v>0</x:v>
      </x:c>
      <x:c r="P2086" s="2" t="str">
        <x:f>IF(AND(E2086&gt;='Итоги'!$F$5,N2086&lt;='Итоги'!$B$5,O2086&gt;='Итоги'!$D$5),"Да","Нет")</x:f>
        <x:v>Нет</x:v>
      </x:c>
    </x:row>
    <x:row r="2087" ht="60" customHeight="1">
      <x:c r="A2087" s="14" t="str">
        <x:v>Товары для дома</x:v>
      </x:c>
      <x:c r="B2087" s="14" t="str">
        <x:v>Кухня</x:v>
      </x:c>
      <x:c r="C2087" s="14" t="str">
        <x:v>Банка, контейнер для хранения продуктов</x:v>
      </x:c>
      <x:c r="D2087" s="14" t="str">
        <x:v>Крышки для пищевых контейнеров, банок</x:v>
      </x:c>
      <x:c r="E2087" s="2" t="n">
        <x:v>9</x:v>
      </x:c>
      <x:c r="F2087" s="2" t="n">
        <x:v>0</x:v>
      </x:c>
      <x:c r="G2087" s="12" t="n">
        <x:v>1267607.0298</x:v>
      </x:c>
      <x:c r="H2087" s="12" t="n">
        <x:v>58105.42947</x:v>
      </x:c>
      <x:c r="I2087" s="13" t="n">
        <x:v>0.0297777777777777</x:v>
      </x:c>
      <x:c r="J2087" s="2" t="n">
        <x:v>5</x:v>
      </x:c>
      <x:c r="K2087" s="2" t="n">
        <x:v>7</x:v>
      </x:c>
      <x:c r="L2087" s="12" t="n">
        <x:v>880.4615</x:v>
      </x:c>
      <x:c r="M2087" s="13" t="n">
        <x:v>0.2612168694364556</x:v>
      </x:c>
      <x:c r="N2087" s="13" t="n">
        <x:f>H2087/G2087</x:f>
        <x:v>0.04583867721147598</x:v>
      </x:c>
      <x:c r="O2087" s="13" t="n">
        <x:f>F2087/E2087</x:f>
        <x:v>0</x:v>
      </x:c>
      <x:c r="P2087" s="2" t="str">
        <x:f>IF(AND(E2087&gt;='Итоги'!$F$5,N2087&lt;='Итоги'!$B$5,O2087&gt;='Итоги'!$D$5),"Да","Нет")</x:f>
        <x:v>Нет</x:v>
      </x:c>
    </x:row>
    <x:row r="2088" ht="60" customHeight="1">
      <x:c r="A2088" s="14" t="str">
        <x:v>Аптека</x:v>
      </x:c>
      <x:c r="B2088" s="14" t="str">
        <x:v>Товары для взрослых</x:v>
      </x:c>
      <x:c r="C2088" s="14" t="str">
        <x:v>Эротический аксессуар</x:v>
      </x:c>
      <x:c r="D2088" s="14" t="str">
        <x:v>Мебель для секса</x:v>
      </x:c>
      <x:c r="E2088" s="2" t="n">
        <x:v>12</x:v>
      </x:c>
      <x:c r="F2088" s="2" t="n">
        <x:v>0</x:v>
      </x:c>
      <x:c r="G2088" s="12" t="n">
        <x:v>2119609.3637</x:v>
      </x:c>
      <x:c r="H2088" s="12" t="n">
        <x:v>97208.03607131</x:v>
      </x:c>
      <x:c r="I2088" s="13" t="n">
        <x:v>0.0676666666666666</x:v>
      </x:c>
      <x:c r="J2088" s="2" t="n">
        <x:v>4</x:v>
      </x:c>
      <x:c r="K2088" s="2" t="n">
        <x:v>8</x:v>
      </x:c>
      <x:c r="L2088" s="12" t="n">
        <x:v>2813.53675</x:v>
      </x:c>
      <x:c r="M2088" s="13" t="n">
        <x:v>0.4800818594345597</x:v>
      </x:c>
      <x:c r="N2088" s="13" t="n">
        <x:f>H2088/G2088</x:f>
        <x:v>0.045861297716492055</x:v>
      </x:c>
      <x:c r="O2088" s="13" t="n">
        <x:f>F2088/E2088</x:f>
        <x:v>0</x:v>
      </x:c>
      <x:c r="P2088" s="2" t="str">
        <x:f>IF(AND(E2088&gt;='Итоги'!$F$5,N2088&lt;='Итоги'!$B$5,O2088&gt;='Итоги'!$D$5),"Да","Нет")</x:f>
        <x:v>Нет</x:v>
      </x:c>
    </x:row>
    <x:row r="2089" ht="60" customHeight="1">
      <x:c r="A2089" s="14" t="str">
        <x:v>Товары для животных</x:v>
      </x:c>
      <x:c r="B2089" s="14" t="str">
        <x:v>Фермерское хозяйство - Корма и кормовые добавки для птицеводства и животноводства</x:v>
      </x:c>
      <x:c r="C2089" s="14" t="str">
        <x:v>Кормовые комплексы и витамины для сельскохозяйственных животных и птиц</x:v>
      </x:c>
      <x:c r="D2089" s="14" t="str">
        <x:v>Кормовая добавка для сельскохозяйственных животных и птиц</x:v>
      </x:c>
      <x:c r="E2089" s="2" t="n">
        <x:v>2</x:v>
      </x:c>
      <x:c r="F2089" s="2" t="n">
        <x:v>0</x:v>
      </x:c>
      <x:c r="G2089" s="12" t="n">
        <x:v>229412.0526</x:v>
      </x:c>
      <x:c r="H2089" s="12" t="n">
        <x:v>10535.7537003</x:v>
      </x:c>
      <x:c r="I2089" s="13" t="n">
        <x:v>0.0471</x:v>
      </x:c>
      <x:c r="J2089" s="2" t="n">
        <x:v>0</x:v>
      </x:c>
      <x:c r="K2089" s="2" t="n">
        <x:v>2</x:v>
      </x:c>
      <x:c r="L2089" s="12" t="n">
        <x:v>1055.1984</x:v>
      </x:c>
      <x:c r="M2089" s="13" t="n">
        <x:v>0.575319064121394</x:v>
      </x:c>
      <x:c r="N2089" s="13" t="n">
        <x:f>H2089/G2089</x:f>
        <x:v>0.04592502259970625</x:v>
      </x:c>
      <x:c r="O2089" s="13" t="n">
        <x:f>F2089/E2089</x:f>
        <x:v>0</x:v>
      </x:c>
      <x:c r="P2089" s="2" t="str">
        <x:f>IF(AND(E2089&gt;='Итоги'!$F$5,N2089&lt;='Итоги'!$B$5,O2089&gt;='Итоги'!$D$5),"Да","Нет")</x:f>
        <x:v>Нет</x:v>
      </x:c>
    </x:row>
    <x:row r="2090" ht="60" customHeight="1">
      <x:c r="A2090" s="14" t="str">
        <x:v>Спорт и отдых</x:v>
      </x:c>
      <x:c r="B2090" s="14" t="str">
        <x:v>Тренажеры и фитнес</x:v>
      </x:c>
      <x:c r="C2090" s="14" t="str">
        <x:v>Аксессуары для силового тренажера</x:v>
      </x:c>
      <x:c r="D2090" s="14" t="str">
        <x:v>Аксессуары для тренажера</x:v>
      </x:c>
      <x:c r="E2090" s="2" t="n">
        <x:v>5</x:v>
      </x:c>
      <x:c r="F2090" s="2" t="n">
        <x:v>0</x:v>
      </x:c>
      <x:c r="G2090" s="12" t="n">
        <x:v>763281.2514</x:v>
      </x:c>
      <x:c r="H2090" s="12" t="n">
        <x:v>35064.32853613</x:v>
      </x:c>
      <x:c r="I2090" s="13" t="n">
        <x:v>0.04208</x:v>
      </x:c>
      <x:c r="J2090" s="2" t="n">
        <x:v>0</x:v>
      </x:c>
      <x:c r="K2090" s="2" t="n">
        <x:v>3</x:v>
      </x:c>
      <x:c r="L2090" s="12" t="n">
        <x:v>3086.4471</x:v>
      </x:c>
      <x:c r="M2090" s="13" t="n">
        <x:v>0.5712426156154895</x:v>
      </x:c>
      <x:c r="N2090" s="13" t="n">
        <x:f>H2090/G2090</x:f>
        <x:v>0.045938935971262876</x:v>
      </x:c>
      <x:c r="O2090" s="13" t="n">
        <x:f>F2090/E2090</x:f>
        <x:v>0</x:v>
      </x:c>
      <x:c r="P2090" s="2" t="str">
        <x:f>IF(AND(E2090&gt;='Итоги'!$F$5,N2090&lt;='Итоги'!$B$5,O2090&gt;='Итоги'!$D$5),"Да","Нет")</x:f>
        <x:v>Нет</x:v>
      </x:c>
    </x:row>
    <x:row r="2091" ht="60" customHeight="1">
      <x:c r="A2091" s="14" t="str">
        <x:v>Бакалея и кондитерские изделия</x:v>
      </x:c>
      <x:c r="B2091" s="14" t="str">
        <x:v>Кондитерские изделия</x:v>
      </x:c>
      <x:c r="C2091" s="14" t="str">
        <x:v>Зефир, мармелад</x:v>
      </x:c>
      <x:c r="D2091" s="14" t="str">
        <x:v>Жевательный мармелад</x:v>
      </x:c>
      <x:c r="E2091" s="2" t="n">
        <x:v>12</x:v>
      </x:c>
      <x:c r="F2091" s="2" t="n">
        <x:v>0</x:v>
      </x:c>
      <x:c r="G2091" s="12" t="n">
        <x:v>1130766.3756</x:v>
      </x:c>
      <x:c r="H2091" s="12" t="n">
        <x:v>51982.102318000005</x:v>
      </x:c>
      <x:c r="I2091" s="13" t="n">
        <x:v>0.0372416666666666</x:v>
      </x:c>
      <x:c r="J2091" s="2" t="n">
        <x:v>7</x:v>
      </x:c>
      <x:c r="K2091" s="2" t="n">
        <x:v>5</x:v>
      </x:c>
      <x:c r="L2091" s="12" t="n">
        <x:v>1305.1374999999998</x:v>
      </x:c>
      <x:c r="M2091" s="13" t="n">
        <x:v>0.3432512748657292</x:v>
      </x:c>
      <x:c r="N2091" s="13" t="n">
        <x:f>H2091/G2091</x:f>
        <x:v>0.04597068275081809</x:v>
      </x:c>
      <x:c r="O2091" s="13" t="n">
        <x:f>F2091/E2091</x:f>
        <x:v>0</x:v>
      </x:c>
      <x:c r="P2091" s="2" t="str">
        <x:f>IF(AND(E2091&gt;='Итоги'!$F$5,N2091&lt;='Итоги'!$B$5,O2091&gt;='Итоги'!$D$5),"Да","Нет")</x:f>
        <x:v>Нет</x:v>
      </x:c>
    </x:row>
    <x:row r="2092" ht="60" customHeight="1">
      <x:c r="A2092" s="14" t="str">
        <x:v>Аптека</x:v>
      </x:c>
      <x:c r="B2092" s="14" t="str">
        <x:v>Витамины и БАДы</x:v>
      </x:c>
      <x:c r="C2092" s="14" t="str">
        <x:v>Для сердца и сосудов</x:v>
      </x:c>
      <x:c r="D2092" s="14" t="str">
        <x:v>БАД для профилактики атеросклероза</x:v>
      </x:c>
      <x:c r="E2092" s="2" t="n">
        <x:v>2</x:v>
      </x:c>
      <x:c r="F2092" s="2" t="n">
        <x:v>0</x:v>
      </x:c>
      <x:c r="G2092" s="12" t="n">
        <x:v>511815.8921</x:v>
      </x:c>
      <x:c r="H2092" s="12" t="n">
        <x:v>23537.96909478</x:v>
      </x:c>
      <x:c r="I2092" s="13" t="n">
        <x:v>0.0459</x:v>
      </x:c>
      <x:c r="J2092" s="2" t="n">
        <x:v>1</x:v>
      </x:c>
      <x:c r="K2092" s="2" t="n">
        <x:v>1</x:v>
      </x:c>
      <x:c r="L2092" s="12" t="n">
        <x:v>1773.0956</x:v>
      </x:c>
      <x:c r="M2092" s="13" t="n">
        <x:v>1</x:v>
      </x:c>
      <x:c r="N2092" s="13" t="n">
        <x:f>H2092/G2092</x:f>
        <x:v>0.04598913292473749</x:v>
      </x:c>
      <x:c r="O2092" s="13" t="n">
        <x:f>F2092/E2092</x:f>
        <x:v>0</x:v>
      </x:c>
      <x:c r="P2092" s="2" t="str">
        <x:f>IF(AND(E2092&gt;='Итоги'!$F$5,N2092&lt;='Итоги'!$B$5,O2092&gt;='Итоги'!$D$5),"Да","Нет")</x:f>
        <x:v>Нет</x:v>
      </x:c>
    </x:row>
    <x:row r="2093" ht="60" customHeight="1">
      <x:c r="A2093" s="14" t="str">
        <x:v>Товары для животных</x:v>
      </x:c>
      <x:c r="B2093" s="14" t="str">
        <x:v>Гигиена и уход животных</x:v>
      </x:c>
      <x:c r="C2093" s="14" t="str">
        <x:v>Товары для груминга</x:v>
      </x:c>
      <x:c r="D2093" s="14" t="str">
        <x:v>Фен для сушки шерсти животных</x:v>
      </x:c>
      <x:c r="E2093" s="2" t="n">
        <x:v>26</x:v>
      </x:c>
      <x:c r="F2093" s="2" t="n">
        <x:v>0</x:v>
      </x:c>
      <x:c r="G2093" s="12" t="n">
        <x:v>3856150.7023</x:v>
      </x:c>
      <x:c r="H2093" s="12" t="n">
        <x:v>177366.52021058998</x:v>
      </x:c>
      <x:c r="I2093" s="13" t="n">
        <x:v>0.0525730769230769</x:v>
      </x:c>
      <x:c r="J2093" s="2" t="n">
        <x:v>4</x:v>
      </x:c>
      <x:c r="K2093" s="2" t="n">
        <x:v>8</x:v>
      </x:c>
      <x:c r="L2093" s="12" t="n">
        <x:v>7345.3278</x:v>
      </x:c>
      <x:c r="M2093" s="13" t="n">
        <x:v>0.5444824040065889</x:v>
      </x:c>
      <x:c r="N2093" s="13" t="n">
        <x:f>H2093/G2093</x:f>
        <x:v>0.04599574391758075</x:v>
      </x:c>
      <x:c r="O2093" s="13" t="n">
        <x:f>F2093/E2093</x:f>
        <x:v>0</x:v>
      </x:c>
      <x:c r="P2093" s="2" t="str">
        <x:f>IF(AND(E2093&gt;='Итоги'!$F$5,N2093&lt;='Итоги'!$B$5,O2093&gt;='Итоги'!$D$5),"Да","Нет")</x:f>
        <x:v>Нет</x:v>
      </x:c>
    </x:row>
    <x:row r="2094" ht="60" customHeight="1">
      <x:c r="A2094" s="14" t="str">
        <x:v>Спорт и отдых</x:v>
      </x:c>
      <x:c r="B2094" s="14" t="str">
        <x:v>Товары для охоты</x:v>
      </x:c>
      <x:c r="C2094" s="14" t="str">
        <x:v>Сумка, чехол, кейс для охоты</x:v>
      </x:c>
      <x:c r="D2094" s="14" t="str">
        <x:v>Сумка охотничья</x:v>
      </x:c>
      <x:c r="E2094" s="2" t="n">
        <x:v>2</x:v>
      </x:c>
      <x:c r="F2094" s="2" t="n">
        <x:v>0</x:v>
      </x:c>
      <x:c r="G2094" s="12" t="n">
        <x:v>483663</x:v>
      </x:c>
      <x:c r="H2094" s="12" t="n">
        <x:v>22248.8607</x:v>
      </x:c>
      <x:c r="I2094" s="13" t="n">
        <x:v>0.07005</x:v>
      </x:c>
      <x:c r="J2094" s="2" t="n">
        <x:v>1</x:v>
      </x:c>
      <x:c r="K2094" s="2" t="n">
        <x:v>2</x:v>
      </x:c>
      <x:c r="L2094" s="12" t="n">
        <x:v>6121.01405</x:v>
      </x:c>
      <x:c r="M2094" s="13" t="n">
        <x:v>0.6716577451655388</x:v>
      </x:c>
      <x:c r="N2094" s="13" t="n">
        <x:f>H2094/G2094</x:f>
        <x:v>0.046000749902308014</x:v>
      </x:c>
      <x:c r="O2094" s="13" t="n">
        <x:f>F2094/E2094</x:f>
        <x:v>0</x:v>
      </x:c>
      <x:c r="P2094" s="2" t="str">
        <x:f>IF(AND(E2094&gt;='Итоги'!$F$5,N2094&lt;='Итоги'!$B$5,O2094&gt;='Итоги'!$D$5),"Да","Нет")</x:f>
        <x:v>Нет</x:v>
      </x:c>
    </x:row>
    <x:row r="2095" ht="60" customHeight="1">
      <x:c r="A2095" s="14" t="str">
        <x:v>Аптека</x:v>
      </x:c>
      <x:c r="B2095" s="14" t="str">
        <x:v>Витамины и БАДы</x:v>
      </x:c>
      <x:c r="C2095" s="14" t="str">
        <x:v>Эндокринология</x:v>
      </x:c>
      <x:c r="D2095" s="14" t="str">
        <x:v>БАД для поддержания щитовидной железы</x:v>
      </x:c>
      <x:c r="E2095" s="2" t="n">
        <x:v>18</x:v>
      </x:c>
      <x:c r="F2095" s="2" t="n">
        <x:v>0</x:v>
      </x:c>
      <x:c r="G2095" s="12" t="n">
        <x:v>3301760.2417</x:v>
      </x:c>
      <x:c r="H2095" s="12" t="n">
        <x:v>152096.58929998</x:v>
      </x:c>
      <x:c r="I2095" s="13" t="n">
        <x:v>0.0439055555555555</x:v>
      </x:c>
      <x:c r="J2095" s="2" t="n">
        <x:v>4</x:v>
      </x:c>
      <x:c r="K2095" s="2" t="n">
        <x:v>9</x:v>
      </x:c>
      <x:c r="L2095" s="12" t="n">
        <x:v>1755.4651</x:v>
      </x:c>
      <x:c r="M2095" s="13" t="n">
        <x:v>0.6645579020814217</x:v>
      </x:c>
      <x:c r="N2095" s="13" t="n">
        <x:f>H2095/G2095</x:f>
        <x:v>0.04606530400937561</x:v>
      </x:c>
      <x:c r="O2095" s="13" t="n">
        <x:f>F2095/E2095</x:f>
        <x:v>0</x:v>
      </x:c>
      <x:c r="P2095" s="2" t="str">
        <x:f>IF(AND(E2095&gt;='Итоги'!$F$5,N2095&lt;='Итоги'!$B$5,O2095&gt;='Итоги'!$D$5),"Да","Нет")</x:f>
        <x:v>Нет</x:v>
      </x:c>
    </x:row>
    <x:row r="2096" ht="60" customHeight="1">
      <x:c r="A2096" s="14" t="str">
        <x:v>Товары для животных</x:v>
      </x:c>
      <x:c r="B2096" s="14" t="str">
        <x:v>Товары для прогулки и дрессировки животных</x:v>
      </x:c>
      <x:c r="C2096" s="14" t="str">
        <x:v>Аксессуары для прогулки и дрессировки животных</x:v>
      </x:c>
      <x:c r="D2096" s="14" t="str">
        <x:v>Игрушка для птиц</x:v>
      </x:c>
      <x:c r="E2096" s="2" t="n">
        <x:v>2</x:v>
      </x:c>
      <x:c r="F2096" s="2" t="n">
        <x:v>0</x:v>
      </x:c>
      <x:c r="G2096" s="12" t="n">
        <x:v>199927.1086</x:v>
      </x:c>
      <x:c r="H2096" s="12" t="n">
        <x:v>9213.035784000002</x:v>
      </x:c>
      <x:c r="I2096" s="13" t="n">
        <x:v>0.0534</x:v>
      </x:c>
      <x:c r="J2096" s="2" t="n">
        <x:v>1</x:v>
      </x:c>
      <x:c r="K2096" s="2" t="n">
        <x:v>2</x:v>
      </x:c>
      <x:c r="L2096" s="12" t="n">
        <x:v>1079.5889499999998</x:v>
      </x:c>
      <x:c r="M2096" s="13" t="n">
        <x:v>0.568520844401388</x:v>
      </x:c>
      <x:c r="N2096" s="13" t="n">
        <x:f>H2096/G2096</x:f>
        <x:v>0.04608197381793177</x:v>
      </x:c>
      <x:c r="O2096" s="13" t="n">
        <x:f>F2096/E2096</x:f>
        <x:v>0</x:v>
      </x:c>
      <x:c r="P2096" s="2" t="str">
        <x:f>IF(AND(E2096&gt;='Итоги'!$F$5,N2096&lt;='Итоги'!$B$5,O2096&gt;='Итоги'!$D$5),"Да","Нет")</x:f>
        <x:v>Нет</x:v>
      </x:c>
    </x:row>
    <x:row r="2097" ht="60" customHeight="1">
      <x:c r="A2097" s="14" t="str">
        <x:v>Бакалея и кондитерские изделия</x:v>
      </x:c>
      <x:c r="B2097" s="14" t="str">
        <x:v>Бакалея</x:v>
      </x:c>
      <x:c r="C2097" s="14" t="str">
        <x:v>Масла, соусы, уксус</x:v>
      </x:c>
      <x:c r="D2097" s="14" t="str">
        <x:v>Соус</x:v>
      </x:c>
      <x:c r="E2097" s="2" t="n">
        <x:v>28</x:v>
      </x:c>
      <x:c r="F2097" s="2" t="n">
        <x:v>0</x:v>
      </x:c>
      <x:c r="G2097" s="12" t="n">
        <x:v>3346634.3953</x:v>
      </x:c>
      <x:c r="H2097" s="12" t="n">
        <x:v>154275.65113397</x:v>
      </x:c>
      <x:c r="I2097" s="13" t="n">
        <x:v>0.041175</x:v>
      </x:c>
      <x:c r="J2097" s="2" t="n">
        <x:v>16</x:v>
      </x:c>
      <x:c r="K2097" s="2" t="n">
        <x:v>16</x:v>
      </x:c>
      <x:c r="L2097" s="12" t="n">
        <x:v>1104.2818000000002</x:v>
      </x:c>
      <x:c r="M2097" s="13" t="n">
        <x:v>0.307063144227286</x:v>
      </x:c>
      <x:c r="N2097" s="13" t="n">
        <x:f>H2097/G2097</x:f>
        <x:v>0.04609874665444009</x:v>
      </x:c>
      <x:c r="O2097" s="13" t="n">
        <x:f>F2097/E2097</x:f>
        <x:v>0</x:v>
      </x:c>
      <x:c r="P2097" s="2" t="str">
        <x:f>IF(AND(E2097&gt;='Итоги'!$F$5,N2097&lt;='Итоги'!$B$5,O2097&gt;='Итоги'!$D$5),"Да","Нет")</x:f>
        <x:v>Нет</x:v>
      </x:c>
    </x:row>
    <x:row r="2098" ht="60" customHeight="1">
      <x:c r="A2098" s="14" t="str">
        <x:v>Ноутбуки и компьютеры</x:v>
      </x:c>
      <x:c r="B2098" s="14" t="str">
        <x:v>Компьютерная периферия Lap&amp;Comp</x:v>
      </x:c>
      <x:c r="C2098" s="14" t="str">
        <x:v>Компьютерный манипулятор Lap&amp;Comp</x:v>
      </x:c>
      <x:c r="D2098" s="14" t="str">
        <x:v>Комплект клавиатура + мышь</x:v>
      </x:c>
      <x:c r="E2098" s="2" t="n">
        <x:v>80</x:v>
      </x:c>
      <x:c r="F2098" s="2" t="n">
        <x:v>0</x:v>
      </x:c>
      <x:c r="G2098" s="12" t="n">
        <x:v>16523204.58</x:v>
      </x:c>
      <x:c r="H2098" s="12" t="n">
        <x:v>762721.9374891199</x:v>
      </x:c>
      <x:c r="I2098" s="13" t="n">
        <x:v>0.05623625</x:v>
      </x:c>
      <x:c r="J2098" s="2" t="n">
        <x:v>23</x:v>
      </x:c>
      <x:c r="K2098" s="2" t="n">
        <x:v>16</x:v>
      </x:c>
      <x:c r="L2098" s="12" t="n">
        <x:v>1604.41075</x:v>
      </x:c>
      <x:c r="M2098" s="13" t="n">
        <x:v>0.5936081686764421</x:v>
      </x:c>
      <x:c r="N2098" s="13" t="n">
        <x:f>H2098/G2098</x:f>
        <x:v>0.04616065447814724</x:v>
      </x:c>
      <x:c r="O2098" s="13" t="n">
        <x:f>F2098/E2098</x:f>
        <x:v>0</x:v>
      </x:c>
      <x:c r="P2098" s="2" t="str">
        <x:f>IF(AND(E2098&gt;='Итоги'!$F$5,N2098&lt;='Итоги'!$B$5,O2098&gt;='Итоги'!$D$5),"Да","Нет")</x:f>
        <x:v>Нет</x:v>
      </x:c>
    </x:row>
    <x:row r="2099" ht="60" customHeight="1">
      <x:c r="A2099" s="14" t="str">
        <x:v>Мебель</x:v>
      </x:c>
      <x:c r="B2099" s="14" t="str">
        <x:v>Мебель для сна</x:v>
      </x:c>
      <x:c r="C2099" s="14" t="str">
        <x:v>Раскладушка</x:v>
      </x:c>
      <x:c r="D2099" s="14" t="str">
        <x:v>Раскладушки</x:v>
      </x:c>
      <x:c r="E2099" s="2" t="n">
        <x:v>61</x:v>
      </x:c>
      <x:c r="F2099" s="2" t="n">
        <x:v>0</x:v>
      </x:c>
      <x:c r="G2099" s="12" t="n">
        <x:v>13024622.3162</x:v>
      </x:c>
      <x:c r="H2099" s="12" t="n">
        <x:v>601889.7595791001</x:v>
      </x:c>
      <x:c r="I2099" s="13" t="n">
        <x:v>0.0351475409836065</x:v>
      </x:c>
      <x:c r="J2099" s="2" t="n">
        <x:v>28</x:v>
      </x:c>
      <x:c r="K2099" s="2" t="n">
        <x:v>18</x:v>
      </x:c>
      <x:c r="L2099" s="12" t="n">
        <x:v>5611.5385</x:v>
      </x:c>
      <x:c r="M2099" s="13" t="n">
        <x:v>0.363779569762017</x:v>
      </x:c>
      <x:c r="N2099" s="13" t="n">
        <x:f>H2099/G2099</x:f>
        <x:v>0.04621168621760884</x:v>
      </x:c>
      <x:c r="O2099" s="13" t="n">
        <x:f>F2099/E2099</x:f>
        <x:v>0</x:v>
      </x:c>
      <x:c r="P2099" s="2" t="str">
        <x:f>IF(AND(E2099&gt;='Итоги'!$F$5,N2099&lt;='Итоги'!$B$5,O2099&gt;='Итоги'!$D$5),"Да","Нет")</x:f>
        <x:v>Нет</x:v>
      </x:c>
    </x:row>
    <x:row r="2100" ht="60" customHeight="1">
      <x:c r="A2100" s="14" t="str">
        <x:v>Товары для красоты и здоровья</x:v>
      </x:c>
      <x:c r="B2100" s="14" t="str">
        <x:v>Косметика для ухода за волосами</x:v>
      </x:c>
      <x:c r="C2100" s="14" t="str">
        <x:v>Стайлинг для женщин</x:v>
      </x:c>
      <x:c r="D2100" s="14" t="str">
        <x:v>Мусс для волос</x:v>
      </x:c>
      <x:c r="E2100" s="2" t="n">
        <x:v>36</x:v>
      </x:c>
      <x:c r="F2100" s="2" t="n">
        <x:v>0</x:v>
      </x:c>
      <x:c r="G2100" s="12" t="n">
        <x:v>4764926.2541</x:v>
      </x:c>
      <x:c r="H2100" s="12" t="n">
        <x:v>220380.71642276</x:v>
      </x:c>
      <x:c r="I2100" s="13" t="n">
        <x:v>0.0414305555555555</x:v>
      </x:c>
      <x:c r="J2100" s="2" t="n">
        <x:v>21</x:v>
      </x:c>
      <x:c r="K2100" s="2" t="n">
        <x:v>11</x:v>
      </x:c>
      <x:c r="L2100" s="12" t="n">
        <x:v>1239.0621500000002</x:v>
      </x:c>
      <x:c r="M2100" s="13" t="n">
        <x:v>0.5398931496970049</x:v>
      </x:c>
      <x:c r="N2100" s="13" t="n">
        <x:f>H2100/G2100</x:f>
        <x:v>0.04625060382269978</x:v>
      </x:c>
      <x:c r="O2100" s="13" t="n">
        <x:f>F2100/E2100</x:f>
        <x:v>0</x:v>
      </x:c>
      <x:c r="P2100" s="2" t="str">
        <x:f>IF(AND(E2100&gt;='Итоги'!$F$5,N2100&lt;='Итоги'!$B$5,O2100&gt;='Итоги'!$D$5),"Да","Нет")</x:f>
        <x:v>Нет</x:v>
      </x:c>
    </x:row>
    <x:row r="2101" ht="60" customHeight="1">
      <x:c r="A2101" s="14" t="str">
        <x:v>Одежда</x:v>
      </x:c>
      <x:c r="B2101" s="14" t="str">
        <x:v>Верхняя одежда</x:v>
      </x:c>
      <x:c r="C2101" s="14" t="str">
        <x:v>Спортивная верхняя одежда женская</x:v>
      </x:c>
      <x:c r="D2101" s="14" t="str">
        <x:v>Спортивная олимпийка женская</x:v>
      </x:c>
      <x:c r="E2101" s="2" t="n">
        <x:v>19</x:v>
      </x:c>
      <x:c r="F2101" s="2" t="n">
        <x:v>0</x:v>
      </x:c>
      <x:c r="G2101" s="12" t="n">
        <x:v>2253182.5946</x:v>
      </x:c>
      <x:c r="H2101" s="12" t="n">
        <x:v>104212.83474104</x:v>
      </x:c>
      <x:c r="I2101" s="13" t="n">
        <x:v>0.0327894736842105</x:v>
      </x:c>
      <x:c r="J2101" s="2" t="n">
        <x:v>7</x:v>
      </x:c>
      <x:c r="K2101" s="2" t="n">
        <x:v>3</x:v>
      </x:c>
      <x:c r="L2101" s="12" t="n">
        <x:v>1775.3933</x:v>
      </x:c>
      <x:c r="M2101" s="13" t="n">
        <x:v>0.582249453614699</x:v>
      </x:c>
      <x:c r="N2101" s="13" t="n">
        <x:f>H2101/G2101</x:f>
        <x:v>0.0462513934693076</x:v>
      </x:c>
      <x:c r="O2101" s="13" t="n">
        <x:f>F2101/E2101</x:f>
        <x:v>0</x:v>
      </x:c>
      <x:c r="P2101" s="2" t="str">
        <x:f>IF(AND(E2101&gt;='Итоги'!$F$5,N2101&lt;='Итоги'!$B$5,O2101&gt;='Итоги'!$D$5),"Да","Нет")</x:f>
        <x:v>Нет</x:v>
      </x:c>
    </x:row>
    <x:row r="2102" ht="60" customHeight="1">
      <x:c r="A2102" s="14" t="str">
        <x:v>Спорт и отдых</x:v>
      </x:c>
      <x:c r="B2102" s="14" t="str">
        <x:v>Тренажеры и фитнес</x:v>
      </x:c>
      <x:c r="C2102" s="14" t="str">
        <x:v>Кросстренинг и тяжёлая атлетика</x:v>
      </x:c>
      <x:c r="D2102" s="14" t="str">
        <x:v>Пояс для тяжелой атлетики</x:v>
      </x:c>
      <x:c r="E2102" s="2" t="n">
        <x:v>8</x:v>
      </x:c>
      <x:c r="F2102" s="2" t="n">
        <x:v>0</x:v>
      </x:c>
      <x:c r="G2102" s="12" t="n">
        <x:v>456143.0797</x:v>
      </x:c>
      <x:c r="H2102" s="12" t="n">
        <x:v>21107.41079925</x:v>
      </x:c>
      <x:c r="I2102" s="13" t="n">
        <x:v>0.05575</x:v>
      </x:c>
      <x:c r="J2102" s="2" t="n">
        <x:v>3</x:v>
      </x:c>
      <x:c r="K2102" s="2" t="n">
        <x:v>6</x:v>
      </x:c>
      <x:c r="L2102" s="12" t="n">
        <x:v>2690.09095</x:v>
      </x:c>
      <x:c r="M2102" s="13" t="n">
        <x:v>0.4674609551025925</x:v>
      </x:c>
      <x:c r="N2102" s="13" t="n">
        <x:f>H2102/G2102</x:f>
        <x:v>0.04627366223144742</x:v>
      </x:c>
      <x:c r="O2102" s="13" t="n">
        <x:f>F2102/E2102</x:f>
        <x:v>0</x:v>
      </x:c>
      <x:c r="P2102" s="2" t="str">
        <x:f>IF(AND(E2102&gt;='Итоги'!$F$5,N2102&lt;='Итоги'!$B$5,O2102&gt;='Итоги'!$D$5),"Да","Нет")</x:f>
        <x:v>Нет</x:v>
      </x:c>
    </x:row>
    <x:row r="2103" ht="60" customHeight="1">
      <x:c r="A2103" s="14" t="str">
        <x:v>Строительство и ремонт (DIY)</x:v>
      </x:c>
      <x:c r="B2103" s="14" t="str">
        <x:v>Инструменты</x:v>
      </x:c>
      <x:c r="C2103" s="14" t="str">
        <x:v>Оснастка для инструмента</x:v>
      </x:c>
      <x:c r="D2103" s="14" t="str">
        <x:v>Аккумулятор для электроинструмента</x:v>
      </x:c>
      <x:c r="E2103" s="2" t="n">
        <x:v>206</x:v>
      </x:c>
      <x:c r="F2103" s="2" t="n">
        <x:v>0</x:v>
      </x:c>
      <x:c r="G2103" s="12" t="n">
        <x:v>39179417.1126</x:v>
      </x:c>
      <x:c r="H2103" s="12" t="n">
        <x:v>1813444.17800967</x:v>
      </x:c>
      <x:c r="I2103" s="13" t="n">
        <x:v>0.0477587378640776</x:v>
      </x:c>
      <x:c r="J2103" s="2" t="n">
        <x:v>85</x:v>
      </x:c>
      <x:c r="K2103" s="2" t="n">
        <x:v>38</x:v>
      </x:c>
      <x:c r="L2103" s="12" t="n">
        <x:v>2107.41195</x:v>
      </x:c>
      <x:c r="M2103" s="13" t="n">
        <x:v>0.6697883364135263</x:v>
      </x:c>
      <x:c r="N2103" s="13" t="n">
        <x:f>H2103/G2103</x:f>
        <x:v>0.046285634439070585</x:v>
      </x:c>
      <x:c r="O2103" s="13" t="n">
        <x:f>F2103/E2103</x:f>
        <x:v>0</x:v>
      </x:c>
      <x:c r="P2103" s="2" t="str">
        <x:f>IF(AND(E2103&gt;='Итоги'!$F$5,N2103&lt;='Итоги'!$B$5,O2103&gt;='Итоги'!$D$5),"Да","Нет")</x:f>
        <x:v>Нет</x:v>
      </x:c>
    </x:row>
    <x:row r="2104" ht="60" customHeight="1">
      <x:c r="A2104" s="14" t="str">
        <x:v>Одежда</x:v>
      </x:c>
      <x:c r="B2104" s="14" t="str">
        <x:v>Верхняя одежда</x:v>
      </x:c>
      <x:c r="C2104" s="14" t="str">
        <x:v>Спортивная верхняя одежда женская</x:v>
      </x:c>
      <x:c r="D2104" s="14" t="str">
        <x:v>Спортивное пальто женское</x:v>
      </x:c>
      <x:c r="E2104" s="2" t="n">
        <x:v>22</x:v>
      </x:c>
      <x:c r="F2104" s="2" t="n">
        <x:v>0</x:v>
      </x:c>
      <x:c r="G2104" s="12" t="n">
        <x:v>1671138.56</x:v>
      </x:c>
      <x:c r="H2104" s="12" t="n">
        <x:v>77402.140048</x:v>
      </x:c>
      <x:c r="I2104" s="13" t="n">
        <x:v>0.0393818181818181</x:v>
      </x:c>
      <x:c r="J2104" s="2" t="n">
        <x:v>9</x:v>
      </x:c>
      <x:c r="K2104" s="2" t="n">
        <x:v>5</x:v>
      </x:c>
      <x:c r="L2104" s="12" t="n">
        <x:v>4477.39625</x:v>
      </x:c>
      <x:c r="M2104" s="13" t="n">
        <x:v>0.8733870038879361</x:v>
      </x:c>
      <x:c r="N2104" s="13" t="n">
        <x:f>H2104/G2104</x:f>
        <x:v>0.046317009194019196</x:v>
      </x:c>
      <x:c r="O2104" s="13" t="n">
        <x:f>F2104/E2104</x:f>
        <x:v>0</x:v>
      </x:c>
      <x:c r="P2104" s="2" t="str">
        <x:f>IF(AND(E2104&gt;='Итоги'!$F$5,N2104&lt;='Итоги'!$B$5,O2104&gt;='Итоги'!$D$5),"Да","Нет")</x:f>
        <x:v>Нет</x:v>
      </x:c>
    </x:row>
    <x:row r="2105" ht="60" customHeight="1">
      <x:c r="A2105" s="14" t="str">
        <x:v>Строительство и ремонт (DIY)</x:v>
      </x:c>
      <x:c r="B2105" s="14" t="str">
        <x:v>Инструменты</x:v>
      </x:c>
      <x:c r="C2105" s="14" t="str">
        <x:v>Оснастка для инструмента</x:v>
      </x:c>
      <x:c r="D2105" s="14" t="str">
        <x:v>Ящик для инструмента</x:v>
      </x:c>
      <x:c r="E2105" s="2" t="n">
        <x:v>107</x:v>
      </x:c>
      <x:c r="F2105" s="2" t="n">
        <x:v>0</x:v>
      </x:c>
      <x:c r="G2105" s="12" t="n">
        <x:v>15931370.6071</x:v>
      </x:c>
      <x:c r="H2105" s="12" t="n">
        <x:v>737924.84805335</x:v>
      </x:c>
      <x:c r="I2105" s="13" t="n">
        <x:v>0.0438102803738317</x:v>
      </x:c>
      <x:c r="J2105" s="2" t="n">
        <x:v>39</x:v>
      </x:c>
      <x:c r="K2105" s="2" t="n">
        <x:v>27</x:v>
      </x:c>
      <x:c r="L2105" s="12" t="n">
        <x:v>2978.0363</x:v>
      </x:c>
      <x:c r="M2105" s="13" t="n">
        <x:v>0.3227459272216355</x:v>
      </x:c>
      <x:c r="N2105" s="13" t="n">
        <x:f>H2105/G2105</x:f>
        <x:v>0.046318980723760526</x:v>
      </x:c>
      <x:c r="O2105" s="13" t="n">
        <x:f>F2105/E2105</x:f>
        <x:v>0</x:v>
      </x:c>
      <x:c r="P2105" s="2" t="str">
        <x:f>IF(AND(E2105&gt;='Итоги'!$F$5,N2105&lt;='Итоги'!$B$5,O2105&gt;='Итоги'!$D$5),"Да","Нет")</x:f>
        <x:v>Нет</x:v>
      </x:c>
    </x:row>
    <x:row r="2106" ht="60" customHeight="1">
      <x:c r="A2106" s="14" t="str">
        <x:v>Автотовары</x:v>
      </x:c>
      <x:c r="B2106" s="14" t="str">
        <x:v>Дополнительное оборудование для авто и мото техники</x:v>
      </x:c>
      <x:c r="C2106" s="14" t="str">
        <x:v>Аксессуар для экстерьера авто</x:v>
      </x:c>
      <x:c r="D2106" s="14" t="str">
        <x:v>Пленка тонировочная для авто</x:v>
      </x:c>
      <x:c r="E2106" s="2" t="n">
        <x:v>21</x:v>
      </x:c>
      <x:c r="F2106" s="2" t="n">
        <x:v>0</x:v>
      </x:c>
      <x:c r="G2106" s="12" t="n">
        <x:v>2989643.1822</x:v>
      </x:c>
      <x:c r="H2106" s="12" t="n">
        <x:v>138487.2896627</x:v>
      </x:c>
      <x:c r="I2106" s="13" t="n">
        <x:v>0.0580857142857142</x:v>
      </x:c>
      <x:c r="J2106" s="2" t="n">
        <x:v>9</x:v>
      </x:c>
      <x:c r="K2106" s="2" t="n">
        <x:v>10</x:v>
      </x:c>
      <x:c r="L2106" s="12" t="n">
        <x:v>1069.1576</x:v>
      </x:c>
      <x:c r="M2106" s="13" t="n">
        <x:v>0.5448500340770867</x:v>
      </x:c>
      <x:c r="N2106" s="13" t="n">
        <x:f>H2106/G2106</x:f>
        <x:v>0.04632234725777236</x:v>
      </x:c>
      <x:c r="O2106" s="13" t="n">
        <x:f>F2106/E2106</x:f>
        <x:v>0</x:v>
      </x:c>
      <x:c r="P2106" s="2" t="str">
        <x:f>IF(AND(E2106&gt;='Итоги'!$F$5,N2106&lt;='Итоги'!$B$5,O2106&gt;='Итоги'!$D$5),"Да","Нет")</x:f>
        <x:v>Нет</x:v>
      </x:c>
    </x:row>
    <x:row r="2107" ht="60" customHeight="1">
      <x:c r="A2107" s="14" t="str">
        <x:v>Хобби и творчество</x:v>
      </x:c>
      <x:c r="B2107" s="14" t="str">
        <x:v>Детское творчество и хобби</x:v>
      </x:c>
      <x:c r="C2107" s="14" t="str">
        <x:v>Рисование для детей</x:v>
      </x:c>
      <x:c r="D2107" s="14" t="str">
        <x:v>Краска - пастель</x:v>
      </x:c>
      <x:c r="E2107" s="2" t="n">
        <x:v>3</x:v>
      </x:c>
      <x:c r="F2107" s="2" t="n">
        <x:v>0</x:v>
      </x:c>
      <x:c r="G2107" s="12" t="n">
        <x:v>296593.2557</x:v>
      </x:c>
      <x:c r="H2107" s="12" t="n">
        <x:v>13750.18548366</x:v>
      </x:c>
      <x:c r="I2107" s="13" t="n">
        <x:v>0.0521</x:v>
      </x:c>
      <x:c r="J2107" s="2" t="n">
        <x:v>1</x:v>
      </x:c>
      <x:c r="K2107" s="2" t="n">
        <x:v>2</x:v>
      </x:c>
      <x:c r="L2107" s="12" t="n">
        <x:v>2250.6987</x:v>
      </x:c>
      <x:c r="M2107" s="13" t="n">
        <x:v>0.58805536656038</x:v>
      </x:c>
      <x:c r="N2107" s="13" t="n">
        <x:f>H2107/G2107</x:f>
        <x:v>0.04636041184148882</x:v>
      </x:c>
      <x:c r="O2107" s="13" t="n">
        <x:f>F2107/E2107</x:f>
        <x:v>0</x:v>
      </x:c>
      <x:c r="P2107" s="2" t="str">
        <x:f>IF(AND(E2107&gt;='Итоги'!$F$5,N2107&lt;='Итоги'!$B$5,O2107&gt;='Итоги'!$D$5),"Да","Нет")</x:f>
        <x:v>Нет</x:v>
      </x:c>
    </x:row>
    <x:row r="2108" ht="60" customHeight="1">
      <x:c r="A2108" s="14" t="str">
        <x:v>Товары для дома</x:v>
      </x:c>
      <x:c r="B2108" s="14" t="str">
        <x:v>Кухня</x:v>
      </x:c>
      <x:c r="C2108" s="14" t="str">
        <x:v>Посуда для приготовления пищи</x:v>
      </x:c>
      <x:c r="D2108" s="14" t="str">
        <x:v>Пароварка, соковарка, мантоварка</x:v>
      </x:c>
      <x:c r="E2108" s="2" t="n">
        <x:v>35</x:v>
      </x:c>
      <x:c r="F2108" s="2" t="n">
        <x:v>0</x:v>
      </x:c>
      <x:c r="G2108" s="12" t="n">
        <x:v>6969178.708000001</x:v>
      </x:c>
      <x:c r="H2108" s="12" t="n">
        <x:v>323188.18916984</x:v>
      </x:c>
      <x:c r="I2108" s="13" t="n">
        <x:v>0.0560428571428571</x:v>
      </x:c>
      <x:c r="J2108" s="2" t="n">
        <x:v>13</x:v>
      </x:c>
      <x:c r="K2108" s="2" t="n">
        <x:v>8</x:v>
      </x:c>
      <x:c r="L2108" s="12" t="n">
        <x:v>2866.1613</x:v>
      </x:c>
      <x:c r="M2108" s="13" t="n">
        <x:v>0.4991735650581913</x:v>
      </x:c>
      <x:c r="N2108" s="13" t="n">
        <x:f>H2108/G2108</x:f>
        <x:v>0.046373927647865965</x:v>
      </x:c>
      <x:c r="O2108" s="13" t="n">
        <x:f>F2108/E2108</x:f>
        <x:v>0</x:v>
      </x:c>
      <x:c r="P2108" s="2" t="str">
        <x:f>IF(AND(E2108&gt;='Итоги'!$F$5,N2108&lt;='Итоги'!$B$5,O2108&gt;='Итоги'!$D$5),"Да","Нет")</x:f>
        <x:v>Нет</x:v>
      </x:c>
    </x:row>
    <x:row r="2109" ht="60" customHeight="1">
      <x:c r="A2109" s="14" t="str">
        <x:v>Аптека</x:v>
      </x:c>
      <x:c r="B2109" s="14" t="str">
        <x:v>Спортивное питание</x:v>
      </x:c>
      <x:c r="C2109" s="14" t="str">
        <x:v>Специальные препараты для спортивного питания</x:v>
      </x:c>
      <x:c r="D2109" s="14" t="str">
        <x:v>Антиоксиданты для спортивного питания</x:v>
      </x:c>
      <x:c r="E2109" s="2" t="n">
        <x:v>28</x:v>
      </x:c>
      <x:c r="F2109" s="2" t="n">
        <x:v>0</x:v>
      </x:c>
      <x:c r="G2109" s="12" t="n">
        <x:v>4712148.1037</x:v>
      </x:c>
      <x:c r="H2109" s="12" t="n">
        <x:v>218614.3225042</x:v>
      </x:c>
      <x:c r="I2109" s="13" t="n">
        <x:v>0.0385678571428571</x:v>
      </x:c>
      <x:c r="J2109" s="2" t="n">
        <x:v>15</x:v>
      </x:c>
      <x:c r="K2109" s="2" t="n">
        <x:v>13</x:v>
      </x:c>
      <x:c r="L2109" s="12" t="n">
        <x:v>1928.2261</x:v>
      </x:c>
      <x:c r="M2109" s="13" t="n">
        <x:v>0.3057455131490331</x:v>
      </x:c>
      <x:c r="N2109" s="13" t="n">
        <x:f>H2109/G2109</x:f>
        <x:v>0.04639377152270385</x:v>
      </x:c>
      <x:c r="O2109" s="13" t="n">
        <x:f>F2109/E2109</x:f>
        <x:v>0</x:v>
      </x:c>
      <x:c r="P2109" s="2" t="str">
        <x:f>IF(AND(E2109&gt;='Итоги'!$F$5,N2109&lt;='Итоги'!$B$5,O2109&gt;='Итоги'!$D$5),"Да","Нет")</x:f>
        <x:v>Нет</x:v>
      </x:c>
    </x:row>
    <x:row r="2110" ht="60" customHeight="1">
      <x:c r="A2110" s="14" t="str">
        <x:v>Товары для дома</x:v>
      </x:c>
      <x:c r="B2110" s="14" t="str">
        <x:v>Кухня</x:v>
      </x:c>
      <x:c r="C2110" s="14" t="str">
        <x:v>Питьевое стекло, аксессуар для бара, сосуд для жидкости</x:v>
      </x:c>
      <x:c r="D2110" s="14" t="str">
        <x:v>Набор для шампанского</x:v>
      </x:c>
      <x:c r="E2110" s="2" t="n">
        <x:v>1</x:v>
      </x:c>
      <x:c r="F2110" s="2" t="n">
        <x:v>0</x:v>
      </x:c>
      <x:c r="G2110" s="12" t="n">
        <x:v>213186</x:v>
      </x:c>
      <x:c r="H2110" s="12" t="n">
        <x:v>9891.8304</x:v>
      </x:c>
      <x:c r="I2110" s="13" t="n">
        <x:v>0.0464</x:v>
      </x:c>
      <x:c r="J2110" s="2" t="n">
        <x:v>0</x:v>
      </x:c>
      <x:c r="K2110" s="2" t="n">
        <x:v>1</x:v>
      </x:c>
      <x:c r="L2110" s="12" t="n">
        <x:v>1719.2419</x:v>
      </x:c>
      <x:c r="M2110" s="13" t="n">
        <x:v>1</x:v>
      </x:c>
      <x:c r="N2110" s="13" t="n">
        <x:f>H2110/G2110</x:f>
        <x:v>0.046400000000000004</x:v>
      </x:c>
      <x:c r="O2110" s="13" t="n">
        <x:f>F2110/E2110</x:f>
        <x:v>0</x:v>
      </x:c>
      <x:c r="P2110" s="2" t="str">
        <x:f>IF(AND(E2110&gt;='Итоги'!$F$5,N2110&lt;='Итоги'!$B$5,O2110&gt;='Итоги'!$D$5),"Да","Нет")</x:f>
        <x:v>Нет</x:v>
      </x:c>
    </x:row>
    <x:row r="2111" ht="60" customHeight="1">
      <x:c r="A2111" s="14" t="str">
        <x:v>Спорт и отдых</x:v>
      </x:c>
      <x:c r="B2111" s="14" t="str">
        <x:v>Зимние виды спорта</x:v>
      </x:c>
      <x:c r="C2111" s="14" t="str">
        <x:v>Хоккей</x:v>
      </x:c>
      <x:c r="D2111" s="14" t="str">
        <x:v>Чехол, сумка для хоккея</x:v>
      </x:c>
      <x:c r="E2111" s="2" t="n">
        <x:v>4</x:v>
      </x:c>
      <x:c r="F2111" s="2" t="n">
        <x:v>0</x:v>
      </x:c>
      <x:c r="G2111" s="12" t="n">
        <x:v>260123</x:v>
      </x:c>
      <x:c r="H2111" s="12" t="n">
        <x:v>12070.2286</x:v>
      </x:c>
      <x:c r="I2111" s="13" t="n">
        <x:v>0.0546</x:v>
      </x:c>
      <x:c r="J2111" s="2" t="n">
        <x:v>0</x:v>
      </x:c>
      <x:c r="K2111" s="2" t="n">
        <x:v>1</x:v>
      </x:c>
      <x:c r="L2111" s="12" t="n">
        <x:v>6914.54165</x:v>
      </x:c>
      <x:c r="M2111" s="13" t="n">
        <x:v>1</x:v>
      </x:c>
      <x:c r="N2111" s="13" t="n">
        <x:f>H2111/G2111</x:f>
        <x:v>0.0464020044363628</x:v>
      </x:c>
      <x:c r="O2111" s="13" t="n">
        <x:f>F2111/E2111</x:f>
        <x:v>0</x:v>
      </x:c>
      <x:c r="P2111" s="2" t="str">
        <x:f>IF(AND(E2111&gt;='Итоги'!$F$5,N2111&lt;='Итоги'!$B$5,O2111&gt;='Итоги'!$D$5),"Да","Нет")</x:f>
        <x:v>Нет</x:v>
      </x:c>
    </x:row>
    <x:row r="2112" ht="60" customHeight="1">
      <x:c r="A2112" s="14" t="str">
        <x:v>Аптека</x:v>
      </x:c>
      <x:c r="B2112" s="14" t="str">
        <x:v>Медицинская техника</x:v>
      </x:c>
      <x:c r="C2112" s="14" t="str">
        <x:v>Медицинская техника</x:v>
      </x:c>
      <x:c r="D2112" s="14" t="str">
        <x:v>Концентратор кислорода</x:v>
      </x:c>
      <x:c r="E2112" s="2" t="n">
        <x:v>22</x:v>
      </x:c>
      <x:c r="F2112" s="2" t="n">
        <x:v>0</x:v>
      </x:c>
      <x:c r="G2112" s="12" t="n">
        <x:v>6377371.19</x:v>
      </x:c>
      <x:c r="H2112" s="12" t="n">
        <x:v>295938.537377</x:v>
      </x:c>
      <x:c r="I2112" s="13" t="n">
        <x:v>0.0411227272727272</x:v>
      </x:c>
      <x:c r="J2112" s="2" t="n">
        <x:v>7</x:v>
      </x:c>
      <x:c r="K2112" s="2" t="n">
        <x:v>7</x:v>
      </x:c>
      <x:c r="L2112" s="12" t="n">
        <x:v>21952.875</x:v>
      </x:c>
      <x:c r="M2112" s="13" t="n">
        <x:v>0.6536063114118342</x:v>
      </x:c>
      <x:c r="N2112" s="13" t="n">
        <x:f>H2112/G2112</x:f>
        <x:v>0.046404471146519535</x:v>
      </x:c>
      <x:c r="O2112" s="13" t="n">
        <x:f>F2112/E2112</x:f>
        <x:v>0</x:v>
      </x:c>
      <x:c r="P2112" s="2" t="str">
        <x:f>IF(AND(E2112&gt;='Итоги'!$F$5,N2112&lt;='Итоги'!$B$5,O2112&gt;='Итоги'!$D$5),"Да","Нет")</x:f>
        <x:v>Нет</x:v>
      </x:c>
    </x:row>
    <x:row r="2113" ht="60" customHeight="1">
      <x:c r="A2113" s="14" t="str">
        <x:v>Аксессуары для электроники</x:v>
      </x:c>
      <x:c r="B2113" s="14" t="str">
        <x:v>Аксессуары для климатической техники Access</x:v>
      </x:c>
      <x:c r="C2113" s="14" t="str">
        <x:v>Аксессуары для водонагревателя Access</x:v>
      </x:c>
      <x:c r="D2113" s="14" t="str">
        <x:v>Аксессуары, запчасти для водонагревателей, бойлера</x:v>
      </x:c>
      <x:c r="E2113" s="2" t="n">
        <x:v>54</x:v>
      </x:c>
      <x:c r="F2113" s="2" t="n">
        <x:v>0</x:v>
      </x:c>
      <x:c r="G2113" s="12" t="n">
        <x:v>7353921.6158</x:v>
      </x:c>
      <x:c r="H2113" s="12" t="n">
        <x:v>341411.4777952</x:v>
      </x:c>
      <x:c r="I2113" s="13" t="n">
        <x:v>0.0458777777777777</x:v>
      </x:c>
      <x:c r="J2113" s="2" t="n">
        <x:v>23</x:v>
      </x:c>
      <x:c r="K2113" s="2" t="n">
        <x:v>12</x:v>
      </x:c>
      <x:c r="L2113" s="12" t="n">
        <x:v>2045.39</x:v>
      </x:c>
      <x:c r="M2113" s="13" t="n">
        <x:v>0.4429658413547868</x:v>
      </x:c>
      <x:c r="N2113" s="13" t="n">
        <x:f>H2113/G2113</x:f>
        <x:v>0.04642577057956028</x:v>
      </x:c>
      <x:c r="O2113" s="13" t="n">
        <x:f>F2113/E2113</x:f>
        <x:v>0</x:v>
      </x:c>
      <x:c r="P2113" s="2" t="str">
        <x:f>IF(AND(E2113&gt;='Итоги'!$F$5,N2113&lt;='Итоги'!$B$5,O2113&gt;='Итоги'!$D$5),"Да","Нет")</x:f>
        <x:v>Нет</x:v>
      </x:c>
    </x:row>
    <x:row r="2114" ht="60" customHeight="1">
      <x:c r="A2114" s="14" t="str">
        <x:v>Товары для дома</x:v>
      </x:c>
      <x:c r="B2114" s="14" t="str">
        <x:v>Антиквариат Хоум Декор</x:v>
      </x:c>
      <x:c r="C2114" s="14" t="str">
        <x:v>Коллекционирование Хоум Декор</x:v>
      </x:c>
      <x:c r="D2114" s="14" t="str">
        <x:v>Монета коллекционная</x:v>
      </x:c>
      <x:c r="E2114" s="2" t="n">
        <x:v>7</x:v>
      </x:c>
      <x:c r="F2114" s="2" t="n">
        <x:v>0</x:v>
      </x:c>
      <x:c r="G2114" s="12" t="n">
        <x:v>530928.5729</x:v>
      </x:c>
      <x:c r="H2114" s="12" t="n">
        <x:v>24677.85334031</x:v>
      </x:c>
      <x:c r="I2114" s="13" t="n">
        <x:v>0.0391</x:v>
      </x:c>
      <x:c r="J2114" s="2" t="n">
        <x:v>5</x:v>
      </x:c>
      <x:c r="K2114" s="2" t="n">
        <x:v>3</x:v>
      </x:c>
      <x:c r="L2114" s="12" t="n">
        <x:v>4195.2273</x:v>
      </x:c>
      <x:c r="M2114" s="13" t="n">
        <x:v>0.7691855246542147</x:v>
      </x:c>
      <x:c r="N2114" s="13" t="n">
        <x:f>H2114/G2114</x:f>
        <x:v>0.04648055237546625</x:v>
      </x:c>
      <x:c r="O2114" s="13" t="n">
        <x:f>F2114/E2114</x:f>
        <x:v>0</x:v>
      </x:c>
      <x:c r="P2114" s="2" t="str">
        <x:f>IF(AND(E2114&gt;='Итоги'!$F$5,N2114&lt;='Итоги'!$B$5,O2114&gt;='Итоги'!$D$5),"Да","Нет")</x:f>
        <x:v>Нет</x:v>
      </x:c>
    </x:row>
    <x:row r="2115" ht="60" customHeight="1">
      <x:c r="A2115" s="14" t="str">
        <x:v>Автотовары</x:v>
      </x:c>
      <x:c r="B2115" s="14" t="str">
        <x:v>Автоинструменты и гаражное оборудование</x:v>
      </x:c>
      <x:c r="C2115" s="14" t="str">
        <x:v>Оборудование для гаража и автосервиса</x:v>
      </x:c>
      <x:c r="D2115" s="14" t="str">
        <x:v>Установка для диагностики и ремонта</x:v>
      </x:c>
      <x:c r="E2115" s="2" t="n">
        <x:v>16</x:v>
      </x:c>
      <x:c r="F2115" s="2" t="n">
        <x:v>0</x:v>
      </x:c>
      <x:c r="G2115" s="12" t="n">
        <x:v>2401886.1128</x:v>
      </x:c>
      <x:c r="H2115" s="12" t="n">
        <x:v>111708.80999525</x:v>
      </x:c>
      <x:c r="I2115" s="13" t="n">
        <x:v>0.05155625</x:v>
      </x:c>
      <x:c r="J2115" s="2" t="n">
        <x:v>8</x:v>
      </x:c>
      <x:c r="K2115" s="2" t="n">
        <x:v>7</x:v>
      </x:c>
      <x:c r="L2115" s="12" t="n">
        <x:v>7426.961850000001</x:v>
      </x:c>
      <x:c r="M2115" s="13" t="n">
        <x:v>0.6141551265227834</x:v>
      </x:c>
      <x:c r="N2115" s="13" t="n">
        <x:f>H2115/G2115</x:f>
        <x:v>0.04650878715686707</x:v>
      </x:c>
      <x:c r="O2115" s="13" t="n">
        <x:f>F2115/E2115</x:f>
        <x:v>0</x:v>
      </x:c>
      <x:c r="P2115" s="2" t="str">
        <x:f>IF(AND(E2115&gt;='Итоги'!$F$5,N2115&lt;='Итоги'!$B$5,O2115&gt;='Итоги'!$D$5),"Да","Нет")</x:f>
        <x:v>Нет</x:v>
      </x:c>
    </x:row>
    <x:row r="2116" ht="60" customHeight="1">
      <x:c r="A2116" s="14" t="str">
        <x:v>Одежда</x:v>
      </x:c>
      <x:c r="B2116" s="14" t="str">
        <x:v>Основная одежда женская</x:v>
      </x:c>
      <x:c r="C2116" s="14" t="str">
        <x:v>Спортивная основная одежда женская верха</x:v>
      </x:c>
      <x:c r="D2116" s="14" t="str">
        <x:v>Спортивный лонгслив женский</x:v>
      </x:c>
      <x:c r="E2116" s="2" t="n">
        <x:v>37</x:v>
      </x:c>
      <x:c r="F2116" s="2" t="n">
        <x:v>0</x:v>
      </x:c>
      <x:c r="G2116" s="12" t="n">
        <x:v>3605323.3587</x:v>
      </x:c>
      <x:c r="H2116" s="12" t="n">
        <x:v>167794.99557868</x:v>
      </x:c>
      <x:c r="I2116" s="13" t="n">
        <x:v>0.0462486486486486</x:v>
      </x:c>
      <x:c r="J2116" s="2" t="n">
        <x:v>8</x:v>
      </x:c>
      <x:c r="K2116" s="2" t="n">
        <x:v>10</x:v>
      </x:c>
      <x:c r="L2116" s="12" t="n">
        <x:v>1092.8655</x:v>
      </x:c>
      <x:c r="M2116" s="13" t="n">
        <x:v>0.4141870369537236</x:v>
      </x:c>
      <x:c r="N2116" s="13" t="n">
        <x:f>H2116/G2116</x:f>
        <x:v>0.046540900464246616</x:v>
      </x:c>
      <x:c r="O2116" s="13" t="n">
        <x:f>F2116/E2116</x:f>
        <x:v>0</x:v>
      </x:c>
      <x:c r="P2116" s="2" t="str">
        <x:f>IF(AND(E2116&gt;='Итоги'!$F$5,N2116&lt;='Итоги'!$B$5,O2116&gt;='Итоги'!$D$5),"Да","Нет")</x:f>
        <x:v>Нет</x:v>
      </x:c>
    </x:row>
    <x:row r="2117" ht="60" customHeight="1">
      <x:c r="A2117" s="14" t="str">
        <x:v>Аксессуары</x:v>
      </x:c>
      <x:c r="B2117" s="14" t="str">
        <x:v>Чемоданы, дорожные сумки</x:v>
      </x:c>
      <x:c r="C2117" s="14" t="str">
        <x:v>Чемодан</x:v>
      </x:c>
      <x:c r="D2117" s="14" t="str">
        <x:v>Чемодан жесткий (алюминий, пластик)</x:v>
      </x:c>
      <x:c r="E2117" s="2" t="n">
        <x:v>1326</x:v>
      </x:c>
      <x:c r="F2117" s="2" t="n">
        <x:v>0</x:v>
      </x:c>
      <x:c r="G2117" s="12" t="n">
        <x:v>164325272.1641</x:v>
      </x:c>
      <x:c r="H2117" s="12" t="n">
        <x:v>7651033.06199137</x:v>
      </x:c>
      <x:c r="I2117" s="13" t="n">
        <x:v>0.041910935143288</x:v>
      </x:c>
      <x:c r="J2117" s="2" t="n">
        <x:v>580</x:v>
      </x:c>
      <x:c r="K2117" s="2" t="n">
        <x:v>54</x:v>
      </x:c>
      <x:c r="L2117" s="12" t="n">
        <x:v>4595.9905</x:v>
      </x:c>
      <x:c r="M2117" s="13" t="n">
        <x:v>0.70537025703964</x:v>
      </x:c>
      <x:c r="N2117" s="13" t="n">
        <x:f>H2117/G2117</x:f>
        <x:v>0.04656029447710774</x:v>
      </x:c>
      <x:c r="O2117" s="13" t="n">
        <x:f>F2117/E2117</x:f>
        <x:v>0</x:v>
      </x:c>
      <x:c r="P2117" s="2" t="str">
        <x:f>IF(AND(E2117&gt;='Итоги'!$F$5,N2117&lt;='Итоги'!$B$5,O2117&gt;='Итоги'!$D$5),"Да","Нет")</x:f>
        <x:v>Нет</x:v>
      </x:c>
    </x:row>
    <x:row r="2118" ht="60" customHeight="1">
      <x:c r="A2118" s="14" t="str">
        <x:v>Одежда</x:v>
      </x:c>
      <x:c r="B2118" s="14" t="str">
        <x:v>Верхняя одежда</x:v>
      </x:c>
      <x:c r="C2118" s="14" t="str">
        <x:v>Верхняя одежда женская</x:v>
      </x:c>
      <x:c r="D2118" s="14" t="str">
        <x:v>Жилет утепленный женский</x:v>
      </x:c>
      <x:c r="E2118" s="2" t="n">
        <x:v>67</x:v>
      </x:c>
      <x:c r="F2118" s="2" t="n">
        <x:v>0</x:v>
      </x:c>
      <x:c r="G2118" s="12" t="n">
        <x:v>4459130.0272</x:v>
      </x:c>
      <x:c r="H2118" s="12" t="n">
        <x:v>207698.2421942</x:v>
      </x:c>
      <x:c r="I2118" s="13" t="n">
        <x:v>0.0345850746268656</x:v>
      </x:c>
      <x:c r="J2118" s="2" t="n">
        <x:v>40</x:v>
      </x:c>
      <x:c r="K2118" s="2" t="n">
        <x:v>18</x:v>
      </x:c>
      <x:c r="L2118" s="12" t="n">
        <x:v>2167.2902</x:v>
      </x:c>
      <x:c r="M2118" s="13" t="n">
        <x:v>0.1873973704518126</x:v>
      </x:c>
      <x:c r="N2118" s="13" t="n">
        <x:f>H2118/G2118</x:f>
        <x:v>0.04657819819724318</x:v>
      </x:c>
      <x:c r="O2118" s="13" t="n">
        <x:f>F2118/E2118</x:f>
        <x:v>0</x:v>
      </x:c>
      <x:c r="P2118" s="2" t="str">
        <x:f>IF(AND(E2118&gt;='Итоги'!$F$5,N2118&lt;='Итоги'!$B$5,O2118&gt;='Итоги'!$D$5),"Да","Нет")</x:f>
        <x:v>Нет</x:v>
      </x:c>
    </x:row>
    <x:row r="2119" ht="60" customHeight="1">
      <x:c r="A2119" s="14" t="str">
        <x:v>Аксессуары для электроники</x:v>
      </x:c>
      <x:c r="B2119" s="14" t="str">
        <x:v>Игровые приставки и аксессуары Access</x:v>
      </x:c>
      <x:c r="C2119" s="14" t="str">
        <x:v>Сумка для игровой приставки Access</x:v>
      </x:c>
      <x:c r="D2119" s="14" t="str">
        <x:v>Сумка для игровой приставки</x:v>
      </x:c>
      <x:c r="E2119" s="2" t="n">
        <x:v>1</x:v>
      </x:c>
      <x:c r="F2119" s="2" t="n">
        <x:v>0</x:v>
      </x:c>
      <x:c r="G2119" s="12" t="n">
        <x:v>30559.07</x:v>
      </x:c>
      <x:c r="H2119" s="12" t="n">
        <x:v>1424.052662</x:v>
      </x:c>
      <x:c r="I2119" s="13" t="n">
        <x:v>0.0466</x:v>
      </x:c>
      <x:c r="J2119" s="2" t="n">
        <x:v>0</x:v>
      </x:c>
      <x:c r="K2119" s="2" t="n">
        <x:v>1</x:v>
      </x:c>
      <x:c r="L2119" s="12" t="n">
        <x:v>3055.907</x:v>
      </x:c>
      <x:c r="M2119" s="13" t="n">
        <x:v>1</x:v>
      </x:c>
      <x:c r="N2119" s="13" t="n">
        <x:f>H2119/G2119</x:f>
        <x:v>0.0466</x:v>
      </x:c>
      <x:c r="O2119" s="13" t="n">
        <x:f>F2119/E2119</x:f>
        <x:v>0</x:v>
      </x:c>
      <x:c r="P2119" s="2" t="str">
        <x:f>IF(AND(E2119&gt;='Итоги'!$F$5,N2119&lt;='Итоги'!$B$5,O2119&gt;='Итоги'!$D$5),"Да","Нет")</x:f>
        <x:v>Нет</x:v>
      </x:c>
    </x:row>
    <x:row r="2120" ht="60" customHeight="1">
      <x:c r="A2120" s="14" t="str">
        <x:v>Спорт и отдых</x:v>
      </x:c>
      <x:c r="B2120" s="14" t="str">
        <x:v>Колесный транспорт</x:v>
      </x:c>
      <x:c r="C2120" s="14" t="str">
        <x:v>Запчасти для велосипеда</x:v>
      </x:c>
      <x:c r="D2120" s="14" t="str">
        <x:v>Рама велосипедная</x:v>
      </x:c>
      <x:c r="E2120" s="2" t="n">
        <x:v>4</x:v>
      </x:c>
      <x:c r="F2120" s="2" t="n">
        <x:v>0</x:v>
      </x:c>
      <x:c r="G2120" s="12" t="n">
        <x:v>676763</x:v>
      </x:c>
      <x:c r="H2120" s="12" t="n">
        <x:v>31542.3167</x:v>
      </x:c>
      <x:c r="I2120" s="13" t="n">
        <x:v>0.0474</x:v>
      </x:c>
      <x:c r="J2120" s="2" t="n">
        <x:v>0</x:v>
      </x:c>
      <x:c r="K2120" s="2" t="n">
        <x:v>1</x:v>
      </x:c>
      <x:c r="L2120" s="12" t="n">
        <x:v>6990.9355</x:v>
      </x:c>
      <x:c r="M2120" s="13" t="n">
        <x:v>1</x:v>
      </x:c>
      <x:c r="N2120" s="13" t="n">
        <x:f>H2120/G2120</x:f>
        <x:v>0.046607625860160797</x:v>
      </x:c>
      <x:c r="O2120" s="13" t="n">
        <x:f>F2120/E2120</x:f>
        <x:v>0</x:v>
      </x:c>
      <x:c r="P2120" s="2" t="str">
        <x:f>IF(AND(E2120&gt;='Итоги'!$F$5,N2120&lt;='Итоги'!$B$5,O2120&gt;='Итоги'!$D$5),"Да","Нет")</x:f>
        <x:v>Нет</x:v>
      </x:c>
    </x:row>
    <x:row r="2121" ht="60" customHeight="1">
      <x:c r="A2121" s="14" t="str">
        <x:v>Автотовары</x:v>
      </x:c>
      <x:c r="B2121" s="14" t="str">
        <x:v>Авто и мото запчасти</x:v>
      </x:c>
      <x:c r="C2121" s="14" t="str">
        <x:v>Отопление и кондиционирование для авто</x:v>
      </x:c>
      <x:c r="D2121" s="14" t="str">
        <x:v>Мотор печки для авто</x:v>
      </x:c>
      <x:c r="E2121" s="2" t="n">
        <x:v>6</x:v>
      </x:c>
      <x:c r="F2121" s="2" t="n">
        <x:v>0</x:v>
      </x:c>
      <x:c r="G2121" s="12" t="n">
        <x:v>575858.33</x:v>
      </x:c>
      <x:c r="H2121" s="12" t="n">
        <x:v>26841.2035</x:v>
      </x:c>
      <x:c r="I2121" s="13" t="n">
        <x:v>0.0414166666666666</x:v>
      </x:c>
      <x:c r="J2121" s="2" t="n">
        <x:v>4</x:v>
      </x:c>
      <x:c r="K2121" s="2" t="n">
        <x:v>3</x:v>
      </x:c>
      <x:c r="L2121" s="12" t="n">
        <x:v>3211.07735</x:v>
      </x:c>
      <x:c r="M2121" s="13" t="n">
        <x:v>0.4563066752893893</x:v>
      </x:c>
      <x:c r="N2121" s="13" t="n">
        <x:f>H2121/G2121</x:f>
        <x:v>0.04661077577882741</x:v>
      </x:c>
      <x:c r="O2121" s="13" t="n">
        <x:f>F2121/E2121</x:f>
        <x:v>0</x:v>
      </x:c>
      <x:c r="P2121" s="2" t="str">
        <x:f>IF(AND(E2121&gt;='Итоги'!$F$5,N2121&lt;='Итоги'!$B$5,O2121&gt;='Итоги'!$D$5),"Да","Нет")</x:f>
        <x:v>Нет</x:v>
      </x:c>
    </x:row>
    <x:row r="2122" ht="60" customHeight="1">
      <x:c r="A2122" s="14" t="str">
        <x:v>Товары для детей и спорта</x:v>
      </x:c>
      <x:c r="B2122" s="14" t="str">
        <x:v>Спорт детский</x:v>
      </x:c>
      <x:c r="C2122" s="14" t="str">
        <x:v>Игровой комплекс для детей</x:v>
      </x:c>
      <x:c r="D2122" s="14" t="str">
        <x:v>Песочница</x:v>
      </x:c>
      <x:c r="E2122" s="2" t="n">
        <x:v>18</x:v>
      </x:c>
      <x:c r="F2122" s="2" t="n">
        <x:v>0</x:v>
      </x:c>
      <x:c r="G2122" s="12" t="n">
        <x:v>2089764.5286</x:v>
      </x:c>
      <x:c r="H2122" s="12" t="n">
        <x:v>97452.28204002</x:v>
      </x:c>
      <x:c r="I2122" s="13" t="n">
        <x:v>0.0500055555555555</x:v>
      </x:c>
      <x:c r="J2122" s="2" t="n">
        <x:v>6</x:v>
      </x:c>
      <x:c r="K2122" s="2" t="n">
        <x:v>12</x:v>
      </x:c>
      <x:c r="L2122" s="12" t="n">
        <x:v>3325.45355</x:v>
      </x:c>
      <x:c r="M2122" s="13" t="n">
        <x:v>0.2296967067010058</x:v>
      </x:c>
      <x:c r="N2122" s="13" t="n">
        <x:f>H2122/G2122</x:f>
        <x:v>0.046633140100864084</x:v>
      </x:c>
      <x:c r="O2122" s="13" t="n">
        <x:f>F2122/E2122</x:f>
        <x:v>0</x:v>
      </x:c>
      <x:c r="P2122" s="2" t="str">
        <x:f>IF(AND(E2122&gt;='Итоги'!$F$5,N2122&lt;='Итоги'!$B$5,O2122&gt;='Итоги'!$D$5),"Да","Нет")</x:f>
        <x:v>Нет</x:v>
      </x:c>
    </x:row>
    <x:row r="2123" ht="60" customHeight="1">
      <x:c r="A2123" s="14" t="str">
        <x:v>Одежда</x:v>
      </x:c>
      <x:c r="B2123" s="14" t="str">
        <x:v>Белье, домашняя одежда и ЧНИ</x:v>
      </x:c>
      <x:c r="C2123" s="14" t="str">
        <x:v>Белье корректирующее женское</x:v>
      </x:c>
      <x:c r="D2123" s="14" t="str">
        <x:v>Белье корректирующее женское</x:v>
      </x:c>
      <x:c r="E2123" s="2" t="n">
        <x:v>7</x:v>
      </x:c>
      <x:c r="F2123" s="2" t="n">
        <x:v>0</x:v>
      </x:c>
      <x:c r="G2123" s="12" t="n">
        <x:v>432455.8132</x:v>
      </x:c>
      <x:c r="H2123" s="12" t="n">
        <x:v>20171.89386048</x:v>
      </x:c>
      <x:c r="I2123" s="13" t="n">
        <x:v>0.0393428571428571</x:v>
      </x:c>
      <x:c r="J2123" s="2" t="n">
        <x:v>0</x:v>
      </x:c>
      <x:c r="K2123" s="2" t="n">
        <x:v>3</x:v>
      </x:c>
      <x:c r="L2123" s="12" t="n">
        <x:v>911.1025</x:v>
      </x:c>
      <x:c r="M2123" s="13" t="n">
        <x:v>0.4102511747667264</x:v>
      </x:c>
      <x:c r="N2123" s="13" t="n">
        <x:f>H2123/G2123</x:f>
        <x:v>0.046644982550277346</x:v>
      </x:c>
      <x:c r="O2123" s="13" t="n">
        <x:f>F2123/E2123</x:f>
        <x:v>0</x:v>
      </x:c>
      <x:c r="P2123" s="2" t="str">
        <x:f>IF(AND(E2123&gt;='Итоги'!$F$5,N2123&lt;='Итоги'!$B$5,O2123&gt;='Итоги'!$D$5),"Да","Нет")</x:f>
        <x:v>Нет</x:v>
      </x:c>
    </x:row>
    <x:row r="2124" ht="60" customHeight="1">
      <x:c r="A2124" s="14" t="str">
        <x:v>Товары для дома</x:v>
      </x:c>
      <x:c r="B2124" s="14" t="str">
        <x:v>Кухня</x:v>
      </x:c>
      <x:c r="C2124" s="14" t="str">
        <x:v>Кухонная утварь и принадлежности</x:v>
      </x:c>
      <x:c r="D2124" s="14" t="str">
        <x:v>Шприц, мешок кулинарный, кондитерский</x:v>
      </x:c>
      <x:c r="E2124" s="2" t="n">
        <x:v>14</x:v>
      </x:c>
      <x:c r="F2124" s="2" t="n">
        <x:v>0</x:v>
      </x:c>
      <x:c r="G2124" s="12" t="n">
        <x:v>2135857.5601</x:v>
      </x:c>
      <x:c r="H2124" s="12" t="n">
        <x:v>99689.56184507</x:v>
      </x:c>
      <x:c r="I2124" s="13" t="n">
        <x:v>0.0734285714285714</x:v>
      </x:c>
      <x:c r="J2124" s="2" t="n">
        <x:v>3</x:v>
      </x:c>
      <x:c r="K2124" s="2" t="n">
        <x:v>7</x:v>
      </x:c>
      <x:c r="L2124" s="12" t="n">
        <x:v>1698.8672</x:v>
      </x:c>
      <x:c r="M2124" s="13" t="n">
        <x:v>0.3790856212162816</x:v>
      </x:c>
      <x:c r="N2124" s="13" t="n">
        <x:f>H2124/G2124</x:f>
        <x:v>0.046674255674803794</x:v>
      </x:c>
      <x:c r="O2124" s="13" t="n">
        <x:f>F2124/E2124</x:f>
        <x:v>0</x:v>
      </x:c>
      <x:c r="P2124" s="2" t="str">
        <x:f>IF(AND(E2124&gt;='Итоги'!$F$5,N2124&lt;='Итоги'!$B$5,O2124&gt;='Итоги'!$D$5),"Да","Нет")</x:f>
        <x:v>Нет</x:v>
      </x:c>
    </x:row>
    <x:row r="2125" ht="60" customHeight="1">
      <x:c r="A2125" s="14" t="str">
        <x:v>Ноутбуки и компьютеры</x:v>
      </x:c>
      <x:c r="B2125" s="14" t="str">
        <x:v>Расходный материал для электроники Lap&amp;Comp</x:v>
      </x:c>
      <x:c r="C2125" s="14" t="str">
        <x:v>Расходный материал для электроники Lap&amp;Comp</x:v>
      </x:c>
      <x:c r="D2125" s="14" t="str">
        <x:v>Картридж, чернила, тонер</x:v>
      </x:c>
      <x:c r="E2125" s="2" t="n">
        <x:v>211</x:v>
      </x:c>
      <x:c r="F2125" s="2" t="n">
        <x:v>0</x:v>
      </x:c>
      <x:c r="G2125" s="12" t="n">
        <x:v>31674106.8947</x:v>
      </x:c>
      <x:c r="H2125" s="12" t="n">
        <x:v>1479269.58690802</x:v>
      </x:c>
      <x:c r="I2125" s="13" t="n">
        <x:v>0.0402398104265402</x:v>
      </x:c>
      <x:c r="J2125" s="2" t="n">
        <x:v>48</x:v>
      </x:c>
      <x:c r="K2125" s="2" t="n">
        <x:v>30</x:v>
      </x:c>
      <x:c r="L2125" s="12" t="n">
        <x:v>1924.5978</x:v>
      </x:c>
      <x:c r="M2125" s="13" t="n">
        <x:v>0.7365456041383662</x:v>
      </x:c>
      <x:c r="N2125" s="13" t="n">
        <x:f>H2125/G2125</x:f>
        <x:v>0.04670280339161023</x:v>
      </x:c>
      <x:c r="O2125" s="13" t="n">
        <x:f>F2125/E2125</x:f>
        <x:v>0</x:v>
      </x:c>
      <x:c r="P2125" s="2" t="str">
        <x:f>IF(AND(E2125&gt;='Итоги'!$F$5,N2125&lt;='Итоги'!$B$5,O2125&gt;='Итоги'!$D$5),"Да","Нет")</x:f>
        <x:v>Нет</x:v>
      </x:c>
    </x:row>
    <x:row r="2126" ht="60" customHeight="1">
      <x:c r="A2126" s="14" t="str">
        <x:v>Одежда</x:v>
      </x:c>
      <x:c r="B2126" s="14" t="str">
        <x:v>Спецодежда и одежда для мероприятий</x:v>
      </x:c>
      <x:c r="C2126" s="14" t="str">
        <x:v>Спецодежда мужская</x:v>
      </x:c>
      <x:c r="D2126" s="14" t="str">
        <x:v>Куртка для повара (китель) мужская</x:v>
      </x:c>
      <x:c r="E2126" s="2" t="n">
        <x:v>9</x:v>
      </x:c>
      <x:c r="F2126" s="2" t="n">
        <x:v>0</x:v>
      </x:c>
      <x:c r="G2126" s="12" t="n">
        <x:v>1120997.2366</x:v>
      </x:c>
      <x:c r="H2126" s="12" t="n">
        <x:v>52399.45144096</x:v>
      </x:c>
      <x:c r="I2126" s="13" t="n">
        <x:v>0.0390222222222222</x:v>
      </x:c>
      <x:c r="J2126" s="2" t="n">
        <x:v>1</x:v>
      </x:c>
      <x:c r="K2126" s="2" t="n">
        <x:v>1</x:v>
      </x:c>
      <x:c r="L2126" s="12" t="n">
        <x:v>2330.7134</x:v>
      </x:c>
      <x:c r="M2126" s="13" t="n">
        <x:v>1</x:v>
      </x:c>
      <x:c r="N2126" s="13" t="n">
        <x:f>H2126/G2126</x:f>
        <x:v>0.04674360447121909</x:v>
      </x:c>
      <x:c r="O2126" s="13" t="n">
        <x:f>F2126/E2126</x:f>
        <x:v>0</x:v>
      </x:c>
      <x:c r="P2126" s="2" t="str">
        <x:f>IF(AND(E2126&gt;='Итоги'!$F$5,N2126&lt;='Итоги'!$B$5,O2126&gt;='Итоги'!$D$5),"Да","Нет")</x:f>
        <x:v>Нет</x:v>
      </x:c>
    </x:row>
    <x:row r="2127" ht="60" customHeight="1">
      <x:c r="A2127" s="14" t="str">
        <x:v>Школьные принадлежности и канцелярия</x:v>
      </x:c>
      <x:c r="B2127" s="14" t="str">
        <x:v>Товары для школы, канцелярия, оборудование</x:v>
      </x:c>
      <x:c r="C2127" s="14" t="str">
        <x:v>Ежедневник, планинг</x:v>
      </x:c>
      <x:c r="D2127" s="14" t="str">
        <x:v>Планер, планинг</x:v>
      </x:c>
      <x:c r="E2127" s="2" t="n">
        <x:v>1</x:v>
      </x:c>
      <x:c r="F2127" s="2" t="n">
        <x:v>0</x:v>
      </x:c>
      <x:c r="G2127" s="12" t="n">
        <x:v>84026.1221</x:v>
      </x:c>
      <x:c r="H2127" s="12" t="n">
        <x:v>3932.42251428</x:v>
      </x:c>
      <x:c r="I2127" s="13" t="n">
        <x:v>0.0468</x:v>
      </x:c>
      <x:c r="J2127" s="2" t="n">
        <x:v>0</x:v>
      </x:c>
      <x:c r="K2127" s="2" t="n">
        <x:v>1</x:v>
      </x:c>
      <x:c r="L2127" s="12" t="n">
        <x:v>954.8423</x:v>
      </x:c>
      <x:c r="M2127" s="13" t="n">
        <x:v>1</x:v>
      </x:c>
      <x:c r="N2127" s="13" t="n">
        <x:f>H2127/G2127</x:f>
        <x:v>0.04680000000000001</x:v>
      </x:c>
      <x:c r="O2127" s="13" t="n">
        <x:f>F2127/E2127</x:f>
        <x:v>0</x:v>
      </x:c>
      <x:c r="P2127" s="2" t="str">
        <x:f>IF(AND(E2127&gt;='Итоги'!$F$5,N2127&lt;='Итоги'!$B$5,O2127&gt;='Итоги'!$D$5),"Да","Нет")</x:f>
        <x:v>Нет</x:v>
      </x:c>
    </x:row>
    <x:row r="2128" ht="60" customHeight="1">
      <x:c r="A2128" s="14" t="str">
        <x:v>Строительство и ремонт (DIY)</x:v>
      </x:c>
      <x:c r="B2128" s="14" t="str">
        <x:v>Инструменты</x:v>
      </x:c>
      <x:c r="C2128" s="14" t="str">
        <x:v>Оснастка для инструмента</x:v>
      </x:c>
      <x:c r="D2128" s="14" t="str">
        <x:v>Запчасти для бензоинструмента</x:v>
      </x:c>
      <x:c r="E2128" s="2" t="n">
        <x:v>120</x:v>
      </x:c>
      <x:c r="F2128" s="2" t="n">
        <x:v>0</x:v>
      </x:c>
      <x:c r="G2128" s="12" t="n">
        <x:v>14389946.4889</x:v>
      </x:c>
      <x:c r="H2128" s="12" t="n">
        <x:v>673509.4032082501</x:v>
      </x:c>
      <x:c r="I2128" s="13" t="n">
        <x:v>0.0405116666666666</x:v>
      </x:c>
      <x:c r="J2128" s="2" t="n">
        <x:v>65</x:v>
      </x:c>
      <x:c r="K2128" s="2" t="n">
        <x:v>27</x:v>
      </x:c>
      <x:c r="L2128" s="12" t="n">
        <x:v>1301.72245</x:v>
      </x:c>
      <x:c r="M2128" s="13" t="n">
        <x:v>0.4263064714474096</x:v>
      </x:c>
      <x:c r="N2128" s="13" t="n">
        <x:f>H2128/G2128</x:f>
        <x:v>0.04680416315152918</x:v>
      </x:c>
      <x:c r="O2128" s="13" t="n">
        <x:f>F2128/E2128</x:f>
        <x:v>0</x:v>
      </x:c>
      <x:c r="P2128" s="2" t="str">
        <x:f>IF(AND(E2128&gt;='Итоги'!$F$5,N2128&lt;='Итоги'!$B$5,O2128&gt;='Итоги'!$D$5),"Да","Нет")</x:f>
        <x:v>Нет</x:v>
      </x:c>
    </x:row>
    <x:row r="2129" ht="60" customHeight="1">
      <x:c r="A2129" s="14" t="str">
        <x:v>Книги</x:v>
      </x:c>
      <x:c r="B2129" s="14" t="str">
        <x:v>Печатные книги: Бизнес-литература</x:v>
      </x:c>
      <x:c r="C2129" s="14" t="str">
        <x:v>Бизнес-литература</x:v>
      </x:c>
      <x:c r="D2129" s="14" t="str">
        <x:v>Печатная книга: Бизнес-литература</x:v>
      </x:c>
      <x:c r="E2129" s="2" t="n">
        <x:v>9</x:v>
      </x:c>
      <x:c r="F2129" s="2" t="n">
        <x:v>0</x:v>
      </x:c>
      <x:c r="G2129" s="12" t="n">
        <x:v>681462.7867</x:v>
      </x:c>
      <x:c r="H2129" s="12" t="n">
        <x:v>31915.2691018</x:v>
      </x:c>
      <x:c r="I2129" s="13" t="n">
        <x:v>0.0509111111111111</x:v>
      </x:c>
      <x:c r="J2129" s="2" t="n">
        <x:v>3</x:v>
      </x:c>
      <x:c r="K2129" s="2" t="n">
        <x:v>5</x:v>
      </x:c>
      <x:c r="L2129" s="12" t="n">
        <x:v>1026.6634</x:v>
      </x:c>
      <x:c r="M2129" s="13" t="n">
        <x:v>0.6603014261116072</x:v>
      </x:c>
      <x:c r="N2129" s="13" t="n">
        <x:f>H2129/G2129</x:f>
        <x:v>0.04683347311795331</x:v>
      </x:c>
      <x:c r="O2129" s="13" t="n">
        <x:f>F2129/E2129</x:f>
        <x:v>0</x:v>
      </x:c>
      <x:c r="P2129" s="2" t="str">
        <x:f>IF(AND(E2129&gt;='Итоги'!$F$5,N2129&lt;='Итоги'!$B$5,O2129&gt;='Итоги'!$D$5),"Да","Нет")</x:f>
        <x:v>Нет</x:v>
      </x:c>
    </x:row>
    <x:row r="2130" ht="60" customHeight="1">
      <x:c r="A2130" s="14" t="str">
        <x:v>Одежда</x:v>
      </x:c>
      <x:c r="B2130" s="14" t="str">
        <x:v>Белье, домашняя одежда и ЧНИ</x:v>
      </x:c>
      <x:c r="C2130" s="14" t="str">
        <x:v>Спортивное белье, носки</x:v>
      </x:c>
      <x:c r="D2130" s="14" t="str">
        <x:v>Спортивные трусы мужские</x:v>
      </x:c>
      <x:c r="E2130" s="2" t="n">
        <x:v>71</x:v>
      </x:c>
      <x:c r="F2130" s="2" t="n">
        <x:v>0</x:v>
      </x:c>
      <x:c r="G2130" s="12" t="n">
        <x:v>10801660.8248</x:v>
      </x:c>
      <x:c r="H2130" s="12" t="n">
        <x:v>506388.64021791</x:v>
      </x:c>
      <x:c r="I2130" s="13" t="n">
        <x:v>0.0558323943661971</x:v>
      </x:c>
      <x:c r="J2130" s="2" t="n">
        <x:v>27</x:v>
      </x:c>
      <x:c r="K2130" s="2" t="n">
        <x:v>17</x:v>
      </x:c>
      <x:c r="L2130" s="12" t="n">
        <x:v>864.4207</x:v>
      </x:c>
      <x:c r="M2130" s="13" t="n">
        <x:v>0.5863667126223873</x:v>
      </x:c>
      <x:c r="N2130" s="13" t="n">
        <x:f>H2130/G2130</x:f>
        <x:v>0.04688062775080573</x:v>
      </x:c>
      <x:c r="O2130" s="13" t="n">
        <x:f>F2130/E2130</x:f>
        <x:v>0</x:v>
      </x:c>
      <x:c r="P2130" s="2" t="str">
        <x:f>IF(AND(E2130&gt;='Итоги'!$F$5,N2130&lt;='Итоги'!$B$5,O2130&gt;='Итоги'!$D$5),"Да","Нет")</x:f>
        <x:v>Нет</x:v>
      </x:c>
    </x:row>
    <x:row r="2131" ht="60" customHeight="1">
      <x:c r="A2131" s="14" t="str">
        <x:v>Товары для красоты и здоровья</x:v>
      </x:c>
      <x:c r="B2131" s="14" t="str">
        <x:v>Косметическая техника</x:v>
      </x:c>
      <x:c r="C2131" s="14" t="str">
        <x:v>Оборудование для салона красоты</x:v>
      </x:c>
      <x:c r="D2131" s="14" t="str">
        <x:v>Подушка для лешмейкера, для наращивания ресниц</x:v>
      </x:c>
      <x:c r="E2131" s="2" t="n">
        <x:v>2</x:v>
      </x:c>
      <x:c r="F2131" s="2" t="n">
        <x:v>0</x:v>
      </x:c>
      <x:c r="G2131" s="12" t="n">
        <x:v>191406.8</x:v>
      </x:c>
      <x:c r="H2131" s="12" t="n">
        <x:v>8981.353000000001</x:v>
      </x:c>
      <x:c r="I2131" s="13" t="n">
        <x:v>0.0565</x:v>
      </x:c>
      <x:c r="J2131" s="2" t="n">
        <x:v>1</x:v>
      </x:c>
      <x:c r="K2131" s="2" t="n">
        <x:v>2</x:v>
      </x:c>
      <x:c r="L2131" s="12" t="n">
        <x:v>1375.51135</x:v>
      </x:c>
      <x:c r="M2131" s="13" t="n">
        <x:v>0.5847535197286617</x:v>
      </x:c>
      <x:c r="N2131" s="13" t="n">
        <x:f>H2131/G2131</x:f>
        <x:v>0.04692285227066124</x:v>
      </x:c>
      <x:c r="O2131" s="13" t="n">
        <x:f>F2131/E2131</x:f>
        <x:v>0</x:v>
      </x:c>
      <x:c r="P2131" s="2" t="str">
        <x:f>IF(AND(E2131&gt;='Итоги'!$F$5,N2131&lt;='Итоги'!$B$5,O2131&gt;='Итоги'!$D$5),"Да","Нет")</x:f>
        <x:v>Нет</x:v>
      </x:c>
    </x:row>
    <x:row r="2132" ht="60" customHeight="1">
      <x:c r="A2132" s="14" t="str">
        <x:v>Аксессуары для электроники</x:v>
      </x:c>
      <x:c r="B2132" s="14" t="str">
        <x:v>Аксессуары для КБТ Access</x:v>
      </x:c>
      <x:c r="C2132" s="14" t="str">
        <x:v>Аксессуары для вытяжки Access</x:v>
      </x:c>
      <x:c r="D2132" s="14" t="str">
        <x:v>Аксессуары для вытяжки</x:v>
      </x:c>
      <x:c r="E2132" s="2" t="n">
        <x:v>6</x:v>
      </x:c>
      <x:c r="F2132" s="2" t="n">
        <x:v>0</x:v>
      </x:c>
      <x:c r="G2132" s="12" t="n">
        <x:v>762825.0348</x:v>
      </x:c>
      <x:c r="H2132" s="12" t="n">
        <x:v>35826.421838680006</x:v>
      </x:c>
      <x:c r="I2132" s="13" t="n">
        <x:v>0.0299666666666666</x:v>
      </x:c>
      <x:c r="J2132" s="2" t="n">
        <x:v>2</x:v>
      </x:c>
      <x:c r="K2132" s="2" t="n">
        <x:v>1</x:v>
      </x:c>
      <x:c r="L2132" s="12" t="n">
        <x:v>1346.3553000000002</x:v>
      </x:c>
      <x:c r="M2132" s="13" t="n">
        <x:v>1</x:v>
      </x:c>
      <x:c r="N2132" s="13" t="n">
        <x:f>H2132/G2132</x:f>
        <x:v>0.04696545105926301</x:v>
      </x:c>
      <x:c r="O2132" s="13" t="n">
        <x:f>F2132/E2132</x:f>
        <x:v>0</x:v>
      </x:c>
      <x:c r="P2132" s="2" t="str">
        <x:f>IF(AND(E2132&gt;='Итоги'!$F$5,N2132&lt;='Итоги'!$B$5,O2132&gt;='Итоги'!$D$5),"Да","Нет")</x:f>
        <x:v>Нет</x:v>
      </x:c>
    </x:row>
    <x:row r="2133" ht="60" customHeight="1">
      <x:c r="A2133" s="14" t="str">
        <x:v>Спорт и отдых</x:v>
      </x:c>
      <x:c r="B2133" s="14" t="str">
        <x:v>Колесный транспорт</x:v>
      </x:c>
      <x:c r="C2133" s="14" t="str">
        <x:v>Велоаксессуары</x:v>
      </x:c>
      <x:c r="D2133" s="14" t="str">
        <x:v>Аксессуар для велосипеда</x:v>
      </x:c>
      <x:c r="E2133" s="2" t="n">
        <x:v>43</x:v>
      </x:c>
      <x:c r="F2133" s="2" t="n">
        <x:v>0</x:v>
      </x:c>
      <x:c r="G2133" s="12" t="n">
        <x:v>5148804.8047</x:v>
      </x:c>
      <x:c r="H2133" s="12" t="n">
        <x:v>241834.80474518</x:v>
      </x:c>
      <x:c r="I2133" s="13" t="n">
        <x:v>0.0346046511627907</x:v>
      </x:c>
      <x:c r="J2133" s="2" t="n">
        <x:v>26</x:v>
      </x:c>
      <x:c r="K2133" s="2" t="n">
        <x:v>21</x:v>
      </x:c>
      <x:c r="L2133" s="12" t="n">
        <x:v>1977.7852</x:v>
      </x:c>
      <x:c r="M2133" s="13" t="n">
        <x:v>0.1842687822296034</x:v>
      </x:c>
      <x:c r="N2133" s="13" t="n">
        <x:f>H2133/G2133</x:f>
        <x:v>0.04696911495351798</x:v>
      </x:c>
      <x:c r="O2133" s="13" t="n">
        <x:f>F2133/E2133</x:f>
        <x:v>0</x:v>
      </x:c>
      <x:c r="P2133" s="2" t="str">
        <x:f>IF(AND(E2133&gt;='Итоги'!$F$5,N2133&lt;='Итоги'!$B$5,O2133&gt;='Итоги'!$D$5),"Да","Нет")</x:f>
        <x:v>Нет</x:v>
      </x:c>
    </x:row>
    <x:row r="2134" ht="60" customHeight="1">
      <x:c r="A2134" s="14" t="str">
        <x:v>Автотовары</x:v>
      </x:c>
      <x:c r="B2134" s="14" t="str">
        <x:v>Авто и мото запчасти</x:v>
      </x:c>
      <x:c r="C2134" s="14" t="str">
        <x:v>Запчасти для ТО</x:v>
      </x:c>
      <x:c r="D2134" s="14" t="str">
        <x:v>Готовые наборы для ТО</x:v>
      </x:c>
      <x:c r="E2134" s="2" t="n">
        <x:v>39</x:v>
      </x:c>
      <x:c r="F2134" s="2" t="n">
        <x:v>0</x:v>
      </x:c>
      <x:c r="G2134" s="12" t="n">
        <x:v>5535300.9833</x:v>
      </x:c>
      <x:c r="H2134" s="12" t="n">
        <x:v>260005.85094755</x:v>
      </x:c>
      <x:c r="I2134" s="13" t="n">
        <x:v>0.0447230769230769</x:v>
      </x:c>
      <x:c r="J2134" s="2" t="n">
        <x:v>11</x:v>
      </x:c>
      <x:c r="K2134" s="2" t="n">
        <x:v>13</x:v>
      </x:c>
      <x:c r="L2134" s="12" t="n">
        <x:v>1306.3838</x:v>
      </x:c>
      <x:c r="M2134" s="13" t="n">
        <x:v>0.2188447061785269</x:v>
      </x:c>
      <x:c r="N2134" s="13" t="n">
        <x:f>H2134/G2134</x:f>
        <x:v>0.04697230588399574</x:v>
      </x:c>
      <x:c r="O2134" s="13" t="n">
        <x:f>F2134/E2134</x:f>
        <x:v>0</x:v>
      </x:c>
      <x:c r="P2134" s="2" t="str">
        <x:f>IF(AND(E2134&gt;='Итоги'!$F$5,N2134&lt;='Итоги'!$B$5,O2134&gt;='Итоги'!$D$5),"Да","Нет")</x:f>
        <x:v>Нет</x:v>
      </x:c>
    </x:row>
    <x:row r="2135" ht="60" customHeight="1">
      <x:c r="A2135" s="14" t="str">
        <x:v>Аптека</x:v>
      </x:c>
      <x:c r="B2135" s="14" t="str">
        <x:v>Тату</x:v>
      </x:c>
      <x:c r="C2135" s="14" t="str">
        <x:v>Тату краска, хна, прочее</x:v>
      </x:c>
      <x:c r="D2135" s="14" t="str">
        <x:v>Тату гель</x:v>
      </x:c>
      <x:c r="E2135" s="2" t="n">
        <x:v>8</x:v>
      </x:c>
      <x:c r="F2135" s="2" t="n">
        <x:v>0</x:v>
      </x:c>
      <x:c r="G2135" s="12" t="n">
        <x:v>1046768.6661</x:v>
      </x:c>
      <x:c r="H2135" s="12" t="n">
        <x:v>49215.15832903</x:v>
      </x:c>
      <x:c r="I2135" s="13" t="n">
        <x:v>0.043675</x:v>
      </x:c>
      <x:c r="J2135" s="2" t="n">
        <x:v>4</x:v>
      </x:c>
      <x:c r="K2135" s="2" t="n">
        <x:v>6</x:v>
      </x:c>
      <x:c r="L2135" s="12" t="n">
        <x:v>1467.84225</x:v>
      </x:c>
      <x:c r="M2135" s="13" t="n">
        <x:v>0.3499654526007787</x:v>
      </x:c>
      <x:c r="N2135" s="13" t="n">
        <x:f>H2135/G2135</x:f>
        <x:v>0.04701627009183743</x:v>
      </x:c>
      <x:c r="O2135" s="13" t="n">
        <x:f>F2135/E2135</x:f>
        <x:v>0</x:v>
      </x:c>
      <x:c r="P2135" s="2" t="str">
        <x:f>IF(AND(E2135&gt;='Итоги'!$F$5,N2135&lt;='Итоги'!$B$5,O2135&gt;='Итоги'!$D$5),"Да","Нет")</x:f>
        <x:v>Нет</x:v>
      </x:c>
    </x:row>
    <x:row r="2136" ht="60" customHeight="1">
      <x:c r="A2136" s="14" t="str">
        <x:v>Хобби и творчество</x:v>
      </x:c>
      <x:c r="B2136" s="14" t="str">
        <x:v>Взрослое творчество и хобби</x:v>
      </x:c>
      <x:c r="C2136" s="14" t="str">
        <x:v>Настольные игры для взрослых</x:v>
      </x:c>
      <x:c r="D2136" s="14" t="str">
        <x:v>Карты игральные</x:v>
      </x:c>
      <x:c r="E2136" s="2" t="n">
        <x:v>3</x:v>
      </x:c>
      <x:c r="F2136" s="2" t="n">
        <x:v>0</x:v>
      </x:c>
      <x:c r="G2136" s="12" t="n">
        <x:v>324357.931</x:v>
      </x:c>
      <x:c r="H2136" s="12" t="n">
        <x:v>15251.508</x:v>
      </x:c>
      <x:c r="I2136" s="13" t="n">
        <x:v>0.041</x:v>
      </x:c>
      <x:c r="J2136" s="2" t="n">
        <x:v>2</x:v>
      </x:c>
      <x:c r="K2136" s="2" t="n">
        <x:v>1</x:v>
      </x:c>
      <x:c r="L2136" s="12" t="n">
        <x:v>821.1656</x:v>
      </x:c>
      <x:c r="M2136" s="13" t="n">
        <x:v>1</x:v>
      </x:c>
      <x:c r="N2136" s="13" t="n">
        <x:f>H2136/G2136</x:f>
        <x:v>0.047020610696890904</x:v>
      </x:c>
      <x:c r="O2136" s="13" t="n">
        <x:f>F2136/E2136</x:f>
        <x:v>0</x:v>
      </x:c>
      <x:c r="P2136" s="2" t="str">
        <x:f>IF(AND(E2136&gt;='Итоги'!$F$5,N2136&lt;='Итоги'!$B$5,O2136&gt;='Итоги'!$D$5),"Да","Нет")</x:f>
        <x:v>Нет</x:v>
      </x:c>
    </x:row>
    <x:row r="2137" ht="60" customHeight="1">
      <x:c r="A2137" s="14" t="str">
        <x:v>Товары для красоты и здоровья</x:v>
      </x:c>
      <x:c r="B2137" s="14" t="str">
        <x:v>Декоративная косметика</x:v>
      </x:c>
      <x:c r="C2137" s="14" t="str">
        <x:v>Глаза, ресницы, брови</x:v>
      </x:c>
      <x:c r="D2137" s="14" t="str">
        <x:v>Тушь для ресниц</x:v>
      </x:c>
      <x:c r="E2137" s="2" t="n">
        <x:v>21</x:v>
      </x:c>
      <x:c r="F2137" s="2" t="n">
        <x:v>0</x:v>
      </x:c>
      <x:c r="G2137" s="12" t="n">
        <x:v>3748136.2288</x:v>
      </x:c>
      <x:c r="H2137" s="12" t="n">
        <x:v>176369.7723344</x:v>
      </x:c>
      <x:c r="I2137" s="13" t="n">
        <x:v>0.0479095238095238</x:v>
      </x:c>
      <x:c r="J2137" s="2" t="n">
        <x:v>13</x:v>
      </x:c>
      <x:c r="K2137" s="2" t="n">
        <x:v>6</x:v>
      </x:c>
      <x:c r="L2137" s="12" t="n">
        <x:v>1033.2113</x:v>
      </x:c>
      <x:c r="M2137" s="13" t="n">
        <x:v>0.6421963059946291</x:v>
      </x:c>
      <x:c r="N2137" s="13" t="n">
        <x:f>H2137/G2137</x:f>
        <x:v>0.04705532605224074</x:v>
      </x:c>
      <x:c r="O2137" s="13" t="n">
        <x:f>F2137/E2137</x:f>
        <x:v>0</x:v>
      </x:c>
      <x:c r="P2137" s="2" t="str">
        <x:f>IF(AND(E2137&gt;='Итоги'!$F$5,N2137&lt;='Итоги'!$B$5,O2137&gt;='Итоги'!$D$5),"Да","Нет")</x:f>
        <x:v>Нет</x:v>
      </x:c>
    </x:row>
    <x:row r="2138" ht="60" customHeight="1">
      <x:c r="A2138" s="14" t="str">
        <x:v>Спорт и отдых</x:v>
      </x:c>
      <x:c r="B2138" s="14" t="str">
        <x:v>Туризм</x:v>
      </x:c>
      <x:c r="C2138" s="14" t="str">
        <x:v>Туристическая мебель</x:v>
      </x:c>
      <x:c r="D2138" s="14" t="str">
        <x:v>Набор туристической мебели</x:v>
      </x:c>
      <x:c r="E2138" s="2" t="n">
        <x:v>30</x:v>
      </x:c>
      <x:c r="F2138" s="2" t="n">
        <x:v>0</x:v>
      </x:c>
      <x:c r="G2138" s="12" t="n">
        <x:v>7507711.8349</x:v>
      </x:c>
      <x:c r="H2138" s="12" t="n">
        <x:v>354139.49321062</x:v>
      </x:c>
      <x:c r="I2138" s="13" t="n">
        <x:v>0.0535666666666666</x:v>
      </x:c>
      <x:c r="J2138" s="2" t="n">
        <x:v>12</x:v>
      </x:c>
      <x:c r="K2138" s="2" t="n">
        <x:v>10</x:v>
      </x:c>
      <x:c r="L2138" s="12" t="n">
        <x:v>3103.41545</x:v>
      </x:c>
      <x:c r="M2138" s="13" t="n">
        <x:v>0.4364764896232391</x:v>
      </x:c>
      <x:c r="N2138" s="13" t="n">
        <x:f>H2138/G2138</x:f>
        <x:v>0.047170096695025455</x:v>
      </x:c>
      <x:c r="O2138" s="13" t="n">
        <x:f>F2138/E2138</x:f>
        <x:v>0</x:v>
      </x:c>
      <x:c r="P2138" s="2" t="str">
        <x:f>IF(AND(E2138&gt;='Итоги'!$F$5,N2138&lt;='Итоги'!$B$5,O2138&gt;='Итоги'!$D$5),"Да","Нет")</x:f>
        <x:v>Нет</x:v>
      </x:c>
    </x:row>
    <x:row r="2139" ht="60" customHeight="1">
      <x:c r="A2139" s="14" t="str">
        <x:v>Товары для красоты и здоровья</x:v>
      </x:c>
      <x:c r="B2139" s="14" t="str">
        <x:v>Косметика для ухода за волосами</x:v>
      </x:c>
      <x:c r="C2139" s="14" t="str">
        <x:v>Уход за волосами для женщин</x:v>
      </x:c>
      <x:c r="D2139" s="14" t="str">
        <x:v>Сухой шампунь для волос женский</x:v>
      </x:c>
      <x:c r="E2139" s="2" t="n">
        <x:v>13</x:v>
      </x:c>
      <x:c r="F2139" s="2" t="n">
        <x:v>0</x:v>
      </x:c>
      <x:c r="G2139" s="12" t="n">
        <x:v>1749660.4514</x:v>
      </x:c>
      <x:c r="H2139" s="12" t="n">
        <x:v>82707.30963199999</x:v>
      </x:c>
      <x:c r="I2139" s="13" t="n">
        <x:v>0.0303538461538461</x:v>
      </x:c>
      <x:c r="J2139" s="2" t="n">
        <x:v>5</x:v>
      </x:c>
      <x:c r="K2139" s="2" t="n">
        <x:v>3</x:v>
      </x:c>
      <x:c r="L2139" s="12" t="n">
        <x:v>801.7046</x:v>
      </x:c>
      <x:c r="M2139" s="13" t="n">
        <x:v>0.8278076789934123</x:v>
      </x:c>
      <x:c r="N2139" s="13" t="n">
        <x:f>H2139/G2139</x:f>
        <x:v>0.04727049157784947</x:v>
      </x:c>
      <x:c r="O2139" s="13" t="n">
        <x:f>F2139/E2139</x:f>
        <x:v>0</x:v>
      </x:c>
      <x:c r="P2139" s="2" t="str">
        <x:f>IF(AND(E2139&gt;='Итоги'!$F$5,N2139&lt;='Итоги'!$B$5,O2139&gt;='Итоги'!$D$5),"Да","Нет")</x:f>
        <x:v>Нет</x:v>
      </x:c>
    </x:row>
    <x:row r="2140" ht="60" customHeight="1">
      <x:c r="A2140" s="14" t="str">
        <x:v>Бакалея и кондитерские изделия</x:v>
      </x:c>
      <x:c r="B2140" s="14" t="str">
        <x:v>Бакалея</x:v>
      </x:c>
      <x:c r="C2140" s="14" t="str">
        <x:v>Масла, соусы, уксус</x:v>
      </x:c>
      <x:c r="D2140" s="14" t="str">
        <x:v>Масло растительное</x:v>
      </x:c>
      <x:c r="E2140" s="2" t="n">
        <x:v>167</x:v>
      </x:c>
      <x:c r="F2140" s="2" t="n">
        <x:v>0</x:v>
      </x:c>
      <x:c r="G2140" s="12" t="n">
        <x:v>19339547.366</x:v>
      </x:c>
      <x:c r="H2140" s="12" t="n">
        <x:v>914727.34724437</x:v>
      </x:c>
      <x:c r="I2140" s="13" t="n">
        <x:v>0.0442670658682634</x:v>
      </x:c>
      <x:c r="J2140" s="2" t="n">
        <x:v>76</x:v>
      </x:c>
      <x:c r="K2140" s="2" t="n">
        <x:v>60</x:v>
      </x:c>
      <x:c r="L2140" s="12" t="n">
        <x:v>1537.851</x:v>
      </x:c>
      <x:c r="M2140" s="13" t="n">
        <x:v>0.3651751492858594</x:v>
      </x:c>
      <x:c r="N2140" s="13" t="n">
        <x:f>H2140/G2140</x:f>
        <x:v>0.04729828107831063</x:v>
      </x:c>
      <x:c r="O2140" s="13" t="n">
        <x:f>F2140/E2140</x:f>
        <x:v>0</x:v>
      </x:c>
      <x:c r="P2140" s="2" t="str">
        <x:f>IF(AND(E2140&gt;='Итоги'!$F$5,N2140&lt;='Итоги'!$B$5,O2140&gt;='Итоги'!$D$5),"Да","Нет")</x:f>
        <x:v>Нет</x:v>
      </x:c>
    </x:row>
    <x:row r="2141" ht="60" customHeight="1">
      <x:c r="A2141" s="14" t="str">
        <x:v>Автотовары</x:v>
      </x:c>
      <x:c r="B2141" s="14" t="str">
        <x:v>Автоинструменты и гаражное оборудование</x:v>
      </x:c>
      <x:c r="C2141" s="14" t="str">
        <x:v>Оборудование для гаража и автосервиса</x:v>
      </x:c>
      <x:c r="D2141" s="14" t="str">
        <x:v>Оснащение СТО и гаража</x:v>
      </x:c>
      <x:c r="E2141" s="2" t="n">
        <x:v>70</x:v>
      </x:c>
      <x:c r="F2141" s="2" t="n">
        <x:v>0</x:v>
      </x:c>
      <x:c r="G2141" s="12" t="n">
        <x:v>11876958.8322</x:v>
      </x:c>
      <x:c r="H2141" s="12" t="n">
        <x:v>562383.93601125</x:v>
      </x:c>
      <x:c r="I2141" s="13" t="n">
        <x:v>0.0466157142857142</x:v>
      </x:c>
      <x:c r="J2141" s="2" t="n">
        <x:v>25</x:v>
      </x:c>
      <x:c r="K2141" s="2" t="n">
        <x:v>25</x:v>
      </x:c>
      <x:c r="L2141" s="12" t="n">
        <x:v>2138.3</x:v>
      </x:c>
      <x:c r="M2141" s="13" t="n">
        <x:v>0.5227518477514118</x:v>
      </x:c>
      <x:c r="N2141" s="13" t="n">
        <x:f>H2141/G2141</x:f>
        <x:v>0.047350836519408745</x:v>
      </x:c>
      <x:c r="O2141" s="13" t="n">
        <x:f>F2141/E2141</x:f>
        <x:v>0</x:v>
      </x:c>
      <x:c r="P2141" s="2" t="str">
        <x:f>IF(AND(E2141&gt;='Итоги'!$F$5,N2141&lt;='Итоги'!$B$5,O2141&gt;='Итоги'!$D$5),"Да","Нет")</x:f>
        <x:v>Нет</x:v>
      </x:c>
    </x:row>
    <x:row r="2142" ht="60" customHeight="1">
      <x:c r="A2142" s="14" t="str">
        <x:v>Детская одежда</x:v>
      </x:c>
      <x:c r="B2142" s="14" t="str">
        <x:v>Детская одежда</x:v>
      </x:c>
      <x:c r="C2142" s="14" t="str">
        <x:v>Белье и ЧНИ для девочек</x:v>
      </x:c>
      <x:c r="D2142" s="14" t="str">
        <x:v>Комплект колготок для девочки</x:v>
      </x:c>
      <x:c r="E2142" s="2" t="n">
        <x:v>14</x:v>
      </x:c>
      <x:c r="F2142" s="2" t="n">
        <x:v>0</x:v>
      </x:c>
      <x:c r="G2142" s="12" t="n">
        <x:v>1891908.8755</x:v>
      </x:c>
      <x:c r="H2142" s="12" t="n">
        <x:v>89609.15566018</x:v>
      </x:c>
      <x:c r="I2142" s="13" t="n">
        <x:v>0.0491785714285714</x:v>
      </x:c>
      <x:c r="J2142" s="2" t="n">
        <x:v>0</x:v>
      </x:c>
      <x:c r="K2142" s="2" t="n">
        <x:v>3</x:v>
      </x:c>
      <x:c r="L2142" s="12" t="n">
        <x:v>949.01785</x:v>
      </x:c>
      <x:c r="M2142" s="13" t="n">
        <x:v>0.6591964010795192</x:v>
      </x:c>
      <x:c r="N2142" s="13" t="n">
        <x:f>H2142/G2142</x:f>
        <x:v>0.04736441422766611</x:v>
      </x:c>
      <x:c r="O2142" s="13" t="n">
        <x:f>F2142/E2142</x:f>
        <x:v>0</x:v>
      </x:c>
      <x:c r="P2142" s="2" t="str">
        <x:f>IF(AND(E2142&gt;='Итоги'!$F$5,N2142&lt;='Итоги'!$B$5,O2142&gt;='Итоги'!$D$5),"Да","Нет")</x:f>
        <x:v>Нет</x:v>
      </x:c>
    </x:row>
    <x:row r="2143" ht="60" customHeight="1">
      <x:c r="A2143" s="14" t="str">
        <x:v>Мелкая бытовая техника</x:v>
      </x:c>
      <x:c r="B2143" s="14" t="str">
        <x:v>SDA Климатическая техника</x:v>
      </x:c>
      <x:c r="C2143" s="14" t="str">
        <x:v>Климатическая техника SDA</x:v>
      </x:c>
      <x:c r="D2143" s="14" t="str">
        <x:v>Вентилятор вытяжной бытовой</x:v>
      </x:c>
      <x:c r="E2143" s="2" t="n">
        <x:v>70</x:v>
      </x:c>
      <x:c r="F2143" s="2" t="n">
        <x:v>0</x:v>
      </x:c>
      <x:c r="G2143" s="12" t="n">
        <x:v>10178904.9934</x:v>
      </x:c>
      <x:c r="H2143" s="12" t="n">
        <x:v>482860.82767897</x:v>
      </x:c>
      <x:c r="I2143" s="13" t="n">
        <x:v>0.0514085714285714</x:v>
      </x:c>
      <x:c r="J2143" s="2" t="n">
        <x:v>13</x:v>
      </x:c>
      <x:c r="K2143" s="2" t="n">
        <x:v>9</x:v>
      </x:c>
      <x:c r="L2143" s="12" t="n">
        <x:v>2543.84335</x:v>
      </x:c>
      <x:c r="M2143" s="13" t="n">
        <x:v>0.4473001042206583</x:v>
      </x:c>
      <x:c r="N2143" s="13" t="n">
        <x:f>H2143/G2143</x:f>
        <x:v>0.04743740392429803</x:v>
      </x:c>
      <x:c r="O2143" s="13" t="n">
        <x:f>F2143/E2143</x:f>
        <x:v>0</x:v>
      </x:c>
      <x:c r="P2143" s="2" t="str">
        <x:f>IF(AND(E2143&gt;='Итоги'!$F$5,N2143&lt;='Итоги'!$B$5,O2143&gt;='Итоги'!$D$5),"Да","Нет")</x:f>
        <x:v>Нет</x:v>
      </x:c>
    </x:row>
    <x:row r="2144" ht="60" customHeight="1">
      <x:c r="A2144" s="14" t="str">
        <x:v>Спорт и отдых</x:v>
      </x:c>
      <x:c r="B2144" s="14" t="str">
        <x:v>Тренажеры и фитнес</x:v>
      </x:c>
      <x:c r="C2144" s="14" t="str">
        <x:v>Кросстренинг и тяжёлая атлетика</x:v>
      </x:c>
      <x:c r="D2144" s="14" t="str">
        <x:v>Штанга спортивная</x:v>
      </x:c>
      <x:c r="E2144" s="2" t="n">
        <x:v>23</x:v>
      </x:c>
      <x:c r="F2144" s="2" t="n">
        <x:v>0</x:v>
      </x:c>
      <x:c r="G2144" s="12" t="n">
        <x:v>4410767.7213</x:v>
      </x:c>
      <x:c r="H2144" s="12" t="n">
        <x:v>209462.44423822</x:v>
      </x:c>
      <x:c r="I2144" s="13" t="n">
        <x:v>0.0598173913043478</x:v>
      </x:c>
      <x:c r="J2144" s="2" t="n">
        <x:v>1</x:v>
      </x:c>
      <x:c r="K2144" s="2" t="n">
        <x:v>5</x:v>
      </x:c>
      <x:c r="L2144" s="12" t="n">
        <x:v>3237.0528</x:v>
      </x:c>
      <x:c r="M2144" s="13" t="n">
        <x:v>0.6851324027349432</x:v>
      </x:c>
      <x:c r="N2144" s="13" t="n">
        <x:f>H2144/G2144</x:f>
        <x:v>0.047488885716358786</x:v>
      </x:c>
      <x:c r="O2144" s="13" t="n">
        <x:f>F2144/E2144</x:f>
        <x:v>0</x:v>
      </x:c>
      <x:c r="P2144" s="2" t="str">
        <x:f>IF(AND(E2144&gt;='Итоги'!$F$5,N2144&lt;='Итоги'!$B$5,O2144&gt;='Итоги'!$D$5),"Да","Нет")</x:f>
        <x:v>Нет</x:v>
      </x:c>
    </x:row>
    <x:row r="2145" ht="60" customHeight="1">
      <x:c r="A2145" s="14" t="str">
        <x:v>Одежда</x:v>
      </x:c>
      <x:c r="B2145" s="14" t="str">
        <x:v>Основная одежда женская</x:v>
      </x:c>
      <x:c r="C2145" s="14" t="str">
        <x:v>Спортивная основная одежда женская низы</x:v>
      </x:c>
      <x:c r="D2145" s="14" t="str">
        <x:v>Спортивная юбка женская</x:v>
      </x:c>
      <x:c r="E2145" s="2" t="n">
        <x:v>40</x:v>
      </x:c>
      <x:c r="F2145" s="2" t="n">
        <x:v>0</x:v>
      </x:c>
      <x:c r="G2145" s="12" t="n">
        <x:v>4574454.3938</x:v>
      </x:c>
      <x:c r="H2145" s="12" t="n">
        <x:v>217261.39615172</x:v>
      </x:c>
      <x:c r="I2145" s="13" t="n">
        <x:v>0.0488075</x:v>
      </x:c>
      <x:c r="J2145" s="2" t="n">
        <x:v>12</x:v>
      </x:c>
      <x:c r="K2145" s="2" t="n">
        <x:v>15</x:v>
      </x:c>
      <x:c r="L2145" s="12" t="n">
        <x:v>1891.9127</x:v>
      </x:c>
      <x:c r="M2145" s="13" t="n">
        <x:v>0.3634684023199584</x:v>
      </x:c>
      <x:c r="N2145" s="13" t="n">
        <x:f>H2145/G2145</x:f>
        <x:v>0.04749449386711252</x:v>
      </x:c>
      <x:c r="O2145" s="13" t="n">
        <x:f>F2145/E2145</x:f>
        <x:v>0</x:v>
      </x:c>
      <x:c r="P2145" s="2" t="str">
        <x:f>IF(AND(E2145&gt;='Итоги'!$F$5,N2145&lt;='Итоги'!$B$5,O2145&gt;='Итоги'!$D$5),"Да","Нет")</x:f>
        <x:v>Нет</x:v>
      </x:c>
    </x:row>
    <x:row r="2146" ht="60" customHeight="1">
      <x:c r="A2146" s="14" t="str">
        <x:v>Строительство и ремонт (DIY)</x:v>
      </x:c>
      <x:c r="B2146" s="14" t="str">
        <x:v>Сад и огород</x:v>
      </x:c>
      <x:c r="C2146" s="14" t="str">
        <x:v>Садовый инструмент</x:v>
      </x:c>
      <x:c r="D2146" s="14" t="str">
        <x:v>Подметальная машина</x:v>
      </x:c>
      <x:c r="E2146" s="2" t="n">
        <x:v>3</x:v>
      </x:c>
      <x:c r="F2146" s="2" t="n">
        <x:v>0</x:v>
      </x:c>
      <x:c r="G2146" s="12" t="n">
        <x:v>299748</x:v>
      </x:c>
      <x:c r="H2146" s="12" t="n">
        <x:v>14272.3896</x:v>
      </x:c>
      <x:c r="I2146" s="13" t="n">
        <x:v>0.0569333333333333</x:v>
      </x:c>
      <x:c r="J2146" s="2" t="n">
        <x:v>2</x:v>
      </x:c>
      <x:c r="K2146" s="2" t="n">
        <x:v>1</x:v>
      </x:c>
      <x:c r="L2146" s="12" t="n">
        <x:v>12021</x:v>
      </x:c>
      <x:c r="M2146" s="13" t="n">
        <x:v>1</x:v>
      </x:c>
      <x:c r="N2146" s="13" t="n">
        <x:f>H2146/G2146</x:f>
        <x:v>0.04761462828776172</x:v>
      </x:c>
      <x:c r="O2146" s="13" t="n">
        <x:f>F2146/E2146</x:f>
        <x:v>0</x:v>
      </x:c>
      <x:c r="P2146" s="2" t="str">
        <x:f>IF(AND(E2146&gt;='Итоги'!$F$5,N2146&lt;='Итоги'!$B$5,O2146&gt;='Итоги'!$D$5),"Да","Нет")</x:f>
        <x:v>Нет</x:v>
      </x:c>
    </x:row>
    <x:row r="2147" ht="60" customHeight="1">
      <x:c r="A2147" s="14" t="str">
        <x:v>Спорт и отдых</x:v>
      </x:c>
      <x:c r="B2147" s="14" t="str">
        <x:v>Колесный транспорт</x:v>
      </x:c>
      <x:c r="C2147" s="14" t="str">
        <x:v>Скейтборд</x:v>
      </x:c>
      <x:c r="D2147" s="14" t="str">
        <x:v>Скейтборд</x:v>
      </x:c>
      <x:c r="E2147" s="2" t="n">
        <x:v>18</x:v>
      </x:c>
      <x:c r="F2147" s="2" t="n">
        <x:v>0</x:v>
      </x:c>
      <x:c r="G2147" s="12" t="n">
        <x:v>3053693.7008</x:v>
      </x:c>
      <x:c r="H2147" s="12" t="n">
        <x:v>145452.47547258</x:v>
      </x:c>
      <x:c r="I2147" s="13" t="n">
        <x:v>0.04555</x:v>
      </x:c>
      <x:c r="J2147" s="2" t="n">
        <x:v>4</x:v>
      </x:c>
      <x:c r="K2147" s="2" t="n">
        <x:v>3</x:v>
      </x:c>
      <x:c r="L2147" s="12" t="n">
        <x:v>2217.52085</x:v>
      </x:c>
      <x:c r="M2147" s="13" t="n">
        <x:v>0.7544176588819193</x:v>
      </x:c>
      <x:c r="N2147" s="13" t="n">
        <x:f>H2147/G2147</x:f>
        <x:v>0.04763165193499095</x:v>
      </x:c>
      <x:c r="O2147" s="13" t="n">
        <x:f>F2147/E2147</x:f>
        <x:v>0</x:v>
      </x:c>
      <x:c r="P2147" s="2" t="str">
        <x:f>IF(AND(E2147&gt;='Итоги'!$F$5,N2147&lt;='Итоги'!$B$5,O2147&gt;='Итоги'!$D$5),"Да","Нет")</x:f>
        <x:v>Нет</x:v>
      </x:c>
    </x:row>
    <x:row r="2148" ht="60" customHeight="1">
      <x:c r="A2148" s="14" t="str">
        <x:v>Спорт и отдых</x:v>
      </x:c>
      <x:c r="B2148" s="14" t="str">
        <x:v>Водные виды спорта</x:v>
      </x:c>
      <x:c r="C2148" s="14" t="str">
        <x:v>SUP-доска</x:v>
      </x:c>
      <x:c r="D2148" s="14" t="str">
        <x:v>Насос для Sup-доски</x:v>
      </x:c>
      <x:c r="E2148" s="2" t="n">
        <x:v>13</x:v>
      </x:c>
      <x:c r="F2148" s="2" t="n">
        <x:v>0</x:v>
      </x:c>
      <x:c r="G2148" s="12" t="n">
        <x:v>1728319.1696</x:v>
      </x:c>
      <x:c r="H2148" s="12" t="n">
        <x:v>82386.3912</x:v>
      </x:c>
      <x:c r="I2148" s="13" t="n">
        <x:v>0.0249076923076923</x:v>
      </x:c>
      <x:c r="J2148" s="2" t="n">
        <x:v>9</x:v>
      </x:c>
      <x:c r="K2148" s="2" t="n">
        <x:v>8</x:v>
      </x:c>
      <x:c r="L2148" s="12" t="n">
        <x:v>4020.3846</x:v>
      </x:c>
      <x:c r="M2148" s="13" t="n">
        <x:v>0.8056185596334313</x:v>
      </x:c>
      <x:c r="N2148" s="13" t="n">
        <x:f>H2148/G2148</x:f>
        <x:v>0.04766850512863744</x:v>
      </x:c>
      <x:c r="O2148" s="13" t="n">
        <x:f>F2148/E2148</x:f>
        <x:v>0</x:v>
      </x:c>
      <x:c r="P2148" s="2" t="str">
        <x:f>IF(AND(E2148&gt;='Итоги'!$F$5,N2148&lt;='Итоги'!$B$5,O2148&gt;='Итоги'!$D$5),"Да","Нет")</x:f>
        <x:v>Нет</x:v>
      </x:c>
    </x:row>
    <x:row r="2149" ht="60" customHeight="1">
      <x:c r="A2149" s="14" t="str">
        <x:v>Бытовая химия и гигиена рта</x:v>
      </x:c>
      <x:c r="B2149" s="14" t="str">
        <x:v>Гигиена рта</x:v>
      </x:c>
      <x:c r="C2149" s="14" t="str">
        <x:v>Гигиена рта</x:v>
      </x:c>
      <x:c r="D2149" s="14" t="str">
        <x:v>Зубная щетка детская</x:v>
      </x:c>
      <x:c r="E2149" s="2" t="n">
        <x:v>16</x:v>
      </x:c>
      <x:c r="F2149" s="2" t="n">
        <x:v>0</x:v>
      </x:c>
      <x:c r="G2149" s="12" t="n">
        <x:v>3586033.9655</x:v>
      </x:c>
      <x:c r="H2149" s="12" t="n">
        <x:v>170977.52345016</x:v>
      </x:c>
      <x:c r="I2149" s="13" t="n">
        <x:v>0.0514562499999999</x:v>
      </x:c>
      <x:c r="J2149" s="2" t="n">
        <x:v>4</x:v>
      </x:c>
      <x:c r="K2149" s="2" t="n">
        <x:v>3</x:v>
      </x:c>
      <x:c r="L2149" s="12" t="n">
        <x:v>906.76235</x:v>
      </x:c>
      <x:c r="M2149" s="13" t="n">
        <x:v>0.8375386274628412</x:v>
      </x:c>
      <x:c r="N2149" s="13" t="n">
        <x:f>H2149/G2149</x:f>
        <x:v>0.047678723931528805</x:v>
      </x:c>
      <x:c r="O2149" s="13" t="n">
        <x:f>F2149/E2149</x:f>
        <x:v>0</x:v>
      </x:c>
      <x:c r="P2149" s="2" t="str">
        <x:f>IF(AND(E2149&gt;='Итоги'!$F$5,N2149&lt;='Итоги'!$B$5,O2149&gt;='Итоги'!$D$5),"Да","Нет")</x:f>
        <x:v>Нет</x:v>
      </x:c>
    </x:row>
    <x:row r="2150" ht="60" customHeight="1">
      <x:c r="A2150" s="14" t="str">
        <x:v>Строительство и ремонт (DIY)</x:v>
      </x:c>
      <x:c r="B2150" s="14" t="str">
        <x:v>Инструменты</x:v>
      </x:c>
      <x:c r="C2150" s="14" t="str">
        <x:v>Инструмент ручной для строительства, ремонта</x:v>
      </x:c>
      <x:c r="D2150" s="14" t="str">
        <x:v>Пневмоинструмент</x:v>
      </x:c>
      <x:c r="E2150" s="2" t="n">
        <x:v>21</x:v>
      </x:c>
      <x:c r="F2150" s="2" t="n">
        <x:v>0</x:v>
      </x:c>
      <x:c r="G2150" s="12" t="n">
        <x:v>3557384.4888</x:v>
      </x:c>
      <x:c r="H2150" s="12" t="n">
        <x:v>169622.75227676</x:v>
      </x:c>
      <x:c r="I2150" s="13" t="n">
        <x:v>0.0574666666666666</x:v>
      </x:c>
      <x:c r="J2150" s="2" t="n">
        <x:v>7</x:v>
      </x:c>
      <x:c r="K2150" s="2" t="n">
        <x:v>9</x:v>
      </x:c>
      <x:c r="L2150" s="12" t="n">
        <x:v>2123.6153</x:v>
      </x:c>
      <x:c r="M2150" s="13" t="n">
        <x:v>0.6614640990616555</x:v>
      </x:c>
      <x:c r="N2150" s="13" t="n">
        <x:f>H2150/G2150</x:f>
        <x:v>0.047681872120035655</x:v>
      </x:c>
      <x:c r="O2150" s="13" t="n">
        <x:f>F2150/E2150</x:f>
        <x:v>0</x:v>
      </x:c>
      <x:c r="P2150" s="2" t="str">
        <x:f>IF(AND(E2150&gt;='Итоги'!$F$5,N2150&lt;='Итоги'!$B$5,O2150&gt;='Итоги'!$D$5),"Да","Нет")</x:f>
        <x:v>Нет</x:v>
      </x:c>
    </x:row>
    <x:row r="2151" ht="60" customHeight="1">
      <x:c r="A2151" s="14" t="str">
        <x:v>Хобби и творчество</x:v>
      </x:c>
      <x:c r="B2151" s="14" t="str">
        <x:v>Детское творчество и хобби</x:v>
      </x:c>
      <x:c r="C2151" s="14" t="str">
        <x:v>Аксессуар для детского творчества</x:v>
      </x:c>
      <x:c r="D2151" s="14" t="str">
        <x:v>Клеевой пистолет для рукоделия и аксессуары к нему</x:v>
      </x:c>
      <x:c r="E2151" s="2" t="n">
        <x:v>2</x:v>
      </x:c>
      <x:c r="F2151" s="2" t="n">
        <x:v>0</x:v>
      </x:c>
      <x:c r="G2151" s="12" t="n">
        <x:v>226278.9818</x:v>
      </x:c>
      <x:c r="H2151" s="12" t="n">
        <x:v>10793.2022</x:v>
      </x:c>
      <x:c r="I2151" s="13" t="n">
        <x:v>0.0517</x:v>
      </x:c>
      <x:c r="J2151" s="2" t="n">
        <x:v>1</x:v>
      </x:c>
      <x:c r="K2151" s="2" t="n">
        <x:v>2</x:v>
      </x:c>
      <x:c r="L2151" s="12" t="n">
        <x:v>1728.93585</x:v>
      </x:c>
      <x:c r="M2151" s="13" t="n">
        <x:v>0.5386977651673347</x:v>
      </x:c>
      <x:c r="N2151" s="13" t="n">
        <x:f>H2151/G2151</x:f>
        <x:v>0.04769865108169759</x:v>
      </x:c>
      <x:c r="O2151" s="13" t="n">
        <x:f>F2151/E2151</x:f>
        <x:v>0</x:v>
      </x:c>
      <x:c r="P2151" s="2" t="str">
        <x:f>IF(AND(E2151&gt;='Итоги'!$F$5,N2151&lt;='Итоги'!$B$5,O2151&gt;='Итоги'!$D$5),"Да","Нет")</x:f>
        <x:v>Нет</x:v>
      </x:c>
    </x:row>
    <x:row r="2152" ht="60" customHeight="1">
      <x:c r="A2152" s="14" t="str">
        <x:v>Строительство и ремонт (DIY)</x:v>
      </x:c>
      <x:c r="B2152" s="14" t="str">
        <x:v>Сантехника</x:v>
      </x:c>
      <x:c r="C2152" s="14" t="str">
        <x:v>Душевая программа</x:v>
      </x:c>
      <x:c r="D2152" s="14" t="str">
        <x:v>Штанга, шланг, стойка, держатель</x:v>
      </x:c>
      <x:c r="E2152" s="2" t="n">
        <x:v>20</x:v>
      </x:c>
      <x:c r="F2152" s="2" t="n">
        <x:v>0</x:v>
      </x:c>
      <x:c r="G2152" s="12" t="n">
        <x:v>3135565.1542</x:v>
      </x:c>
      <x:c r="H2152" s="12" t="n">
        <x:v>149693.61333127</x:v>
      </x:c>
      <x:c r="I2152" s="13" t="n">
        <x:v>0.057905</x:v>
      </x:c>
      <x:c r="J2152" s="2" t="n">
        <x:v>5</x:v>
      </x:c>
      <x:c r="K2152" s="2" t="n">
        <x:v>4</x:v>
      </x:c>
      <x:c r="L2152" s="12" t="n">
        <x:v>1201.53745</x:v>
      </x:c>
      <x:c r="M2152" s="13" t="n">
        <x:v>0.9127273755949687</x:v>
      </x:c>
      <x:c r="N2152" s="13" t="n">
        <x:f>H2152/G2152</x:f>
        <x:v>0.047740552649897794</x:v>
      </x:c>
      <x:c r="O2152" s="13" t="n">
        <x:f>F2152/E2152</x:f>
        <x:v>0</x:v>
      </x:c>
      <x:c r="P2152" s="2" t="str">
        <x:f>IF(AND(E2152&gt;='Итоги'!$F$5,N2152&lt;='Итоги'!$B$5,O2152&gt;='Итоги'!$D$5),"Да","Нет")</x:f>
        <x:v>Нет</x:v>
      </x:c>
    </x:row>
    <x:row r="2153" ht="60" customHeight="1">
      <x:c r="A2153" s="14" t="str">
        <x:v>Автотовары</x:v>
      </x:c>
      <x:c r="B2153" s="14" t="str">
        <x:v>Авто и мото запчасти</x:v>
      </x:c>
      <x:c r="C2153" s="14" t="str">
        <x:v>Электрооборудование автомобиля</x:v>
      </x:c>
      <x:c r="D2153" s="14" t="str">
        <x:v>Стеклоподъемник автомобильный</x:v>
      </x:c>
      <x:c r="E2153" s="2" t="n">
        <x:v>9</x:v>
      </x:c>
      <x:c r="F2153" s="2" t="n">
        <x:v>0</x:v>
      </x:c>
      <x:c r="G2153" s="12" t="n">
        <x:v>1373267.3853</x:v>
      </x:c>
      <x:c r="H2153" s="12" t="n">
        <x:v>65573.12927325</x:v>
      </x:c>
      <x:c r="I2153" s="13" t="n">
        <x:v>0.0416666666666666</x:v>
      </x:c>
      <x:c r="J2153" s="2" t="n">
        <x:v>4</x:v>
      </x:c>
      <x:c r="K2153" s="2" t="n">
        <x:v>7</x:v>
      </x:c>
      <x:c r="L2153" s="12" t="n">
        <x:v>1570.3285</x:v>
      </x:c>
      <x:c r="M2153" s="13" t="n">
        <x:v>0.3343934944611547</x:v>
      </x:c>
      <x:c r="N2153" s="13" t="n">
        <x:f>H2153/G2153</x:f>
        <x:v>0.04774971718921664</x:v>
      </x:c>
      <x:c r="O2153" s="13" t="n">
        <x:f>F2153/E2153</x:f>
        <x:v>0</x:v>
      </x:c>
      <x:c r="P2153" s="2" t="str">
        <x:f>IF(AND(E2153&gt;='Итоги'!$F$5,N2153&lt;='Итоги'!$B$5,O2153&gt;='Итоги'!$D$5),"Да","Нет")</x:f>
        <x:v>Нет</x:v>
      </x:c>
    </x:row>
    <x:row r="2154" ht="60" customHeight="1">
      <x:c r="A2154" s="14" t="str">
        <x:v>Автотовары</x:v>
      </x:c>
      <x:c r="B2154" s="14" t="str">
        <x:v>Авто и мото запчасти</x:v>
      </x:c>
      <x:c r="C2154" s="14" t="str">
        <x:v>Подвеска автомобиля</x:v>
      </x:c>
      <x:c r="D2154" s="14" t="str">
        <x:v>Ступица, подшипник колеса</x:v>
      </x:c>
      <x:c r="E2154" s="2" t="n">
        <x:v>87</x:v>
      </x:c>
      <x:c r="F2154" s="2" t="n">
        <x:v>0</x:v>
      </x:c>
      <x:c r="G2154" s="12" t="n">
        <x:v>14180907.732</x:v>
      </x:c>
      <x:c r="H2154" s="12" t="n">
        <x:v>677270.7946534799</x:v>
      </x:c>
      <x:c r="I2154" s="13" t="n">
        <x:v>0.0474816091954023</x:v>
      </x:c>
      <x:c r="J2154" s="2" t="n">
        <x:v>27</x:v>
      </x:c>
      <x:c r="K2154" s="2" t="n">
        <x:v>22</x:v>
      </x:c>
      <x:c r="L2154" s="12" t="n">
        <x:v>2938.804</x:v>
      </x:c>
      <x:c r="M2154" s="13" t="n">
        <x:v>0.6522042596913217</x:v>
      </x:c>
      <x:c r="N2154" s="13" t="n">
        <x:f>H2154/G2154</x:f>
        <x:v>0.04775934005445794</x:v>
      </x:c>
      <x:c r="O2154" s="13" t="n">
        <x:f>F2154/E2154</x:f>
        <x:v>0</x:v>
      </x:c>
      <x:c r="P2154" s="2" t="str">
        <x:f>IF(AND(E2154&gt;='Итоги'!$F$5,N2154&lt;='Итоги'!$B$5,O2154&gt;='Итоги'!$D$5),"Да","Нет")</x:f>
        <x:v>Нет</x:v>
      </x:c>
    </x:row>
    <x:row r="2155" ht="60" customHeight="1">
      <x:c r="A2155" s="14" t="str">
        <x:v>Ноутбуки и компьютеры</x:v>
      </x:c>
      <x:c r="B2155" s="14" t="str">
        <x:v>Ноутбуки и стационарные компьютеры Lap&amp;Comp</x:v>
      </x:c>
      <x:c r="C2155" s="14" t="str">
        <x:v>Запчасти и комплектующие для ноутбука Lap&amp;Comp</x:v>
      </x:c>
      <x:c r="D2155" s="14" t="str">
        <x:v>Аккумулятор для ноутбука</x:v>
      </x:c>
      <x:c r="E2155" s="2" t="n">
        <x:v>70</x:v>
      </x:c>
      <x:c r="F2155" s="2" t="n">
        <x:v>0</x:v>
      </x:c>
      <x:c r="G2155" s="12" t="n">
        <x:v>9752577.8198</x:v>
      </x:c>
      <x:c r="H2155" s="12" t="n">
        <x:v>465916.79294602</x:v>
      </x:c>
      <x:c r="I2155" s="13" t="n">
        <x:v>0.0480628571428571</x:v>
      </x:c>
      <x:c r="J2155" s="2" t="n">
        <x:v>17</x:v>
      </x:c>
      <x:c r="K2155" s="2" t="n">
        <x:v>3</x:v>
      </x:c>
      <x:c r="L2155" s="12" t="n">
        <x:v>1455.51695</x:v>
      </x:c>
      <x:c r="M2155" s="13" t="n">
        <x:v>0.9382396434840904</x:v>
      </x:c>
      <x:c r="N2155" s="13" t="n">
        <x:f>H2155/G2155</x:f>
        <x:v>0.04777370676295457</x:v>
      </x:c>
      <x:c r="O2155" s="13" t="n">
        <x:f>F2155/E2155</x:f>
        <x:v>0</x:v>
      </x:c>
      <x:c r="P2155" s="2" t="str">
        <x:f>IF(AND(E2155&gt;='Итоги'!$F$5,N2155&lt;='Итоги'!$B$5,O2155&gt;='Итоги'!$D$5),"Да","Нет")</x:f>
        <x:v>Нет</x:v>
      </x:c>
    </x:row>
    <x:row r="2156" ht="60" customHeight="1">
      <x:c r="A2156" s="14" t="str">
        <x:v>Ноутбуки и компьютеры</x:v>
      </x:c>
      <x:c r="B2156" s="14" t="str">
        <x:v>Компьютерная офисная техника Lap&amp;Comp</x:v>
      </x:c>
      <x:c r="C2156" s="14" t="str">
        <x:v>Кассовое и складское оборудование Lap&amp;Comp</x:v>
      </x:c>
      <x:c r="D2156" s="14" t="str">
        <x:v>Принтер чеков, этикеток, наклеек</x:v>
      </x:c>
      <x:c r="E2156" s="2" t="n">
        <x:v>58</x:v>
      </x:c>
      <x:c r="F2156" s="2" t="n">
        <x:v>0</x:v>
      </x:c>
      <x:c r="G2156" s="12" t="n">
        <x:v>14912875.1627</x:v>
      </x:c>
      <x:c r="H2156" s="12" t="n">
        <x:v>714446.43512056</x:v>
      </x:c>
      <x:c r="I2156" s="13" t="n">
        <x:v>0.0477793103448275</x:v>
      </x:c>
      <x:c r="J2156" s="2" t="n">
        <x:v>11</x:v>
      </x:c>
      <x:c r="K2156" s="2" t="n">
        <x:v>19</x:v>
      </x:c>
      <x:c r="L2156" s="12" t="n">
        <x:v>4083.9727</x:v>
      </x:c>
      <x:c r="M2156" s="13" t="n">
        <x:v>0.4861730529491895</x:v>
      </x:c>
      <x:c r="N2156" s="13" t="n">
        <x:f>H2156/G2156</x:f>
        <x:v>0.0479080276154614</x:v>
      </x:c>
      <x:c r="O2156" s="13" t="n">
        <x:f>F2156/E2156</x:f>
        <x:v>0</x:v>
      </x:c>
      <x:c r="P2156" s="2" t="str">
        <x:f>IF(AND(E2156&gt;='Итоги'!$F$5,N2156&lt;='Итоги'!$B$5,O2156&gt;='Итоги'!$D$5),"Да","Нет")</x:f>
        <x:v>Нет</x:v>
      </x:c>
    </x:row>
    <x:row r="2157" ht="60" customHeight="1">
      <x:c r="A2157" s="14" t="str">
        <x:v>Товары для животных</x:v>
      </x:c>
      <x:c r="B2157" s="14" t="str">
        <x:v>Гигиена и уход животных</x:v>
      </x:c>
      <x:c r="C2157" s="14" t="str">
        <x:v>Туалет для животных</x:v>
      </x:c>
      <x:c r="D2157" s="14" t="str">
        <x:v>Пеленка для животных</x:v>
      </x:c>
      <x:c r="E2157" s="2" t="n">
        <x:v>50</x:v>
      </x:c>
      <x:c r="F2157" s="2" t="n">
        <x:v>0</x:v>
      </x:c>
      <x:c r="G2157" s="12" t="n">
        <x:v>8372843.4134</x:v>
      </x:c>
      <x:c r="H2157" s="12" t="n">
        <x:v>401515.66279604</x:v>
      </x:c>
      <x:c r="I2157" s="13" t="n">
        <x:v>0.05273</x:v>
      </x:c>
      <x:c r="J2157" s="2" t="n">
        <x:v>10</x:v>
      </x:c>
      <x:c r="K2157" s="2" t="n">
        <x:v>13</x:v>
      </x:c>
      <x:c r="L2157" s="12" t="n">
        <x:v>1209.03015</x:v>
      </x:c>
      <x:c r="M2157" s="13" t="n">
        <x:v>0.2827022667486877</x:v>
      </x:c>
      <x:c r="N2157" s="13" t="n">
        <x:f>H2157/G2157</x:f>
        <x:v>0.04795451711821691</x:v>
      </x:c>
      <x:c r="O2157" s="13" t="n">
        <x:f>F2157/E2157</x:f>
        <x:v>0</x:v>
      </x:c>
      <x:c r="P2157" s="2" t="str">
        <x:f>IF(AND(E2157&gt;='Итоги'!$F$5,N2157&lt;='Итоги'!$B$5,O2157&gt;='Итоги'!$D$5),"Да","Нет")</x:f>
        <x:v>Нет</x:v>
      </x:c>
    </x:row>
    <x:row r="2158" ht="60" customHeight="1">
      <x:c r="A2158" s="14" t="str">
        <x:v>Аксессуары для электроники</x:v>
      </x:c>
      <x:c r="B2158" s="14" t="str">
        <x:v>Электронные компоненты Access</x:v>
      </x:c>
      <x:c r="C2158" s="14" t="str">
        <x:v>Полупроводниковые модули Access</x:v>
      </x:c>
      <x:c r="D2158" s="14" t="str">
        <x:v>Электронные компоненты-запчасти</x:v>
      </x:c>
      <x:c r="E2158" s="2" t="n">
        <x:v>1</x:v>
      </x:c>
      <x:c r="F2158" s="2" t="n">
        <x:v>0</x:v>
      </x:c>
      <x:c r="G2158" s="12" t="n">
        <x:v>157823</x:v>
      </x:c>
      <x:c r="H2158" s="12" t="n">
        <x:v>7575.504</x:v>
      </x:c>
      <x:c r="I2158" s="13" t="n">
        <x:v>0.048</x:v>
      </x:c>
      <x:c r="J2158" s="2" t="n">
        <x:v>0</x:v>
      </x:c>
      <x:c r="K2158" s="2" t="n">
        <x:v>1</x:v>
      </x:c>
      <x:c r="L2158" s="12" t="n">
        <x:v>1856.7412</x:v>
      </x:c>
      <x:c r="M2158" s="13" t="n">
        <x:v>1</x:v>
      </x:c>
      <x:c r="N2158" s="13" t="n">
        <x:f>H2158/G2158</x:f>
        <x:v>0.048</x:v>
      </x:c>
      <x:c r="O2158" s="13" t="n">
        <x:f>F2158/E2158</x:f>
        <x:v>0</x:v>
      </x:c>
      <x:c r="P2158" s="2" t="str">
        <x:f>IF(AND(E2158&gt;='Итоги'!$F$5,N2158&lt;='Итоги'!$B$5,O2158&gt;='Итоги'!$D$5),"Да","Нет")</x:f>
        <x:v>Нет</x:v>
      </x:c>
    </x:row>
    <x:row r="2159" ht="60" customHeight="1">
      <x:c r="A2159" s="14" t="str">
        <x:v>Строительство и ремонт (DIY)</x:v>
      </x:c>
      <x:c r="B2159" s="14" t="str">
        <x:v>Ремонт и строительство</x:v>
      </x:c>
      <x:c r="C2159" s="14" t="str">
        <x:v>Строительная химия</x:v>
      </x:c>
      <x:c r="D2159" s="14" t="str">
        <x:v>Монтажные и кладочные смеси</x:v>
      </x:c>
      <x:c r="E2159" s="2" t="n">
        <x:v>5</x:v>
      </x:c>
      <x:c r="F2159" s="2" t="n">
        <x:v>0</x:v>
      </x:c>
      <x:c r="G2159" s="12" t="n">
        <x:v>1378599.4425</x:v>
      </x:c>
      <x:c r="H2159" s="12" t="n">
        <x:v>66182.17879134</x:v>
      </x:c>
      <x:c r="I2159" s="13" t="n">
        <x:v>0.0376399999999999</x:v>
      </x:c>
      <x:c r="J2159" s="2" t="n">
        <x:v>2</x:v>
      </x:c>
      <x:c r="K2159" s="2" t="n">
        <x:v>4</x:v>
      </x:c>
      <x:c r="L2159" s="12" t="n">
        <x:v>1789.6278</x:v>
      </x:c>
      <x:c r="M2159" s="13" t="n">
        <x:v>0.4107005659840168</x:v>
      </x:c>
      <x:c r="N2159" s="13" t="n">
        <x:f>H2159/G2159</x:f>
        <x:v>0.048006822541087756</x:v>
      </x:c>
      <x:c r="O2159" s="13" t="n">
        <x:f>F2159/E2159</x:f>
        <x:v>0</x:v>
      </x:c>
      <x:c r="P2159" s="2" t="str">
        <x:f>IF(AND(E2159&gt;='Итоги'!$F$5,N2159&lt;='Итоги'!$B$5,O2159&gt;='Итоги'!$D$5),"Да","Нет")</x:f>
        <x:v>Нет</x:v>
      </x:c>
    </x:row>
    <x:row r="2160" ht="60" customHeight="1">
      <x:c r="A2160" s="14" t="str">
        <x:v>Аксессуары для электроники</x:v>
      </x:c>
      <x:c r="B2160" s="14" t="str">
        <x:v>Компьютеры Access</x:v>
      </x:c>
      <x:c r="C2160" s="14" t="str">
        <x:v>Аксессуар к компьютерной технике Access</x:v>
      </x:c>
      <x:c r="D2160" s="14" t="str">
        <x:v>VR шлем</x:v>
      </x:c>
      <x:c r="E2160" s="2" t="n">
        <x:v>28</x:v>
      </x:c>
      <x:c r="F2160" s="2" t="n">
        <x:v>0</x:v>
      </x:c>
      <x:c r="G2160" s="12" t="n">
        <x:v>3803074.3565</x:v>
      </x:c>
      <x:c r="H2160" s="12" t="n">
        <x:v>182853.12906236</x:v>
      </x:c>
      <x:c r="I2160" s="13" t="n">
        <x:v>0.0589321428571428</x:v>
      </x:c>
      <x:c r="J2160" s="2" t="n">
        <x:v>8</x:v>
      </x:c>
      <x:c r="K2160" s="2" t="n">
        <x:v>8</x:v>
      </x:c>
      <x:c r="L2160" s="12" t="n">
        <x:v>4353.18</x:v>
      </x:c>
      <x:c r="M2160" s="13" t="n">
        <x:v>0.5001610525571116</x:v>
      </x:c>
      <x:c r="N2160" s="13" t="n">
        <x:f>H2160/G2160</x:f>
        <x:v>0.04808034551042573</x:v>
      </x:c>
      <x:c r="O2160" s="13" t="n">
        <x:f>F2160/E2160</x:f>
        <x:v>0</x:v>
      </x:c>
      <x:c r="P2160" s="2" t="str">
        <x:f>IF(AND(E2160&gt;='Итоги'!$F$5,N2160&lt;='Итоги'!$B$5,O2160&gt;='Итоги'!$D$5),"Да","Нет")</x:f>
        <x:v>Нет</x:v>
      </x:c>
    </x:row>
    <x:row r="2161" ht="60" customHeight="1">
      <x:c r="A2161" s="14" t="str">
        <x:v>Аксессуары для электроники</x:v>
      </x:c>
      <x:c r="B2161" s="14" t="str">
        <x:v>Аксессуары для КБТ Access</x:v>
      </x:c>
      <x:c r="C2161" s="14" t="str">
        <x:v>Аксессуары для плиты, духового шкафа Access</x:v>
      </x:c>
      <x:c r="D2161" s="14" t="str">
        <x:v>Аксессуары, запчасти для плиты, духового шкафа</x:v>
      </x:c>
      <x:c r="E2161" s="2" t="n">
        <x:v>12</x:v>
      </x:c>
      <x:c r="F2161" s="2" t="n">
        <x:v>0</x:v>
      </x:c>
      <x:c r="G2161" s="12" t="n">
        <x:v>1435812.0455</x:v>
      </x:c>
      <x:c r="H2161" s="12" t="n">
        <x:v>69050.83650790999</x:v>
      </x:c>
      <x:c r="I2161" s="13" t="n">
        <x:v>0.0513083333333333</x:v>
      </x:c>
      <x:c r="J2161" s="2" t="n">
        <x:v>5</x:v>
      </x:c>
      <x:c r="K2161" s="2" t="n">
        <x:v>6</x:v>
      </x:c>
      <x:c r="L2161" s="12" t="n">
        <x:v>1034.52575</x:v>
      </x:c>
      <x:c r="M2161" s="13" t="n">
        <x:v>0.3310021255146239</x:v>
      </x:c>
      <x:c r="N2161" s="13" t="n">
        <x:f>H2161/G2161</x:f>
        <x:v>0.04809183536544581</x:v>
      </x:c>
      <x:c r="O2161" s="13" t="n">
        <x:f>F2161/E2161</x:f>
        <x:v>0</x:v>
      </x:c>
      <x:c r="P2161" s="2" t="str">
        <x:f>IF(AND(E2161&gt;='Итоги'!$F$5,N2161&lt;='Итоги'!$B$5,O2161&gt;='Итоги'!$D$5),"Да","Нет")</x:f>
        <x:v>Нет</x:v>
      </x:c>
    </x:row>
    <x:row r="2162" ht="60" customHeight="1">
      <x:c r="A2162" s="14" t="str">
        <x:v>Товары для детей и спорта</x:v>
      </x:c>
      <x:c r="B2162" s="14" t="str">
        <x:v>КГТ и аксессуары для детей</x:v>
      </x:c>
      <x:c r="C2162" s="14" t="str">
        <x:v>Детская мебель и аксессуары в дом</x:v>
      </x:c>
      <x:c r="D2162" s="14" t="str">
        <x:v>Комод, стол пеленальный</x:v>
      </x:c>
      <x:c r="E2162" s="2" t="n">
        <x:v>52</x:v>
      </x:c>
      <x:c r="F2162" s="2" t="n">
        <x:v>0</x:v>
      </x:c>
      <x:c r="G2162" s="12" t="n">
        <x:v>5936139.2685</x:v>
      </x:c>
      <x:c r="H2162" s="12" t="n">
        <x:v>285979.09873872</x:v>
      </x:c>
      <x:c r="I2162" s="13" t="n">
        <x:v>0.0355480769230769</x:v>
      </x:c>
      <x:c r="J2162" s="2" t="n">
        <x:v>31</x:v>
      </x:c>
      <x:c r="K2162" s="2" t="n">
        <x:v>13</x:v>
      </x:c>
      <x:c r="L2162" s="12" t="n">
        <x:v>5589.09375</x:v>
      </x:c>
      <x:c r="M2162" s="13" t="n">
        <x:v>0.5575341321357342</x:v>
      </x:c>
      <x:c r="N2162" s="13" t="n">
        <x:f>H2162/G2162</x:f>
        <x:v>0.04817594160168414</x:v>
      </x:c>
      <x:c r="O2162" s="13" t="n">
        <x:f>F2162/E2162</x:f>
        <x:v>0</x:v>
      </x:c>
      <x:c r="P2162" s="2" t="str">
        <x:f>IF(AND(E2162&gt;='Итоги'!$F$5,N2162&lt;='Итоги'!$B$5,O2162&gt;='Итоги'!$D$5),"Да","Нет")</x:f>
        <x:v>Нет</x:v>
      </x:c>
    </x:row>
    <x:row r="2163" ht="60" customHeight="1">
      <x:c r="A2163" s="14" t="str">
        <x:v>Детская одежда</x:v>
      </x:c>
      <x:c r="B2163" s="14" t="str">
        <x:v>Детская одежда</x:v>
      </x:c>
      <x:c r="C2163" s="14" t="str">
        <x:v>Одежда для девочки</x:v>
      </x:c>
      <x:c r="D2163" s="14" t="str">
        <x:v>Платье для девочки</x:v>
      </x:c>
      <x:c r="E2163" s="2" t="n">
        <x:v>107</x:v>
      </x:c>
      <x:c r="F2163" s="2" t="n">
        <x:v>0</x:v>
      </x:c>
      <x:c r="G2163" s="12" t="n">
        <x:v>7526816.4572</x:v>
      </x:c>
      <x:c r="H2163" s="12" t="n">
        <x:v>363113.02345429</x:v>
      </x:c>
      <x:c r="I2163" s="13" t="n">
        <x:v>0.0409140186915887</x:v>
      </x:c>
      <x:c r="J2163" s="2" t="n">
        <x:v>51</x:v>
      </x:c>
      <x:c r="K2163" s="2" t="n">
        <x:v>24</x:v>
      </x:c>
      <x:c r="L2163" s="12" t="n">
        <x:v>1823.5287</x:v>
      </x:c>
      <x:c r="M2163" s="13" t="n">
        <x:v>0.3605959715815454</x:v>
      </x:c>
      <x:c r="N2163" s="13" t="n">
        <x:f>H2163/G2163</x:f>
        <x:v>0.04824257712660755</x:v>
      </x:c>
      <x:c r="O2163" s="13" t="n">
        <x:f>F2163/E2163</x:f>
        <x:v>0</x:v>
      </x:c>
      <x:c r="P2163" s="2" t="str">
        <x:f>IF(AND(E2163&gt;='Итоги'!$F$5,N2163&lt;='Итоги'!$B$5,O2163&gt;='Итоги'!$D$5),"Да","Нет")</x:f>
        <x:v>Нет</x:v>
      </x:c>
    </x:row>
    <x:row r="2164" ht="60" customHeight="1">
      <x:c r="A2164" s="14" t="str">
        <x:v>Аксессуары</x:v>
      </x:c>
      <x:c r="B2164" s="14" t="str">
        <x:v>Чемоданы, дорожные сумки</x:v>
      </x:c>
      <x:c r="C2164" s="14" t="str">
        <x:v>Дорожные сумки, тележки</x:v>
      </x:c>
      <x:c r="D2164" s="14" t="str">
        <x:v>Сумка дорожная на колесах для путешествий</x:v>
      </x:c>
      <x:c r="E2164" s="2" t="n">
        <x:v>162</x:v>
      </x:c>
      <x:c r="F2164" s="2" t="n">
        <x:v>0</x:v>
      </x:c>
      <x:c r="G2164" s="12" t="n">
        <x:v>12961889.4303</x:v>
      </x:c>
      <x:c r="H2164" s="12" t="n">
        <x:v>625519.73224026</x:v>
      </x:c>
      <x:c r="I2164" s="13" t="n">
        <x:v>0.0361981481481481</x:v>
      </x:c>
      <x:c r="J2164" s="2" t="n">
        <x:v>81</x:v>
      </x:c>
      <x:c r="K2164" s="2" t="n">
        <x:v>18</x:v>
      </x:c>
      <x:c r="L2164" s="12" t="n">
        <x:v>2572.9891500000003</x:v>
      </x:c>
      <x:c r="M2164" s="13" t="n">
        <x:v>0.416089898506037</x:v>
      </x:c>
      <x:c r="N2164" s="13" t="n">
        <x:f>H2164/G2164</x:f>
        <x:v>0.048258375879833636</x:v>
      </x:c>
      <x:c r="O2164" s="13" t="n">
        <x:f>F2164/E2164</x:f>
        <x:v>0</x:v>
      </x:c>
      <x:c r="P2164" s="2" t="str">
        <x:f>IF(AND(E2164&gt;='Итоги'!$F$5,N2164&lt;='Итоги'!$B$5,O2164&gt;='Итоги'!$D$5),"Да","Нет")</x:f>
        <x:v>Нет</x:v>
      </x:c>
    </x:row>
    <x:row r="2165" ht="60" customHeight="1">
      <x:c r="A2165" s="14" t="str">
        <x:v>Товары для животных</x:v>
      </x:c>
      <x:c r="B2165" s="14" t="str">
        <x:v>Гигиена и уход животных</x:v>
      </x:c>
      <x:c r="C2165" s="14" t="str">
        <x:v>Туалет для животных</x:v>
      </x:c>
      <x:c r="D2165" s="14" t="str">
        <x:v>Коврик под лоток</x:v>
      </x:c>
      <x:c r="E2165" s="2" t="n">
        <x:v>4</x:v>
      </x:c>
      <x:c r="F2165" s="2" t="n">
        <x:v>0</x:v>
      </x:c>
      <x:c r="G2165" s="12" t="n">
        <x:v>681436.2331</x:v>
      </x:c>
      <x:c r="H2165" s="12" t="n">
        <x:v>32924.5529036</x:v>
      </x:c>
      <x:c r="I2165" s="13" t="n">
        <x:v>0.03745</x:v>
      </x:c>
      <x:c r="J2165" s="2" t="n">
        <x:v>2</x:v>
      </x:c>
      <x:c r="K2165" s="2" t="n">
        <x:v>3</x:v>
      </x:c>
      <x:c r="L2165" s="12" t="n">
        <x:v>1218.48855</x:v>
      </x:c>
      <x:c r="M2165" s="13" t="n">
        <x:v>0.4946908670624371</x:v>
      </x:c>
      <x:c r="N2165" s="13" t="n">
        <x:f>H2165/G2165</x:f>
        <x:v>0.04831641069894263</x:v>
      </x:c>
      <x:c r="O2165" s="13" t="n">
        <x:f>F2165/E2165</x:f>
        <x:v>0</x:v>
      </x:c>
      <x:c r="P2165" s="2" t="str">
        <x:f>IF(AND(E2165&gt;='Итоги'!$F$5,N2165&lt;='Итоги'!$B$5,O2165&gt;='Итоги'!$D$5),"Да","Нет")</x:f>
        <x:v>Нет</x:v>
      </x:c>
    </x:row>
    <x:row r="2166" ht="60" customHeight="1">
      <x:c r="A2166" s="14" t="str">
        <x:v>Аптека</x:v>
      </x:c>
      <x:c r="B2166" s="14" t="str">
        <x:v>Спортивное питание</x:v>
      </x:c>
      <x:c r="C2166" s="14" t="str">
        <x:v>Изотоники и электролиты</x:v>
      </x:c>
      <x:c r="D2166" s="14" t="str">
        <x:v>Электролиты спортивные</x:v>
      </x:c>
      <x:c r="E2166" s="2" t="n">
        <x:v>10</x:v>
      </x:c>
      <x:c r="F2166" s="2" t="n">
        <x:v>0</x:v>
      </x:c>
      <x:c r="G2166" s="12" t="n">
        <x:v>2376630.9015</x:v>
      </x:c>
      <x:c r="H2166" s="12" t="n">
        <x:v>114888.15503764</x:v>
      </x:c>
      <x:c r="I2166" s="13" t="n">
        <x:v>0.07399</x:v>
      </x:c>
      <x:c r="J2166" s="2" t="n">
        <x:v>3</x:v>
      </x:c>
      <x:c r="K2166" s="2" t="n">
        <x:v>5</x:v>
      </x:c>
      <x:c r="L2166" s="12" t="n">
        <x:v>1313.50635</x:v>
      </x:c>
      <x:c r="M2166" s="13" t="n">
        <x:v>0.4936328627468196</x:v>
      </x:c>
      <x:c r="N2166" s="13" t="n">
        <x:f>H2166/G2166</x:f>
        <x:v>0.048340764636666485</x:v>
      </x:c>
      <x:c r="O2166" s="13" t="n">
        <x:f>F2166/E2166</x:f>
        <x:v>0</x:v>
      </x:c>
      <x:c r="P2166" s="2" t="str">
        <x:f>IF(AND(E2166&gt;='Итоги'!$F$5,N2166&lt;='Итоги'!$B$5,O2166&gt;='Итоги'!$D$5),"Да","Нет")</x:f>
        <x:v>Нет</x:v>
      </x:c>
    </x:row>
    <x:row r="2167" ht="60" customHeight="1">
      <x:c r="A2167" s="14" t="str">
        <x:v>Аксессуары для электроники</x:v>
      </x:c>
      <x:c r="B2167" s="14" t="str">
        <x:v>Компьютеры Access</x:v>
      </x:c>
      <x:c r="C2167" s="14" t="str">
        <x:v>Аксессуар к компьютерной технике Access</x:v>
      </x:c>
      <x:c r="D2167" s="14" t="str">
        <x:v>Корпус для HDD</x:v>
      </x:c>
      <x:c r="E2167" s="2" t="n">
        <x:v>27</x:v>
      </x:c>
      <x:c r="F2167" s="2" t="n">
        <x:v>0</x:v>
      </x:c>
      <x:c r="G2167" s="12" t="n">
        <x:v>3196759.5742</x:v>
      </x:c>
      <x:c r="H2167" s="12" t="n">
        <x:v>154702.55340884</x:v>
      </x:c>
      <x:c r="I2167" s="13" t="n">
        <x:v>0.0455111111111111</x:v>
      </x:c>
      <x:c r="J2167" s="2" t="n">
        <x:v>14</x:v>
      </x:c>
      <x:c r="K2167" s="2" t="n">
        <x:v>10</x:v>
      </x:c>
      <x:c r="L2167" s="12" t="n">
        <x:v>1703.3015</x:v>
      </x:c>
      <x:c r="M2167" s="13" t="n">
        <x:v>0.3257158859876325</x:v>
      </x:c>
      <x:c r="N2167" s="13" t="n">
        <x:f>H2167/G2167</x:f>
        <x:v>0.04839355285189217</x:v>
      </x:c>
      <x:c r="O2167" s="13" t="n">
        <x:f>F2167/E2167</x:f>
        <x:v>0</x:v>
      </x:c>
      <x:c r="P2167" s="2" t="str">
        <x:f>IF(AND(E2167&gt;='Итоги'!$F$5,N2167&lt;='Итоги'!$B$5,O2167&gt;='Итоги'!$D$5),"Да","Нет")</x:f>
        <x:v>Нет</x:v>
      </x:c>
    </x:row>
    <x:row r="2168" ht="60" customHeight="1">
      <x:c r="A2168" s="14" t="str">
        <x:v>Товары для животных</x:v>
      </x:c>
      <x:c r="B2168" s="14" t="str">
        <x:v>Гигиена и уход животных</x:v>
      </x:c>
      <x:c r="C2168" s="14" t="str">
        <x:v>Уход за шерстью животных</x:v>
      </x:c>
      <x:c r="D2168" s="14" t="str">
        <x:v>Кондиционер для животных</x:v>
      </x:c>
      <x:c r="E2168" s="2" t="n">
        <x:v>4</x:v>
      </x:c>
      <x:c r="F2168" s="2" t="n">
        <x:v>0</x:v>
      </x:c>
      <x:c r="G2168" s="12" t="n">
        <x:v>286835.46</x:v>
      </x:c>
      <x:c r="H2168" s="12" t="n">
        <x:v>13899.450823</x:v>
      </x:c>
      <x:c r="I2168" s="13" t="n">
        <x:v>0.039075</x:v>
      </x:c>
      <x:c r="J2168" s="2" t="n">
        <x:v>2</x:v>
      </x:c>
      <x:c r="K2168" s="2" t="n">
        <x:v>2</x:v>
      </x:c>
      <x:c r="L2168" s="12" t="n">
        <x:v>2224.121</x:v>
      </x:c>
      <x:c r="M2168" s="13" t="n">
        <x:v>0.5418005500435684</x:v>
      </x:c>
      <x:c r="N2168" s="13" t="n">
        <x:f>H2168/G2168</x:f>
        <x:v>0.04845792365769559</x:v>
      </x:c>
      <x:c r="O2168" s="13" t="n">
        <x:f>F2168/E2168</x:f>
        <x:v>0</x:v>
      </x:c>
      <x:c r="P2168" s="2" t="str">
        <x:f>IF(AND(E2168&gt;='Итоги'!$F$5,N2168&lt;='Итоги'!$B$5,O2168&gt;='Итоги'!$D$5),"Да","Нет")</x:f>
        <x:v>Нет</x:v>
      </x:c>
    </x:row>
    <x:row r="2169" ht="60" customHeight="1">
      <x:c r="A2169" s="14" t="str">
        <x:v>Товары для красоты и здоровья</x:v>
      </x:c>
      <x:c r="B2169" s="14" t="str">
        <x:v>Косметика для ухода за кожей</x:v>
      </x:c>
      <x:c r="C2169" s="14" t="str">
        <x:v>Средства для бритья мужские</x:v>
      </x:c>
      <x:c r="D2169" s="14" t="str">
        <x:v>Средство после бритья мужское</x:v>
      </x:c>
      <x:c r="E2169" s="2" t="n">
        <x:v>10</x:v>
      </x:c>
      <x:c r="F2169" s="2" t="n">
        <x:v>0</x:v>
      </x:c>
      <x:c r="G2169" s="12" t="n">
        <x:v>1417865.8703</x:v>
      </x:c>
      <x:c r="H2169" s="12" t="n">
        <x:v>68761.0299253</x:v>
      </x:c>
      <x:c r="I2169" s="13" t="n">
        <x:v>0.06056</x:v>
      </x:c>
      <x:c r="J2169" s="2" t="n">
        <x:v>4</x:v>
      </x:c>
      <x:c r="K2169" s="2" t="n">
        <x:v>4</x:v>
      </x:c>
      <x:c r="L2169" s="12" t="n">
        <x:v>1296.737</x:v>
      </x:c>
      <x:c r="M2169" s="13" t="n">
        <x:v>0.3655601498400775</x:v>
      </x:c>
      <x:c r="N2169" s="13" t="n">
        <x:f>H2169/G2169</x:f>
        <x:v>0.04849614576783003</x:v>
      </x:c>
      <x:c r="O2169" s="13" t="n">
        <x:f>F2169/E2169</x:f>
        <x:v>0</x:v>
      </x:c>
      <x:c r="P2169" s="2" t="str">
        <x:f>IF(AND(E2169&gt;='Итоги'!$F$5,N2169&lt;='Итоги'!$B$5,O2169&gt;='Итоги'!$D$5),"Да","Нет")</x:f>
        <x:v>Нет</x:v>
      </x:c>
    </x:row>
    <x:row r="2170" ht="60" customHeight="1">
      <x:c r="A2170" s="14" t="str">
        <x:v>Хобби и творчество</x:v>
      </x:c>
      <x:c r="B2170" s="14" t="str">
        <x:v>Детское творчество и хобби</x:v>
      </x:c>
      <x:c r="C2170" s="14" t="str">
        <x:v>Лепка для детей</x:v>
      </x:c>
      <x:c r="D2170" s="14" t="str">
        <x:v>Набор для лепки детский</x:v>
      </x:c>
      <x:c r="E2170" s="2" t="n">
        <x:v>3</x:v>
      </x:c>
      <x:c r="F2170" s="2" t="n">
        <x:v>0</x:v>
      </x:c>
      <x:c r="G2170" s="12" t="n">
        <x:v>298326.7435</x:v>
      </x:c>
      <x:c r="H2170" s="12" t="n">
        <x:v>14490.47234808</x:v>
      </x:c>
      <x:c r="I2170" s="13" t="n">
        <x:v>0.0502333333333333</x:v>
      </x:c>
      <x:c r="J2170" s="2" t="n">
        <x:v>1</x:v>
      </x:c>
      <x:c r="K2170" s="2" t="n">
        <x:v>3</x:v>
      </x:c>
      <x:c r="L2170" s="12" t="n">
        <x:v>1058.1296</x:v>
      </x:c>
      <x:c r="M2170" s="13" t="n">
        <x:v>0.4046052947981849</x:v>
      </x:c>
      <x:c r="N2170" s="13" t="n">
        <x:f>H2170/G2170</x:f>
        <x:v>0.04857248860117699</x:v>
      </x:c>
      <x:c r="O2170" s="13" t="n">
        <x:f>F2170/E2170</x:f>
        <x:v>0</x:v>
      </x:c>
      <x:c r="P2170" s="2" t="str">
        <x:f>IF(AND(E2170&gt;='Итоги'!$F$5,N2170&lt;='Итоги'!$B$5,O2170&gt;='Итоги'!$D$5),"Да","Нет")</x:f>
        <x:v>Нет</x:v>
      </x:c>
    </x:row>
    <x:row r="2171" ht="60" customHeight="1">
      <x:c r="A2171" s="14" t="str">
        <x:v>Обувь</x:v>
      </x:c>
      <x:c r="B2171" s="14" t="str">
        <x:v>Специальная обувь</x:v>
      </x:c>
      <x:c r="C2171" s="14" t="str">
        <x:v>Спецобувь мужская</x:v>
      </x:c>
      <x:c r="D2171" s="14" t="str">
        <x:v>Рабочие ботинки мужские</x:v>
      </x:c>
      <x:c r="E2171" s="2" t="n">
        <x:v>69</x:v>
      </x:c>
      <x:c r="F2171" s="2" t="n">
        <x:v>0</x:v>
      </x:c>
      <x:c r="G2171" s="12" t="n">
        <x:v>10555906.1638</x:v>
      </x:c>
      <x:c r="H2171" s="12" t="n">
        <x:v>513021.95092818</x:v>
      </x:c>
      <x:c r="I2171" s="13" t="n">
        <x:v>0.0513434782608695</x:v>
      </x:c>
      <x:c r="J2171" s="2" t="n">
        <x:v>25</x:v>
      </x:c>
      <x:c r="K2171" s="2" t="n">
        <x:v>7</x:v>
      </x:c>
      <x:c r="L2171" s="12" t="n">
        <x:v>2518.5704</x:v>
      </x:c>
      <x:c r="M2171" s="13" t="n">
        <x:v>0.4601002378512637</x:v>
      </x:c>
      <x:c r="N2171" s="13" t="n">
        <x:f>H2171/G2171</x:f>
        <x:v>0.048600465271993125</x:v>
      </x:c>
      <x:c r="O2171" s="13" t="n">
        <x:f>F2171/E2171</x:f>
        <x:v>0</x:v>
      </x:c>
      <x:c r="P2171" s="2" t="str">
        <x:f>IF(AND(E2171&gt;='Итоги'!$F$5,N2171&lt;='Итоги'!$B$5,O2171&gt;='Итоги'!$D$5),"Да","Нет")</x:f>
        <x:v>Нет</x:v>
      </x:c>
    </x:row>
    <x:row r="2172" ht="60" customHeight="1">
      <x:c r="A2172" s="14" t="str">
        <x:v>Товары для детей и спорта</x:v>
      </x:c>
      <x:c r="B2172" s="14" t="str">
        <x:v>Текстиль детский</x:v>
      </x:c>
      <x:c r="C2172" s="14" t="str">
        <x:v>Постельное белье для новорожденных и малышей</x:v>
      </x:c>
      <x:c r="D2172" s="14" t="str">
        <x:v>Бампер, бортик, балдахин детские</x:v>
      </x:c>
      <x:c r="E2172" s="2" t="n">
        <x:v>61</x:v>
      </x:c>
      <x:c r="F2172" s="2" t="n">
        <x:v>0</x:v>
      </x:c>
      <x:c r="G2172" s="12" t="n">
        <x:v>6227618.1414</x:v>
      </x:c>
      <x:c r="H2172" s="12" t="n">
        <x:v>302912.34161855</x:v>
      </x:c>
      <x:c r="I2172" s="13" t="n">
        <x:v>0.0467639344262295</x:v>
      </x:c>
      <x:c r="J2172" s="2" t="n">
        <x:v>25</x:v>
      </x:c>
      <x:c r="K2172" s="2" t="n">
        <x:v>23</x:v>
      </x:c>
      <x:c r="L2172" s="12" t="n">
        <x:v>2156.6338</x:v>
      </x:c>
      <x:c r="M2172" s="13" t="n">
        <x:v>0.2467390561384942</x:v>
      </x:c>
      <x:c r="N2172" s="13" t="n">
        <x:f>H2172/G2172</x:f>
        <x:v>0.048640159807623304</x:v>
      </x:c>
      <x:c r="O2172" s="13" t="n">
        <x:f>F2172/E2172</x:f>
        <x:v>0</x:v>
      </x:c>
      <x:c r="P2172" s="2" t="str">
        <x:f>IF(AND(E2172&gt;='Итоги'!$F$5,N2172&lt;='Итоги'!$B$5,O2172&gt;='Итоги'!$D$5),"Да","Нет")</x:f>
        <x:v>Нет</x:v>
      </x:c>
    </x:row>
    <x:row r="2173" ht="60" customHeight="1">
      <x:c r="A2173" s="14" t="str">
        <x:v>Мелкая бытовая техника</x:v>
      </x:c>
      <x:c r="B2173" s="14" t="str">
        <x:v>Мелкая бытовая техника SDA</x:v>
      </x:c>
      <x:c r="C2173" s="14" t="str">
        <x:v>Электронная кухонная техника SDA</x:v>
      </x:c>
      <x:c r="D2173" s="14" t="str">
        <x:v>Прибор для приготовления сахарной ваты</x:v>
      </x:c>
      <x:c r="E2173" s="2" t="n">
        <x:v>12</x:v>
      </x:c>
      <x:c r="F2173" s="2" t="n">
        <x:v>0</x:v>
      </x:c>
      <x:c r="G2173" s="12" t="n">
        <x:v>1911709.2911</x:v>
      </x:c>
      <x:c r="H2173" s="12" t="n">
        <x:v>92990.6302168</x:v>
      </x:c>
      <x:c r="I2173" s="13" t="n">
        <x:v>0.0374083333333333</x:v>
      </x:c>
      <x:c r="J2173" s="2" t="n">
        <x:v>4</x:v>
      </x:c>
      <x:c r="K2173" s="2" t="n">
        <x:v>6</x:v>
      </x:c>
      <x:c r="L2173" s="12" t="n">
        <x:v>3972.9239</x:v>
      </x:c>
      <x:c r="M2173" s="13" t="n">
        <x:v>0.4623303784287393</x:v>
      </x:c>
      <x:c r="N2173" s="13" t="n">
        <x:f>H2173/G2173</x:f>
        <x:v>0.04864266269443775</x:v>
      </x:c>
      <x:c r="O2173" s="13" t="n">
        <x:f>F2173/E2173</x:f>
        <x:v>0</x:v>
      </x:c>
      <x:c r="P2173" s="2" t="str">
        <x:f>IF(AND(E2173&gt;='Итоги'!$F$5,N2173&lt;='Итоги'!$B$5,O2173&gt;='Итоги'!$D$5),"Да","Нет")</x:f>
        <x:v>Нет</x:v>
      </x:c>
    </x:row>
    <x:row r="2174" ht="60" customHeight="1">
      <x:c r="A2174" s="14" t="str">
        <x:v>Школьные принадлежности и канцелярия</x:v>
      </x:c>
      <x:c r="B2174" s="14" t="str">
        <x:v>Товары для школы, канцелярия, оборудование</x:v>
      </x:c>
      <x:c r="C2174" s="14" t="str">
        <x:v>Бумага офисная и бумажная продукция</x:v>
      </x:c>
      <x:c r="D2174" s="14" t="str">
        <x:v>Этикетка универсальная</x:v>
      </x:c>
      <x:c r="E2174" s="2" t="n">
        <x:v>28</x:v>
      </x:c>
      <x:c r="F2174" s="2" t="n">
        <x:v>0</x:v>
      </x:c>
      <x:c r="G2174" s="12" t="n">
        <x:v>2787890.109</x:v>
      </x:c>
      <x:c r="H2174" s="12" t="n">
        <x:v>135757.72318255</x:v>
      </x:c>
      <x:c r="I2174" s="13" t="n">
        <x:v>0.0464749999999999</x:v>
      </x:c>
      <x:c r="J2174" s="2" t="n">
        <x:v>3</x:v>
      </x:c>
      <x:c r="K2174" s="2" t="n">
        <x:v>11</x:v>
      </x:c>
      <x:c r="L2174" s="12" t="n">
        <x:v>2649.71515</x:v>
      </x:c>
      <x:c r="M2174" s="13" t="n">
        <x:v>0.452474532488827</x:v>
      </x:c>
      <x:c r="N2174" s="13" t="n">
        <x:f>H2174/G2174</x:f>
        <x:v>0.048695507310094616</x:v>
      </x:c>
      <x:c r="O2174" s="13" t="n">
        <x:f>F2174/E2174</x:f>
        <x:v>0</x:v>
      </x:c>
      <x:c r="P2174" s="2" t="str">
        <x:f>IF(AND(E2174&gt;='Итоги'!$F$5,N2174&lt;='Итоги'!$B$5,O2174&gt;='Итоги'!$D$5),"Да","Нет")</x:f>
        <x:v>Нет</x:v>
      </x:c>
    </x:row>
    <x:row r="2175" ht="60" customHeight="1">
      <x:c r="A2175" s="14" t="str">
        <x:v>Строительство и ремонт (DIY)</x:v>
      </x:c>
      <x:c r="B2175" s="14" t="str">
        <x:v>Сантехника</x:v>
      </x:c>
      <x:c r="C2175" s="14" t="str">
        <x:v>Системы отопления</x:v>
      </x:c>
      <x:c r="D2175" s="14" t="str">
        <x:v>Теплоносители и промывка систем отопления</x:v>
      </x:c>
      <x:c r="E2175" s="2" t="n">
        <x:v>33</x:v>
      </x:c>
      <x:c r="F2175" s="2" t="n">
        <x:v>0</x:v>
      </x:c>
      <x:c r="G2175" s="12" t="n">
        <x:v>9236076.3289</x:v>
      </x:c>
      <x:c r="H2175" s="12" t="n">
        <x:v>449832.62021992</x:v>
      </x:c>
      <x:c r="I2175" s="13" t="n">
        <x:v>0.0543939393939393</x:v>
      </x:c>
      <x:c r="J2175" s="2" t="n">
        <x:v>16</x:v>
      </x:c>
      <x:c r="K2175" s="2" t="n">
        <x:v>5</x:v>
      </x:c>
      <x:c r="L2175" s="12" t="n">
        <x:v>2093.0889</x:v>
      </x:c>
      <x:c r="M2175" s="13" t="n">
        <x:v>0.9058180037362684</x:v>
      </x:c>
      <x:c r="N2175" s="13" t="n">
        <x:f>H2175/G2175</x:f>
        <x:v>0.048703865602796964</x:v>
      </x:c>
      <x:c r="O2175" s="13" t="n">
        <x:f>F2175/E2175</x:f>
        <x:v>0</x:v>
      </x:c>
      <x:c r="P2175" s="2" t="str">
        <x:f>IF(AND(E2175&gt;='Итоги'!$F$5,N2175&lt;='Итоги'!$B$5,O2175&gt;='Итоги'!$D$5),"Да","Нет")</x:f>
        <x:v>Нет</x:v>
      </x:c>
    </x:row>
    <x:row r="2176" ht="60" customHeight="1">
      <x:c r="A2176" s="14" t="str">
        <x:v>Товары для животных</x:v>
      </x:c>
      <x:c r="B2176" s="14" t="str">
        <x:v>Спальное место животного</x:v>
      </x:c>
      <x:c r="C2176" s="14" t="str">
        <x:v>Клетка, вольер для животных, птиц</x:v>
      </x:c>
      <x:c r="D2176" s="14" t="str">
        <x:v>Вольер для кошек и собак</x:v>
      </x:c>
      <x:c r="E2176" s="2" t="n">
        <x:v>85</x:v>
      </x:c>
      <x:c r="F2176" s="2" t="n">
        <x:v>0</x:v>
      </x:c>
      <x:c r="G2176" s="12" t="n">
        <x:v>15865550.9847</x:v>
      </x:c>
      <x:c r="H2176" s="12" t="n">
        <x:v>772725.64819646</x:v>
      </x:c>
      <x:c r="I2176" s="13" t="n">
        <x:v>0.0438470588235294</x:v>
      </x:c>
      <x:c r="J2176" s="2" t="n">
        <x:v>20</x:v>
      </x:c>
      <x:c r="K2176" s="2" t="n">
        <x:v>15</x:v>
      </x:c>
      <x:c r="L2176" s="12" t="n">
        <x:v>1954.2016</x:v>
      </x:c>
      <x:c r="M2176" s="13" t="n">
        <x:v>0.7672359761938751</x:v>
      </x:c>
      <x:c r="N2176" s="13" t="n">
        <x:f>H2176/G2176</x:f>
        <x:v>0.048704621033435314</x:v>
      </x:c>
      <x:c r="O2176" s="13" t="n">
        <x:f>F2176/E2176</x:f>
        <x:v>0</x:v>
      </x:c>
      <x:c r="P2176" s="2" t="str">
        <x:f>IF(AND(E2176&gt;='Итоги'!$F$5,N2176&lt;='Итоги'!$B$5,O2176&gt;='Итоги'!$D$5),"Да","Нет")</x:f>
        <x:v>Нет</x:v>
      </x:c>
    </x:row>
    <x:row r="2177" ht="60" customHeight="1">
      <x:c r="A2177" s="14" t="str">
        <x:v>Спорт и отдых</x:v>
      </x:c>
      <x:c r="B2177" s="14" t="str">
        <x:v>Товары для рыбалки</x:v>
      </x:c>
      <x:c r="C2177" s="14" t="str">
        <x:v>Аксесcуары для рыбалки</x:v>
      </x:c>
      <x:c r="D2177" s="14" t="str">
        <x:v>Аксессуары для летней рыбалки</x:v>
      </x:c>
      <x:c r="E2177" s="2" t="n">
        <x:v>96</x:v>
      </x:c>
      <x:c r="F2177" s="2" t="n">
        <x:v>0</x:v>
      </x:c>
      <x:c r="G2177" s="12" t="n">
        <x:v>12257570.712</x:v>
      </x:c>
      <x:c r="H2177" s="12" t="n">
        <x:v>597084.6960534</x:v>
      </x:c>
      <x:c r="I2177" s="13" t="n">
        <x:v>0.0442739583333333</x:v>
      </x:c>
      <x:c r="J2177" s="2" t="n">
        <x:v>51</x:v>
      </x:c>
      <x:c r="K2177" s="2" t="n">
        <x:v>40</x:v>
      </x:c>
      <x:c r="L2177" s="12" t="n">
        <x:v>1660.71555</x:v>
      </x:c>
      <x:c r="M2177" s="13" t="n">
        <x:v>0.1921576556677831</x:v>
      </x:c>
      <x:c r="N2177" s="13" t="n">
        <x:f>H2177/G2177</x:f>
        <x:v>0.048711503289054006</x:v>
      </x:c>
      <x:c r="O2177" s="13" t="n">
        <x:f>F2177/E2177</x:f>
        <x:v>0</x:v>
      </x:c>
      <x:c r="P2177" s="2" t="str">
        <x:f>IF(AND(E2177&gt;='Итоги'!$F$5,N2177&lt;='Итоги'!$B$5,O2177&gt;='Итоги'!$D$5),"Да","Нет")</x:f>
        <x:v>Нет</x:v>
      </x:c>
    </x:row>
    <x:row r="2178" ht="60" customHeight="1">
      <x:c r="A2178" s="14" t="str">
        <x:v>Одежда</x:v>
      </x:c>
      <x:c r="B2178" s="14" t="str">
        <x:v>Основная одежда женская</x:v>
      </x:c>
      <x:c r="C2178" s="14" t="str">
        <x:v>Спортивная основная одежда женская низы</x:v>
      </x:c>
      <x:c r="D2178" s="14" t="str">
        <x:v>Спортивные шорты женские</x:v>
      </x:c>
      <x:c r="E2178" s="2" t="n">
        <x:v>524</x:v>
      </x:c>
      <x:c r="F2178" s="2" t="n">
        <x:v>0</x:v>
      </x:c>
      <x:c r="G2178" s="12" t="n">
        <x:v>60782012.6685</x:v>
      </x:c>
      <x:c r="H2178" s="12" t="n">
        <x:v>2961783.59828066</x:v>
      </x:c>
      <x:c r="I2178" s="13" t="n">
        <x:v>0.0386797709923664</x:v>
      </x:c>
      <x:c r="J2178" s="2" t="n">
        <x:v>244</x:v>
      </x:c>
      <x:c r="K2178" s="2" t="n">
        <x:v>58</x:v>
      </x:c>
      <x:c r="L2178" s="12" t="n">
        <x:v>1565.81265</x:v>
      </x:c>
      <x:c r="M2178" s="13" t="n">
        <x:v>0.3214840342894198</x:v>
      </x:c>
      <x:c r="N2178" s="13" t="n">
        <x:f>H2178/G2178</x:f>
        <x:v>0.04872796191258061</x:v>
      </x:c>
      <x:c r="O2178" s="13" t="n">
        <x:f>F2178/E2178</x:f>
        <x:v>0</x:v>
      </x:c>
      <x:c r="P2178" s="2" t="str">
        <x:f>IF(AND(E2178&gt;='Итоги'!$F$5,N2178&lt;='Итоги'!$B$5,O2178&gt;='Итоги'!$D$5),"Да","Нет")</x:f>
        <x:v>Нет</x:v>
      </x:c>
    </x:row>
    <x:row r="2179" ht="60" customHeight="1">
      <x:c r="A2179" s="14" t="str">
        <x:v>Аптека</x:v>
      </x:c>
      <x:c r="B2179" s="14" t="str">
        <x:v>Средства реабилитации</x:v>
      </x:c>
      <x:c r="C2179" s="14" t="str">
        <x:v>Товары по уходу за стомой</x:v>
      </x:c>
      <x:c r="D2179" s="14" t="str">
        <x:v>Мочеприемник, уроприемник и аксессуары</x:v>
      </x:c>
      <x:c r="E2179" s="2" t="n">
        <x:v>16</x:v>
      </x:c>
      <x:c r="F2179" s="2" t="n">
        <x:v>0</x:v>
      </x:c>
      <x:c r="G2179" s="12" t="n">
        <x:v>2359496.13</x:v>
      </x:c>
      <x:c r="H2179" s="12" t="n">
        <x:v>115022.677079</x:v>
      </x:c>
      <x:c r="I2179" s="13" t="n">
        <x:v>0.050925</x:v>
      </x:c>
      <x:c r="J2179" s="2" t="n">
        <x:v>6</x:v>
      </x:c>
      <x:c r="K2179" s="2" t="n">
        <x:v>2</x:v>
      </x:c>
      <x:c r="L2179" s="12" t="n">
        <x:v>1115.41895</x:v>
      </x:c>
      <x:c r="M2179" s="13" t="n">
        <x:v>0.9495472789777366</x:v>
      </x:c>
      <x:c r="N2179" s="13" t="n">
        <x:f>H2179/G2179</x:f>
        <x:v>0.048748830572991876</x:v>
      </x:c>
      <x:c r="O2179" s="13" t="n">
        <x:f>F2179/E2179</x:f>
        <x:v>0</x:v>
      </x:c>
      <x:c r="P2179" s="2" t="str">
        <x:f>IF(AND(E2179&gt;='Итоги'!$F$5,N2179&lt;='Итоги'!$B$5,O2179&gt;='Итоги'!$D$5),"Да","Нет")</x:f>
        <x:v>Нет</x:v>
      </x:c>
    </x:row>
    <x:row r="2180" ht="60" customHeight="1">
      <x:c r="A2180" s="14" t="str">
        <x:v>Товары для красоты и здоровья</x:v>
      </x:c>
      <x:c r="B2180" s="14" t="str">
        <x:v>Уход и гигиена</x:v>
      </x:c>
      <x:c r="C2180" s="14" t="str">
        <x:v>Гигиена тела</x:v>
      </x:c>
      <x:c r="D2180" s="14" t="str">
        <x:v>Мыло туалетное твердое</x:v>
      </x:c>
      <x:c r="E2180" s="2" t="n">
        <x:v>27</x:v>
      </x:c>
      <x:c r="F2180" s="2" t="n">
        <x:v>0</x:v>
      </x:c>
      <x:c r="G2180" s="12" t="n">
        <x:v>4049800.4417</x:v>
      </x:c>
      <x:c r="H2180" s="12" t="n">
        <x:v>197560.80117346</x:v>
      </x:c>
      <x:c r="I2180" s="13" t="n">
        <x:v>0.0397111111111111</x:v>
      </x:c>
      <x:c r="J2180" s="2" t="n">
        <x:v>13</x:v>
      </x:c>
      <x:c r="K2180" s="2" t="n">
        <x:v>15</x:v>
      </x:c>
      <x:c r="L2180" s="12" t="n">
        <x:v>1014.6564</x:v>
      </x:c>
      <x:c r="M2180" s="13" t="n">
        <x:v>0.4685575090469031</x:v>
      </x:c>
      <x:c r="N2180" s="13" t="n">
        <x:f>H2180/G2180</x:f>
        <x:v>0.04878284844339865</x:v>
      </x:c>
      <x:c r="O2180" s="13" t="n">
        <x:f>F2180/E2180</x:f>
        <x:v>0</x:v>
      </x:c>
      <x:c r="P2180" s="2" t="str">
        <x:f>IF(AND(E2180&gt;='Итоги'!$F$5,N2180&lt;='Итоги'!$B$5,O2180&gt;='Итоги'!$D$5),"Да","Нет")</x:f>
        <x:v>Нет</x:v>
      </x:c>
    </x:row>
    <x:row r="2181" ht="60" customHeight="1">
      <x:c r="A2181" s="14" t="str">
        <x:v>Автотовары</x:v>
      </x:c>
      <x:c r="B2181" s="14" t="str">
        <x:v>Электронные устройства для авто</x:v>
      </x:c>
      <x:c r="C2181" s="14" t="str">
        <x:v>Автоэлектроника</x:v>
      </x:c>
      <x:c r="D2181" s="14" t="str">
        <x:v>FM/Bluetooth модулятор автомобильный</x:v>
      </x:c>
      <x:c r="E2181" s="2" t="n">
        <x:v>24</x:v>
      </x:c>
      <x:c r="F2181" s="2" t="n">
        <x:v>0</x:v>
      </x:c>
      <x:c r="G2181" s="12" t="n">
        <x:v>3728487.7597</x:v>
      </x:c>
      <x:c r="H2181" s="12" t="n">
        <x:v>181992.94001058</x:v>
      </x:c>
      <x:c r="I2181" s="13" t="n">
        <x:v>0.0583958333333333</x:v>
      </x:c>
      <x:c r="J2181" s="2" t="n">
        <x:v>4</x:v>
      </x:c>
      <x:c r="K2181" s="2" t="n">
        <x:v>10</x:v>
      </x:c>
      <x:c r="L2181" s="12" t="n">
        <x:v>3998.4728</x:v>
      </x:c>
      <x:c r="M2181" s="13" t="n">
        <x:v>0.6188616374284834</x:v>
      </x:c>
      <x:c r="N2181" s="13" t="n">
        <x:f>H2181/G2181</x:f>
        <x:v>0.048811462378308426</x:v>
      </x:c>
      <x:c r="O2181" s="13" t="n">
        <x:f>F2181/E2181</x:f>
        <x:v>0</x:v>
      </x:c>
      <x:c r="P2181" s="2" t="str">
        <x:f>IF(AND(E2181&gt;='Итоги'!$F$5,N2181&lt;='Итоги'!$B$5,O2181&gt;='Итоги'!$D$5),"Да","Нет")</x:f>
        <x:v>Нет</x:v>
      </x:c>
    </x:row>
    <x:row r="2182" ht="60" customHeight="1">
      <x:c r="A2182" s="14" t="str">
        <x:v>Бакалея и кондитерские изделия</x:v>
      </x:c>
      <x:c r="B2182" s="14" t="str">
        <x:v>Бакалея</x:v>
      </x:c>
      <x:c r="C2182" s="14" t="str">
        <x:v>Снэки, чипсы, готовые завтраки</x:v>
      </x:c>
      <x:c r="D2182" s="14" t="str">
        <x:v>Сухофрукты</x:v>
      </x:c>
      <x:c r="E2182" s="2" t="n">
        <x:v>20</x:v>
      </x:c>
      <x:c r="F2182" s="2" t="n">
        <x:v>0</x:v>
      </x:c>
      <x:c r="G2182" s="12" t="n">
        <x:v>2551387.581</x:v>
      </x:c>
      <x:c r="H2182" s="12" t="n">
        <x:v>124572.21258552</x:v>
      </x:c>
      <x:c r="I2182" s="13" t="n">
        <x:v>0.044925</x:v>
      </x:c>
      <x:c r="J2182" s="2" t="n">
        <x:v>4</x:v>
      </x:c>
      <x:c r="K2182" s="2" t="n">
        <x:v>15</x:v>
      </x:c>
      <x:c r="L2182" s="12" t="n">
        <x:v>1003.0304</x:v>
      </x:c>
      <x:c r="M2182" s="13" t="n">
        <x:v>0.1884014304920299</x:v>
      </x:c>
      <x:c r="N2182" s="13" t="n">
        <x:f>H2182/G2182</x:f>
        <x:v>0.048825279825456674</x:v>
      </x:c>
      <x:c r="O2182" s="13" t="n">
        <x:f>F2182/E2182</x:f>
        <x:v>0</x:v>
      </x:c>
      <x:c r="P2182" s="2" t="str">
        <x:f>IF(AND(E2182&gt;='Итоги'!$F$5,N2182&lt;='Итоги'!$B$5,O2182&gt;='Итоги'!$D$5),"Да","Нет")</x:f>
        <x:v>Нет</x:v>
      </x:c>
    </x:row>
    <x:row r="2183" ht="60" customHeight="1">
      <x:c r="A2183" s="14" t="str">
        <x:v>Автотовары</x:v>
      </x:c>
      <x:c r="B2183" s="14" t="str">
        <x:v>Авто и мото запчасти</x:v>
      </x:c>
      <x:c r="C2183" s="14" t="str">
        <x:v>Тормозная система</x:v>
      </x:c>
      <x:c r="D2183" s="14" t="str">
        <x:v>Тормозной суппорт автомобильный</x:v>
      </x:c>
      <x:c r="E2183" s="2" t="n">
        <x:v>27</x:v>
      </x:c>
      <x:c r="F2183" s="2" t="n">
        <x:v>0</x:v>
      </x:c>
      <x:c r="G2183" s="12" t="n">
        <x:v>4992686.2196</x:v>
      </x:c>
      <x:c r="H2183" s="12" t="n">
        <x:v>243893.23402132</x:v>
      </x:c>
      <x:c r="I2183" s="13" t="n">
        <x:v>0.0526185185185185</x:v>
      </x:c>
      <x:c r="J2183" s="2" t="n">
        <x:v>7</x:v>
      </x:c>
      <x:c r="K2183" s="2" t="n">
        <x:v>9</x:v>
      </x:c>
      <x:c r="L2183" s="12" t="n">
        <x:v>5405.0952</x:v>
      </x:c>
      <x:c r="M2183" s="13" t="n">
        <x:v>0.5356732129691637</x:v>
      </x:c>
      <x:c r="N2183" s="13" t="n">
        <x:f>H2183/G2183</x:f>
        <x:v>0.04885010258883444</x:v>
      </x:c>
      <x:c r="O2183" s="13" t="n">
        <x:f>F2183/E2183</x:f>
        <x:v>0</x:v>
      </x:c>
      <x:c r="P2183" s="2" t="str">
        <x:f>IF(AND(E2183&gt;='Итоги'!$F$5,N2183&lt;='Итоги'!$B$5,O2183&gt;='Итоги'!$D$5),"Да","Нет")</x:f>
        <x:v>Нет</x:v>
      </x:c>
    </x:row>
    <x:row r="2184" ht="60" customHeight="1">
      <x:c r="A2184" s="14" t="str">
        <x:v>Строительство и ремонт (DIY)</x:v>
      </x:c>
      <x:c r="B2184" s="14" t="str">
        <x:v>Ремонт и строительство</x:v>
      </x:c>
      <x:c r="C2184" s="14" t="str">
        <x:v>Стройматериалы</x:v>
      </x:c>
      <x:c r="D2184" s="14" t="str">
        <x:v>Водосточные и канализационные системы</x:v>
      </x:c>
      <x:c r="E2184" s="2" t="n">
        <x:v>42</x:v>
      </x:c>
      <x:c r="F2184" s="2" t="n">
        <x:v>0</x:v>
      </x:c>
      <x:c r="G2184" s="12" t="n">
        <x:v>7283042.8407</x:v>
      </x:c>
      <x:c r="H2184" s="12" t="n">
        <x:v>355781.99158123</x:v>
      </x:c>
      <x:c r="I2184" s="13" t="n">
        <x:v>0.0373238095238095</x:v>
      </x:c>
      <x:c r="J2184" s="2" t="n">
        <x:v>21</x:v>
      </x:c>
      <x:c r="K2184" s="2" t="n">
        <x:v>10</x:v>
      </x:c>
      <x:c r="L2184" s="12" t="n">
        <x:v>3629.1289</x:v>
      </x:c>
      <x:c r="M2184" s="13" t="n">
        <x:v>0.8124944747724776</x:v>
      </x:c>
      <x:c r="N2184" s="13" t="n">
        <x:f>H2184/G2184</x:f>
        <x:v>0.048850734420097755</x:v>
      </x:c>
      <x:c r="O2184" s="13" t="n">
        <x:f>F2184/E2184</x:f>
        <x:v>0</x:v>
      </x:c>
      <x:c r="P2184" s="2" t="str">
        <x:f>IF(AND(E2184&gt;='Итоги'!$F$5,N2184&lt;='Итоги'!$B$5,O2184&gt;='Итоги'!$D$5),"Да","Нет")</x:f>
        <x:v>Нет</x:v>
      </x:c>
    </x:row>
    <x:row r="2185" ht="60" customHeight="1">
      <x:c r="A2185" s="14" t="str">
        <x:v>Товары для красоты и здоровья</x:v>
      </x:c>
      <x:c r="B2185" s="14" t="str">
        <x:v>Косметика для ухода за волосами</x:v>
      </x:c>
      <x:c r="C2185" s="14" t="str">
        <x:v>Уход за волосами для женщин</x:v>
      </x:c>
      <x:c r="D2185" s="14" t="str">
        <x:v>Бальзам, кондиционер для волос женский</x:v>
      </x:c>
      <x:c r="E2185" s="2" t="n">
        <x:v>160</x:v>
      </x:c>
      <x:c r="F2185" s="2" t="n">
        <x:v>0</x:v>
      </x:c>
      <x:c r="G2185" s="12" t="n">
        <x:v>20139985.816</x:v>
      </x:c>
      <x:c r="H2185" s="12" t="n">
        <x:v>984390.03507159</x:v>
      </x:c>
      <x:c r="I2185" s="13" t="n">
        <x:v>0.0426737499999999</x:v>
      </x:c>
      <x:c r="J2185" s="2" t="n">
        <x:v>66</x:v>
      </x:c>
      <x:c r="K2185" s="2" t="n">
        <x:v>39</x:v>
      </x:c>
      <x:c r="L2185" s="12" t="n">
        <x:v>1383.5092</x:v>
      </x:c>
      <x:c r="M2185" s="13" t="n">
        <x:v>0.537572447225799</x:v>
      </x:c>
      <x:c r="N2185" s="13" t="n">
        <x:f>H2185/G2185</x:f>
        <x:v>0.048877394654843885</x:v>
      </x:c>
      <x:c r="O2185" s="13" t="n">
        <x:f>F2185/E2185</x:f>
        <x:v>0</x:v>
      </x:c>
      <x:c r="P2185" s="2" t="str">
        <x:f>IF(AND(E2185&gt;='Итоги'!$F$5,N2185&lt;='Итоги'!$B$5,O2185&gt;='Итоги'!$D$5),"Да","Нет")</x:f>
        <x:v>Нет</x:v>
      </x:c>
    </x:row>
    <x:row r="2186" ht="60" customHeight="1">
      <x:c r="A2186" s="14" t="str">
        <x:v>Бакалея и кондитерские изделия</x:v>
      </x:c>
      <x:c r="B2186" s="14" t="str">
        <x:v>Бакалея</x:v>
      </x:c>
      <x:c r="C2186" s="14" t="str">
        <x:v>Снэки, чипсы, готовые завтраки</x:v>
      </x:c>
      <x:c r="D2186" s="14" t="str">
        <x:v>Орехи</x:v>
      </x:c>
      <x:c r="E2186" s="2" t="n">
        <x:v>76</x:v>
      </x:c>
      <x:c r="F2186" s="2" t="n">
        <x:v>0</x:v>
      </x:c>
      <x:c r="G2186" s="12" t="n">
        <x:v>10510840.7626</x:v>
      </x:c>
      <x:c r="H2186" s="12" t="n">
        <x:v>513746.38761139</x:v>
      </x:c>
      <x:c r="I2186" s="13" t="n">
        <x:v>0.046478947368421</x:v>
      </x:c>
      <x:c r="J2186" s="2" t="n">
        <x:v>25</x:v>
      </x:c>
      <x:c r="K2186" s="2" t="n">
        <x:v>38</x:v>
      </x:c>
      <x:c r="L2186" s="12" t="n">
        <x:v>1040.5349</x:v>
      </x:c>
      <x:c r="M2186" s="13" t="n">
        <x:v>0.291387539634117</x:v>
      </x:c>
      <x:c r="N2186" s="13" t="n">
        <x:f>H2186/G2186</x:f>
        <x:v>0.04887776336974092</x:v>
      </x:c>
      <x:c r="O2186" s="13" t="n">
        <x:f>F2186/E2186</x:f>
        <x:v>0</x:v>
      </x:c>
      <x:c r="P2186" s="2" t="str">
        <x:f>IF(AND(E2186&gt;='Итоги'!$F$5,N2186&lt;='Итоги'!$B$5,O2186&gt;='Итоги'!$D$5),"Да","Нет")</x:f>
        <x:v>Нет</x:v>
      </x:c>
    </x:row>
    <x:row r="2187" ht="60" customHeight="1">
      <x:c r="A2187" s="14" t="str">
        <x:v>Автотовары</x:v>
      </x:c>
      <x:c r="B2187" s="14" t="str">
        <x:v>Масла и автохимия</x:v>
      </x:c>
      <x:c r="C2187" s="14" t="str">
        <x:v>Товары для детейлинга</x:v>
      </x:c>
      <x:c r="D2187" s="14" t="str">
        <x:v>Автохимия - Полироль, воск</x:v>
      </x:c>
      <x:c r="E2187" s="2" t="n">
        <x:v>80</x:v>
      </x:c>
      <x:c r="F2187" s="2" t="n">
        <x:v>0</x:v>
      </x:c>
      <x:c r="G2187" s="12" t="n">
        <x:v>15410433.2591</x:v>
      </x:c>
      <x:c r="H2187" s="12" t="n">
        <x:v>753478.48611011</x:v>
      </x:c>
      <x:c r="I2187" s="13" t="n">
        <x:v>0.05368625</x:v>
      </x:c>
      <x:c r="J2187" s="2" t="n">
        <x:v>31</x:v>
      </x:c>
      <x:c r="K2187" s="2" t="n">
        <x:v>28</x:v>
      </x:c>
      <x:c r="L2187" s="12" t="n">
        <x:v>1525.67255</x:v>
      </x:c>
      <x:c r="M2187" s="13" t="n">
        <x:v>0.5869435515356983</x:v>
      </x:c>
      <x:c r="N2187" s="13" t="n">
        <x:f>H2187/G2187</x:f>
        <x:v>0.04889404946906176</x:v>
      </x:c>
      <x:c r="O2187" s="13" t="n">
        <x:f>F2187/E2187</x:f>
        <x:v>0</x:v>
      </x:c>
      <x:c r="P2187" s="2" t="str">
        <x:f>IF(AND(E2187&gt;='Итоги'!$F$5,N2187&lt;='Итоги'!$B$5,O2187&gt;='Итоги'!$D$5),"Да","Нет")</x:f>
        <x:v>Нет</x:v>
      </x:c>
    </x:row>
    <x:row r="2188" ht="60" customHeight="1">
      <x:c r="A2188" s="14" t="str">
        <x:v>Товары для детей и спорта</x:v>
      </x:c>
      <x:c r="B2188" s="14" t="str">
        <x:v>КГТ и аксессуары для детей</x:v>
      </x:c>
      <x:c r="C2188" s="14" t="str">
        <x:v>Автокресла и аксессуары</x:v>
      </x:c>
      <x:c r="D2188" s="14" t="str">
        <x:v>Детское автокресло группы 1 (9-18 кг)</x:v>
      </x:c>
      <x:c r="E2188" s="2" t="n">
        <x:v>1</x:v>
      </x:c>
      <x:c r="F2188" s="2" t="n">
        <x:v>0</x:v>
      </x:c>
      <x:c r="G2188" s="12" t="n">
        <x:v>87244</x:v>
      </x:c>
      <x:c r="H2188" s="12" t="n">
        <x:v>4266.2316</x:v>
      </x:c>
      <x:c r="I2188" s="13" t="n">
        <x:v>0.0489</x:v>
      </x:c>
      <x:c r="J2188" s="2" t="n">
        <x:v>0</x:v>
      </x:c>
      <x:c r="K2188" s="2" t="n">
        <x:v>1</x:v>
      </x:c>
      <x:c r="L2188" s="12" t="n">
        <x:v>43622</x:v>
      </x:c>
      <x:c r="M2188" s="13" t="n">
        <x:v>1</x:v>
      </x:c>
      <x:c r="N2188" s="13" t="n">
        <x:f>H2188/G2188</x:f>
        <x:v>0.0489</x:v>
      </x:c>
      <x:c r="O2188" s="13" t="n">
        <x:f>F2188/E2188</x:f>
        <x:v>0</x:v>
      </x:c>
      <x:c r="P2188" s="2" t="str">
        <x:f>IF(AND(E2188&gt;='Итоги'!$F$5,N2188&lt;='Итоги'!$B$5,O2188&gt;='Итоги'!$D$5),"Да","Нет")</x:f>
        <x:v>Нет</x:v>
      </x:c>
    </x:row>
    <x:row r="2189" ht="60" customHeight="1">
      <x:c r="A2189" s="14" t="str">
        <x:v>Товары для животных</x:v>
      </x:c>
      <x:c r="B2189" s="14" t="str">
        <x:v>Спальное место животного</x:v>
      </x:c>
      <x:c r="C2189" s="14" t="str">
        <x:v>Домик, игровой комплекс для животных</x:v>
      </x:c>
      <x:c r="D2189" s="14" t="str">
        <x:v>Игровой комплекс для животных</x:v>
      </x:c>
      <x:c r="E2189" s="2" t="n">
        <x:v>46</x:v>
      </x:c>
      <x:c r="F2189" s="2" t="n">
        <x:v>0</x:v>
      </x:c>
      <x:c r="G2189" s="12" t="n">
        <x:v>8217171.684</x:v>
      </x:c>
      <x:c r="H2189" s="12" t="n">
        <x:v>401826.11225789</x:v>
      </x:c>
      <x:c r="I2189" s="13" t="n">
        <x:v>0.0563108695652173</x:v>
      </x:c>
      <x:c r="J2189" s="2" t="n">
        <x:v>12</x:v>
      </x:c>
      <x:c r="K2189" s="2" t="n">
        <x:v>7</x:v>
      </x:c>
      <x:c r="L2189" s="12" t="n">
        <x:v>7063.482</x:v>
      </x:c>
      <x:c r="M2189" s="13" t="n">
        <x:v>0.4310243129879334</x:v>
      </x:c>
      <x:c r="N2189" s="13" t="n">
        <x:f>H2189/G2189</x:f>
        <x:v>0.04890078091471576</x:v>
      </x:c>
      <x:c r="O2189" s="13" t="n">
        <x:f>F2189/E2189</x:f>
        <x:v>0</x:v>
      </x:c>
      <x:c r="P2189" s="2" t="str">
        <x:f>IF(AND(E2189&gt;='Итоги'!$F$5,N2189&lt;='Итоги'!$B$5,O2189&gt;='Итоги'!$D$5),"Да","Нет")</x:f>
        <x:v>Нет</x:v>
      </x:c>
    </x:row>
    <x:row r="2190" ht="60" customHeight="1">
      <x:c r="A2190" s="14" t="str">
        <x:v>Строительство и ремонт (DIY)</x:v>
      </x:c>
      <x:c r="B2190" s="14" t="str">
        <x:v>Инструменты</x:v>
      </x:c>
      <x:c r="C2190" s="14" t="str">
        <x:v>Инструмент ручной для строительства, ремонта</x:v>
      </x:c>
      <x:c r="D2190" s="14" t="str">
        <x:v>Плиткорез ручной</x:v>
      </x:c>
      <x:c r="E2190" s="2" t="n">
        <x:v>27</x:v>
      </x:c>
      <x:c r="F2190" s="2" t="n">
        <x:v>0</x:v>
      </x:c>
      <x:c r="G2190" s="12" t="n">
        <x:v>6157989.0433</x:v>
      </x:c>
      <x:c r="H2190" s="12" t="n">
        <x:v>301326.33580185</x:v>
      </x:c>
      <x:c r="I2190" s="13" t="n">
        <x:v>0.0641962962962962</x:v>
      </x:c>
      <x:c r="J2190" s="2" t="n">
        <x:v>6</x:v>
      </x:c>
      <x:c r="K2190" s="2" t="n">
        <x:v>10</x:v>
      </x:c>
      <x:c r="L2190" s="12" t="n">
        <x:v>6613.591</x:v>
      </x:c>
      <x:c r="M2190" s="13" t="n">
        <x:v>0.7175605084435244</x:v>
      </x:c>
      <x:c r="N2190" s="13" t="n">
        <x:f>H2190/G2190</x:f>
        <x:v>0.04893258719414227</x:v>
      </x:c>
      <x:c r="O2190" s="13" t="n">
        <x:f>F2190/E2190</x:f>
        <x:v>0</x:v>
      </x:c>
      <x:c r="P2190" s="2" t="str">
        <x:f>IF(AND(E2190&gt;='Итоги'!$F$5,N2190&lt;='Итоги'!$B$5,O2190&gt;='Итоги'!$D$5),"Да","Нет")</x:f>
        <x:v>Нет</x:v>
      </x:c>
    </x:row>
    <x:row r="2191" ht="60" customHeight="1">
      <x:c r="A2191" s="14" t="str">
        <x:v>Спорт и отдых</x:v>
      </x:c>
      <x:c r="B2191" s="14" t="str">
        <x:v>Страйкбол и пневматика</x:v>
      </x:c>
      <x:c r="C2191" s="14" t="str">
        <x:v>Принадлежности для страйкбола и пневматики</x:v>
      </x:c>
      <x:c r="D2191" s="14" t="str">
        <x:v>Очки, маска для страйкбола</x:v>
      </x:c>
      <x:c r="E2191" s="2" t="n">
        <x:v>7</x:v>
      </x:c>
      <x:c r="F2191" s="2" t="n">
        <x:v>0</x:v>
      </x:c>
      <x:c r="G2191" s="12" t="n">
        <x:v>772448.401</x:v>
      </x:c>
      <x:c r="H2191" s="12" t="n">
        <x:v>37819.186163000006</x:v>
      </x:c>
      <x:c r="I2191" s="13" t="n">
        <x:v>0.0757857142857142</x:v>
      </x:c>
      <x:c r="J2191" s="2" t="n">
        <x:v>3</x:v>
      </x:c>
      <x:c r="K2191" s="2" t="n">
        <x:v>6</x:v>
      </x:c>
      <x:c r="L2191" s="12" t="n">
        <x:v>1081.7073</x:v>
      </x:c>
      <x:c r="M2191" s="13" t="n">
        <x:v>0.3845286682132701</x:v>
      </x:c>
      <x:c r="N2191" s="13" t="n">
        <x:f>H2191/G2191</x:f>
        <x:v>0.048960145576118566</x:v>
      </x:c>
      <x:c r="O2191" s="13" t="n">
        <x:f>F2191/E2191</x:f>
        <x:v>0</x:v>
      </x:c>
      <x:c r="P2191" s="2" t="str">
        <x:f>IF(AND(E2191&gt;='Итоги'!$F$5,N2191&lt;='Итоги'!$B$5,O2191&gt;='Итоги'!$D$5),"Да","Нет")</x:f>
        <x:v>Нет</x:v>
      </x:c>
    </x:row>
    <x:row r="2192" ht="60" customHeight="1">
      <x:c r="A2192" s="14" t="str">
        <x:v>Строительство и ремонт (DIY)</x:v>
      </x:c>
      <x:c r="B2192" s="14" t="str">
        <x:v>Сад и огород</x:v>
      </x:c>
      <x:c r="C2192" s="14" t="str">
        <x:v>Товары для бани и сауны</x:v>
      </x:c>
      <x:c r="D2192" s="14" t="str">
        <x:v>Банный декор</x:v>
      </x:c>
      <x:c r="E2192" s="2" t="n">
        <x:v>33</x:v>
      </x:c>
      <x:c r="F2192" s="2" t="n">
        <x:v>0</x:v>
      </x:c>
      <x:c r="G2192" s="12" t="n">
        <x:v>3964293.3824</x:v>
      </x:c>
      <x:c r="H2192" s="12" t="n">
        <x:v>194299.39152158</x:v>
      </x:c>
      <x:c r="I2192" s="13" t="n">
        <x:v>0.0474515151515151</x:v>
      </x:c>
      <x:c r="J2192" s="2" t="n">
        <x:v>17</x:v>
      </x:c>
      <x:c r="K2192" s="2" t="n">
        <x:v>14</x:v>
      </x:c>
      <x:c r="L2192" s="12" t="n">
        <x:v>2043.2813</x:v>
      </x:c>
      <x:c r="M2192" s="13" t="n">
        <x:v>0.228248627716903</x:v>
      </x:c>
      <x:c r="N2192" s="13" t="n">
        <x:f>H2192/G2192</x:f>
        <x:v>0.049012364317988576</x:v>
      </x:c>
      <x:c r="O2192" s="13" t="n">
        <x:f>F2192/E2192</x:f>
        <x:v>0</x:v>
      </x:c>
      <x:c r="P2192" s="2" t="str">
        <x:f>IF(AND(E2192&gt;='Итоги'!$F$5,N2192&lt;='Итоги'!$B$5,O2192&gt;='Итоги'!$D$5),"Да","Нет")</x:f>
        <x:v>Нет</x:v>
      </x:c>
    </x:row>
    <x:row r="2193" ht="60" customHeight="1">
      <x:c r="A2193" s="14" t="str">
        <x:v>Аптека</x:v>
      </x:c>
      <x:c r="B2193" s="14" t="str">
        <x:v>Профессиональные стоматологические приборы и материалы</x:v>
      </x:c>
      <x:c r="C2193" s="14" t="str">
        <x:v>Профессиональные стоматологические приборы</x:v>
      </x:c>
      <x:c r="D2193" s="14" t="str">
        <x:v>Зуботехническое оборудование и материалы</x:v>
      </x:c>
      <x:c r="E2193" s="2" t="n">
        <x:v>11</x:v>
      </x:c>
      <x:c r="F2193" s="2" t="n">
        <x:v>0</x:v>
      </x:c>
      <x:c r="G2193" s="12" t="n">
        <x:v>1755375.59</x:v>
      </x:c>
      <x:c r="H2193" s="12" t="n">
        <x:v>86058.639841</x:v>
      </x:c>
      <x:c r="I2193" s="13" t="n">
        <x:v>0.0505272727272727</x:v>
      </x:c>
      <x:c r="J2193" s="2" t="n">
        <x:v>1</x:v>
      </x:c>
      <x:c r="K2193" s="2" t="n">
        <x:v>3</x:v>
      </x:c>
      <x:c r="L2193" s="12" t="n">
        <x:v>3216.3902</x:v>
      </x:c>
      <x:c r="M2193" s="13" t="n">
        <x:v>0.860624699697459</x:v>
      </x:c>
      <x:c r="N2193" s="13" t="n">
        <x:f>H2193/G2193</x:f>
        <x:v>0.04902576994419752</x:v>
      </x:c>
      <x:c r="O2193" s="13" t="n">
        <x:f>F2193/E2193</x:f>
        <x:v>0</x:v>
      </x:c>
      <x:c r="P2193" s="2" t="str">
        <x:f>IF(AND(E2193&gt;='Итоги'!$F$5,N2193&lt;='Итоги'!$B$5,O2193&gt;='Итоги'!$D$5),"Да","Нет")</x:f>
        <x:v>Нет</x:v>
      </x:c>
    </x:row>
    <x:row r="2194" ht="60" customHeight="1">
      <x:c r="A2194" s="14" t="str">
        <x:v>Товары для дома</x:v>
      </x:c>
      <x:c r="B2194" s="14" t="str">
        <x:v>Домашний текстиль</x:v>
      </x:c>
      <x:c r="C2194" s="14" t="str">
        <x:v>Шторы</x:v>
      </x:c>
      <x:c r="D2194" s="14" t="str">
        <x:v>Жалюзи</x:v>
      </x:c>
      <x:c r="E2194" s="2" t="n">
        <x:v>60</x:v>
      </x:c>
      <x:c r="F2194" s="2" t="n">
        <x:v>0</x:v>
      </x:c>
      <x:c r="G2194" s="12" t="n">
        <x:v>6902224.6404</x:v>
      </x:c>
      <x:c r="H2194" s="12" t="n">
        <x:v>338489.18119511</x:v>
      </x:c>
      <x:c r="I2194" s="13" t="n">
        <x:v>0.0399316666666666</x:v>
      </x:c>
      <x:c r="J2194" s="2" t="n">
        <x:v>33</x:v>
      </x:c>
      <x:c r="K2194" s="2" t="n">
        <x:v>11</x:v>
      </x:c>
      <x:c r="L2194" s="12" t="n">
        <x:v>1455.3688</x:v>
      </x:c>
      <x:c r="M2194" s="13" t="n">
        <x:v>0.6200065119225092</x:v>
      </x:c>
      <x:c r="N2194" s="13" t="n">
        <x:f>H2194/G2194</x:f>
        <x:v>0.049040591813524895</x:v>
      </x:c>
      <x:c r="O2194" s="13" t="n">
        <x:f>F2194/E2194</x:f>
        <x:v>0</x:v>
      </x:c>
      <x:c r="P2194" s="2" t="str">
        <x:f>IF(AND(E2194&gt;='Итоги'!$F$5,N2194&lt;='Итоги'!$B$5,O2194&gt;='Итоги'!$D$5),"Да","Нет")</x:f>
        <x:v>Нет</x:v>
      </x:c>
    </x:row>
    <x:row r="2195" ht="60" customHeight="1">
      <x:c r="A2195" s="14" t="str">
        <x:v>Бакалея и кондитерские изделия</x:v>
      </x:c>
      <x:c r="B2195" s="14" t="str">
        <x:v>Бакалея</x:v>
      </x:c>
      <x:c r="C2195" s="14" t="str">
        <x:v>Масла, соусы, уксус</x:v>
      </x:c>
      <x:c r="D2195" s="14" t="str">
        <x:v>Лимонный сок</x:v>
      </x:c>
      <x:c r="E2195" s="2" t="n">
        <x:v>2</x:v>
      </x:c>
      <x:c r="F2195" s="2" t="n">
        <x:v>0</x:v>
      </x:c>
      <x:c r="G2195" s="12" t="n">
        <x:v>328001</x:v>
      </x:c>
      <x:c r="H2195" s="12" t="n">
        <x:v>16091.9467</x:v>
      </x:c>
      <x:c r="I2195" s="13" t="n">
        <x:v>0.05065</x:v>
      </x:c>
      <x:c r="J2195" s="2" t="n">
        <x:v>0</x:v>
      </x:c>
      <x:c r="K2195" s="2" t="n">
        <x:v>1</x:v>
      </x:c>
      <x:c r="L2195" s="12" t="n">
        <x:v>1641.1724</x:v>
      </x:c>
      <x:c r="M2195" s="13" t="n">
        <x:v>1</x:v>
      </x:c>
      <x:c r="N2195" s="13" t="n">
        <x:f>H2195/G2195</x:f>
        <x:v>0.0490606635345624</x:v>
      </x:c>
      <x:c r="O2195" s="13" t="n">
        <x:f>F2195/E2195</x:f>
        <x:v>0</x:v>
      </x:c>
      <x:c r="P2195" s="2" t="str">
        <x:f>IF(AND(E2195&gt;='Итоги'!$F$5,N2195&lt;='Итоги'!$B$5,O2195&gt;='Итоги'!$D$5),"Да","Нет")</x:f>
        <x:v>Нет</x:v>
      </x:c>
    </x:row>
    <x:row r="2196" ht="60" customHeight="1">
      <x:c r="A2196" s="14" t="str">
        <x:v>Строительство и ремонт (DIY)</x:v>
      </x:c>
      <x:c r="B2196" s="14" t="str">
        <x:v>Ремонт и строительство</x:v>
      </x:c>
      <x:c r="C2196" s="14" t="str">
        <x:v>Электротовары</x:v>
      </x:c>
      <x:c r="D2196" s="14" t="str">
        <x:v>Распределительная коробка</x:v>
      </x:c>
      <x:c r="E2196" s="2" t="n">
        <x:v>6</x:v>
      </x:c>
      <x:c r="F2196" s="2" t="n">
        <x:v>0</x:v>
      </x:c>
      <x:c r="G2196" s="12" t="n">
        <x:v>682740.2133</x:v>
      </x:c>
      <x:c r="H2196" s="12" t="n">
        <x:v>33563.69466809</x:v>
      </x:c>
      <x:c r="I2196" s="13" t="n">
        <x:v>0.05515</x:v>
      </x:c>
      <x:c r="J2196" s="2" t="n">
        <x:v>1</x:v>
      </x:c>
      <x:c r="K2196" s="2" t="n">
        <x:v>4</x:v>
      </x:c>
      <x:c r="L2196" s="12" t="n">
        <x:v>853.7619500000001</x:v>
      </x:c>
      <x:c r="M2196" s="13" t="n">
        <x:v>0.3281489439696374</x:v>
      </x:c>
      <x:c r="N2196" s="13" t="n">
        <x:f>H2196/G2196</x:f>
        <x:v>0.04916027211266948</x:v>
      </x:c>
      <x:c r="O2196" s="13" t="n">
        <x:f>F2196/E2196</x:f>
        <x:v>0</x:v>
      </x:c>
      <x:c r="P2196" s="2" t="str">
        <x:f>IF(AND(E2196&gt;='Итоги'!$F$5,N2196&lt;='Итоги'!$B$5,O2196&gt;='Итоги'!$D$5),"Да","Нет")</x:f>
        <x:v>Нет</x:v>
      </x:c>
    </x:row>
    <x:row r="2197" ht="60" customHeight="1">
      <x:c r="A2197" s="14" t="str">
        <x:v>Строительство и ремонт (DIY)</x:v>
      </x:c>
      <x:c r="B2197" s="14" t="str">
        <x:v>Ремонт и строительство</x:v>
      </x:c>
      <x:c r="C2197" s="14" t="str">
        <x:v>Отделка стен</x:v>
      </x:c>
      <x:c r="D2197" s="14" t="str">
        <x:v>Стеклообои</x:v>
      </x:c>
      <x:c r="E2197" s="2" t="n">
        <x:v>16</x:v>
      </x:c>
      <x:c r="F2197" s="2" t="n">
        <x:v>0</x:v>
      </x:c>
      <x:c r="G2197" s="12" t="n">
        <x:v>2599829.733</x:v>
      </x:c>
      <x:c r="H2197" s="12" t="n">
        <x:v>127863.19072606</x:v>
      </x:c>
      <x:c r="I2197" s="13" t="n">
        <x:v>0.047875</x:v>
      </x:c>
      <x:c r="J2197" s="2" t="n">
        <x:v>6</x:v>
      </x:c>
      <x:c r="K2197" s="2" t="n">
        <x:v>7</x:v>
      </x:c>
      <x:c r="L2197" s="12" t="n">
        <x:v>3027.8746</x:v>
      </x:c>
      <x:c r="M2197" s="13" t="n">
        <x:v>0.3246003506645795</x:v>
      </x:c>
      <x:c r="N2197" s="13" t="n">
        <x:f>H2197/G2197</x:f>
        <x:v>0.049181371034831535</x:v>
      </x:c>
      <x:c r="O2197" s="13" t="n">
        <x:f>F2197/E2197</x:f>
        <x:v>0</x:v>
      </x:c>
      <x:c r="P2197" s="2" t="str">
        <x:f>IF(AND(E2197&gt;='Итоги'!$F$5,N2197&lt;='Итоги'!$B$5,O2197&gt;='Итоги'!$D$5),"Да","Нет")</x:f>
        <x:v>Нет</x:v>
      </x:c>
    </x:row>
    <x:row r="2198" ht="60" customHeight="1">
      <x:c r="A2198" s="14" t="str">
        <x:v>Бытовая химия и гигиена рта</x:v>
      </x:c>
      <x:c r="B2198" s="14" t="str">
        <x:v>Бытовая химия</x:v>
      </x:c>
      <x:c r="C2198" s="14" t="str">
        <x:v>Чистящее и моющее средство</x:v>
      </x:c>
      <x:c r="D2198" s="14" t="str">
        <x:v>Полироль для мебели</x:v>
      </x:c>
      <x:c r="E2198" s="2" t="n">
        <x:v>2</x:v>
      </x:c>
      <x:c r="F2198" s="2" t="n">
        <x:v>0</x:v>
      </x:c>
      <x:c r="G2198" s="12" t="n">
        <x:v>98088</x:v>
      </x:c>
      <x:c r="H2198" s="12" t="n">
        <x:v>4825.7328</x:v>
      </x:c>
      <x:c r="I2198" s="13" t="n">
        <x:v>0.0791</x:v>
      </x:c>
      <x:c r="J2198" s="2" t="n">
        <x:v>1</x:v>
      </x:c>
      <x:c r="K2198" s="2" t="n">
        <x:v>2</x:v>
      </x:c>
      <x:c r="L2198" s="12" t="n">
        <x:v>983.57145</x:v>
      </x:c>
      <x:c r="M2198" s="13" t="n">
        <x:v>0.6890139466601419</x:v>
      </x:c>
      <x:c r="N2198" s="13" t="n">
        <x:f>H2198/G2198</x:f>
        <x:v>0.04919799363836555</x:v>
      </x:c>
      <x:c r="O2198" s="13" t="n">
        <x:f>F2198/E2198</x:f>
        <x:v>0</x:v>
      </x:c>
      <x:c r="P2198" s="2" t="str">
        <x:f>IF(AND(E2198&gt;='Итоги'!$F$5,N2198&lt;='Итоги'!$B$5,O2198&gt;='Итоги'!$D$5),"Да","Нет")</x:f>
        <x:v>Нет</x:v>
      </x:c>
    </x:row>
    <x:row r="2199" ht="60" customHeight="1">
      <x:c r="A2199" s="14" t="str">
        <x:v>Строительство и ремонт (DIY)</x:v>
      </x:c>
      <x:c r="B2199" s="14" t="str">
        <x:v>Сад и огород</x:v>
      </x:c>
      <x:c r="C2199" s="14" t="str">
        <x:v>Садовая химия</x:v>
      </x:c>
      <x:c r="D2199" s="14" t="str">
        <x:v>Грунт для садовых растений</x:v>
      </x:c>
      <x:c r="E2199" s="2" t="n">
        <x:v>53</x:v>
      </x:c>
      <x:c r="F2199" s="2" t="n">
        <x:v>0</x:v>
      </x:c>
      <x:c r="G2199" s="12" t="n">
        <x:v>9369612.8269</x:v>
      </x:c>
      <x:c r="H2199" s="12" t="n">
        <x:v>460967.36413089</x:v>
      </x:c>
      <x:c r="I2199" s="13" t="n">
        <x:v>0.0480867924528301</x:v>
      </x:c>
      <x:c r="J2199" s="2" t="n">
        <x:v>18</x:v>
      </x:c>
      <x:c r="K2199" s="2" t="n">
        <x:v>16</x:v>
      </x:c>
      <x:c r="L2199" s="12" t="n">
        <x:v>1045.2222</x:v>
      </x:c>
      <x:c r="M2199" s="13" t="n">
        <x:v>0.6227960763593973</x:v>
      </x:c>
      <x:c r="N2199" s="13" t="n">
        <x:f>H2199/G2199</x:f>
        <x:v>0.04919812297979491</x:v>
      </x:c>
      <x:c r="O2199" s="13" t="n">
        <x:f>F2199/E2199</x:f>
        <x:v>0</x:v>
      </x:c>
      <x:c r="P2199" s="2" t="str">
        <x:f>IF(AND(E2199&gt;='Итоги'!$F$5,N2199&lt;='Итоги'!$B$5,O2199&gt;='Итоги'!$D$5),"Да","Нет")</x:f>
        <x:v>Нет</x:v>
      </x:c>
    </x:row>
    <x:row r="2200" ht="60" customHeight="1">
      <x:c r="A2200" s="14" t="str">
        <x:v>Спорт и отдых</x:v>
      </x:c>
      <x:c r="B2200" s="14" t="str">
        <x:v>Товары для охоты</x:v>
      </x:c>
      <x:c r="C2200" s="14" t="str">
        <x:v>Средства связи для охоты, рыбалки</x:v>
      </x:c>
      <x:c r="D2200" s="14" t="str">
        <x:v>Антенна для рации, радиостанции</x:v>
      </x:c>
      <x:c r="E2200" s="2" t="n">
        <x:v>5</x:v>
      </x:c>
      <x:c r="F2200" s="2" t="n">
        <x:v>0</x:v>
      </x:c>
      <x:c r="G2200" s="12" t="n">
        <x:v>439103</x:v>
      </x:c>
      <x:c r="H2200" s="12" t="n">
        <x:v>21606.714</x:v>
      </x:c>
      <x:c r="I2200" s="13" t="n">
        <x:v>0.03804</x:v>
      </x:c>
      <x:c r="J2200" s="2" t="n">
        <x:v>1</x:v>
      </x:c>
      <x:c r="K2200" s="2" t="n">
        <x:v>4</x:v>
      </x:c>
      <x:c r="L2200" s="12" t="n">
        <x:v>2392.75</x:v>
      </x:c>
      <x:c r="M2200" s="13" t="n">
        <x:v>0.5418774182822709</x:v>
      </x:c>
      <x:c r="N2200" s="13" t="n">
        <x:f>H2200/G2200</x:f>
        <x:v>0.04920648230597377</x:v>
      </x:c>
      <x:c r="O2200" s="13" t="n">
        <x:f>F2200/E2200</x:f>
        <x:v>0</x:v>
      </x:c>
      <x:c r="P2200" s="2" t="str">
        <x:f>IF(AND(E2200&gt;='Итоги'!$F$5,N2200&lt;='Итоги'!$B$5,O2200&gt;='Итоги'!$D$5),"Да","Нет")</x:f>
        <x:v>Нет</x:v>
      </x:c>
    </x:row>
    <x:row r="2201" ht="60" customHeight="1">
      <x:c r="A2201" s="14" t="str">
        <x:v>Товары для животных</x:v>
      </x:c>
      <x:c r="B2201" s="14" t="str">
        <x:v>Зоокорм, витамины</x:v>
      </x:c>
      <x:c r="C2201" s="14" t="str">
        <x:v>Зоокорм, витамины для кошек и собак</x:v>
      </x:c>
      <x:c r="D2201" s="14" t="str">
        <x:v>Корм консервированный для собак</x:v>
      </x:c>
      <x:c r="E2201" s="2" t="n">
        <x:v>284</x:v>
      </x:c>
      <x:c r="F2201" s="2" t="n">
        <x:v>0</x:v>
      </x:c>
      <x:c r="G2201" s="12" t="n">
        <x:v>54487135.57</x:v>
      </x:c>
      <x:c r="H2201" s="12" t="n">
        <x:v>2683585.183511</x:v>
      </x:c>
      <x:c r="I2201" s="13" t="n">
        <x:v>0.0500235915492957</x:v>
      </x:c>
      <x:c r="J2201" s="2" t="n">
        <x:v>88</x:v>
      </x:c>
      <x:c r="K2201" s="2" t="n">
        <x:v>15</x:v>
      </x:c>
      <x:c r="L2201" s="12" t="n">
        <x:v>1474.45935</x:v>
      </x:c>
      <x:c r="M2201" s="13" t="n">
        <x:v>0.7687306660888579</x:v>
      </x:c>
      <x:c r="N2201" s="13" t="n">
        <x:f>H2201/G2201</x:f>
        <x:v>0.04925172071237585</x:v>
      </x:c>
      <x:c r="O2201" s="13" t="n">
        <x:f>F2201/E2201</x:f>
        <x:v>0</x:v>
      </x:c>
      <x:c r="P2201" s="2" t="str">
        <x:f>IF(AND(E2201&gt;='Итоги'!$F$5,N2201&lt;='Итоги'!$B$5,O2201&gt;='Итоги'!$D$5),"Да","Нет")</x:f>
        <x:v>Нет</x:v>
      </x:c>
    </x:row>
    <x:row r="2202" ht="60" customHeight="1">
      <x:c r="A2202" s="14" t="str">
        <x:v>Аксессуары</x:v>
      </x:c>
      <x:c r="B2202" s="14" t="str">
        <x:v>Ювелирные изделия</x:v>
      </x:c>
      <x:c r="C2202" s="14" t="str">
        <x:v>Аксессуар ювелирный</x:v>
      </x:c>
      <x:c r="D2202" s="14" t="str">
        <x:v>Золото шнурок</x:v>
      </x:c>
      <x:c r="E2202" s="2" t="n">
        <x:v>9</x:v>
      </x:c>
      <x:c r="F2202" s="2" t="n">
        <x:v>0</x:v>
      </x:c>
      <x:c r="G2202" s="12" t="n">
        <x:v>718548.55</x:v>
      </x:c>
      <x:c r="H2202" s="12" t="n">
        <x:v>35391.3972</x:v>
      </x:c>
      <x:c r="I2202" s="13" t="n">
        <x:v>0.0258111111111111</x:v>
      </x:c>
      <x:c r="J2202" s="2" t="n">
        <x:v>4</x:v>
      </x:c>
      <x:c r="K2202" s="2" t="n">
        <x:v>3</x:v>
      </x:c>
      <x:c r="L2202" s="12" t="n">
        <x:v>12478.1667</x:v>
      </x:c>
      <x:c r="M2202" s="13" t="n">
        <x:v>0.9117880761153856</x:v>
      </x:c>
      <x:c r="N2202" s="13" t="n">
        <x:f>H2202/G2202</x:f>
        <x:v>0.04925400962815943</x:v>
      </x:c>
      <x:c r="O2202" s="13" t="n">
        <x:f>F2202/E2202</x:f>
        <x:v>0</x:v>
      </x:c>
      <x:c r="P2202" s="2" t="str">
        <x:f>IF(AND(E2202&gt;='Итоги'!$F$5,N2202&lt;='Итоги'!$B$5,O2202&gt;='Итоги'!$D$5),"Да","Нет")</x:f>
        <x:v>Нет</x:v>
      </x:c>
    </x:row>
    <x:row r="2203" ht="60" customHeight="1">
      <x:c r="A2203" s="14" t="str">
        <x:v>Аудио и видеотехника</x:v>
      </x:c>
      <x:c r="B2203" s="14" t="str">
        <x:v>Домашняя Аудио и Видеотехника TV&amp;Audio</x:v>
      </x:c>
      <x:c r="C2203" s="14" t="str">
        <x:v>Музыкальные инструменты TV&amp;Audio</x:v>
      </x:c>
      <x:c r="D2203" s="14" t="str">
        <x:v>Гитарный усилитель</x:v>
      </x:c>
      <x:c r="E2203" s="2" t="n">
        <x:v>16</x:v>
      </x:c>
      <x:c r="F2203" s="2" t="n">
        <x:v>0</x:v>
      </x:c>
      <x:c r="G2203" s="12" t="n">
        <x:v>3416202.5175</x:v>
      </x:c>
      <x:c r="H2203" s="12" t="n">
        <x:v>168359.4883238</x:v>
      </x:c>
      <x:c r="I2203" s="13" t="n">
        <x:v>0.0445</x:v>
      </x:c>
      <x:c r="J2203" s="2" t="n">
        <x:v>6</x:v>
      </x:c>
      <x:c r="K2203" s="2" t="n">
        <x:v>2</x:v>
      </x:c>
      <x:c r="L2203" s="12" t="n">
        <x:v>8912.46985</x:v>
      </x:c>
      <x:c r="M2203" s="13" t="n">
        <x:v>0.6527103191563056</x:v>
      </x:c>
      <x:c r="N2203" s="13" t="n">
        <x:f>H2203/G2203</x:f>
        <x:v>0.04928264277698812</x:v>
      </x:c>
      <x:c r="O2203" s="13" t="n">
        <x:f>F2203/E2203</x:f>
        <x:v>0</x:v>
      </x:c>
      <x:c r="P2203" s="2" t="str">
        <x:f>IF(AND(E2203&gt;='Итоги'!$F$5,N2203&lt;='Итоги'!$B$5,O2203&gt;='Итоги'!$D$5),"Да","Нет")</x:f>
        <x:v>Нет</x:v>
      </x:c>
    </x:row>
    <x:row r="2204" ht="60" customHeight="1">
      <x:c r="A2204" s="14" t="str">
        <x:v>Автотовары</x:v>
      </x:c>
      <x:c r="B2204" s="14" t="str">
        <x:v>Дополнительное оборудование для авто и мото техники</x:v>
      </x:c>
      <x:c r="C2204" s="14" t="str">
        <x:v>Оборудование для дооснащения авто</x:v>
      </x:c>
      <x:c r="D2204" s="14" t="str">
        <x:v>Авто дефлектор/ветровик</x:v>
      </x:c>
      <x:c r="E2204" s="2" t="n">
        <x:v>36</x:v>
      </x:c>
      <x:c r="F2204" s="2" t="n">
        <x:v>0</x:v>
      </x:c>
      <x:c r="G2204" s="12" t="n">
        <x:v>4313600.9355</x:v>
      </x:c>
      <x:c r="H2204" s="12" t="n">
        <x:v>212844.52640426</x:v>
      </x:c>
      <x:c r="I2204" s="13" t="n">
        <x:v>0.0449472222222222</x:v>
      </x:c>
      <x:c r="J2204" s="2" t="n">
        <x:v>10</x:v>
      </x:c>
      <x:c r="K2204" s="2" t="n">
        <x:v>7</x:v>
      </x:c>
      <x:c r="L2204" s="12" t="n">
        <x:v>1140.7974</x:v>
      </x:c>
      <x:c r="M2204" s="13" t="n">
        <x:v>0.4792463505807305</x:v>
      </x:c>
      <x:c r="N2204" s="13" t="n">
        <x:f>H2204/G2204</x:f>
        <x:v>0.04934265584296306</x:v>
      </x:c>
      <x:c r="O2204" s="13" t="n">
        <x:f>F2204/E2204</x:f>
        <x:v>0</x:v>
      </x:c>
      <x:c r="P2204" s="2" t="str">
        <x:f>IF(AND(E2204&gt;='Итоги'!$F$5,N2204&lt;='Итоги'!$B$5,O2204&gt;='Итоги'!$D$5),"Да","Нет")</x:f>
        <x:v>Нет</x:v>
      </x:c>
    </x:row>
    <x:row r="2205" ht="60" customHeight="1">
      <x:c r="A2205" s="14" t="str">
        <x:v>Одежда</x:v>
      </x:c>
      <x:c r="B2205" s="14" t="str">
        <x:v>Основная одежда мужская</x:v>
      </x:c>
      <x:c r="C2205" s="14" t="str">
        <x:v>Основная одежда мужская верха</x:v>
      </x:c>
      <x:c r="D2205" s="14" t="str">
        <x:v>Водолазка мужская</x:v>
      </x:c>
      <x:c r="E2205" s="2" t="n">
        <x:v>2</x:v>
      </x:c>
      <x:c r="F2205" s="2" t="n">
        <x:v>0</x:v>
      </x:c>
      <x:c r="G2205" s="12" t="n">
        <x:v>13718.25</x:v>
      </x:c>
      <x:c r="H2205" s="12" t="n">
        <x:v>677.07645</x:v>
      </x:c>
      <x:c r="I2205" s="13" t="n">
        <x:v>0.0501</x:v>
      </x:c>
      <x:c r="J2205" s="2" t="n">
        <x:v>1</x:v>
      </x:c>
      <x:c r="K2205" s="2" t="n">
        <x:v>2</x:v>
      </x:c>
      <x:c r="L2205" s="12" t="n">
        <x:v>4156.225</x:v>
      </x:c>
      <x:c r="M2205" s="13" t="n">
        <x:v>0.5074262387695223</x:v>
      </x:c>
      <x:c r="N2205" s="13" t="n">
        <x:f>H2205/G2205</x:f>
        <x:v>0.049355890875293865</x:v>
      </x:c>
      <x:c r="O2205" s="13" t="n">
        <x:f>F2205/E2205</x:f>
        <x:v>0</x:v>
      </x:c>
      <x:c r="P2205" s="2" t="str">
        <x:f>IF(AND(E2205&gt;='Итоги'!$F$5,N2205&lt;='Итоги'!$B$5,O2205&gt;='Итоги'!$D$5),"Да","Нет")</x:f>
        <x:v>Нет</x:v>
      </x:c>
    </x:row>
    <x:row r="2206" ht="60" customHeight="1">
      <x:c r="A2206" s="14" t="str">
        <x:v>Хобби и творчество</x:v>
      </x:c>
      <x:c r="B2206" s="14" t="str">
        <x:v>Взрослое творчество и хобби</x:v>
      </x:c>
      <x:c r="C2206" s="14" t="str">
        <x:v>Вязание</x:v>
      </x:c>
      <x:c r="D2206" s="14" t="str">
        <x:v>Шнур для вязания</x:v>
      </x:c>
      <x:c r="E2206" s="2" t="n">
        <x:v>2</x:v>
      </x:c>
      <x:c r="F2206" s="2" t="n">
        <x:v>0</x:v>
      </x:c>
      <x:c r="G2206" s="12" t="n">
        <x:v>63902.62</x:v>
      </x:c>
      <x:c r="H2206" s="12" t="n">
        <x:v>3155.600924</x:v>
      </x:c>
      <x:c r="I2206" s="13" t="n">
        <x:v>0.0301</x:v>
      </x:c>
      <x:c r="J2206" s="2" t="n">
        <x:v>1</x:v>
      </x:c>
      <x:c r="K2206" s="2" t="n">
        <x:v>2</x:v>
      </x:c>
      <x:c r="L2206" s="12" t="n">
        <x:v>2116.5819</x:v>
      </x:c>
      <x:c r="M2206" s="13" t="n">
        <x:v>0.8202890585706815</x:v>
      </x:c>
      <x:c r="N2206" s="13" t="n">
        <x:f>H2206/G2206</x:f>
        <x:v>0.04938140132595502</x:v>
      </x:c>
      <x:c r="O2206" s="13" t="n">
        <x:f>F2206/E2206</x:f>
        <x:v>0</x:v>
      </x:c>
      <x:c r="P2206" s="2" t="str">
        <x:f>IF(AND(E2206&gt;='Итоги'!$F$5,N2206&lt;='Итоги'!$B$5,O2206&gt;='Итоги'!$D$5),"Да","Нет")</x:f>
        <x:v>Нет</x:v>
      </x:c>
    </x:row>
    <x:row r="2207" ht="60" customHeight="1">
      <x:c r="A2207" s="14" t="str">
        <x:v>Аптека</x:v>
      </x:c>
      <x:c r="B2207" s="14" t="str">
        <x:v>Витамины и БАДы</x:v>
      </x:c>
      <x:c r="C2207" s="14" t="str">
        <x:v>Для сердца и сосудов</x:v>
      </x:c>
      <x:c r="D2207" s="14" t="str">
        <x:v>БАД для вен и сосудов</x:v>
      </x:c>
      <x:c r="E2207" s="2" t="n">
        <x:v>41</x:v>
      </x:c>
      <x:c r="F2207" s="2" t="n">
        <x:v>0</x:v>
      </x:c>
      <x:c r="G2207" s="12" t="n">
        <x:v>6881947.4761</x:v>
      </x:c>
      <x:c r="H2207" s="12" t="n">
        <x:v>340360.22963172</x:v>
      </x:c>
      <x:c r="I2207" s="13" t="n">
        <x:v>0.0501999999999999</x:v>
      </x:c>
      <x:c r="J2207" s="2" t="n">
        <x:v>16</x:v>
      </x:c>
      <x:c r="K2207" s="2" t="n">
        <x:v>16</x:v>
      </x:c>
      <x:c r="L2207" s="12" t="n">
        <x:v>1906.9225</x:v>
      </x:c>
      <x:c r="M2207" s="13" t="n">
        <x:v>0.5577333570373543</x:v>
      </x:c>
      <x:c r="N2207" s="13" t="n">
        <x:f>H2207/G2207</x:f>
        <x:v>0.04945696415349601</x:v>
      </x:c>
      <x:c r="O2207" s="13" t="n">
        <x:f>F2207/E2207</x:f>
        <x:v>0</x:v>
      </x:c>
      <x:c r="P2207" s="2" t="str">
        <x:f>IF(AND(E2207&gt;='Итоги'!$F$5,N2207&lt;='Итоги'!$B$5,O2207&gt;='Итоги'!$D$5),"Да","Нет")</x:f>
        <x:v>Нет</x:v>
      </x:c>
    </x:row>
    <x:row r="2208" ht="60" customHeight="1">
      <x:c r="A2208" s="14" t="str">
        <x:v>Аксессуары для электроники</x:v>
      </x:c>
      <x:c r="B2208" s="14" t="str">
        <x:v>Бытовая техника Access</x:v>
      </x:c>
      <x:c r="C2208" s="14" t="str">
        <x:v>Запчасти для бытовой техники Access</x:v>
      </x:c>
      <x:c r="D2208" s="14" t="str">
        <x:v>Запчасти для мясорубки</x:v>
      </x:c>
      <x:c r="E2208" s="2" t="n">
        <x:v>2</x:v>
      </x:c>
      <x:c r="F2208" s="2" t="n">
        <x:v>0</x:v>
      </x:c>
      <x:c r="G2208" s="12" t="n">
        <x:v>285602.35120000003</x:v>
      </x:c>
      <x:c r="H2208" s="12" t="n">
        <x:v>14127.7153</x:v>
      </x:c>
      <x:c r="I2208" s="13" t="n">
        <x:v>0.04295</x:v>
      </x:c>
      <x:c r="J2208" s="2" t="n">
        <x:v>1</x:v>
      </x:c>
      <x:c r="K2208" s="2" t="n">
        <x:v>2</x:v>
      </x:c>
      <x:c r="L2208" s="12" t="n">
        <x:v>1888.0139</x:v>
      </x:c>
      <x:c r="M2208" s="13" t="n">
        <x:v>0.575860105174092</x:v>
      </x:c>
      <x:c r="N2208" s="13" t="n">
        <x:f>H2208/G2208</x:f>
        <x:v>0.04946638303445451</x:v>
      </x:c>
      <x:c r="O2208" s="13" t="n">
        <x:f>F2208/E2208</x:f>
        <x:v>0</x:v>
      </x:c>
      <x:c r="P2208" s="2" t="str">
        <x:f>IF(AND(E2208&gt;='Итоги'!$F$5,N2208&lt;='Итоги'!$B$5,O2208&gt;='Итоги'!$D$5),"Да","Нет")</x:f>
        <x:v>Нет</x:v>
      </x:c>
    </x:row>
    <x:row r="2209" ht="60" customHeight="1">
      <x:c r="A2209" s="14" t="str">
        <x:v>Бакалея и кондитерские изделия</x:v>
      </x:c>
      <x:c r="B2209" s="14" t="str">
        <x:v>Бакалея</x:v>
      </x:c>
      <x:c r="C2209" s="14" t="str">
        <x:v>Приправы, специи, травы</x:v>
      </x:c>
      <x:c r="D2209" s="14" t="str">
        <x:v>Разрыхлитель</x:v>
      </x:c>
      <x:c r="E2209" s="2" t="n">
        <x:v>1</x:v>
      </x:c>
      <x:c r="F2209" s="2" t="n">
        <x:v>0</x:v>
      </x:c>
      <x:c r="G2209" s="12" t="n">
        <x:v>149767.6862</x:v>
      </x:c>
      <x:c r="H2209" s="12" t="n">
        <x:v>7413.5004669</x:v>
      </x:c>
      <x:c r="I2209" s="13" t="n">
        <x:v>0.0495</x:v>
      </x:c>
      <x:c r="J2209" s="2" t="n">
        <x:v>0</x:v>
      </x:c>
      <x:c r="K2209" s="2" t="n">
        <x:v>1</x:v>
      </x:c>
      <x:c r="L2209" s="12" t="n">
        <x:v>880.9864</x:v>
      </x:c>
      <x:c r="M2209" s="13" t="n">
        <x:v>1</x:v>
      </x:c>
      <x:c r="N2209" s="13" t="n">
        <x:f>H2209/G2209</x:f>
        <x:v>0.0495</x:v>
      </x:c>
      <x:c r="O2209" s="13" t="n">
        <x:f>F2209/E2209</x:f>
        <x:v>0</x:v>
      </x:c>
      <x:c r="P2209" s="2" t="str">
        <x:f>IF(AND(E2209&gt;='Итоги'!$F$5,N2209&lt;='Итоги'!$B$5,O2209&gt;='Итоги'!$D$5),"Да","Нет")</x:f>
        <x:v>Нет</x:v>
      </x:c>
    </x:row>
    <x:row r="2210" ht="60" customHeight="1">
      <x:c r="A2210" s="14" t="str">
        <x:v>Спорт и отдых</x:v>
      </x:c>
      <x:c r="B2210" s="14" t="str">
        <x:v>Колесный транспорт</x:v>
      </x:c>
      <x:c r="C2210" s="14" t="str">
        <x:v>Скейтборд</x:v>
      </x:c>
      <x:c r="D2210" s="14" t="str">
        <x:v>Пенниборд</x:v>
      </x:c>
      <x:c r="E2210" s="2" t="n">
        <x:v>10</x:v>
      </x:c>
      <x:c r="F2210" s="2" t="n">
        <x:v>0</x:v>
      </x:c>
      <x:c r="G2210" s="12" t="n">
        <x:v>1419145.3788</x:v>
      </x:c>
      <x:c r="H2210" s="12" t="n">
        <x:v>70252.71973046</x:v>
      </x:c>
      <x:c r="I2210" s="13" t="n">
        <x:v>0.05542</x:v>
      </x:c>
      <x:c r="J2210" s="2" t="n">
        <x:v>3</x:v>
      </x:c>
      <x:c r="K2210" s="2" t="n">
        <x:v>2</x:v>
      </x:c>
      <x:c r="L2210" s="12" t="n">
        <x:v>1666.7055</x:v>
      </x:c>
      <x:c r="M2210" s="13" t="n">
        <x:v>0.9363391507666444</x:v>
      </x:c>
      <x:c r="N2210" s="13" t="n">
        <x:f>H2210/G2210</x:f>
        <x:v>0.04950353979228276</x:v>
      </x:c>
      <x:c r="O2210" s="13" t="n">
        <x:f>F2210/E2210</x:f>
        <x:v>0</x:v>
      </x:c>
      <x:c r="P2210" s="2" t="str">
        <x:f>IF(AND(E2210&gt;='Итоги'!$F$5,N2210&lt;='Итоги'!$B$5,O2210&gt;='Итоги'!$D$5),"Да","Нет")</x:f>
        <x:v>Нет</x:v>
      </x:c>
    </x:row>
    <x:row r="2211" ht="60" customHeight="1">
      <x:c r="A2211" s="14" t="str">
        <x:v>Автотовары</x:v>
      </x:c>
      <x:c r="B2211" s="14" t="str">
        <x:v>Электронные устройства для авто</x:v>
      </x:c>
      <x:c r="C2211" s="14" t="str">
        <x:v>Автоэлектроника</x:v>
      </x:c>
      <x:c r="D2211" s="14" t="str">
        <x:v>Автомобильный преобразователь напряжения</x:v>
      </x:c>
      <x:c r="E2211" s="2" t="n">
        <x:v>81</x:v>
      </x:c>
      <x:c r="F2211" s="2" t="n">
        <x:v>0</x:v>
      </x:c>
      <x:c r="G2211" s="12" t="n">
        <x:v>15664044.6292</x:v>
      </x:c>
      <x:c r="H2211" s="12" t="n">
        <x:v>776063.93738529</x:v>
      </x:c>
      <x:c r="I2211" s="13" t="n">
        <x:v>0.0470246913580246</x:v>
      </x:c>
      <x:c r="J2211" s="2" t="n">
        <x:v>26</x:v>
      </x:c>
      <x:c r="K2211" s="2" t="n">
        <x:v>28</x:v>
      </x:c>
      <x:c r="L2211" s="12" t="n">
        <x:v>3565.1818</x:v>
      </x:c>
      <x:c r="M2211" s="13" t="n">
        <x:v>0.5139364248166821</x:v>
      </x:c>
      <x:c r="N2211" s="13" t="n">
        <x:f>H2211/G2211</x:f>
        <x:v>0.049544287938161055</x:v>
      </x:c>
      <x:c r="O2211" s="13" t="n">
        <x:f>F2211/E2211</x:f>
        <x:v>0</x:v>
      </x:c>
      <x:c r="P2211" s="2" t="str">
        <x:f>IF(AND(E2211&gt;='Итоги'!$F$5,N2211&lt;='Итоги'!$B$5,O2211&gt;='Итоги'!$D$5),"Да","Нет")</x:f>
        <x:v>Нет</x:v>
      </x:c>
    </x:row>
    <x:row r="2212" ht="60" customHeight="1">
      <x:c r="A2212" s="14" t="str">
        <x:v>Аптека</x:v>
      </x:c>
      <x:c r="B2212" s="14" t="str">
        <x:v>Медицинские изделия</x:v>
      </x:c>
      <x:c r="C2212" s="14" t="str">
        <x:v>Расходные медицинские материалы</x:v>
      </x:c>
      <x:c r="D2212" s="14" t="str">
        <x:v>Бахилы медицинские</x:v>
      </x:c>
      <x:c r="E2212" s="2" t="n">
        <x:v>9</x:v>
      </x:c>
      <x:c r="F2212" s="2" t="n">
        <x:v>0</x:v>
      </x:c>
      <x:c r="G2212" s="12" t="n">
        <x:v>1592666.98</x:v>
      </x:c>
      <x:c r="H2212" s="12" t="n">
        <x:v>79043.5168</x:v>
      </x:c>
      <x:c r="I2212" s="13" t="n">
        <x:v>0.0487555555555555</x:v>
      </x:c>
      <x:c r="J2212" s="2" t="n">
        <x:v>2</x:v>
      </x:c>
      <x:c r="K2212" s="2" t="n">
        <x:v>5</x:v>
      </x:c>
      <x:c r="L2212" s="12" t="n">
        <x:v>963.0432</x:v>
      </x:c>
      <x:c r="M2212" s="13" t="n">
        <x:v>0.5496472338492256</x:v>
      </x:c>
      <x:c r="N2212" s="13" t="n">
        <x:f>H2212/G2212</x:f>
        <x:v>0.049629657544604834</x:v>
      </x:c>
      <x:c r="O2212" s="13" t="n">
        <x:f>F2212/E2212</x:f>
        <x:v>0</x:v>
      </x:c>
      <x:c r="P2212" s="2" t="str">
        <x:f>IF(AND(E2212&gt;='Итоги'!$F$5,N2212&lt;='Итоги'!$B$5,O2212&gt;='Итоги'!$D$5),"Да","Нет")</x:f>
        <x:v>Нет</x:v>
      </x:c>
    </x:row>
    <x:row r="2213" ht="60" customHeight="1">
      <x:c r="A2213" s="14" t="str">
        <x:v>Товары для детей и спорта</x:v>
      </x:c>
      <x:c r="B2213" s="14" t="str">
        <x:v>Текстиль детский</x:v>
      </x:c>
      <x:c r="C2213" s="14" t="str">
        <x:v>Постельное белье для новорожденных и малышей</x:v>
      </x:c>
      <x:c r="D2213" s="14" t="str">
        <x:v>Позиционер для сна</x:v>
      </x:c>
      <x:c r="E2213" s="2" t="n">
        <x:v>23</x:v>
      </x:c>
      <x:c r="F2213" s="2" t="n">
        <x:v>0</x:v>
      </x:c>
      <x:c r="G2213" s="12" t="n">
        <x:v>2792757.2855</x:v>
      </x:c>
      <x:c r="H2213" s="12" t="n">
        <x:v>138672.81127228</x:v>
      </x:c>
      <x:c r="I2213" s="13" t="n">
        <x:v>0.0431347826086956</x:v>
      </x:c>
      <x:c r="J2213" s="2" t="n">
        <x:v>10</x:v>
      </x:c>
      <x:c r="K2213" s="2" t="n">
        <x:v>7</x:v>
      </x:c>
      <x:c r="L2213" s="12" t="n">
        <x:v>3389.6618</x:v>
      </x:c>
      <x:c r="M2213" s="13" t="n">
        <x:v>0.5500122875608195</x:v>
      </x:c>
      <x:c r="N2213" s="13" t="n">
        <x:f>H2213/G2213</x:f>
        <x:v>0.04965444437018191</x:v>
      </x:c>
      <x:c r="O2213" s="13" t="n">
        <x:f>F2213/E2213</x:f>
        <x:v>0</x:v>
      </x:c>
      <x:c r="P2213" s="2" t="str">
        <x:f>IF(AND(E2213&gt;='Итоги'!$F$5,N2213&lt;='Итоги'!$B$5,O2213&gt;='Итоги'!$D$5),"Да","Нет")</x:f>
        <x:v>Нет</x:v>
      </x:c>
    </x:row>
    <x:row r="2214" ht="60" customHeight="1">
      <x:c r="A2214" s="14" t="str">
        <x:v>Строительство и ремонт (DIY)</x:v>
      </x:c>
      <x:c r="B2214" s="14" t="str">
        <x:v>Ремонт и строительство</x:v>
      </x:c>
      <x:c r="C2214" s="14" t="str">
        <x:v>Отделка пола</x:v>
      </x:c>
      <x:c r="D2214" s="14" t="str">
        <x:v>Резиновое покрытие для пола</x:v>
      </x:c>
      <x:c r="E2214" s="2" t="n">
        <x:v>16</x:v>
      </x:c>
      <x:c r="F2214" s="2" t="n">
        <x:v>0</x:v>
      </x:c>
      <x:c r="G2214" s="12" t="n">
        <x:v>4285262.1699</x:v>
      </x:c>
      <x:c r="H2214" s="12" t="n">
        <x:v>212858.29759809</x:v>
      </x:c>
      <x:c r="I2214" s="13" t="n">
        <x:v>0.05566875</x:v>
      </x:c>
      <x:c r="J2214" s="2" t="n">
        <x:v>4</x:v>
      </x:c>
      <x:c r="K2214" s="2" t="n">
        <x:v>6</x:v>
      </x:c>
      <x:c r="L2214" s="12" t="n">
        <x:v>2424.57625</x:v>
      </x:c>
      <x:c r="M2214" s="13" t="n">
        <x:v>0.4967940680860792</x:v>
      </x:c>
      <x:c r="N2214" s="13" t="n">
        <x:f>H2214/G2214</x:f>
        <x:v>0.049672176207379445</x:v>
      </x:c>
      <x:c r="O2214" s="13" t="n">
        <x:f>F2214/E2214</x:f>
        <x:v>0</x:v>
      </x:c>
      <x:c r="P2214" s="2" t="str">
        <x:f>IF(AND(E2214&gt;='Итоги'!$F$5,N2214&lt;='Итоги'!$B$5,O2214&gt;='Итоги'!$D$5),"Да","Нет")</x:f>
        <x:v>Нет</x:v>
      </x:c>
    </x:row>
    <x:row r="2215" ht="60" customHeight="1">
      <x:c r="A2215" s="14" t="str">
        <x:v>Спорт и отдых</x:v>
      </x:c>
      <x:c r="B2215" s="14" t="str">
        <x:v>Тренажеры и фитнес</x:v>
      </x:c>
      <x:c r="C2215" s="14" t="str">
        <x:v>Йога, пилатес</x:v>
      </x:c>
      <x:c r="D2215" s="14" t="str">
        <x:v>Медицинбол</x:v>
      </x:c>
      <x:c r="E2215" s="2" t="n">
        <x:v>6</x:v>
      </x:c>
      <x:c r="F2215" s="2" t="n">
        <x:v>0</x:v>
      </x:c>
      <x:c r="G2215" s="12" t="n">
        <x:v>681451.1461</x:v>
      </x:c>
      <x:c r="H2215" s="12" t="n">
        <x:v>33857.03489114</x:v>
      </x:c>
      <x:c r="I2215" s="13" t="n">
        <x:v>0.0562166666666666</x:v>
      </x:c>
      <x:c r="J2215" s="2" t="n">
        <x:v>0</x:v>
      </x:c>
      <x:c r="K2215" s="2" t="n">
        <x:v>2</x:v>
      </x:c>
      <x:c r="L2215" s="12" t="n">
        <x:v>1985.6231</x:v>
      </x:c>
      <x:c r="M2215" s="13" t="n">
        <x:v>0.5652310407054137</x:v>
      </x:c>
      <x:c r="N2215" s="13" t="n">
        <x:f>H2215/G2215</x:f>
        <x:v>0.04968373020561569</x:v>
      </x:c>
      <x:c r="O2215" s="13" t="n">
        <x:f>F2215/E2215</x:f>
        <x:v>0</x:v>
      </x:c>
      <x:c r="P2215" s="2" t="str">
        <x:f>IF(AND(E2215&gt;='Итоги'!$F$5,N2215&lt;='Итоги'!$B$5,O2215&gt;='Итоги'!$D$5),"Да","Нет")</x:f>
        <x:v>Нет</x:v>
      </x:c>
    </x:row>
    <x:row r="2216" ht="60" customHeight="1">
      <x:c r="A2216" s="14" t="str">
        <x:v>Товары для дома</x:v>
      </x:c>
      <x:c r="B2216" s="14" t="str">
        <x:v>Интерьер и декор</x:v>
      </x:c>
      <x:c r="C2216" s="14" t="str">
        <x:v>Домашние растения</x:v>
      </x:c>
      <x:c r="D2216" s="14" t="str">
        <x:v>Автополив для домашних растений</x:v>
      </x:c>
      <x:c r="E2216" s="2" t="n">
        <x:v>15</x:v>
      </x:c>
      <x:c r="F2216" s="2" t="n">
        <x:v>0</x:v>
      </x:c>
      <x:c r="G2216" s="12" t="n">
        <x:v>2475849.5695</x:v>
      </x:c>
      <x:c r="H2216" s="12" t="n">
        <x:v>123251.08122462</x:v>
      </x:c>
      <x:c r="I2216" s="13" t="n">
        <x:v>0.0513066666666666</x:v>
      </x:c>
      <x:c r="J2216" s="2" t="n">
        <x:v>2</x:v>
      </x:c>
      <x:c r="K2216" s="2" t="n">
        <x:v>6</x:v>
      </x:c>
      <x:c r="L2216" s="12" t="n">
        <x:v>1636.1064</x:v>
      </x:c>
      <x:c r="M2216" s="13" t="n">
        <x:v>0.4792694036090547</x:v>
      </x:c>
      <x:c r="N2216" s="13" t="n">
        <x:f>H2216/G2216</x:f>
        <x:v>0.049781328697409775</x:v>
      </x:c>
      <x:c r="O2216" s="13" t="n">
        <x:f>F2216/E2216</x:f>
        <x:v>0</x:v>
      </x:c>
      <x:c r="P2216" s="2" t="str">
        <x:f>IF(AND(E2216&gt;='Итоги'!$F$5,N2216&lt;='Итоги'!$B$5,O2216&gt;='Итоги'!$D$5),"Да","Нет")</x:f>
        <x:v>Нет</x:v>
      </x:c>
    </x:row>
    <x:row r="2217" ht="60" customHeight="1">
      <x:c r="A2217" s="14" t="str">
        <x:v>Строительство и ремонт (DIY)</x:v>
      </x:c>
      <x:c r="B2217" s="14" t="str">
        <x:v>Сад и огород</x:v>
      </x:c>
      <x:c r="C2217" s="14" t="str">
        <x:v>Товары для бани и сауны</x:v>
      </x:c>
      <x:c r="D2217" s="14" t="str">
        <x:v>Часы, термогигрометр для бани и сауны</x:v>
      </x:c>
      <x:c r="E2217" s="2" t="n">
        <x:v>6</x:v>
      </x:c>
      <x:c r="F2217" s="2" t="n">
        <x:v>0</x:v>
      </x:c>
      <x:c r="G2217" s="12" t="n">
        <x:v>778631.1132</x:v>
      </x:c>
      <x:c r="H2217" s="12" t="n">
        <x:v>38769.0463679</x:v>
      </x:c>
      <x:c r="I2217" s="13" t="n">
        <x:v>0.0533833333333333</x:v>
      </x:c>
      <x:c r="J2217" s="2" t="n">
        <x:v>3</x:v>
      </x:c>
      <x:c r="K2217" s="2" t="n">
        <x:v>4</x:v>
      </x:c>
      <x:c r="L2217" s="12" t="n">
        <x:v>1265.5953</x:v>
      </x:c>
      <x:c r="M2217" s="13" t="n">
        <x:v>0.5033981626923767</x:v>
      </x:c>
      <x:c r="N2217" s="13" t="n">
        <x:f>H2217/G2217</x:f>
        <x:v>0.04979128846851223</x:v>
      </x:c>
      <x:c r="O2217" s="13" t="n">
        <x:f>F2217/E2217</x:f>
        <x:v>0</x:v>
      </x:c>
      <x:c r="P2217" s="2" t="str">
        <x:f>IF(AND(E2217&gt;='Итоги'!$F$5,N2217&lt;='Итоги'!$B$5,O2217&gt;='Итоги'!$D$5),"Да","Нет")</x:f>
        <x:v>Нет</x:v>
      </x:c>
    </x:row>
    <x:row r="2218" ht="60" customHeight="1">
      <x:c r="A2218" s="14" t="str">
        <x:v>Детская одежда</x:v>
      </x:c>
      <x:c r="B2218" s="14" t="str">
        <x:v>Детская обувь</x:v>
      </x:c>
      <x:c r="C2218" s="14" t="str">
        <x:v>Обувь для мальчика</x:v>
      </x:c>
      <x:c r="D2218" s="14" t="str">
        <x:v>Лоферы для мальчика</x:v>
      </x:c>
      <x:c r="E2218" s="2" t="n">
        <x:v>22</x:v>
      </x:c>
      <x:c r="F2218" s="2" t="n">
        <x:v>0</x:v>
      </x:c>
      <x:c r="G2218" s="12" t="n">
        <x:v>1835161.95</x:v>
      </x:c>
      <x:c r="H2218" s="12" t="n">
        <x:v>91430.936551</x:v>
      </x:c>
      <x:c r="I2218" s="13" t="n">
        <x:v>0.0440954545454545</x:v>
      </x:c>
      <x:c r="J2218" s="2" t="n">
        <x:v>4</x:v>
      </x:c>
      <x:c r="K2218" s="2" t="n">
        <x:v>4</x:v>
      </x:c>
      <x:c r="L2218" s="12" t="n">
        <x:v>3764.7172</x:v>
      </x:c>
      <x:c r="M2218" s="13" t="n">
        <x:v>0.441888183220015</x:v>
      </x:c>
      <x:c r="N2218" s="13" t="n">
        <x:f>H2218/G2218</x:f>
        <x:v>0.049821726388235114</x:v>
      </x:c>
      <x:c r="O2218" s="13" t="n">
        <x:f>F2218/E2218</x:f>
        <x:v>0</x:v>
      </x:c>
      <x:c r="P2218" s="2" t="str">
        <x:f>IF(AND(E2218&gt;='Итоги'!$F$5,N2218&lt;='Итоги'!$B$5,O2218&gt;='Итоги'!$D$5),"Да","Нет")</x:f>
        <x:v>Нет</x:v>
      </x:c>
    </x:row>
    <x:row r="2219" ht="60" customHeight="1">
      <x:c r="A2219" s="14" t="str">
        <x:v>Автотовары</x:v>
      </x:c>
      <x:c r="B2219" s="14" t="str">
        <x:v>Универсальные авто и мото аксессуары</x:v>
      </x:c>
      <x:c r="C2219" s="14" t="str">
        <x:v>Автотовары в дорогу</x:v>
      </x:c>
      <x:c r="D2219" s="14" t="str">
        <x:v>Канистра для ГСМ</x:v>
      </x:c>
      <x:c r="E2219" s="2" t="n">
        <x:v>68</x:v>
      </x:c>
      <x:c r="F2219" s="2" t="n">
        <x:v>0</x:v>
      </x:c>
      <x:c r="G2219" s="12" t="n">
        <x:v>10099180.5613</x:v>
      </x:c>
      <x:c r="H2219" s="12" t="n">
        <x:v>503321.50633951</x:v>
      </x:c>
      <x:c r="I2219" s="13" t="n">
        <x:v>0.05255</x:v>
      </x:c>
      <x:c r="J2219" s="2" t="n">
        <x:v>27</x:v>
      </x:c>
      <x:c r="K2219" s="2" t="n">
        <x:v>16</x:v>
      </x:c>
      <x:c r="L2219" s="12" t="n">
        <x:v>1690.3637</x:v>
      </x:c>
      <x:c r="M2219" s="13" t="n">
        <x:v>0.4840589312595401</x:v>
      </x:c>
      <x:c r="N2219" s="13" t="n">
        <x:f>H2219/G2219</x:f>
        <x:v>0.049837855980933245</x:v>
      </x:c>
      <x:c r="O2219" s="13" t="n">
        <x:f>F2219/E2219</x:f>
        <x:v>0</x:v>
      </x:c>
      <x:c r="P2219" s="2" t="str">
        <x:f>IF(AND(E2219&gt;='Итоги'!$F$5,N2219&lt;='Итоги'!$B$5,O2219&gt;='Итоги'!$D$5),"Да","Нет")</x:f>
        <x:v>Нет</x:v>
      </x:c>
    </x:row>
    <x:row r="2220" ht="60" customHeight="1">
      <x:c r="A2220" s="14" t="str">
        <x:v>Строительство и ремонт (DIY)</x:v>
      </x:c>
      <x:c r="B2220" s="14" t="str">
        <x:v>Ремонт и строительство</x:v>
      </x:c>
      <x:c r="C2220" s="14" t="str">
        <x:v>Вентиляционные системы</x:v>
      </x:c>
      <x:c r="D2220" s="14" t="str">
        <x:v>Комплектующие для вентиляционных систем</x:v>
      </x:c>
      <x:c r="E2220" s="2" t="n">
        <x:v>93</x:v>
      </x:c>
      <x:c r="F2220" s="2" t="n">
        <x:v>0</x:v>
      </x:c>
      <x:c r="G2220" s="12" t="n">
        <x:v>18332089.0723</x:v>
      </x:c>
      <x:c r="H2220" s="12" t="n">
        <x:v>913904.09211756</x:v>
      </x:c>
      <x:c r="I2220" s="13" t="n">
        <x:v>0.0438946236559139</x:v>
      </x:c>
      <x:c r="J2220" s="2" t="n">
        <x:v>38</x:v>
      </x:c>
      <x:c r="K2220" s="2" t="n">
        <x:v>29</x:v>
      </x:c>
      <x:c r="L2220" s="12" t="n">
        <x:v>1791.1875</x:v>
      </x:c>
      <x:c r="M2220" s="13" t="n">
        <x:v>0.2505815146371457</x:v>
      </x:c>
      <x:c r="N2220" s="13" t="n">
        <x:f>H2220/G2220</x:f>
        <x:v>0.04985269755744749</x:v>
      </x:c>
      <x:c r="O2220" s="13" t="n">
        <x:f>F2220/E2220</x:f>
        <x:v>0</x:v>
      </x:c>
      <x:c r="P2220" s="2" t="str">
        <x:f>IF(AND(E2220&gt;='Итоги'!$F$5,N2220&lt;='Итоги'!$B$5,O2220&gt;='Итоги'!$D$5),"Да","Нет")</x:f>
        <x:v>Нет</x:v>
      </x:c>
    </x:row>
    <x:row r="2221" ht="60" customHeight="1">
      <x:c r="A2221" s="14" t="str">
        <x:v>Автотовары</x:v>
      </x:c>
      <x:c r="B2221" s="14" t="str">
        <x:v>Авто и мото запчасти</x:v>
      </x:c>
      <x:c r="C2221" s="14" t="str">
        <x:v>Запчасти для ТО</x:v>
      </x:c>
      <x:c r="D2221" s="14" t="str">
        <x:v>Фильтр масляный</x:v>
      </x:c>
      <x:c r="E2221" s="2" t="n">
        <x:v>9</x:v>
      </x:c>
      <x:c r="F2221" s="2" t="n">
        <x:v>0</x:v>
      </x:c>
      <x:c r="G2221" s="12" t="n">
        <x:v>1128526.08</x:v>
      </x:c>
      <x:c r="H2221" s="12" t="n">
        <x:v>56286.14748885</x:v>
      </x:c>
      <x:c r="I2221" s="13" t="n">
        <x:v>0.0553888888888888</x:v>
      </x:c>
      <x:c r="J2221" s="2" t="n">
        <x:v>5</x:v>
      </x:c>
      <x:c r="K2221" s="2" t="n">
        <x:v>7</x:v>
      </x:c>
      <x:c r="L2221" s="12" t="n">
        <x:v>902.9946</x:v>
      </x:c>
      <x:c r="M2221" s="13" t="n">
        <x:v>0.3629210566405341</x:v>
      </x:c>
      <x:c r="N2221" s="13" t="n">
        <x:f>H2221/G2221</x:f>
        <x:v>0.04987580569591267</x:v>
      </x:c>
      <x:c r="O2221" s="13" t="n">
        <x:f>F2221/E2221</x:f>
        <x:v>0</x:v>
      </x:c>
      <x:c r="P2221" s="2" t="str">
        <x:f>IF(AND(E2221&gt;='Итоги'!$F$5,N2221&lt;='Итоги'!$B$5,O2221&gt;='Итоги'!$D$5),"Да","Нет")</x:f>
        <x:v>Нет</x:v>
      </x:c>
    </x:row>
    <x:row r="2222" ht="60" customHeight="1">
      <x:c r="A2222" s="14" t="str">
        <x:v>Ноутбуки и компьютеры</x:v>
      </x:c>
      <x:c r="B2222" s="14" t="str">
        <x:v>Фото и видео Lap&amp;Comp</x:v>
      </x:c>
      <x:c r="C2222" s="14" t="str">
        <x:v>Аксессуар к фото и видео Lap&amp;Comp</x:v>
      </x:c>
      <x:c r="D2222" s="14" t="str">
        <x:v>Фотобумага для компактных фотопринтеров</x:v>
      </x:c>
      <x:c r="E2222" s="2" t="n">
        <x:v>6</x:v>
      </x:c>
      <x:c r="F2222" s="2" t="n">
        <x:v>0</x:v>
      </x:c>
      <x:c r="G2222" s="12" t="n">
        <x:v>1386451.7652</x:v>
      </x:c>
      <x:c r="H2222" s="12" t="n">
        <x:v>69196.75234212</x:v>
      </x:c>
      <x:c r="I2222" s="13" t="n">
        <x:v>0.0436999999999999</x:v>
      </x:c>
      <x:c r="J2222" s="2" t="n">
        <x:v>3</x:v>
      </x:c>
      <x:c r="K2222" s="2" t="n">
        <x:v>4</x:v>
      </x:c>
      <x:c r="L2222" s="12" t="n">
        <x:v>1752.93755</x:v>
      </x:c>
      <x:c r="M2222" s="13" t="n">
        <x:v>0.5583466182022788</x:v>
      </x:c>
      <x:c r="N2222" s="13" t="n">
        <x:f>H2222/G2222</x:f>
        <x:v>0.04990923887794838</x:v>
      </x:c>
      <x:c r="O2222" s="13" t="n">
        <x:f>F2222/E2222</x:f>
        <x:v>0</x:v>
      </x:c>
      <x:c r="P2222" s="2" t="str">
        <x:f>IF(AND(E2222&gt;='Итоги'!$F$5,N2222&lt;='Итоги'!$B$5,O2222&gt;='Итоги'!$D$5),"Да","Нет")</x:f>
        <x:v>Нет</x:v>
      </x:c>
    </x:row>
    <x:row r="2223" ht="60" customHeight="1">
      <x:c r="A2223" s="14" t="str">
        <x:v>Обувь</x:v>
      </x:c>
      <x:c r="B2223" s="14" t="str">
        <x:v>Специальная обувь</x:v>
      </x:c>
      <x:c r="C2223" s="14" t="str">
        <x:v>Спецобувь мужская</x:v>
      </x:c>
      <x:c r="D2223" s="14" t="str">
        <x:v>Рабочие кроссовки мужские</x:v>
      </x:c>
      <x:c r="E2223" s="2" t="n">
        <x:v>389</x:v>
      </x:c>
      <x:c r="F2223" s="2" t="n">
        <x:v>0</x:v>
      </x:c>
      <x:c r="G2223" s="12" t="n">
        <x:v>36031390.1848</x:v>
      </x:c>
      <x:c r="H2223" s="12" t="n">
        <x:v>1798566.02927174</x:v>
      </x:c>
      <x:c r="I2223" s="13" t="n">
        <x:v>0.0485498714652956</x:v>
      </x:c>
      <x:c r="J2223" s="2" t="n">
        <x:v>109</x:v>
      </x:c>
      <x:c r="K2223" s="2" t="n">
        <x:v>21</x:v>
      </x:c>
      <x:c r="L2223" s="12" t="n">
        <x:v>3137.1643</x:v>
      </x:c>
      <x:c r="M2223" s="13" t="n">
        <x:v>0.3220979556846488</x:v>
      </x:c>
      <x:c r="N2223" s="13" t="n">
        <x:f>H2223/G2223</x:f>
        <x:v>0.04991664268425793</x:v>
      </x:c>
      <x:c r="O2223" s="13" t="n">
        <x:f>F2223/E2223</x:f>
        <x:v>0</x:v>
      </x:c>
      <x:c r="P2223" s="2" t="str">
        <x:f>IF(AND(E2223&gt;='Итоги'!$F$5,N2223&lt;='Итоги'!$B$5,O2223&gt;='Итоги'!$D$5),"Да","Нет")</x:f>
        <x:v>Нет</x:v>
      </x:c>
    </x:row>
    <x:row r="2224" ht="60" customHeight="1">
      <x:c r="A2224" s="14" t="str">
        <x:v>Строительство и ремонт (DIY)</x:v>
      </x:c>
      <x:c r="B2224" s="14" t="str">
        <x:v>Сад и огород</x:v>
      </x:c>
      <x:c r="C2224" s="14" t="str">
        <x:v>Ландшафт и садовый декор</x:v>
      </x:c>
      <x:c r="D2224" s="14" t="str">
        <x:v>Украшение садовое</x:v>
      </x:c>
      <x:c r="E2224" s="2" t="n">
        <x:v>40</x:v>
      </x:c>
      <x:c r="F2224" s="2" t="n">
        <x:v>0</x:v>
      </x:c>
      <x:c r="G2224" s="12" t="n">
        <x:v>6665701.2148</x:v>
      </x:c>
      <x:c r="H2224" s="12" t="n">
        <x:v>333137.20222962</x:v>
      </x:c>
      <x:c r="I2224" s="13" t="n">
        <x:v>0.0611725</x:v>
      </x:c>
      <x:c r="J2224" s="2" t="n">
        <x:v>17</x:v>
      </x:c>
      <x:c r="K2224" s="2" t="n">
        <x:v>18</x:v>
      </x:c>
      <x:c r="L2224" s="12" t="n">
        <x:v>1759.3562</x:v>
      </x:c>
      <x:c r="M2224" s="13" t="n">
        <x:v>0.3053703493910766</x:v>
      </x:c>
      <x:c r="N2224" s="13" t="n">
        <x:f>H2224/G2224</x:f>
        <x:v>0.04997781801109661</x:v>
      </x:c>
      <x:c r="O2224" s="13" t="n">
        <x:f>F2224/E2224</x:f>
        <x:v>0</x:v>
      </x:c>
      <x:c r="P2224" s="2" t="str">
        <x:f>IF(AND(E2224&gt;='Итоги'!$F$5,N2224&lt;='Итоги'!$B$5,O2224&gt;='Итоги'!$D$5),"Да","Нет")</x:f>
        <x:v>Нет</x:v>
      </x:c>
    </x:row>
    <x:row r="2225" ht="60" customHeight="1">
      <x:c r="A2225" s="14" t="str">
        <x:v>Игрушки</x:v>
      </x:c>
      <x:c r="B2225" s="14" t="str">
        <x:v>Игрушки</x:v>
      </x:c>
      <x:c r="C2225" s="14" t="str">
        <x:v>Игрушки для самых маленьких</x:v>
      </x:c>
      <x:c r="D2225" s="14" t="str">
        <x:v>Мобили, дуги для детской кроватки, коляски</x:v>
      </x:c>
      <x:c r="E2225" s="2" t="n">
        <x:v>31</x:v>
      </x:c>
      <x:c r="F2225" s="2" t="n">
        <x:v>0</x:v>
      </x:c>
      <x:c r="G2225" s="12" t="n">
        <x:v>3473817.7356</x:v>
      </x:c>
      <x:c r="H2225" s="12" t="n">
        <x:v>173827.48299568</x:v>
      </x:c>
      <x:c r="I2225" s="13" t="n">
        <x:v>0.0460774193548387</x:v>
      </x:c>
      <x:c r="J2225" s="2" t="n">
        <x:v>13</x:v>
      </x:c>
      <x:c r="K2225" s="2" t="n">
        <x:v>15</x:v>
      </x:c>
      <x:c r="L2225" s="12" t="n">
        <x:v>1441.2857</x:v>
      </x:c>
      <x:c r="M2225" s="13" t="n">
        <x:v>0.360357126101144</x:v>
      </x:c>
      <x:c r="N2225" s="13" t="n">
        <x:f>H2225/G2225</x:f>
        <x:v>0.050039321641512785</x:v>
      </x:c>
      <x:c r="O2225" s="13" t="n">
        <x:f>F2225/E2225</x:f>
        <x:v>0</x:v>
      </x:c>
      <x:c r="P2225" s="2" t="str">
        <x:f>IF(AND(E2225&gt;='Итоги'!$F$5,N2225&lt;='Итоги'!$B$5,O2225&gt;='Итоги'!$D$5),"Да","Нет")</x:f>
        <x:v>Нет</x:v>
      </x:c>
    </x:row>
    <x:row r="2226" ht="60" customHeight="1">
      <x:c r="A2226" s="14" t="str">
        <x:v>Мебель</x:v>
      </x:c>
      <x:c r="B2226" s="14" t="str">
        <x:v>Мебель для сна</x:v>
      </x:c>
      <x:c r="C2226" s="14" t="str">
        <x:v>Кровать</x:v>
      </x:c>
      <x:c r="D2226" s="14" t="str">
        <x:v>Двухъярусные кровати</x:v>
      </x:c>
      <x:c r="E2226" s="2" t="n">
        <x:v>21</x:v>
      </x:c>
      <x:c r="F2226" s="2" t="n">
        <x:v>0</x:v>
      </x:c>
      <x:c r="G2226" s="12" t="n">
        <x:v>5470140</x:v>
      </x:c>
      <x:c r="H2226" s="12" t="n">
        <x:v>273921.43940000003</x:v>
      </x:c>
      <x:c r="I2226" s="13" t="n">
        <x:v>0.0495904761904761</x:v>
      </x:c>
      <x:c r="J2226" s="2" t="n">
        <x:v>4</x:v>
      </x:c>
      <x:c r="K2226" s="2" t="n">
        <x:v>5</x:v>
      </x:c>
      <x:c r="L2226" s="12" t="n">
        <x:v>16475.1429</x:v>
      </x:c>
      <x:c r="M2226" s="13" t="n">
        <x:v>0.6595796451279127</x:v>
      </x:c>
      <x:c r="N2226" s="13" t="n">
        <x:f>H2226/G2226</x:f>
        <x:v>0.05007576394754065</x:v>
      </x:c>
      <x:c r="O2226" s="13" t="n">
        <x:f>F2226/E2226</x:f>
        <x:v>0</x:v>
      </x:c>
      <x:c r="P2226" s="2" t="str">
        <x:f>IF(AND(E2226&gt;='Итоги'!$F$5,N2226&lt;='Итоги'!$B$5,O2226&gt;='Итоги'!$D$5),"Да","Нет")</x:f>
        <x:v>Нет</x:v>
      </x:c>
    </x:row>
    <x:row r="2227" ht="60" customHeight="1">
      <x:c r="A2227" s="14" t="str">
        <x:v>Строительство и ремонт (DIY)</x:v>
      </x:c>
      <x:c r="B2227" s="14" t="str">
        <x:v>Инструменты</x:v>
      </x:c>
      <x:c r="C2227" s="14" t="str">
        <x:v>Инструмент ручной для строительства, ремонта</x:v>
      </x:c>
      <x:c r="D2227" s="14" t="str">
        <x:v>Точильный камень, точилка</x:v>
      </x:c>
      <x:c r="E2227" s="2" t="n">
        <x:v>1</x:v>
      </x:c>
      <x:c r="F2227" s="2" t="n">
        <x:v>0</x:v>
      </x:c>
      <x:c r="G2227" s="12" t="n">
        <x:v>90021</x:v>
      </x:c>
      <x:c r="H2227" s="12" t="n">
        <x:v>4510.0521</x:v>
      </x:c>
      <x:c r="I2227" s="13" t="n">
        <x:v>0.0501</x:v>
      </x:c>
      <x:c r="J2227" s="2" t="n">
        <x:v>0</x:v>
      </x:c>
      <x:c r="K2227" s="2" t="n">
        <x:v>1</x:v>
      </x:c>
      <x:c r="L2227" s="12" t="n">
        <x:v>2572.0286</x:v>
      </x:c>
      <x:c r="M2227" s="13" t="n">
        <x:v>1</x:v>
      </x:c>
      <x:c r="N2227" s="13" t="n">
        <x:f>H2227/G2227</x:f>
        <x:v>0.0501</x:v>
      </x:c>
      <x:c r="O2227" s="13" t="n">
        <x:f>F2227/E2227</x:f>
        <x:v>0</x:v>
      </x:c>
      <x:c r="P2227" s="2" t="str">
        <x:f>IF(AND(E2227&gt;='Итоги'!$F$5,N2227&lt;='Итоги'!$B$5,O2227&gt;='Итоги'!$D$5),"Да","Нет")</x:f>
        <x:v>Нет</x:v>
      </x:c>
    </x:row>
    <x:row r="2228" ht="60" customHeight="1">
      <x:c r="A2228" s="14" t="str">
        <x:v>Ноутбуки и компьютеры</x:v>
      </x:c>
      <x:c r="B2228" s="14" t="str">
        <x:v>Компьютерные комплектующие Lap&amp;Comp</x:v>
      </x:c>
      <x:c r="C2228" s="14" t="str">
        <x:v>Компьютерные комплектующие Lap&amp;Comp</x:v>
      </x:c>
      <x:c r="D2228" s="14" t="str">
        <x:v>Комплект для сборки</x:v>
      </x:c>
      <x:c r="E2228" s="2" t="n">
        <x:v>3</x:v>
      </x:c>
      <x:c r="F2228" s="2" t="n">
        <x:v>0</x:v>
      </x:c>
      <x:c r="G2228" s="12" t="n">
        <x:v>531071</x:v>
      </x:c>
      <x:c r="H2228" s="12" t="n">
        <x:v>26608.0168</x:v>
      </x:c>
      <x:c r="I2228" s="13" t="n">
        <x:v>0.0856666666666666</x:v>
      </x:c>
      <x:c r="J2228" s="2" t="n">
        <x:v>1</x:v>
      </x:c>
      <x:c r="K2228" s="2" t="n">
        <x:v>2</x:v>
      </x:c>
      <x:c r="L2228" s="12" t="n">
        <x:v>2418.0811</x:v>
      </x:c>
      <x:c r="M2228" s="13" t="n">
        <x:v>0.5265209359953754</x:v>
      </x:c>
      <x:c r="N2228" s="13" t="n">
        <x:f>H2228/G2228</x:f>
        <x:v>0.05010256029796393</x:v>
      </x:c>
      <x:c r="O2228" s="13" t="n">
        <x:f>F2228/E2228</x:f>
        <x:v>0</x:v>
      </x:c>
      <x:c r="P2228" s="2" t="str">
        <x:f>IF(AND(E2228&gt;='Итоги'!$F$5,N2228&lt;='Итоги'!$B$5,O2228&gt;='Итоги'!$D$5),"Да","Нет")</x:f>
        <x:v>Нет</x:v>
      </x:c>
    </x:row>
    <x:row r="2229" ht="60" customHeight="1">
      <x:c r="A2229" s="14" t="str">
        <x:v>Товары для дома</x:v>
      </x:c>
      <x:c r="B2229" s="14" t="str">
        <x:v>Домашний текстиль</x:v>
      </x:c>
      <x:c r="C2229" s="14" t="str">
        <x:v>Постельное белье</x:v>
      </x:c>
      <x:c r="D2229" s="14" t="str">
        <x:v>КПБ семейный</x:v>
      </x:c>
      <x:c r="E2229" s="2" t="n">
        <x:v>232</x:v>
      </x:c>
      <x:c r="F2229" s="2" t="n">
        <x:v>0</x:v>
      </x:c>
      <x:c r="G2229" s="12" t="n">
        <x:v>28761254.0271</x:v>
      </x:c>
      <x:c r="H2229" s="12" t="n">
        <x:v>1442035.11221876</x:v>
      </x:c>
      <x:c r="I2229" s="13" t="n">
        <x:v>0.0433336206896551</x:v>
      </x:c>
      <x:c r="J2229" s="2" t="n">
        <x:v>68</x:v>
      </x:c>
      <x:c r="K2229" s="2" t="n">
        <x:v>16</x:v>
      </x:c>
      <x:c r="L2229" s="12" t="n">
        <x:v>2529.0651</x:v>
      </x:c>
      <x:c r="M2229" s="13" t="n">
        <x:v>0.9320519472670208</x:v>
      </x:c>
      <x:c r="N2229" s="13" t="n">
        <x:f>H2229/G2229</x:f>
        <x:v>0.05013811674762223</x:v>
      </x:c>
      <x:c r="O2229" s="13" t="n">
        <x:f>F2229/E2229</x:f>
        <x:v>0</x:v>
      </x:c>
      <x:c r="P2229" s="2" t="str">
        <x:f>IF(AND(E2229&gt;='Итоги'!$F$5,N2229&lt;='Итоги'!$B$5,O2229&gt;='Итоги'!$D$5),"Да","Нет")</x:f>
        <x:v>Нет</x:v>
      </x:c>
    </x:row>
    <x:row r="2230" ht="60" customHeight="1">
      <x:c r="A2230" s="14" t="str">
        <x:v>Напитки</x:v>
      </x:c>
      <x:c r="B2230" s="14" t="str">
        <x:v>Напитки горячие</x:v>
      </x:c>
      <x:c r="C2230" s="14" t="str">
        <x:v>Кофе</x:v>
      </x:c>
      <x:c r="D2230" s="14" t="str">
        <x:v>Кофе капсульный</x:v>
      </x:c>
      <x:c r="E2230" s="2" t="n">
        <x:v>293</x:v>
      </x:c>
      <x:c r="F2230" s="2" t="n">
        <x:v>0</x:v>
      </x:c>
      <x:c r="G2230" s="12" t="n">
        <x:v>48866865.541</x:v>
      </x:c>
      <x:c r="H2230" s="12" t="n">
        <x:v>2450803.62675095</x:v>
      </x:c>
      <x:c r="I2230" s="13" t="n">
        <x:v>0.045737542662116</x:v>
      </x:c>
      <x:c r="J2230" s="2" t="n">
        <x:v>111</x:v>
      </x:c>
      <x:c r="K2230" s="2" t="n">
        <x:v>40</x:v>
      </x:c>
      <x:c r="L2230" s="12" t="n">
        <x:v>1463.5714</x:v>
      </x:c>
      <x:c r="M2230" s="13" t="n">
        <x:v>0.6110616871476332</x:v>
      </x:c>
      <x:c r="N2230" s="13" t="n">
        <x:f>H2230/G2230</x:f>
        <x:v>0.05015266683504982</x:v>
      </x:c>
      <x:c r="O2230" s="13" t="n">
        <x:f>F2230/E2230</x:f>
        <x:v>0</x:v>
      </x:c>
      <x:c r="P2230" s="2" t="str">
        <x:f>IF(AND(E2230&gt;='Итоги'!$F$5,N2230&lt;='Итоги'!$B$5,O2230&gt;='Итоги'!$D$5),"Да","Нет")</x:f>
        <x:v>Нет</x:v>
      </x:c>
    </x:row>
    <x:row r="2231" ht="60" customHeight="1">
      <x:c r="A2231" s="14" t="str">
        <x:v>Детская одежда</x:v>
      </x:c>
      <x:c r="B2231" s="14" t="str">
        <x:v>Детская одежда</x:v>
      </x:c>
      <x:c r="C2231" s="14" t="str">
        <x:v>Одежда для девочки</x:v>
      </x:c>
      <x:c r="D2231" s="14" t="str">
        <x:v>Топ для девочки</x:v>
      </x:c>
      <x:c r="E2231" s="2" t="n">
        <x:v>20</x:v>
      </x:c>
      <x:c r="F2231" s="2" t="n">
        <x:v>0</x:v>
      </x:c>
      <x:c r="G2231" s="12" t="n">
        <x:v>1758693.9738</x:v>
      </x:c>
      <x:c r="H2231" s="12" t="n">
        <x:v>88251.81978982</x:v>
      </x:c>
      <x:c r="I2231" s="13" t="n">
        <x:v>0.056445</x:v>
      </x:c>
      <x:c r="J2231" s="2" t="n">
        <x:v>12</x:v>
      </x:c>
      <x:c r="K2231" s="2" t="n">
        <x:v>1</x:v>
      </x:c>
      <x:c r="L2231" s="12" t="n">
        <x:v>854.0941499999999</x:v>
      </x:c>
      <x:c r="M2231" s="13" t="n">
        <x:v>1</x:v>
      </x:c>
      <x:c r="N2231" s="13" t="n">
        <x:f>H2231/G2231</x:f>
        <x:v>0.05018031624861646</x:v>
      </x:c>
      <x:c r="O2231" s="13" t="n">
        <x:f>F2231/E2231</x:f>
        <x:v>0</x:v>
      </x:c>
      <x:c r="P2231" s="2" t="str">
        <x:f>IF(AND(E2231&gt;='Итоги'!$F$5,N2231&lt;='Итоги'!$B$5,O2231&gt;='Итоги'!$D$5),"Да","Нет")</x:f>
        <x:v>Нет</x:v>
      </x:c>
    </x:row>
    <x:row r="2232" ht="60" customHeight="1">
      <x:c r="A2232" s="14" t="str">
        <x:v>Детская одежда</x:v>
      </x:c>
      <x:c r="B2232" s="14" t="str">
        <x:v>Детская одежда</x:v>
      </x:c>
      <x:c r="C2232" s="14" t="str">
        <x:v>Пляжная одежда для девочки</x:v>
      </x:c>
      <x:c r="D2232" s="14" t="str">
        <x:v>Раздельный купальник для девочки</x:v>
      </x:c>
      <x:c r="E2232" s="2" t="n">
        <x:v>109</x:v>
      </x:c>
      <x:c r="F2232" s="2" t="n">
        <x:v>0</x:v>
      </x:c>
      <x:c r="G2232" s="12" t="n">
        <x:v>5948011.5789</x:v>
      </x:c>
      <x:c r="H2232" s="12" t="n">
        <x:v>299086.10002143</x:v>
      </x:c>
      <x:c r="I2232" s="13" t="n">
        <x:v>0.0590825688073394</x:v>
      </x:c>
      <x:c r="J2232" s="2" t="n">
        <x:v>46</x:v>
      </x:c>
      <x:c r="K2232" s="2" t="n">
        <x:v>15</x:v>
      </x:c>
      <x:c r="L2232" s="12" t="n">
        <x:v>1112.4</x:v>
      </x:c>
      <x:c r="M2232" s="13" t="n">
        <x:v>0.4546306866302526</x:v>
      </x:c>
      <x:c r="N2232" s="13" t="n">
        <x:f>H2232/G2232</x:f>
        <x:v>0.05028337555401022</x:v>
      </x:c>
      <x:c r="O2232" s="13" t="n">
        <x:f>F2232/E2232</x:f>
        <x:v>0</x:v>
      </x:c>
      <x:c r="P2232" s="2" t="str">
        <x:f>IF(AND(E2232&gt;='Итоги'!$F$5,N2232&lt;='Итоги'!$B$5,O2232&gt;='Итоги'!$D$5),"Да","Нет")</x:f>
        <x:v>Нет</x:v>
      </x:c>
    </x:row>
    <x:row r="2233" ht="60" customHeight="1">
      <x:c r="A2233" s="14" t="str">
        <x:v>Строительство и ремонт (DIY)</x:v>
      </x:c>
      <x:c r="B2233" s="14" t="str">
        <x:v>Инструменты</x:v>
      </x:c>
      <x:c r="C2233" s="14" t="str">
        <x:v>Оснастка для инструмента</x:v>
      </x:c>
      <x:c r="D2233" s="14" t="str">
        <x:v>Расходные материалы для инструмента</x:v>
      </x:c>
      <x:c r="E2233" s="2" t="n">
        <x:v>16</x:v>
      </x:c>
      <x:c r="F2233" s="2" t="n">
        <x:v>0</x:v>
      </x:c>
      <x:c r="G2233" s="12" t="n">
        <x:v>1685755.1288</x:v>
      </x:c>
      <x:c r="H2233" s="12" t="n">
        <x:v>84817.64445664</x:v>
      </x:c>
      <x:c r="I2233" s="13" t="n">
        <x:v>0.05775625</x:v>
      </x:c>
      <x:c r="J2233" s="2" t="n">
        <x:v>8</x:v>
      </x:c>
      <x:c r="K2233" s="2" t="n">
        <x:v>9</x:v>
      </x:c>
      <x:c r="L2233" s="12" t="n">
        <x:v>1658.8501</x:v>
      </x:c>
      <x:c r="M2233" s="13" t="n">
        <x:v>0.4626975230710032</x:v>
      </x:c>
      <x:c r="N2233" s="13" t="n">
        <x:f>H2233/G2233</x:f>
        <x:v>0.050314332732902436</x:v>
      </x:c>
      <x:c r="O2233" s="13" t="n">
        <x:f>F2233/E2233</x:f>
        <x:v>0</x:v>
      </x:c>
      <x:c r="P2233" s="2" t="str">
        <x:f>IF(AND(E2233&gt;='Итоги'!$F$5,N2233&lt;='Итоги'!$B$5,O2233&gt;='Итоги'!$D$5),"Да","Нет")</x:f>
        <x:v>Нет</x:v>
      </x:c>
    </x:row>
    <x:row r="2234" ht="60" customHeight="1">
      <x:c r="A2234" s="14" t="str">
        <x:v>Спорт и отдых</x:v>
      </x:c>
      <x:c r="B2234" s="14" t="str">
        <x:v>Всесезонные виды спорта</x:v>
      </x:c>
      <x:c r="C2234" s="14" t="str">
        <x:v>Дартс</x:v>
      </x:c>
      <x:c r="D2234" s="14" t="str">
        <x:v>Мишень для дартс</x:v>
      </x:c>
      <x:c r="E2234" s="2" t="n">
        <x:v>6</x:v>
      </x:c>
      <x:c r="F2234" s="2" t="n">
        <x:v>0</x:v>
      </x:c>
      <x:c r="G2234" s="12" t="n">
        <x:v>1236963.1827</x:v>
      </x:c>
      <x:c r="H2234" s="12" t="n">
        <x:v>62246.94469419</x:v>
      </x:c>
      <x:c r="I2234" s="13" t="n">
        <x:v>0.0546333333333333</x:v>
      </x:c>
      <x:c r="J2234" s="2" t="n">
        <x:v>3</x:v>
      </x:c>
      <x:c r="K2234" s="2" t="n">
        <x:v>4</x:v>
      </x:c>
      <x:c r="L2234" s="12" t="n">
        <x:v>5378.33335</x:v>
      </x:c>
      <x:c r="M2234" s="13" t="n">
        <x:v>0.7221367791644621</x:v>
      </x:c>
      <x:c r="N2234" s="13" t="n">
        <x:f>H2234/G2234</x:f>
        <x:v>0.05032239080739618</x:v>
      </x:c>
      <x:c r="O2234" s="13" t="n">
        <x:f>F2234/E2234</x:f>
        <x:v>0</x:v>
      </x:c>
      <x:c r="P2234" s="2" t="str">
        <x:f>IF(AND(E2234&gt;='Итоги'!$F$5,N2234&lt;='Итоги'!$B$5,O2234&gt;='Итоги'!$D$5),"Да","Нет")</x:f>
        <x:v>Нет</x:v>
      </x:c>
    </x:row>
    <x:row r="2235" ht="60" customHeight="1">
      <x:c r="A2235" s="14" t="str">
        <x:v>Мебель</x:v>
      </x:c>
      <x:c r="B2235" s="14" t="str">
        <x:v>Мебель для сада</x:v>
      </x:c>
      <x:c r="C2235" s="14" t="str">
        <x:v>Садовый стол</x:v>
      </x:c>
      <x:c r="D2235" s="14" t="str">
        <x:v>Складные столы для сада</x:v>
      </x:c>
      <x:c r="E2235" s="2" t="n">
        <x:v>33</x:v>
      </x:c>
      <x:c r="F2235" s="2" t="n">
        <x:v>0</x:v>
      </x:c>
      <x:c r="G2235" s="12" t="n">
        <x:v>7011142.7455</x:v>
      </x:c>
      <x:c r="H2235" s="12" t="n">
        <x:v>353135.8980524</x:v>
      </x:c>
      <x:c r="I2235" s="13" t="n">
        <x:v>0.0624212121212121</x:v>
      </x:c>
      <x:c r="J2235" s="2" t="n">
        <x:v>12</x:v>
      </x:c>
      <x:c r="K2235" s="2" t="n">
        <x:v>14</x:v>
      </x:c>
      <x:c r="L2235" s="12" t="n">
        <x:v>4537</x:v>
      </x:c>
      <x:c r="M2235" s="13" t="n">
        <x:v>0.4054013842499935</x:v>
      </x:c>
      <x:c r="N2235" s="13" t="n">
        <x:f>H2235/G2235</x:f>
        <x:v>0.05036780891090188</x:v>
      </x:c>
      <x:c r="O2235" s="13" t="n">
        <x:f>F2235/E2235</x:f>
        <x:v>0</x:v>
      </x:c>
      <x:c r="P2235" s="2" t="str">
        <x:f>IF(AND(E2235&gt;='Итоги'!$F$5,N2235&lt;='Итоги'!$B$5,O2235&gt;='Итоги'!$D$5),"Да","Нет")</x:f>
        <x:v>Нет</x:v>
      </x:c>
    </x:row>
    <x:row r="2236" ht="60" customHeight="1">
      <x:c r="A2236" s="14" t="str">
        <x:v>Товары для дома</x:v>
      </x:c>
      <x:c r="B2236" s="14" t="str">
        <x:v>Интерьер и декор</x:v>
      </x:c>
      <x:c r="C2236" s="14" t="str">
        <x:v>Часы, барометр</x:v>
      </x:c>
      <x:c r="D2236" s="14" t="str">
        <x:v>Барометр, метеостанция механические</x:v>
      </x:c>
      <x:c r="E2236" s="2" t="n">
        <x:v>11</x:v>
      </x:c>
      <x:c r="F2236" s="2" t="n">
        <x:v>0</x:v>
      </x:c>
      <x:c r="G2236" s="12" t="n">
        <x:v>1646968.8204</x:v>
      </x:c>
      <x:c r="H2236" s="12" t="n">
        <x:v>82999.48158756</x:v>
      </x:c>
      <x:c r="I2236" s="13" t="n">
        <x:v>0.0508</x:v>
      </x:c>
      <x:c r="J2236" s="2" t="n">
        <x:v>5</x:v>
      </x:c>
      <x:c r="K2236" s="2" t="n">
        <x:v>7</x:v>
      </x:c>
      <x:c r="L2236" s="12" t="n">
        <x:v>1872.6</x:v>
      </x:c>
      <x:c r="M2236" s="13" t="n">
        <x:v>0.2722776106296226</x:v>
      </x:c>
      <x:c r="N2236" s="13" t="n">
        <x:f>H2236/G2236</x:f>
        <x:v>0.05039529623117084</x:v>
      </x:c>
      <x:c r="O2236" s="13" t="n">
        <x:f>F2236/E2236</x:f>
        <x:v>0</x:v>
      </x:c>
      <x:c r="P2236" s="2" t="str">
        <x:f>IF(AND(E2236&gt;='Итоги'!$F$5,N2236&lt;='Итоги'!$B$5,O2236&gt;='Итоги'!$D$5),"Да","Нет")</x:f>
        <x:v>Нет</x:v>
      </x:c>
    </x:row>
    <x:row r="2237" ht="60" customHeight="1">
      <x:c r="A2237" s="14" t="str">
        <x:v>Товары для дома</x:v>
      </x:c>
      <x:c r="B2237" s="14" t="str">
        <x:v>Кухня</x:v>
      </x:c>
      <x:c r="C2237" s="14" t="str">
        <x:v>Посуда для приготовления пищи</x:v>
      </x:c>
      <x:c r="D2237" s="14" t="str">
        <x:v>Посуда для фондю</x:v>
      </x:c>
      <x:c r="E2237" s="2" t="n">
        <x:v>1</x:v>
      </x:c>
      <x:c r="F2237" s="2" t="n">
        <x:v>0</x:v>
      </x:c>
      <x:c r="G2237" s="12" t="n">
        <x:v>94747.97</x:v>
      </x:c>
      <x:c r="H2237" s="12" t="n">
        <x:v>4775.297688</x:v>
      </x:c>
      <x:c r="I2237" s="13" t="n">
        <x:v>0.0504</x:v>
      </x:c>
      <x:c r="J2237" s="2" t="n">
        <x:v>0</x:v>
      </x:c>
      <x:c r="K2237" s="2" t="n">
        <x:v>1</x:v>
      </x:c>
      <x:c r="L2237" s="12" t="n">
        <x:v>1280.378</x:v>
      </x:c>
      <x:c r="M2237" s="13" t="n">
        <x:v>1</x:v>
      </x:c>
      <x:c r="N2237" s="13" t="n">
        <x:f>H2237/G2237</x:f>
        <x:v>0.05039999999999999</x:v>
      </x:c>
      <x:c r="O2237" s="13" t="n">
        <x:f>F2237/E2237</x:f>
        <x:v>0</x:v>
      </x:c>
      <x:c r="P2237" s="2" t="str">
        <x:f>IF(AND(E2237&gt;='Итоги'!$F$5,N2237&lt;='Итоги'!$B$5,O2237&gt;='Итоги'!$D$5),"Да","Нет")</x:f>
        <x:v>Нет</x:v>
      </x:c>
    </x:row>
    <x:row r="2238" ht="60" customHeight="1">
      <x:c r="A2238" s="14" t="str">
        <x:v>Обувь</x:v>
      </x:c>
      <x:c r="B2238" s="14" t="str">
        <x:v>Обувь мужская</x:v>
      </x:c>
      <x:c r="C2238" s="14" t="str">
        <x:v>Обувь мужская повседневная</x:v>
      </x:c>
      <x:c r="D2238" s="14" t="str">
        <x:v>Мужское Сабо</x:v>
      </x:c>
      <x:c r="E2238" s="2" t="n">
        <x:v>747</x:v>
      </x:c>
      <x:c r="F2238" s="2" t="n">
        <x:v>0</x:v>
      </x:c>
      <x:c r="G2238" s="12" t="n">
        <x:v>74174636.2888</x:v>
      </x:c>
      <x:c r="H2238" s="12" t="n">
        <x:v>3758582.67722733</x:v>
      </x:c>
      <x:c r="I2238" s="13" t="n">
        <x:v>0.0383392235609103</x:v>
      </x:c>
      <x:c r="J2238" s="2" t="n">
        <x:v>428</x:v>
      </x:c>
      <x:c r="K2238" s="2" t="n">
        <x:v>41</x:v>
      </x:c>
      <x:c r="L2238" s="12" t="n">
        <x:v>1937.2542</x:v>
      </x:c>
      <x:c r="M2238" s="13" t="n">
        <x:v>0.4588553111090775</x:v>
      </x:c>
      <x:c r="N2238" s="13" t="n">
        <x:f>H2238/G2238</x:f>
        <x:v>0.05067207424642077</x:v>
      </x:c>
      <x:c r="O2238" s="13" t="n">
        <x:f>F2238/E2238</x:f>
        <x:v>0</x:v>
      </x:c>
      <x:c r="P2238" s="2" t="str">
        <x:f>IF(AND(E2238&gt;='Итоги'!$F$5,N2238&lt;='Итоги'!$B$5,O2238&gt;='Итоги'!$D$5),"Да","Нет")</x:f>
        <x:v>Нет</x:v>
      </x:c>
    </x:row>
    <x:row r="2239" ht="60" customHeight="1">
      <x:c r="A2239" s="14" t="str">
        <x:v>Строительство и ремонт (DIY)</x:v>
      </x:c>
      <x:c r="B2239" s="14" t="str">
        <x:v>Ремонт и строительство</x:v>
      </x:c>
      <x:c r="C2239" s="14" t="str">
        <x:v>Аксессуары для ремонта</x:v>
      </x:c>
      <x:c r="D2239" s="14" t="str">
        <x:v>Каркас для крыльца дома</x:v>
      </x:c>
      <x:c r="E2239" s="2" t="n">
        <x:v>26</x:v>
      </x:c>
      <x:c r="F2239" s="2" t="n">
        <x:v>0</x:v>
      </x:c>
      <x:c r="G2239" s="12" t="n">
        <x:v>3270351.557</x:v>
      </x:c>
      <x:c r="H2239" s="12" t="n">
        <x:v>165758.1727</x:v>
      </x:c>
      <x:c r="I2239" s="13" t="n">
        <x:v>0.0412576923076923</x:v>
      </x:c>
      <x:c r="J2239" s="2" t="n">
        <x:v>8</x:v>
      </x:c>
      <x:c r="K2239" s="2" t="n">
        <x:v>3</x:v>
      </x:c>
      <x:c r="L2239" s="12" t="n">
        <x:v>10674.66665</x:v>
      </x:c>
      <x:c r="M2239" s="13" t="n">
        <x:v>0.740494089944716</x:v>
      </x:c>
      <x:c r="N2239" s="13" t="n">
        <x:f>H2239/G2239</x:f>
        <x:v>0.05068512354434927</x:v>
      </x:c>
      <x:c r="O2239" s="13" t="n">
        <x:f>F2239/E2239</x:f>
        <x:v>0</x:v>
      </x:c>
      <x:c r="P2239" s="2" t="str">
        <x:f>IF(AND(E2239&gt;='Итоги'!$F$5,N2239&lt;='Итоги'!$B$5,O2239&gt;='Итоги'!$D$5),"Да","Нет")</x:f>
        <x:v>Нет</x:v>
      </x:c>
    </x:row>
    <x:row r="2240" ht="60" customHeight="1">
      <x:c r="A2240" s="14" t="str">
        <x:v>Детская одежда</x:v>
      </x:c>
      <x:c r="B2240" s="14" t="str">
        <x:v>Детская одежда</x:v>
      </x:c>
      <x:c r="C2240" s="14" t="str">
        <x:v>Школьная одежда для мальчика</x:v>
      </x:c>
      <x:c r="D2240" s="14" t="str">
        <x:v>Школьный жилет для мальчика</x:v>
      </x:c>
      <x:c r="E2240" s="2" t="n">
        <x:v>33</x:v>
      </x:c>
      <x:c r="F2240" s="2" t="n">
        <x:v>0</x:v>
      </x:c>
      <x:c r="G2240" s="12" t="n">
        <x:v>2911221.07</x:v>
      </x:c>
      <x:c r="H2240" s="12" t="n">
        <x:v>147587.094788</x:v>
      </x:c>
      <x:c r="I2240" s="13" t="n">
        <x:v>0.0495181818181818</x:v>
      </x:c>
      <x:c r="J2240" s="2" t="n">
        <x:v>5</x:v>
      </x:c>
      <x:c r="K2240" s="2" t="n">
        <x:v>5</x:v>
      </x:c>
      <x:c r="L2240" s="12" t="n">
        <x:v>1460.3174</x:v>
      </x:c>
      <x:c r="M2240" s="13" t="n">
        <x:v>0.6160223586180626</x:v>
      </x:c>
      <x:c r="N2240" s="13" t="n">
        <x:f>H2240/G2240</x:f>
        <x:v>0.05069594209415364</x:v>
      </x:c>
      <x:c r="O2240" s="13" t="n">
        <x:f>F2240/E2240</x:f>
        <x:v>0</x:v>
      </x:c>
      <x:c r="P2240" s="2" t="str">
        <x:f>IF(AND(E2240&gt;='Итоги'!$F$5,N2240&lt;='Итоги'!$B$5,O2240&gt;='Итоги'!$D$5),"Да","Нет")</x:f>
        <x:v>Нет</x:v>
      </x:c>
    </x:row>
    <x:row r="2241" ht="60" customHeight="1">
      <x:c r="A2241" s="14" t="str">
        <x:v>Спорт и отдых</x:v>
      </x:c>
      <x:c r="B2241" s="14" t="str">
        <x:v>Водные виды спорта</x:v>
      </x:c>
      <x:c r="C2241" s="14" t="str">
        <x:v>Дайвинг</x:v>
      </x:c>
      <x:c r="D2241" s="14" t="str">
        <x:v>Аксессуар для дайвинга</x:v>
      </x:c>
      <x:c r="E2241" s="2" t="n">
        <x:v>2</x:v>
      </x:c>
      <x:c r="F2241" s="2" t="n">
        <x:v>0</x:v>
      </x:c>
      <x:c r="G2241" s="12" t="n">
        <x:v>216339.6161</x:v>
      </x:c>
      <x:c r="H2241" s="12" t="n">
        <x:v>10970.43492286</x:v>
      </x:c>
      <x:c r="I2241" s="13" t="n">
        <x:v>0.0878</x:v>
      </x:c>
      <x:c r="J2241" s="2" t="n">
        <x:v>0</x:v>
      </x:c>
      <x:c r="K2241" s="2" t="n">
        <x:v>2</x:v>
      </x:c>
      <x:c r="L2241" s="12" t="n">
        <x:v>2544.28685</x:v>
      </x:c>
      <x:c r="M2241" s="13" t="n">
        <x:v>0.7186950444070793</x:v>
      </x:c>
      <x:c r="N2241" s="13" t="n">
        <x:f>H2241/G2241</x:f>
        <x:v>0.05070932046855934</x:v>
      </x:c>
      <x:c r="O2241" s="13" t="n">
        <x:f>F2241/E2241</x:f>
        <x:v>0</x:v>
      </x:c>
      <x:c r="P2241" s="2" t="str">
        <x:f>IF(AND(E2241&gt;='Итоги'!$F$5,N2241&lt;='Итоги'!$B$5,O2241&gt;='Итоги'!$D$5),"Да","Нет")</x:f>
        <x:v>Нет</x:v>
      </x:c>
    </x:row>
    <x:row r="2242" ht="60" customHeight="1">
      <x:c r="A2242" s="14" t="str">
        <x:v>Спорт и отдых</x:v>
      </x:c>
      <x:c r="B2242" s="14" t="str">
        <x:v>Товары для охоты</x:v>
      </x:c>
      <x:c r="C2242" s="14" t="str">
        <x:v>Средства связи для охоты, рыбалки</x:v>
      </x:c>
      <x:c r="D2242" s="14" t="str">
        <x:v>Рация, радиостанция</x:v>
      </x:c>
      <x:c r="E2242" s="2" t="n">
        <x:v>201</x:v>
      </x:c>
      <x:c r="F2242" s="2" t="n">
        <x:v>0</x:v>
      </x:c>
      <x:c r="G2242" s="12" t="n">
        <x:v>48504935.48</x:v>
      </x:c>
      <x:c r="H2242" s="12" t="n">
        <x:v>2461953.010915</x:v>
      </x:c>
      <x:c r="I2242" s="13" t="n">
        <x:v>0.0510825870646766</x:v>
      </x:c>
      <x:c r="J2242" s="2" t="n">
        <x:v>62</x:v>
      </x:c>
      <x:c r="K2242" s="2" t="n">
        <x:v>35</x:v>
      </x:c>
      <x:c r="L2242" s="12" t="n">
        <x:v>3791.2813</x:v>
      </x:c>
      <x:c r="M2242" s="13" t="n">
        <x:v>0.5243804274409892</x:v>
      </x:c>
      <x:c r="N2242" s="13" t="n">
        <x:f>H2242/G2242</x:f>
        <x:v>0.05075675261809461</x:v>
      </x:c>
      <x:c r="O2242" s="13" t="n">
        <x:f>F2242/E2242</x:f>
        <x:v>0</x:v>
      </x:c>
      <x:c r="P2242" s="2" t="str">
        <x:f>IF(AND(E2242&gt;='Итоги'!$F$5,N2242&lt;='Итоги'!$B$5,O2242&gt;='Итоги'!$D$5),"Да","Нет")</x:f>
        <x:v>Нет</x:v>
      </x:c>
    </x:row>
    <x:row r="2243" ht="60" customHeight="1">
      <x:c r="A2243" s="14" t="str">
        <x:v>Аптека</x:v>
      </x:c>
      <x:c r="B2243" s="14" t="str">
        <x:v>Средства реабилитации</x:v>
      </x:c>
      <x:c r="C2243" s="14" t="str">
        <x:v>Средства реабилитации</x:v>
      </x:c>
      <x:c r="D2243" s="14" t="str">
        <x:v>Трость</x:v>
      </x:c>
      <x:c r="E2243" s="2" t="n">
        <x:v>13</x:v>
      </x:c>
      <x:c r="F2243" s="2" t="n">
        <x:v>0</x:v>
      </x:c>
      <x:c r="G2243" s="12" t="n">
        <x:v>1940286.42</x:v>
      </x:c>
      <x:c r="H2243" s="12" t="n">
        <x:v>98512.898308</x:v>
      </x:c>
      <x:c r="I2243" s="13" t="n">
        <x:v>0.0535384615384615</x:v>
      </x:c>
      <x:c r="J2243" s="2" t="n">
        <x:v>6</x:v>
      </x:c>
      <x:c r="K2243" s="2" t="n">
        <x:v>3</x:v>
      </x:c>
      <x:c r="L2243" s="12" t="n">
        <x:v>1112.4648</x:v>
      </x:c>
      <x:c r="M2243" s="13" t="n">
        <x:v>0.6303842501768373</x:v>
      </x:c>
      <x:c r="N2243" s="13" t="n">
        <x:f>H2243/G2243</x:f>
        <x:v>0.050772348501001215</x:v>
      </x:c>
      <x:c r="O2243" s="13" t="n">
        <x:f>F2243/E2243</x:f>
        <x:v>0</x:v>
      </x:c>
      <x:c r="P2243" s="2" t="str">
        <x:f>IF(AND(E2243&gt;='Итоги'!$F$5,N2243&lt;='Итоги'!$B$5,O2243&gt;='Итоги'!$D$5),"Да","Нет")</x:f>
        <x:v>Нет</x:v>
      </x:c>
    </x:row>
    <x:row r="2244" ht="60" customHeight="1">
      <x:c r="A2244" s="14" t="str">
        <x:v>Строительство и ремонт (DIY)</x:v>
      </x:c>
      <x:c r="B2244" s="14" t="str">
        <x:v>Сад и огород</x:v>
      </x:c>
      <x:c r="C2244" s="14" t="str">
        <x:v>Садовый инструмент</x:v>
      </x:c>
      <x:c r="D2244" s="14" t="str">
        <x:v>Измельчитель садовый бензиновый, электрический</x:v>
      </x:c>
      <x:c r="E2244" s="2" t="n">
        <x:v>46</x:v>
      </x:c>
      <x:c r="F2244" s="2" t="n">
        <x:v>0</x:v>
      </x:c>
      <x:c r="G2244" s="12" t="n">
        <x:v>12346642.5632</x:v>
      </x:c>
      <x:c r="H2244" s="12" t="n">
        <x:v>626882.1589578</x:v>
      </x:c>
      <x:c r="I2244" s="13" t="n">
        <x:v>0.0597304347826086</x:v>
      </x:c>
      <x:c r="J2244" s="2" t="n">
        <x:v>21</x:v>
      </x:c>
      <x:c r="K2244" s="2" t="n">
        <x:v>10</x:v>
      </x:c>
      <x:c r="L2244" s="12" t="n">
        <x:v>12863.79365</x:v>
      </x:c>
      <x:c r="M2244" s="13" t="n">
        <x:v>0.6756601164647215</x:v>
      </x:c>
      <x:c r="N2244" s="13" t="n">
        <x:f>H2244/G2244</x:f>
        <x:v>0.05077349212540294</x:v>
      </x:c>
      <x:c r="O2244" s="13" t="n">
        <x:f>F2244/E2244</x:f>
        <x:v>0</x:v>
      </x:c>
      <x:c r="P2244" s="2" t="str">
        <x:f>IF(AND(E2244&gt;='Итоги'!$F$5,N2244&lt;='Итоги'!$B$5,O2244&gt;='Итоги'!$D$5),"Да","Нет")</x:f>
        <x:v>Нет</x:v>
      </x:c>
    </x:row>
    <x:row r="2245" ht="60" customHeight="1">
      <x:c r="A2245" s="14" t="str">
        <x:v>Спорт и отдых</x:v>
      </x:c>
      <x:c r="B2245" s="14" t="str">
        <x:v>Колесный транспорт</x:v>
      </x:c>
      <x:c r="C2245" s="14" t="str">
        <x:v>Ролики</x:v>
      </x:c>
      <x:c r="D2245" s="14" t="str">
        <x:v>Защита роликовая детская</x:v>
      </x:c>
      <x:c r="E2245" s="2" t="n">
        <x:v>9</x:v>
      </x:c>
      <x:c r="F2245" s="2" t="n">
        <x:v>0</x:v>
      </x:c>
      <x:c r="G2245" s="12" t="n">
        <x:v>1659548.7924</x:v>
      </x:c>
      <x:c r="H2245" s="12" t="n">
        <x:v>84298.44211181</x:v>
      </x:c>
      <x:c r="I2245" s="13" t="n">
        <x:v>0.0522777777777777</x:v>
      </x:c>
      <x:c r="J2245" s="2" t="n">
        <x:v>1</x:v>
      </x:c>
      <x:c r="K2245" s="2" t="n">
        <x:v>4</x:v>
      </x:c>
      <x:c r="L2245" s="12" t="n">
        <x:v>1759.9222</x:v>
      </x:c>
      <x:c r="M2245" s="13" t="n">
        <x:v>0.3227293722563285</x:v>
      </x:c>
      <x:c r="N2245" s="13" t="n">
        <x:f>H2245/G2245</x:f>
        <x:v>0.05079600099608979</x:v>
      </x:c>
      <x:c r="O2245" s="13" t="n">
        <x:f>F2245/E2245</x:f>
        <x:v>0</x:v>
      </x:c>
      <x:c r="P2245" s="2" t="str">
        <x:f>IF(AND(E2245&gt;='Итоги'!$F$5,N2245&lt;='Итоги'!$B$5,O2245&gt;='Итоги'!$D$5),"Да","Нет")</x:f>
        <x:v>Нет</x:v>
      </x:c>
    </x:row>
    <x:row r="2246" ht="60" customHeight="1">
      <x:c r="A2246" s="14" t="str">
        <x:v>Спорт и отдых</x:v>
      </x:c>
      <x:c r="B2246" s="14" t="str">
        <x:v>Тренажеры и фитнес</x:v>
      </x:c>
      <x:c r="C2246" s="14" t="str">
        <x:v>Фитнес</x:v>
      </x:c>
      <x:c r="D2246" s="14" t="str">
        <x:v>Утяжелители спортивные</x:v>
      </x:c>
      <x:c r="E2246" s="2" t="n">
        <x:v>17</x:v>
      </x:c>
      <x:c r="F2246" s="2" t="n">
        <x:v>0</x:v>
      </x:c>
      <x:c r="G2246" s="12" t="n">
        <x:v>2636519.2111</x:v>
      </x:c>
      <x:c r="H2246" s="12" t="n">
        <x:v>133981.17207618</x:v>
      </x:c>
      <x:c r="I2246" s="13" t="n">
        <x:v>0.0495764705882352</x:v>
      </x:c>
      <x:c r="J2246" s="2" t="n">
        <x:v>4</x:v>
      </x:c>
      <x:c r="K2246" s="2" t="n">
        <x:v>5</x:v>
      </x:c>
      <x:c r="L2246" s="12" t="n">
        <x:v>1658.807</x:v>
      </x:c>
      <x:c r="M2246" s="13" t="n">
        <x:v>0.6857180077765147</x:v>
      </x:c>
      <x:c r="N2246" s="13" t="n">
        <x:f>H2246/G2246</x:f>
        <x:v>0.05081744578689446</x:v>
      </x:c>
      <x:c r="O2246" s="13" t="n">
        <x:f>F2246/E2246</x:f>
        <x:v>0</x:v>
      </x:c>
      <x:c r="P2246" s="2" t="str">
        <x:f>IF(AND(E2246&gt;='Итоги'!$F$5,N2246&lt;='Итоги'!$B$5,O2246&gt;='Итоги'!$D$5),"Да","Нет")</x:f>
        <x:v>Нет</x:v>
      </x:c>
    </x:row>
    <x:row r="2247" ht="60" customHeight="1">
      <x:c r="A2247" s="14" t="str">
        <x:v>Товары для дома</x:v>
      </x:c>
      <x:c r="B2247" s="14" t="str">
        <x:v>Кухня</x:v>
      </x:c>
      <x:c r="C2247" s="14" t="str">
        <x:v>Столовая посуда</x:v>
      </x:c>
      <x:c r="D2247" s="14" t="str">
        <x:v>Сервиз, набор посуды столовый</x:v>
      </x:c>
      <x:c r="E2247" s="2" t="n">
        <x:v>283</x:v>
      </x:c>
      <x:c r="F2247" s="2" t="n">
        <x:v>0</x:v>
      </x:c>
      <x:c r="G2247" s="12" t="n">
        <x:v>41538431.6889</x:v>
      </x:c>
      <x:c r="H2247" s="12" t="n">
        <x:v>2111990.10511443</x:v>
      </x:c>
      <x:c r="I2247" s="13" t="n">
        <x:v>0.0505144876325088</x:v>
      </x:c>
      <x:c r="J2247" s="2" t="n">
        <x:v>103</x:v>
      </x:c>
      <x:c r="K2247" s="2" t="n">
        <x:v>30</x:v>
      </x:c>
      <x:c r="L2247" s="12" t="n">
        <x:v>4693.1005</x:v>
      </x:c>
      <x:c r="M2247" s="13" t="n">
        <x:v>0.716363591277608</x:v>
      </x:c>
      <x:c r="N2247" s="13" t="n">
        <x:f>H2247/G2247</x:f>
        <x:v>0.05084424277093738</x:v>
      </x:c>
      <x:c r="O2247" s="13" t="n">
        <x:f>F2247/E2247</x:f>
        <x:v>0</x:v>
      </x:c>
      <x:c r="P2247" s="2" t="str">
        <x:f>IF(AND(E2247&gt;='Итоги'!$F$5,N2247&lt;='Итоги'!$B$5,O2247&gt;='Итоги'!$D$5),"Да","Нет")</x:f>
        <x:v>Нет</x:v>
      </x:c>
    </x:row>
    <x:row r="2248" ht="60" customHeight="1">
      <x:c r="A2248" s="14" t="str">
        <x:v>Строительство и ремонт (DIY)</x:v>
      </x:c>
      <x:c r="B2248" s="14" t="str">
        <x:v>Ремонт и строительство</x:v>
      </x:c>
      <x:c r="C2248" s="14" t="str">
        <x:v>Скобяные изделия</x:v>
      </x:c>
      <x:c r="D2248" s="14" t="str">
        <x:v>Гайка, шайба</x:v>
      </x:c>
      <x:c r="E2248" s="2" t="n">
        <x:v>2</x:v>
      </x:c>
      <x:c r="F2248" s="2" t="n">
        <x:v>0</x:v>
      </x:c>
      <x:c r="G2248" s="12" t="n">
        <x:v>442283.3634</x:v>
      </x:c>
      <x:c r="H2248" s="12" t="n">
        <x:v>22496.65685508</x:v>
      </x:c>
      <x:c r="I2248" s="13" t="n">
        <x:v>0.04685</x:v>
      </x:c>
      <x:c r="J2248" s="2" t="n">
        <x:v>0</x:v>
      </x:c>
      <x:c r="K2248" s="2" t="n">
        <x:v>2</x:v>
      </x:c>
      <x:c r="L2248" s="12" t="n">
        <x:v>878.5985499999999</x:v>
      </x:c>
      <x:c r="M2248" s="13" t="n">
        <x:v>0.6884884786511958</x:v>
      </x:c>
      <x:c r="N2248" s="13" t="n">
        <x:f>H2248/G2248</x:f>
        <x:v>0.05086480459527048</x:v>
      </x:c>
      <x:c r="O2248" s="13" t="n">
        <x:f>F2248/E2248</x:f>
        <x:v>0</x:v>
      </x:c>
      <x:c r="P2248" s="2" t="str">
        <x:f>IF(AND(E2248&gt;='Итоги'!$F$5,N2248&lt;='Итоги'!$B$5,O2248&gt;='Итоги'!$D$5),"Да","Нет")</x:f>
        <x:v>Нет</x:v>
      </x:c>
    </x:row>
    <x:row r="2249" ht="60" customHeight="1">
      <x:c r="A2249" s="14" t="str">
        <x:v>Автотовары</x:v>
      </x:c>
      <x:c r="B2249" s="14" t="str">
        <x:v>Авто и мото запчасти</x:v>
      </x:c>
      <x:c r="C2249" s="14" t="str">
        <x:v>Система сцепления</x:v>
      </x:c>
      <x:c r="D2249" s="14" t="str">
        <x:v>Сцепление автомобильное и комплектующие</x:v>
      </x:c>
      <x:c r="E2249" s="2" t="n">
        <x:v>73</x:v>
      </x:c>
      <x:c r="F2249" s="2" t="n">
        <x:v>0</x:v>
      </x:c>
      <x:c r="G2249" s="12" t="n">
        <x:v>9824821.1907</x:v>
      </x:c>
      <x:c r="H2249" s="12" t="n">
        <x:v>499900.80983857</x:v>
      </x:c>
      <x:c r="I2249" s="13" t="n">
        <x:v>0.046</x:v>
      </x:c>
      <x:c r="J2249" s="2" t="n">
        <x:v>24</x:v>
      </x:c>
      <x:c r="K2249" s="2" t="n">
        <x:v>17</x:v>
      </x:c>
      <x:c r="L2249" s="12" t="n">
        <x:v>3860.3667</x:v>
      </x:c>
      <x:c r="M2249" s="13" t="n">
        <x:v>0.6718267438340749</x:v>
      </x:c>
      <x:c r="N2249" s="13" t="n">
        <x:f>H2249/G2249</x:f>
        <x:v>0.050881415563243756</x:v>
      </x:c>
      <x:c r="O2249" s="13" t="n">
        <x:f>F2249/E2249</x:f>
        <x:v>0</x:v>
      </x:c>
      <x:c r="P2249" s="2" t="str">
        <x:f>IF(AND(E2249&gt;='Итоги'!$F$5,N2249&lt;='Итоги'!$B$5,O2249&gt;='Итоги'!$D$5),"Да","Нет")</x:f>
        <x:v>Нет</x:v>
      </x:c>
    </x:row>
    <x:row r="2250" ht="60" customHeight="1">
      <x:c r="A2250" s="14" t="str">
        <x:v>Автотовары</x:v>
      </x:c>
      <x:c r="B2250" s="14" t="str">
        <x:v>Универсальные авто и мото аксессуары</x:v>
      </x:c>
      <x:c r="C2250" s="14" t="str">
        <x:v>Мотоаксессуары</x:v>
      </x:c>
      <x:c r="D2250" s="14" t="str">
        <x:v>Сумки, кофры для мото/квадроцикла</x:v>
      </x:c>
      <x:c r="E2250" s="2" t="n">
        <x:v>52</x:v>
      </x:c>
      <x:c r="F2250" s="2" t="n">
        <x:v>0</x:v>
      </x:c>
      <x:c r="G2250" s="12" t="n">
        <x:v>7994856.2261</x:v>
      </x:c>
      <x:c r="H2250" s="12" t="n">
        <x:v>406878.75417509</x:v>
      </x:c>
      <x:c r="I2250" s="13" t="n">
        <x:v>0.0480057692307692</x:v>
      </x:c>
      <x:c r="J2250" s="2" t="n">
        <x:v>22</x:v>
      </x:c>
      <x:c r="K2250" s="2" t="n">
        <x:v>26</x:v>
      </x:c>
      <x:c r="L2250" s="12" t="n">
        <x:v>3493.63405</x:v>
      </x:c>
      <x:c r="M2250" s="13" t="n">
        <x:v>0.1092534128566922</x:v>
      </x:c>
      <x:c r="N2250" s="13" t="n">
        <x:f>H2250/G2250</x:f>
        <x:v>0.05089256675395788</x:v>
      </x:c>
      <x:c r="O2250" s="13" t="n">
        <x:f>F2250/E2250</x:f>
        <x:v>0</x:v>
      </x:c>
      <x:c r="P2250" s="2" t="str">
        <x:f>IF(AND(E2250&gt;='Итоги'!$F$5,N2250&lt;='Итоги'!$B$5,O2250&gt;='Итоги'!$D$5),"Да","Нет")</x:f>
        <x:v>Нет</x:v>
      </x:c>
    </x:row>
    <x:row r="2251" ht="60" customHeight="1">
      <x:c r="A2251" s="14" t="str">
        <x:v>Одежда</x:v>
      </x:c>
      <x:c r="B2251" s="14" t="str">
        <x:v>Основная одежда мужская</x:v>
      </x:c>
      <x:c r="C2251" s="14" t="str">
        <x:v>Головные уборы, перчатки, шарфы мужские</x:v>
      </x:c>
      <x:c r="D2251" s="14" t="str">
        <x:v>Мужская шапка трикотажная</x:v>
      </x:c>
      <x:c r="E2251" s="2" t="n">
        <x:v>7</x:v>
      </x:c>
      <x:c r="F2251" s="2" t="n">
        <x:v>0</x:v>
      </x:c>
      <x:c r="G2251" s="12" t="n">
        <x:v>266556.7</x:v>
      </x:c>
      <x:c r="H2251" s="12" t="n">
        <x:v>13571.534925</x:v>
      </x:c>
      <x:c r="I2251" s="13" t="n">
        <x:v>0.0191285714285714</x:v>
      </x:c>
      <x:c r="J2251" s="2" t="n">
        <x:v>6</x:v>
      </x:c>
      <x:c r="K2251" s="2" t="n">
        <x:v>2</x:v>
      </x:c>
      <x:c r="L2251" s="12" t="n">
        <x:v>2448</x:v>
      </x:c>
      <x:c r="M2251" s="13" t="n">
        <x:v>0.6197591356735733</x:v>
      </x:c>
      <x:c r="N2251" s="13" t="n">
        <x:f>H2251/G2251</x:f>
        <x:v>0.05091425173330852</x:v>
      </x:c>
      <x:c r="O2251" s="13" t="n">
        <x:f>F2251/E2251</x:f>
        <x:v>0</x:v>
      </x:c>
      <x:c r="P2251" s="2" t="str">
        <x:f>IF(AND(E2251&gt;='Итоги'!$F$5,N2251&lt;='Итоги'!$B$5,O2251&gt;='Итоги'!$D$5),"Да","Нет")</x:f>
        <x:v>Нет</x:v>
      </x:c>
    </x:row>
    <x:row r="2252" ht="60" customHeight="1">
      <x:c r="A2252" s="14" t="str">
        <x:v>Игрушки</x:v>
      </x:c>
      <x:c r="B2252" s="14" t="str">
        <x:v>Игрушки</x:v>
      </x:c>
      <x:c r="C2252" s="14" t="str">
        <x:v>Куклы и аксессуары</x:v>
      </x:c>
      <x:c r="D2252" s="14" t="str">
        <x:v>Кукла - пупс</x:v>
      </x:c>
      <x:c r="E2252" s="2" t="n">
        <x:v>16</x:v>
      </x:c>
      <x:c r="F2252" s="2" t="n">
        <x:v>0</x:v>
      </x:c>
      <x:c r="G2252" s="12" t="n">
        <x:v>1573533.4894</x:v>
      </x:c>
      <x:c r="H2252" s="12" t="n">
        <x:v>80117.76474459001</x:v>
      </x:c>
      <x:c r="I2252" s="13" t="n">
        <x:v>0.044725</x:v>
      </x:c>
      <x:c r="J2252" s="2" t="n">
        <x:v>7</x:v>
      </x:c>
      <x:c r="K2252" s="2" t="n">
        <x:v>6</x:v>
      </x:c>
      <x:c r="L2252" s="12" t="n">
        <x:v>2204.5169</x:v>
      </x:c>
      <x:c r="M2252" s="13" t="n">
        <x:v>0.6304650485565954</x:v>
      </x:c>
      <x:c r="N2252" s="13" t="n">
        <x:f>H2252/G2252</x:f>
        <x:v>0.05091583069842352</x:v>
      </x:c>
      <x:c r="O2252" s="13" t="n">
        <x:f>F2252/E2252</x:f>
        <x:v>0</x:v>
      </x:c>
      <x:c r="P2252" s="2" t="str">
        <x:f>IF(AND(E2252&gt;='Итоги'!$F$5,N2252&lt;='Итоги'!$B$5,O2252&gt;='Итоги'!$D$5),"Да","Нет")</x:f>
        <x:v>Нет</x:v>
      </x:c>
    </x:row>
    <x:row r="2253" ht="60" customHeight="1">
      <x:c r="A2253" s="14" t="str">
        <x:v>Товары для красоты и здоровья</x:v>
      </x:c>
      <x:c r="B2253" s="14" t="str">
        <x:v>Декоративная косметика</x:v>
      </x:c>
      <x:c r="C2253" s="14" t="str">
        <x:v>Маникюр и педикюр</x:v>
      </x:c>
      <x:c r="D2253" s="14" t="str">
        <x:v>Средство для удаления кутикулы</x:v>
      </x:c>
      <x:c r="E2253" s="2" t="n">
        <x:v>3</x:v>
      </x:c>
      <x:c r="F2253" s="2" t="n">
        <x:v>0</x:v>
      </x:c>
      <x:c r="G2253" s="12" t="n">
        <x:v>579052.7318</x:v>
      </x:c>
      <x:c r="H2253" s="12" t="n">
        <x:v>29492.438628</x:v>
      </x:c>
      <x:c r="I2253" s="13" t="n">
        <x:v>0.0422666666666666</x:v>
      </x:c>
      <x:c r="J2253" s="2" t="n">
        <x:v>2</x:v>
      </x:c>
      <x:c r="K2253" s="2" t="n">
        <x:v>2</x:v>
      </x:c>
      <x:c r="L2253" s="12" t="n">
        <x:v>2590.2947</x:v>
      </x:c>
      <x:c r="M2253" s="13" t="n">
        <x:v>0.5983263747379493</x:v>
      </x:c>
      <x:c r="N2253" s="13" t="n">
        <x:f>H2253/G2253</x:f>
        <x:v>0.050932215683228046</x:v>
      </x:c>
      <x:c r="O2253" s="13" t="n">
        <x:f>F2253/E2253</x:f>
        <x:v>0</x:v>
      </x:c>
      <x:c r="P2253" s="2" t="str">
        <x:f>IF(AND(E2253&gt;='Итоги'!$F$5,N2253&lt;='Итоги'!$B$5,O2253&gt;='Итоги'!$D$5),"Да","Нет")</x:f>
        <x:v>Нет</x:v>
      </x:c>
    </x:row>
    <x:row r="2254" ht="60" customHeight="1">
      <x:c r="A2254" s="14" t="str">
        <x:v>Бакалея и кондитерские изделия</x:v>
      </x:c>
      <x:c r="B2254" s="14" t="str">
        <x:v>Кондитерские изделия</x:v>
      </x:c>
      <x:c r="C2254" s="14" t="str">
        <x:v>Шоколадные изделия</x:v>
      </x:c>
      <x:c r="D2254" s="14" t="str">
        <x:v>Шоколадный батончик</x:v>
      </x:c>
      <x:c r="E2254" s="2" t="n">
        <x:v>26</x:v>
      </x:c>
      <x:c r="F2254" s="2" t="n">
        <x:v>0</x:v>
      </x:c>
      <x:c r="G2254" s="12" t="n">
        <x:v>3272614.974</x:v>
      </x:c>
      <x:c r="H2254" s="12" t="n">
        <x:v>166696.87382472</x:v>
      </x:c>
      <x:c r="I2254" s="13" t="n">
        <x:v>0.0475615384615384</x:v>
      </x:c>
      <x:c r="J2254" s="2" t="n">
        <x:v>6</x:v>
      </x:c>
      <x:c r="K2254" s="2" t="n">
        <x:v>5</x:v>
      </x:c>
      <x:c r="L2254" s="12" t="n">
        <x:v>1368.99545</x:v>
      </x:c>
      <x:c r="M2254" s="13" t="n">
        <x:v>0.6816662689694092</x:v>
      </x:c>
      <x:c r="N2254" s="13" t="n">
        <x:f>H2254/G2254</x:f>
        <x:v>0.05093690371433227</x:v>
      </x:c>
      <x:c r="O2254" s="13" t="n">
        <x:f>F2254/E2254</x:f>
        <x:v>0</x:v>
      </x:c>
      <x:c r="P2254" s="2" t="str">
        <x:f>IF(AND(E2254&gt;='Итоги'!$F$5,N2254&lt;='Итоги'!$B$5,O2254&gt;='Итоги'!$D$5),"Да","Нет")</x:f>
        <x:v>Нет</x:v>
      </x:c>
    </x:row>
    <x:row r="2255" ht="60" customHeight="1">
      <x:c r="A2255" s="14" t="str">
        <x:v>Ноутбуки и компьютеры</x:v>
      </x:c>
      <x:c r="B2255" s="14" t="str">
        <x:v>Компьютерная офисная техника Lap&amp;Comp</x:v>
      </x:c>
      <x:c r="C2255" s="14" t="str">
        <x:v>Кассовое и складское оборудование Lap&amp;Comp</x:v>
      </x:c>
      <x:c r="D2255" s="14" t="str">
        <x:v>Сканер штрих-кодов</x:v>
      </x:c>
      <x:c r="E2255" s="2" t="n">
        <x:v>91</x:v>
      </x:c>
      <x:c r="F2255" s="2" t="n">
        <x:v>0</x:v>
      </x:c>
      <x:c r="G2255" s="12" t="n">
        <x:v>19259175.9773</x:v>
      </x:c>
      <x:c r="H2255" s="12" t="n">
        <x:v>981471.3246305</x:v>
      </x:c>
      <x:c r="I2255" s="13" t="n">
        <x:v>0.0531604395604395</x:v>
      </x:c>
      <x:c r="J2255" s="2" t="n">
        <x:v>11</x:v>
      </x:c>
      <x:c r="K2255" s="2" t="n">
        <x:v>27</x:v>
      </x:c>
      <x:c r="L2255" s="12" t="n">
        <x:v>2756.1887</x:v>
      </x:c>
      <x:c r="M2255" s="13" t="n">
        <x:v>0.5703238626380668</x:v>
      </x:c>
      <x:c r="N2255" s="13" t="n">
        <x:f>H2255/G2255</x:f>
        <x:v>0.05096123145597299</x:v>
      </x:c>
      <x:c r="O2255" s="13" t="n">
        <x:f>F2255/E2255</x:f>
        <x:v>0</x:v>
      </x:c>
      <x:c r="P2255" s="2" t="str">
        <x:f>IF(AND(E2255&gt;='Итоги'!$F$5,N2255&lt;='Итоги'!$B$5,O2255&gt;='Итоги'!$D$5),"Да","Нет")</x:f>
        <x:v>Нет</x:v>
      </x:c>
    </x:row>
    <x:row r="2256" ht="60" customHeight="1">
      <x:c r="A2256" s="14" t="str">
        <x:v>Автотовары</x:v>
      </x:c>
      <x:c r="B2256" s="14" t="str">
        <x:v>Масла и автохимия</x:v>
      </x:c>
      <x:c r="C2256" s="14" t="str">
        <x:v>Технические автомобильные жидкости</x:v>
      </x:c>
      <x:c r="D2256" s="14" t="str">
        <x:v>Автохимия - Антифриз, тосол</x:v>
      </x:c>
      <x:c r="E2256" s="2" t="n">
        <x:v>95</x:v>
      </x:c>
      <x:c r="F2256" s="2" t="n">
        <x:v>0</x:v>
      </x:c>
      <x:c r="G2256" s="12" t="n">
        <x:v>19052374.0723</x:v>
      </x:c>
      <x:c r="H2256" s="12" t="n">
        <x:v>971022.86652398</x:v>
      </x:c>
      <x:c r="I2256" s="13" t="n">
        <x:v>0.0439494736842105</x:v>
      </x:c>
      <x:c r="J2256" s="2" t="n">
        <x:v>53</x:v>
      </x:c>
      <x:c r="K2256" s="2" t="n">
        <x:v>13</x:v>
      </x:c>
      <x:c r="L2256" s="12" t="n">
        <x:v>1127.4688</x:v>
      </x:c>
      <x:c r="M2256" s="13" t="n">
        <x:v>0.8855796447346979</x:v>
      </x:c>
      <x:c r="N2256" s="13" t="n">
        <x:f>H2256/G2256</x:f>
        <x:v>0.05096597740728478</x:v>
      </x:c>
      <x:c r="O2256" s="13" t="n">
        <x:f>F2256/E2256</x:f>
        <x:v>0</x:v>
      </x:c>
      <x:c r="P2256" s="2" t="str">
        <x:f>IF(AND(E2256&gt;='Итоги'!$F$5,N2256&lt;='Итоги'!$B$5,O2256&gt;='Итоги'!$D$5),"Да","Нет")</x:f>
        <x:v>Нет</x:v>
      </x:c>
    </x:row>
    <x:row r="2257" ht="60" customHeight="1">
      <x:c r="A2257" s="14" t="str">
        <x:v>Товары для детей и спорта</x:v>
      </x:c>
      <x:c r="B2257" s="14" t="str">
        <x:v>Спорт детский</x:v>
      </x:c>
      <x:c r="C2257" s="14" t="str">
        <x:v>Игровой комплекс для детей</x:v>
      </x:c>
      <x:c r="D2257" s="14" t="str">
        <x:v>Домик игровой детский</x:v>
      </x:c>
      <x:c r="E2257" s="2" t="n">
        <x:v>37</x:v>
      </x:c>
      <x:c r="F2257" s="2" t="n">
        <x:v>0</x:v>
      </x:c>
      <x:c r="G2257" s="12" t="n">
        <x:v>4886870.3724</x:v>
      </x:c>
      <x:c r="H2257" s="12" t="n">
        <x:v>249073.84784167</x:v>
      </x:c>
      <x:c r="I2257" s="13" t="n">
        <x:v>0.0505135135135135</x:v>
      </x:c>
      <x:c r="J2257" s="2" t="n">
        <x:v>7</x:v>
      </x:c>
      <x:c r="K2257" s="2" t="n">
        <x:v>14</x:v>
      </x:c>
      <x:c r="L2257" s="12" t="n">
        <x:v>1722.2254</x:v>
      </x:c>
      <x:c r="M2257" s="13" t="n">
        <x:v>0.3130806582349772</x:v>
      </x:c>
      <x:c r="N2257" s="13" t="n">
        <x:f>H2257/G2257</x:f>
        <x:v>0.05096796699343324</x:v>
      </x:c>
      <x:c r="O2257" s="13" t="n">
        <x:f>F2257/E2257</x:f>
        <x:v>0</x:v>
      </x:c>
      <x:c r="P2257" s="2" t="str">
        <x:f>IF(AND(E2257&gt;='Итоги'!$F$5,N2257&lt;='Итоги'!$B$5,O2257&gt;='Итоги'!$D$5),"Да","Нет")</x:f>
        <x:v>Нет</x:v>
      </x:c>
    </x:row>
    <x:row r="2258" ht="60" customHeight="1">
      <x:c r="A2258" s="14" t="str">
        <x:v>Бакалея и кондитерские изделия</x:v>
      </x:c>
      <x:c r="B2258" s="14" t="str">
        <x:v>Кондитерские изделия</x:v>
      </x:c>
      <x:c r="C2258" s="14" t="str">
        <x:v>Жевательная резинка</x:v>
      </x:c>
      <x:c r="D2258" s="14" t="str">
        <x:v>Жевательная резинка</x:v>
      </x:c>
      <x:c r="E2258" s="2" t="n">
        <x:v>5</x:v>
      </x:c>
      <x:c r="F2258" s="2" t="n">
        <x:v>0</x:v>
      </x:c>
      <x:c r="G2258" s="12" t="n">
        <x:v>489797.2897</x:v>
      </x:c>
      <x:c r="H2258" s="12" t="n">
        <x:v>24968.14464009</x:v>
      </x:c>
      <x:c r="I2258" s="13" t="n">
        <x:v>0.04642</x:v>
      </x:c>
      <x:c r="J2258" s="2" t="n">
        <x:v>1</x:v>
      </x:c>
      <x:c r="K2258" s="2" t="n">
        <x:v>3</x:v>
      </x:c>
      <x:c r="L2258" s="12" t="n">
        <x:v>1209.0809</x:v>
      </x:c>
      <x:c r="M2258" s="13" t="n">
        <x:v>0.3888881257727384</x:v>
      </x:c>
      <x:c r="N2258" s="13" t="n">
        <x:f>H2258/G2258</x:f>
        <x:v>0.05097648591600608</x:v>
      </x:c>
      <x:c r="O2258" s="13" t="n">
        <x:f>F2258/E2258</x:f>
        <x:v>0</x:v>
      </x:c>
      <x:c r="P2258" s="2" t="str">
        <x:f>IF(AND(E2258&gt;='Итоги'!$F$5,N2258&lt;='Итоги'!$B$5,O2258&gt;='Итоги'!$D$5),"Да","Нет")</x:f>
        <x:v>Нет</x:v>
      </x:c>
    </x:row>
    <x:row r="2259" ht="60" customHeight="1">
      <x:c r="A2259" s="14" t="str">
        <x:v>Аптека</x:v>
      </x:c>
      <x:c r="B2259" s="14" t="str">
        <x:v>Спортивное питание</x:v>
      </x:c>
      <x:c r="C2259" s="14" t="str">
        <x:v>Протеины (высокобелковые смеси)</x:v>
      </x:c>
      <x:c r="D2259" s="14" t="str">
        <x:v>Многокомпонентный протеин</x:v>
      </x:c>
      <x:c r="E2259" s="2" t="n">
        <x:v>121</x:v>
      </x:c>
      <x:c r="F2259" s="2" t="n">
        <x:v>0</x:v>
      </x:c>
      <x:c r="G2259" s="12" t="n">
        <x:v>21183654.409</x:v>
      </x:c>
      <x:c r="H2259" s="12" t="n">
        <x:v>1081130.289112</x:v>
      </x:c>
      <x:c r="I2259" s="13" t="n">
        <x:v>0.0570066115702479</x:v>
      </x:c>
      <x:c r="J2259" s="2" t="n">
        <x:v>46</x:v>
      </x:c>
      <x:c r="K2259" s="2" t="n">
        <x:v>13</x:v>
      </x:c>
      <x:c r="L2259" s="12" t="n">
        <x:v>2273.5556</x:v>
      </x:c>
      <x:c r="M2259" s="13" t="n">
        <x:v>0.6703370379034774</x:v>
      </x:c>
      <x:c r="N2259" s="13" t="n">
        <x:f>H2259/G2259</x:f>
        <x:v>0.05103606149525718</x:v>
      </x:c>
      <x:c r="O2259" s="13" t="n">
        <x:f>F2259/E2259</x:f>
        <x:v>0</x:v>
      </x:c>
      <x:c r="P2259" s="2" t="str">
        <x:f>IF(AND(E2259&gt;='Итоги'!$F$5,N2259&lt;='Итоги'!$B$5,O2259&gt;='Итоги'!$D$5),"Да","Нет")</x:f>
        <x:v>Нет</x:v>
      </x:c>
    </x:row>
    <x:row r="2260" ht="60" customHeight="1">
      <x:c r="A2260" s="14" t="str">
        <x:v>Товары для детей и спорта</x:v>
      </x:c>
      <x:c r="B2260" s="14" t="str">
        <x:v>Электроника детская</x:v>
      </x:c>
      <x:c r="C2260" s="14" t="str">
        <x:v>Электроника детская</x:v>
      </x:c>
      <x:c r="D2260" s="14" t="str">
        <x:v>Радионяня</x:v>
      </x:c>
      <x:c r="E2260" s="2" t="n">
        <x:v>5</x:v>
      </x:c>
      <x:c r="F2260" s="2" t="n">
        <x:v>0</x:v>
      </x:c>
      <x:c r="G2260" s="12" t="n">
        <x:v>538234.12</x:v>
      </x:c>
      <x:c r="H2260" s="12" t="n">
        <x:v>27508.83992</x:v>
      </x:c>
      <x:c r="I2260" s="13" t="n">
        <x:v>0.054</x:v>
      </x:c>
      <x:c r="J2260" s="2" t="n">
        <x:v>1</x:v>
      </x:c>
      <x:c r="K2260" s="2" t="n">
        <x:v>2</x:v>
      </x:c>
      <x:c r="L2260" s="12" t="n">
        <x:v>2683.5625</x:v>
      </x:c>
      <x:c r="M2260" s="13" t="n">
        <x:v>0.9637982816845576</x:v>
      </x:c>
      <x:c r="N2260" s="13" t="n">
        <x:f>H2260/G2260</x:f>
        <x:v>0.05110943156112065</x:v>
      </x:c>
      <x:c r="O2260" s="13" t="n">
        <x:f>F2260/E2260</x:f>
        <x:v>0</x:v>
      </x:c>
      <x:c r="P2260" s="2" t="str">
        <x:f>IF(AND(E2260&gt;='Итоги'!$F$5,N2260&lt;='Итоги'!$B$5,O2260&gt;='Итоги'!$D$5),"Да","Нет")</x:f>
        <x:v>Нет</x:v>
      </x:c>
    </x:row>
    <x:row r="2261" ht="60" customHeight="1">
      <x:c r="A2261" s="14" t="str">
        <x:v>Товары для животных</x:v>
      </x:c>
      <x:c r="B2261" s="14" t="str">
        <x:v>Зоокорм, витамины</x:v>
      </x:c>
      <x:c r="C2261" s="14" t="str">
        <x:v>Зоокорм, витамины для кошек и собак</x:v>
      </x:c>
      <x:c r="D2261" s="14" t="str">
        <x:v>Корм сухой для собак</x:v>
      </x:c>
      <x:c r="E2261" s="2" t="n">
        <x:v>1677</x:v>
      </x:c>
      <x:c r="F2261" s="2" t="n">
        <x:v>0</x:v>
      </x:c>
      <x:c r="G2261" s="12" t="n">
        <x:v>360989959.1782</x:v>
      </x:c>
      <x:c r="H2261" s="12" t="n">
        <x:v>18450312.759448</x:v>
      </x:c>
      <x:c r="I2261" s="13" t="n">
        <x:v>0.0455356589147286</x:v>
      </x:c>
      <x:c r="J2261" s="2" t="n">
        <x:v>698</x:v>
      </x:c>
      <x:c r="K2261" s="2" t="n">
        <x:v>91</x:v>
      </x:c>
      <x:c r="L2261" s="12" t="n">
        <x:v>3432.229</x:v>
      </x:c>
      <x:c r="M2261" s="13" t="n">
        <x:v>0.6270567730895209</x:v>
      </x:c>
      <x:c r="N2261" s="13" t="n">
        <x:f>H2261/G2261</x:f>
        <x:v>0.05111032118857395</x:v>
      </x:c>
      <x:c r="O2261" s="13" t="n">
        <x:f>F2261/E2261</x:f>
        <x:v>0</x:v>
      </x:c>
      <x:c r="P2261" s="2" t="str">
        <x:f>IF(AND(E2261&gt;='Итоги'!$F$5,N2261&lt;='Итоги'!$B$5,O2261&gt;='Итоги'!$D$5),"Да","Нет")</x:f>
        <x:v>Нет</x:v>
      </x:c>
    </x:row>
    <x:row r="2262" ht="60" customHeight="1">
      <x:c r="A2262" s="14" t="str">
        <x:v>Товары для детей и спорта</x:v>
      </x:c>
      <x:c r="B2262" s="14" t="str">
        <x:v>Спорт детский</x:v>
      </x:c>
      <x:c r="C2262" s="14" t="str">
        <x:v>Товары для активных игр</x:v>
      </x:c>
      <x:c r="D2262" s="14" t="str">
        <x:v>Игрушка-попрыгун</x:v>
      </x:c>
      <x:c r="E2262" s="2" t="n">
        <x:v>5</x:v>
      </x:c>
      <x:c r="F2262" s="2" t="n">
        <x:v>0</x:v>
      </x:c>
      <x:c r="G2262" s="12" t="n">
        <x:v>467916.8257</x:v>
      </x:c>
      <x:c r="H2262" s="12" t="n">
        <x:v>23940.18223364</x:v>
      </x:c>
      <x:c r="I2262" s="13" t="n">
        <x:v>0.0596999999999999</x:v>
      </x:c>
      <x:c r="J2262" s="2" t="n">
        <x:v>0</x:v>
      </x:c>
      <x:c r="K2262" s="2" t="n">
        <x:v>2</x:v>
      </x:c>
      <x:c r="L2262" s="12" t="n">
        <x:v>1011.4406</x:v>
      </x:c>
      <x:c r="M2262" s="13" t="n">
        <x:v>0.5428474862386211</x:v>
      </x:c>
      <x:c r="N2262" s="13" t="n">
        <x:f>H2262/G2262</x:f>
        <x:v>0.05116332843518861</x:v>
      </x:c>
      <x:c r="O2262" s="13" t="n">
        <x:f>F2262/E2262</x:f>
        <x:v>0</x:v>
      </x:c>
      <x:c r="P2262" s="2" t="str">
        <x:f>IF(AND(E2262&gt;='Итоги'!$F$5,N2262&lt;='Итоги'!$B$5,O2262&gt;='Итоги'!$D$5),"Да","Нет")</x:f>
        <x:v>Нет</x:v>
      </x:c>
    </x:row>
    <x:row r="2263" ht="60" customHeight="1">
      <x:c r="A2263" s="14" t="str">
        <x:v>Ноутбуки и компьютеры</x:v>
      </x:c>
      <x:c r="B2263" s="14" t="str">
        <x:v>Компьютерные комплектующие Lap&amp;Comp</x:v>
      </x:c>
      <x:c r="C2263" s="14" t="str">
        <x:v>Компьютерные комплектующие Lap&amp;Comp</x:v>
      </x:c>
      <x:c r="D2263" s="14" t="str">
        <x:v>Система охлаждения, кулер, вентилятор для компьютера</x:v>
      </x:c>
      <x:c r="E2263" s="2" t="n">
        <x:v>217</x:v>
      </x:c>
      <x:c r="F2263" s="2" t="n">
        <x:v>0</x:v>
      </x:c>
      <x:c r="G2263" s="12" t="n">
        <x:v>30942567.0206</x:v>
      </x:c>
      <x:c r="H2263" s="12" t="n">
        <x:v>1583836.39254393</x:v>
      </x:c>
      <x:c r="I2263" s="13" t="n">
        <x:v>0.0483746543778801</x:v>
      </x:c>
      <x:c r="J2263" s="2" t="n">
        <x:v>106</x:v>
      </x:c>
      <x:c r="K2263" s="2" t="n">
        <x:v>42</x:v>
      </x:c>
      <x:c r="L2263" s="12" t="n">
        <x:v>1831.0759</x:v>
      </x:c>
      <x:c r="M2263" s="13" t="n">
        <x:v>0.3017888789441144</x:v>
      </x:c>
      <x:c r="N2263" s="13" t="n">
        <x:f>H2263/G2263</x:f>
        <x:v>0.051186328254197264</x:v>
      </x:c>
      <x:c r="O2263" s="13" t="n">
        <x:f>F2263/E2263</x:f>
        <x:v>0</x:v>
      </x:c>
      <x:c r="P2263" s="2" t="str">
        <x:f>IF(AND(E2263&gt;='Итоги'!$F$5,N2263&lt;='Итоги'!$B$5,O2263&gt;='Итоги'!$D$5),"Да","Нет")</x:f>
        <x:v>Нет</x:v>
      </x:c>
    </x:row>
    <x:row r="2264" ht="60" customHeight="1">
      <x:c r="A2264" s="14" t="str">
        <x:v>Аудио и видеотехника</x:v>
      </x:c>
      <x:c r="B2264" s="14" t="str">
        <x:v>Домашняя Аудио и Видеотехника TV&amp;Audio</x:v>
      </x:c>
      <x:c r="C2264" s="14" t="str">
        <x:v>Музыкальные инструменты TV&amp;Audio</x:v>
      </x:c>
      <x:c r="D2264" s="14" t="str">
        <x:v>DJ-пульт, проигрыватель</x:v>
      </x:c>
      <x:c r="E2264" s="2" t="n">
        <x:v>18</x:v>
      </x:c>
      <x:c r="F2264" s="2" t="n">
        <x:v>0</x:v>
      </x:c>
      <x:c r="G2264" s="12" t="n">
        <x:v>2720045.4605</x:v>
      </x:c>
      <x:c r="H2264" s="12" t="n">
        <x:v>139331.22782764</x:v>
      </x:c>
      <x:c r="I2264" s="13" t="n">
        <x:v>0.0441999999999999</x:v>
      </x:c>
      <x:c r="J2264" s="2" t="n">
        <x:v>5</x:v>
      </x:c>
      <x:c r="K2264" s="2" t="n">
        <x:v>7</x:v>
      </x:c>
      <x:c r="L2264" s="12" t="n">
        <x:v>5935.60645</x:v>
      </x:c>
      <x:c r="M2264" s="13" t="n">
        <x:v>0.5481188704198865</x:v>
      </x:c>
      <x:c r="N2264" s="13" t="n">
        <x:f>H2264/G2264</x:f>
        <x:v>0.051223859987262144</x:v>
      </x:c>
      <x:c r="O2264" s="13" t="n">
        <x:f>F2264/E2264</x:f>
        <x:v>0</x:v>
      </x:c>
      <x:c r="P2264" s="2" t="str">
        <x:f>IF(AND(E2264&gt;='Итоги'!$F$5,N2264&lt;='Итоги'!$B$5,O2264&gt;='Итоги'!$D$5),"Да","Нет")</x:f>
        <x:v>Нет</x:v>
      </x:c>
    </x:row>
    <x:row r="2265" ht="60" customHeight="1">
      <x:c r="A2265" s="14" t="str">
        <x:v>Спорт и отдых</x:v>
      </x:c>
      <x:c r="B2265" s="14" t="str">
        <x:v>Водные виды спорта</x:v>
      </x:c>
      <x:c r="C2265" s="14" t="str">
        <x:v>Дайвинг</x:v>
      </x:c>
      <x:c r="D2265" s="14" t="str">
        <x:v>Фонарь для дайвинга</x:v>
      </x:c>
      <x:c r="E2265" s="2" t="n">
        <x:v>9</x:v>
      </x:c>
      <x:c r="F2265" s="2" t="n">
        <x:v>0</x:v>
      </x:c>
      <x:c r="G2265" s="12" t="n">
        <x:v>925972.5105</x:v>
      </x:c>
      <x:c r="H2265" s="12" t="n">
        <x:v>47449.81236261</x:v>
      </x:c>
      <x:c r="I2265" s="13" t="n">
        <x:v>0.0689666666666666</x:v>
      </x:c>
      <x:c r="J2265" s="2" t="n">
        <x:v>4</x:v>
      </x:c>
      <x:c r="K2265" s="2" t="n">
        <x:v>6</x:v>
      </x:c>
      <x:c r="L2265" s="12" t="n">
        <x:v>2059.8244</x:v>
      </x:c>
      <x:c r="M2265" s="13" t="n">
        <x:v>0.2560841425756343</x:v>
      </x:c>
      <x:c r="N2265" s="13" t="n">
        <x:f>H2265/G2265</x:f>
        <x:v>0.05124321923659309</x:v>
      </x:c>
      <x:c r="O2265" s="13" t="n">
        <x:f>F2265/E2265</x:f>
        <x:v>0</x:v>
      </x:c>
      <x:c r="P2265" s="2" t="str">
        <x:f>IF(AND(E2265&gt;='Итоги'!$F$5,N2265&lt;='Итоги'!$B$5,O2265&gt;='Итоги'!$D$5),"Да","Нет")</x:f>
        <x:v>Нет</x:v>
      </x:c>
    </x:row>
    <x:row r="2266" ht="60" customHeight="1">
      <x:c r="A2266" s="14" t="str">
        <x:v>Мебель</x:v>
      </x:c>
      <x:c r="B2266" s="14" t="str">
        <x:v>Корпусная мебель и мебель для хранения</x:v>
      </x:c>
      <x:c r="C2266" s="14" t="str">
        <x:v>Мебель для ванной комнаты</x:v>
      </x:c>
      <x:c r="D2266" s="14" t="str">
        <x:v>Тумба с раковиной</x:v>
      </x:c>
      <x:c r="E2266" s="2" t="n">
        <x:v>91</x:v>
      </x:c>
      <x:c r="F2266" s="2" t="n">
        <x:v>0</x:v>
      </x:c>
      <x:c r="G2266" s="12" t="n">
        <x:v>26102482.6194</x:v>
      </x:c>
      <x:c r="H2266" s="12" t="n">
        <x:v>1338007.62407243</x:v>
      </x:c>
      <x:c r="I2266" s="13" t="n">
        <x:v>0.0521780219780219</x:v>
      </x:c>
      <x:c r="J2266" s="2" t="n">
        <x:v>28</x:v>
      </x:c>
      <x:c r="K2266" s="2" t="n">
        <x:v>12</x:v>
      </x:c>
      <x:c r="L2266" s="12" t="n">
        <x:v>12109.3347</x:v>
      </x:c>
      <x:c r="M2266" s="13" t="n">
        <x:v>0.7812674801761351</x:v>
      </x:c>
      <x:c r="N2266" s="13" t="n">
        <x:f>H2266/G2266</x:f>
        <x:v>0.05125978412022733</x:v>
      </x:c>
      <x:c r="O2266" s="13" t="n">
        <x:f>F2266/E2266</x:f>
        <x:v>0</x:v>
      </x:c>
      <x:c r="P2266" s="2" t="str">
        <x:f>IF(AND(E2266&gt;='Итоги'!$F$5,N2266&lt;='Итоги'!$B$5,O2266&gt;='Итоги'!$D$5),"Да","Нет")</x:f>
        <x:v>Нет</x:v>
      </x:c>
    </x:row>
    <x:row r="2267" ht="60" customHeight="1">
      <x:c r="A2267" s="14" t="str">
        <x:v>Товары для дома</x:v>
      </x:c>
      <x:c r="B2267" s="14" t="str">
        <x:v>Домашний текстиль</x:v>
      </x:c>
      <x:c r="C2267" s="14" t="str">
        <x:v>Подушка</x:v>
      </x:c>
      <x:c r="D2267" s="14" t="str">
        <x:v>Подушка детская от 3 лет</x:v>
      </x:c>
      <x:c r="E2267" s="2" t="n">
        <x:v>13</x:v>
      </x:c>
      <x:c r="F2267" s="2" t="n">
        <x:v>0</x:v>
      </x:c>
      <x:c r="G2267" s="12" t="n">
        <x:v>1853313.1662</x:v>
      </x:c>
      <x:c r="H2267" s="12" t="n">
        <x:v>95005.819221</x:v>
      </x:c>
      <x:c r="I2267" s="13" t="n">
        <x:v>0.0472846153846153</x:v>
      </x:c>
      <x:c r="J2267" s="2" t="n">
        <x:v>8</x:v>
      </x:c>
      <x:c r="K2267" s="2" t="n">
        <x:v>7</x:v>
      </x:c>
      <x:c r="L2267" s="12" t="n">
        <x:v>2420.3921</x:v>
      </x:c>
      <x:c r="M2267" s="13" t="n">
        <x:v>0.4319099388050309</x:v>
      </x:c>
      <x:c r="N2267" s="13" t="n">
        <x:f>H2267/G2267</x:f>
        <x:v>0.051262690490565185</x:v>
      </x:c>
      <x:c r="O2267" s="13" t="n">
        <x:f>F2267/E2267</x:f>
        <x:v>0</x:v>
      </x:c>
      <x:c r="P2267" s="2" t="str">
        <x:f>IF(AND(E2267&gt;='Итоги'!$F$5,N2267&lt;='Итоги'!$B$5,O2267&gt;='Итоги'!$D$5),"Да","Нет")</x:f>
        <x:v>Нет</x:v>
      </x:c>
    </x:row>
    <x:row r="2268" ht="60" customHeight="1">
      <x:c r="A2268" s="14" t="str">
        <x:v>Спорт и отдых</x:v>
      </x:c>
      <x:c r="B2268" s="14" t="str">
        <x:v>Колесный транспорт</x:v>
      </x:c>
      <x:c r="C2268" s="14" t="str">
        <x:v>Велосипед</x:v>
      </x:c>
      <x:c r="D2268" s="14" t="str">
        <x:v>Велосипед горный</x:v>
      </x:c>
      <x:c r="E2268" s="2" t="n">
        <x:v>299</x:v>
      </x:c>
      <x:c r="F2268" s="2" t="n">
        <x:v>0</x:v>
      </x:c>
      <x:c r="G2268" s="12" t="n">
        <x:v>60190919.0103</x:v>
      </x:c>
      <x:c r="H2268" s="12" t="n">
        <x:v>3086365.76623132</x:v>
      </x:c>
      <x:c r="I2268" s="13" t="n">
        <x:v>0.0453040133779264</x:v>
      </x:c>
      <x:c r="J2268" s="2" t="n">
        <x:v>78</x:v>
      </x:c>
      <x:c r="K2268" s="2" t="n">
        <x:v>29</x:v>
      </x:c>
      <x:c r="L2268" s="12" t="n">
        <x:v>16462.407</x:v>
      </x:c>
      <x:c r="M2268" s="13" t="n">
        <x:v>0.4574353815762211</x:v>
      </x:c>
      <x:c r="N2268" s="13" t="n">
        <x:f>H2268/G2268</x:f>
        <x:v>0.051276269194414095</x:v>
      </x:c>
      <x:c r="O2268" s="13" t="n">
        <x:f>F2268/E2268</x:f>
        <x:v>0</x:v>
      </x:c>
      <x:c r="P2268" s="2" t="str">
        <x:f>IF(AND(E2268&gt;='Итоги'!$F$5,N2268&lt;='Итоги'!$B$5,O2268&gt;='Итоги'!$D$5),"Да","Нет")</x:f>
        <x:v>Нет</x:v>
      </x:c>
    </x:row>
    <x:row r="2269" ht="60" customHeight="1">
      <x:c r="A2269" s="14" t="str">
        <x:v>Товары для дома</x:v>
      </x:c>
      <x:c r="B2269" s="14" t="str">
        <x:v>Интерьер и декор</x:v>
      </x:c>
      <x:c r="C2269" s="14" t="str">
        <x:v>Религиозные товары</x:v>
      </x:c>
      <x:c r="D2269" s="14" t="str">
        <x:v>Подвеска религиозная</x:v>
      </x:c>
      <x:c r="E2269" s="2" t="n">
        <x:v>1</x:v>
      </x:c>
      <x:c r="F2269" s="2" t="n">
        <x:v>0</x:v>
      </x:c>
      <x:c r="G2269" s="12" t="n">
        <x:v>150200</x:v>
      </x:c>
      <x:c r="H2269" s="12" t="n">
        <x:v>7705.259999999999</x:v>
      </x:c>
      <x:c r="I2269" s="13" t="n">
        <x:v>0.0513</x:v>
      </x:c>
      <x:c r="J2269" s="2" t="n">
        <x:v>0</x:v>
      </x:c>
      <x:c r="K2269" s="2" t="n">
        <x:v>1</x:v>
      </x:c>
      <x:c r="L2269" s="12" t="n">
        <x:v>1472.549</x:v>
      </x:c>
      <x:c r="M2269" s="13" t="n">
        <x:v>1</x:v>
      </x:c>
      <x:c r="N2269" s="13" t="n">
        <x:f>H2269/G2269</x:f>
        <x:v>0.0513</x:v>
      </x:c>
      <x:c r="O2269" s="13" t="n">
        <x:f>F2269/E2269</x:f>
        <x:v>0</x:v>
      </x:c>
      <x:c r="P2269" s="2" t="str">
        <x:f>IF(AND(E2269&gt;='Итоги'!$F$5,N2269&lt;='Итоги'!$B$5,O2269&gt;='Итоги'!$D$5),"Да","Нет")</x:f>
        <x:v>Нет</x:v>
      </x:c>
    </x:row>
    <x:row r="2270" ht="60" customHeight="1">
      <x:c r="A2270" s="14" t="str">
        <x:v>Товары для дома</x:v>
      </x:c>
      <x:c r="B2270" s="14" t="str">
        <x:v>Интерьер и декор</x:v>
      </x:c>
      <x:c r="C2270" s="14" t="str">
        <x:v>Альбомы и рамки</x:v>
      </x:c>
      <x:c r="D2270" s="14" t="str">
        <x:v>Фоторамка</x:v>
      </x:c>
      <x:c r="E2270" s="2" t="n">
        <x:v>47</x:v>
      </x:c>
      <x:c r="F2270" s="2" t="n">
        <x:v>0</x:v>
      </x:c>
      <x:c r="G2270" s="12" t="n">
        <x:v>6013702.8015</x:v>
      </x:c>
      <x:c r="H2270" s="12" t="n">
        <x:v>308539.75823727</x:v>
      </x:c>
      <x:c r="I2270" s="13" t="n">
        <x:v>0.053027659574468</x:v>
      </x:c>
      <x:c r="J2270" s="2" t="n">
        <x:v>14</x:v>
      </x:c>
      <x:c r="K2270" s="2" t="n">
        <x:v>14</x:v>
      </x:c>
      <x:c r="L2270" s="12" t="n">
        <x:v>1022.8548</x:v>
      </x:c>
      <x:c r="M2270" s="13" t="n">
        <x:v>0.4336130546972791</x:v>
      </x:c>
      <x:c r="N2270" s="13" t="n">
        <x:f>H2270/G2270</x:f>
        <x:v>0.051306120109612136</x:v>
      </x:c>
      <x:c r="O2270" s="13" t="n">
        <x:f>F2270/E2270</x:f>
        <x:v>0</x:v>
      </x:c>
      <x:c r="P2270" s="2" t="str">
        <x:f>IF(AND(E2270&gt;='Итоги'!$F$5,N2270&lt;='Итоги'!$B$5,O2270&gt;='Итоги'!$D$5),"Да","Нет")</x:f>
        <x:v>Нет</x:v>
      </x:c>
    </x:row>
    <x:row r="2271" ht="60" customHeight="1">
      <x:c r="A2271" s="14" t="str">
        <x:v>Бакалея и кондитерские изделия</x:v>
      </x:c>
      <x:c r="B2271" s="14" t="str">
        <x:v>Бакалея</x:v>
      </x:c>
      <x:c r="C2271" s="14" t="str">
        <x:v>Масла, соусы, уксус</x:v>
      </x:c>
      <x:c r="D2271" s="14" t="str">
        <x:v>Уксус</x:v>
      </x:c>
      <x:c r="E2271" s="2" t="n">
        <x:v>5</x:v>
      </x:c>
      <x:c r="F2271" s="2" t="n">
        <x:v>0</x:v>
      </x:c>
      <x:c r="G2271" s="12" t="n">
        <x:v>674075.9138</x:v>
      </x:c>
      <x:c r="H2271" s="12" t="n">
        <x:v>34601.07404278</x:v>
      </x:c>
      <x:c r="I2271" s="13" t="n">
        <x:v>0.04984</x:v>
      </x:c>
      <x:c r="J2271" s="2" t="n">
        <x:v>2</x:v>
      </x:c>
      <x:c r="K2271" s="2" t="n">
        <x:v>3</x:v>
      </x:c>
      <x:c r="L2271" s="12" t="n">
        <x:v>1321.0367</x:v>
      </x:c>
      <x:c r="M2271" s="13" t="n">
        <x:v>0.6324146807098094</x:v>
      </x:c>
      <x:c r="N2271" s="13" t="n">
        <x:f>H2271/G2271</x:f>
        <x:v>0.05133112359366429</x:v>
      </x:c>
      <x:c r="O2271" s="13" t="n">
        <x:f>F2271/E2271</x:f>
        <x:v>0</x:v>
      </x:c>
      <x:c r="P2271" s="2" t="str">
        <x:f>IF(AND(E2271&gt;='Итоги'!$F$5,N2271&lt;='Итоги'!$B$5,O2271&gt;='Итоги'!$D$5),"Да","Нет")</x:f>
        <x:v>Нет</x:v>
      </x:c>
    </x:row>
    <x:row r="2272" ht="60" customHeight="1">
      <x:c r="A2272" s="14" t="str">
        <x:v>Ноутбуки и компьютеры</x:v>
      </x:c>
      <x:c r="B2272" s="14" t="str">
        <x:v>Игровые приставки и аксессуары Lap&amp;Comp</x:v>
      </x:c>
      <x:c r="C2272" s="14" t="str">
        <x:v>Гарнитура для игровой приставки Lap&amp;Comp</x:v>
      </x:c>
      <x:c r="D2272" s="14" t="str">
        <x:v>Гарнитура для игровой приставки</x:v>
      </x:c>
      <x:c r="E2272" s="2" t="n">
        <x:v>20</x:v>
      </x:c>
      <x:c r="F2272" s="2" t="n">
        <x:v>0</x:v>
      </x:c>
      <x:c r="G2272" s="12" t="n">
        <x:v>4012812.0147</x:v>
      </x:c>
      <x:c r="H2272" s="12" t="n">
        <x:v>206467.11245996</x:v>
      </x:c>
      <x:c r="I2272" s="13" t="n">
        <x:v>0.06668</x:v>
      </x:c>
      <x:c r="J2272" s="2" t="n">
        <x:v>7</x:v>
      </x:c>
      <x:c r="K2272" s="2" t="n">
        <x:v>10</x:v>
      </x:c>
      <x:c r="L2272" s="12" t="n">
        <x:v>3990.7109</x:v>
      </x:c>
      <x:c r="M2272" s="13" t="n">
        <x:v>0.3814898083419058</x:v>
      </x:c>
      <x:c r="N2272" s="13" t="n">
        <x:f>H2272/G2272</x:f>
        <x:v>0.05145197724279531</x:v>
      </x:c>
      <x:c r="O2272" s="13" t="n">
        <x:f>F2272/E2272</x:f>
        <x:v>0</x:v>
      </x:c>
      <x:c r="P2272" s="2" t="str">
        <x:f>IF(AND(E2272&gt;='Итоги'!$F$5,N2272&lt;='Итоги'!$B$5,O2272&gt;='Итоги'!$D$5),"Да","Нет")</x:f>
        <x:v>Нет</x:v>
      </x:c>
    </x:row>
    <x:row r="2273" ht="60" customHeight="1">
      <x:c r="A2273" s="14" t="str">
        <x:v>Строительство и ремонт (DIY)</x:v>
      </x:c>
      <x:c r="B2273" s="14" t="str">
        <x:v>Ремонт и строительство</x:v>
      </x:c>
      <x:c r="C2273" s="14" t="str">
        <x:v>Строительная химия</x:v>
      </x:c>
      <x:c r="D2273" s="14" t="str">
        <x:v>Клей универсальный для ремонта, строительства</x:v>
      </x:c>
      <x:c r="E2273" s="2" t="n">
        <x:v>29</x:v>
      </x:c>
      <x:c r="F2273" s="2" t="n">
        <x:v>0</x:v>
      </x:c>
      <x:c r="G2273" s="12" t="n">
        <x:v>4935792.6985</x:v>
      </x:c>
      <x:c r="H2273" s="12" t="n">
        <x:v>253970.05418671</x:v>
      </x:c>
      <x:c r="I2273" s="13" t="n">
        <x:v>0.050003448275862</x:v>
      </x:c>
      <x:c r="J2273" s="2" t="n">
        <x:v>6</x:v>
      </x:c>
      <x:c r="K2273" s="2" t="n">
        <x:v>13</x:v>
      </x:c>
      <x:c r="L2273" s="12" t="n">
        <x:v>1186.9663</x:v>
      </x:c>
      <x:c r="M2273" s="13" t="n">
        <x:v>0.3984332999231612</x:v>
      </x:c>
      <x:c r="N2273" s="13" t="n">
        <x:f>H2273/G2273</x:f>
        <x:v>0.051454765161408046</x:v>
      </x:c>
      <x:c r="O2273" s="13" t="n">
        <x:f>F2273/E2273</x:f>
        <x:v>0</x:v>
      </x:c>
      <x:c r="P2273" s="2" t="str">
        <x:f>IF(AND(E2273&gt;='Итоги'!$F$5,N2273&lt;='Итоги'!$B$5,O2273&gt;='Итоги'!$D$5),"Да","Нет")</x:f>
        <x:v>Нет</x:v>
      </x:c>
    </x:row>
    <x:row r="2274" ht="60" customHeight="1">
      <x:c r="A2274" s="14" t="str">
        <x:v>Детская одежда</x:v>
      </x:c>
      <x:c r="B2274" s="14" t="str">
        <x:v>Детская обувь</x:v>
      </x:c>
      <x:c r="C2274" s="14" t="str">
        <x:v>Обувь спортивная для девочки</x:v>
      </x:c>
      <x:c r="D2274" s="14" t="str">
        <x:v>Кроссовки спортивные для девочки</x:v>
      </x:c>
      <x:c r="E2274" s="2" t="n">
        <x:v>175</x:v>
      </x:c>
      <x:c r="F2274" s="2" t="n">
        <x:v>0</x:v>
      </x:c>
      <x:c r="G2274" s="12" t="n">
        <x:v>15140102.2152</x:v>
      </x:c>
      <x:c r="H2274" s="12" t="n">
        <x:v>779848.17407708</x:v>
      </x:c>
      <x:c r="I2274" s="13" t="n">
        <x:v>0.0493982857142857</x:v>
      </x:c>
      <x:c r="J2274" s="2" t="n">
        <x:v>51</x:v>
      </x:c>
      <x:c r="K2274" s="2" t="n">
        <x:v>18</x:v>
      </x:c>
      <x:c r="L2274" s="12" t="n">
        <x:v>2439.6944</x:v>
      </x:c>
      <x:c r="M2274" s="13" t="n">
        <x:v>0.2089290672307534</x:v>
      </x:c>
      <x:c r="N2274" s="13" t="n">
        <x:f>H2274/G2274</x:f>
        <x:v>0.05150877867219064</x:v>
      </x:c>
      <x:c r="O2274" s="13" t="n">
        <x:f>F2274/E2274</x:f>
        <x:v>0</x:v>
      </x:c>
      <x:c r="P2274" s="2" t="str">
        <x:f>IF(AND(E2274&gt;='Итоги'!$F$5,N2274&lt;='Итоги'!$B$5,O2274&gt;='Итоги'!$D$5),"Да","Нет")</x:f>
        <x:v>Нет</x:v>
      </x:c>
    </x:row>
    <x:row r="2275" ht="60" customHeight="1">
      <x:c r="A2275" s="14" t="str">
        <x:v>Аудио и видеотехника</x:v>
      </x:c>
      <x:c r="B2275" s="14" t="str">
        <x:v>Система безопасности TV&amp;Audio</x:v>
      </x:c>
      <x:c r="C2275" s="14" t="str">
        <x:v>Умный дом TV&amp;Audio</x:v>
      </x:c>
      <x:c r="D2275" s="14" t="str">
        <x:v>Умная розетка для умного дома</x:v>
      </x:c>
      <x:c r="E2275" s="2" t="n">
        <x:v>26</x:v>
      </x:c>
      <x:c r="F2275" s="2" t="n">
        <x:v>0</x:v>
      </x:c>
      <x:c r="G2275" s="12" t="n">
        <x:v>4415704.3675</x:v>
      </x:c>
      <x:c r="H2275" s="12" t="n">
        <x:v>227698.74187636</x:v>
      </x:c>
      <x:c r="I2275" s="13" t="n">
        <x:v>0.0615038461538461</x:v>
      </x:c>
      <x:c r="J2275" s="2" t="n">
        <x:v>6</x:v>
      </x:c>
      <x:c r="K2275" s="2" t="n">
        <x:v>13</x:v>
      </x:c>
      <x:c r="L2275" s="12" t="n">
        <x:v>1381.18995</x:v>
      </x:c>
      <x:c r="M2275" s="13" t="n">
        <x:v>0.4670547287040497</x:v>
      </x:c>
      <x:c r="N2275" s="13" t="n">
        <x:f>H2275/G2275</x:f>
        <x:v>0.05156566720187253</x:v>
      </x:c>
      <x:c r="O2275" s="13" t="n">
        <x:f>F2275/E2275</x:f>
        <x:v>0</x:v>
      </x:c>
      <x:c r="P2275" s="2" t="str">
        <x:f>IF(AND(E2275&gt;='Итоги'!$F$5,N2275&lt;='Итоги'!$B$5,O2275&gt;='Итоги'!$D$5),"Да","Нет")</x:f>
        <x:v>Нет</x:v>
      </x:c>
    </x:row>
    <x:row r="2276" ht="60" customHeight="1">
      <x:c r="A2276" s="14" t="str">
        <x:v>Автотовары</x:v>
      </x:c>
      <x:c r="B2276" s="14" t="str">
        <x:v>Масла и автохимия</x:v>
      </x:c>
      <x:c r="C2276" s="14" t="str">
        <x:v>Дополнительная авто-мото химия</x:v>
      </x:c>
      <x:c r="D2276" s="14" t="str">
        <x:v>Автохимия - Очиститель технический</x:v>
      </x:c>
      <x:c r="E2276" s="2" t="n">
        <x:v>85</x:v>
      </x:c>
      <x:c r="F2276" s="2" t="n">
        <x:v>0</x:v>
      </x:c>
      <x:c r="G2276" s="12" t="n">
        <x:v>16507893.7976</x:v>
      </x:c>
      <x:c r="H2276" s="12" t="n">
        <x:v>851500.89758918</x:v>
      </x:c>
      <x:c r="I2276" s="13" t="n">
        <x:v>0.0523847058823529</x:v>
      </x:c>
      <x:c r="J2276" s="2" t="n">
        <x:v>36</x:v>
      </x:c>
      <x:c r="K2276" s="2" t="n">
        <x:v>18</x:v>
      </x:c>
      <x:c r="L2276" s="12" t="n">
        <x:v>1322.4028</x:v>
      </x:c>
      <x:c r="M2276" s="13" t="n">
        <x:v>0.5989000672355524</x:v>
      </x:c>
      <x:c r="N2276" s="13" t="n">
        <x:f>H2276/G2276</x:f>
        <x:v>0.05158143782782123</x:v>
      </x:c>
      <x:c r="O2276" s="13" t="n">
        <x:f>F2276/E2276</x:f>
        <x:v>0</x:v>
      </x:c>
      <x:c r="P2276" s="2" t="str">
        <x:f>IF(AND(E2276&gt;='Итоги'!$F$5,N2276&lt;='Итоги'!$B$5,O2276&gt;='Итоги'!$D$5),"Да","Нет")</x:f>
        <x:v>Нет</x:v>
      </x:c>
    </x:row>
    <x:row r="2277" ht="60" customHeight="1">
      <x:c r="A2277" s="14" t="str">
        <x:v>Аптека</x:v>
      </x:c>
      <x:c r="B2277" s="14" t="str">
        <x:v>Парафармацевтика</x:v>
      </x:c>
      <x:c r="C2277" s="14" t="str">
        <x:v>Парафармацевтика</x:v>
      </x:c>
      <x:c r="D2277" s="14" t="str">
        <x:v>Средства офтальмологические</x:v>
      </x:c>
      <x:c r="E2277" s="2" t="n">
        <x:v>15</x:v>
      </x:c>
      <x:c r="F2277" s="2" t="n">
        <x:v>0</x:v>
      </x:c>
      <x:c r="G2277" s="12" t="n">
        <x:v>1874572.3014</x:v>
      </x:c>
      <x:c r="H2277" s="12" t="n">
        <x:v>96827.46769256</x:v>
      </x:c>
      <x:c r="I2277" s="13" t="n">
        <x:v>0.0478866666666666</x:v>
      </x:c>
      <x:c r="J2277" s="2" t="n">
        <x:v>9</x:v>
      </x:c>
      <x:c r="K2277" s="2" t="n">
        <x:v>10</x:v>
      </x:c>
      <x:c r="L2277" s="12" t="n">
        <x:v>1067.0602</x:v>
      </x:c>
      <x:c r="M2277" s="13" t="n">
        <x:v>0.2243401977538683</x:v>
      </x:c>
      <x:c r="N2277" s="13" t="n">
        <x:f>H2277/G2277</x:f>
        <x:v>0.051653098480248356</x:v>
      </x:c>
      <x:c r="O2277" s="13" t="n">
        <x:f>F2277/E2277</x:f>
        <x:v>0</x:v>
      </x:c>
      <x:c r="P2277" s="2" t="str">
        <x:f>IF(AND(E2277&gt;='Итоги'!$F$5,N2277&lt;='Итоги'!$B$5,O2277&gt;='Итоги'!$D$5),"Да","Нет")</x:f>
        <x:v>Нет</x:v>
      </x:c>
    </x:row>
    <x:row r="2278" ht="60" customHeight="1">
      <x:c r="A2278" s="14" t="str">
        <x:v>Аптека</x:v>
      </x:c>
      <x:c r="B2278" s="14" t="str">
        <x:v>Товары для взрослых</x:v>
      </x:c>
      <x:c r="C2278" s="14" t="str">
        <x:v>Интимная косметика</x:v>
      </x:c>
      <x:c r="D2278" s="14" t="str">
        <x:v>Парфюмерия с феромонами</x:v>
      </x:c>
      <x:c r="E2278" s="2" t="n">
        <x:v>7</x:v>
      </x:c>
      <x:c r="F2278" s="2" t="n">
        <x:v>0</x:v>
      </x:c>
      <x:c r="G2278" s="12" t="n">
        <x:v>783352.21</x:v>
      </x:c>
      <x:c r="H2278" s="12" t="n">
        <x:v>40485.1364</x:v>
      </x:c>
      <x:c r="I2278" s="13" t="n">
        <x:v>0.0536857142857142</x:v>
      </x:c>
      <x:c r="J2278" s="2" t="n">
        <x:v>5</x:v>
      </x:c>
      <x:c r="K2278" s="2" t="n">
        <x:v>2</x:v>
      </x:c>
      <x:c r="L2278" s="12" t="n">
        <x:v>2377.1887</x:v>
      </x:c>
      <x:c r="M2278" s="13" t="n">
        <x:v>0.7247840789266426</x:v>
      </x:c>
      <x:c r="N2278" s="13" t="n">
        <x:f>H2278/G2278</x:f>
        <x:v>0.05168190742705635</x:v>
      </x:c>
      <x:c r="O2278" s="13" t="n">
        <x:f>F2278/E2278</x:f>
        <x:v>0</x:v>
      </x:c>
      <x:c r="P2278" s="2" t="str">
        <x:f>IF(AND(E2278&gt;='Итоги'!$F$5,N2278&lt;='Итоги'!$B$5,O2278&gt;='Итоги'!$D$5),"Да","Нет")</x:f>
        <x:v>Нет</x:v>
      </x:c>
    </x:row>
    <x:row r="2279" ht="60" customHeight="1">
      <x:c r="A2279" s="14" t="str">
        <x:v>Строительство и ремонт (DIY)</x:v>
      </x:c>
      <x:c r="B2279" s="14" t="str">
        <x:v>Сад и огород</x:v>
      </x:c>
      <x:c r="C2279" s="14" t="str">
        <x:v>Товары для бани и сауны</x:v>
      </x:c>
      <x:c r="D2279" s="14" t="str">
        <x:v>Испаритель для бани и сауны</x:v>
      </x:c>
      <x:c r="E2279" s="2" t="n">
        <x:v>6</x:v>
      </x:c>
      <x:c r="F2279" s="2" t="n">
        <x:v>0</x:v>
      </x:c>
      <x:c r="G2279" s="12" t="n">
        <x:v>546454.9595</x:v>
      </x:c>
      <x:c r="H2279" s="12" t="n">
        <x:v>28246.11636937</x:v>
      </x:c>
      <x:c r="I2279" s="13" t="n">
        <x:v>0.0418666666666666</x:v>
      </x:c>
      <x:c r="J2279" s="2" t="n">
        <x:v>3</x:v>
      </x:c>
      <x:c r="K2279" s="2" t="n">
        <x:v>2</x:v>
      </x:c>
      <x:c r="L2279" s="12" t="n">
        <x:v>1518.21935</x:v>
      </x:c>
      <x:c r="M2279" s="13" t="n">
        <x:v>0.7223681023248175</x:v>
      </x:c>
      <x:c r="N2279" s="13" t="n">
        <x:f>H2279/G2279</x:f>
        <x:v>0.051689742911684565</x:v>
      </x:c>
      <x:c r="O2279" s="13" t="n">
        <x:f>F2279/E2279</x:f>
        <x:v>0</x:v>
      </x:c>
      <x:c r="P2279" s="2" t="str">
        <x:f>IF(AND(E2279&gt;='Итоги'!$F$5,N2279&lt;='Итоги'!$B$5,O2279&gt;='Итоги'!$D$5),"Да","Нет")</x:f>
        <x:v>Нет</x:v>
      </x:c>
    </x:row>
    <x:row r="2280" ht="60" customHeight="1">
      <x:c r="A2280" s="14" t="str">
        <x:v>Одежда</x:v>
      </x:c>
      <x:c r="B2280" s="14" t="str">
        <x:v>Основная одежда женская</x:v>
      </x:c>
      <x:c r="C2280" s="14" t="str">
        <x:v>Основная одежда женская низы</x:v>
      </x:c>
      <x:c r="D2280" s="14" t="str">
        <x:v>Легинсы, лосины женские</x:v>
      </x:c>
      <x:c r="E2280" s="2" t="n">
        <x:v>138</x:v>
      </x:c>
      <x:c r="F2280" s="2" t="n">
        <x:v>0</x:v>
      </x:c>
      <x:c r="G2280" s="12" t="n">
        <x:v>20009584.7655</x:v>
      </x:c>
      <x:c r="H2280" s="12" t="n">
        <x:v>1034957.97728614</x:v>
      </x:c>
      <x:c r="I2280" s="13" t="n">
        <x:v>0.0587130434782608</x:v>
      </x:c>
      <x:c r="J2280" s="2" t="n">
        <x:v>27</x:v>
      </x:c>
      <x:c r="K2280" s="2" t="n">
        <x:v>12</x:v>
      </x:c>
      <x:c r="L2280" s="12" t="n">
        <x:v>2590.425</x:v>
      </x:c>
      <x:c r="M2280" s="13" t="n">
        <x:v>0.8026425036710989</x:v>
      </x:c>
      <x:c r="N2280" s="13" t="n">
        <x:f>H2280/G2280</x:f>
        <x:v>0.051723111169732376</x:v>
      </x:c>
      <x:c r="O2280" s="13" t="n">
        <x:f>F2280/E2280</x:f>
        <x:v>0</x:v>
      </x:c>
      <x:c r="P2280" s="2" t="str">
        <x:f>IF(AND(E2280&gt;='Итоги'!$F$5,N2280&lt;='Итоги'!$B$5,O2280&gt;='Итоги'!$D$5),"Да","Нет")</x:f>
        <x:v>Нет</x:v>
      </x:c>
    </x:row>
    <x:row r="2281" ht="60" customHeight="1">
      <x:c r="A2281" s="14" t="str">
        <x:v>Строительство и ремонт (DIY)</x:v>
      </x:c>
      <x:c r="B2281" s="14" t="str">
        <x:v>Сад и огород</x:v>
      </x:c>
      <x:c r="C2281" s="14" t="str">
        <x:v>Аксессуары для садовых растений</x:v>
      </x:c>
      <x:c r="D2281" s="14" t="str">
        <x:v>Комплектующие для теплиц и парников</x:v>
      </x:c>
      <x:c r="E2281" s="2" t="n">
        <x:v>32</x:v>
      </x:c>
      <x:c r="F2281" s="2" t="n">
        <x:v>0</x:v>
      </x:c>
      <x:c r="G2281" s="12" t="n">
        <x:v>6924375.7771000005</x:v>
      </x:c>
      <x:c r="H2281" s="12" t="n">
        <x:v>358326.74714208</x:v>
      </x:c>
      <x:c r="I2281" s="13" t="n">
        <x:v>0.068628125</x:v>
      </x:c>
      <x:c r="J2281" s="2" t="n">
        <x:v>16</x:v>
      </x:c>
      <x:c r="K2281" s="2" t="n">
        <x:v>15</x:v>
      </x:c>
      <x:c r="L2281" s="12" t="n">
        <x:v>1248.5274</x:v>
      </x:c>
      <x:c r="M2281" s="13" t="n">
        <x:v>0.2699558182821314</x:v>
      </x:c>
      <x:c r="N2281" s="13" t="n">
        <x:f>H2281/G2281</x:f>
        <x:v>0.05174859924949811</x:v>
      </x:c>
      <x:c r="O2281" s="13" t="n">
        <x:f>F2281/E2281</x:f>
        <x:v>0</x:v>
      </x:c>
      <x:c r="P2281" s="2" t="str">
        <x:f>IF(AND(E2281&gt;='Итоги'!$F$5,N2281&lt;='Итоги'!$B$5,O2281&gt;='Итоги'!$D$5),"Да","Нет")</x:f>
        <x:v>Нет</x:v>
      </x:c>
    </x:row>
    <x:row r="2282" ht="60" customHeight="1">
      <x:c r="A2282" s="14" t="str">
        <x:v>Напитки</x:v>
      </x:c>
      <x:c r="B2282" s="14" t="str">
        <x:v>Напитки горячие</x:v>
      </x:c>
      <x:c r="C2282" s="14" t="str">
        <x:v>Кофейный напиток, цикорий</x:v>
      </x:c>
      <x:c r="D2282" s="14" t="str">
        <x:v>Кофейный напиток</x:v>
      </x:c>
      <x:c r="E2282" s="2" t="n">
        <x:v>4</x:v>
      </x:c>
      <x:c r="F2282" s="2" t="n">
        <x:v>0</x:v>
      </x:c>
      <x:c r="G2282" s="12" t="n">
        <x:v>399436.7454</x:v>
      </x:c>
      <x:c r="H2282" s="12" t="n">
        <x:v>20670.31810688</x:v>
      </x:c>
      <x:c r="I2282" s="13" t="n">
        <x:v>0.04615</x:v>
      </x:c>
      <x:c r="J2282" s="2" t="n">
        <x:v>2</x:v>
      </x:c>
      <x:c r="K2282" s="2" t="n">
        <x:v>4</x:v>
      </x:c>
      <x:c r="L2282" s="12" t="n">
        <x:v>3808.691</x:v>
      </x:c>
      <x:c r="M2282" s="13" t="n">
        <x:v>0.324995137515458</x:v>
      </x:c>
      <x:c r="N2282" s="13" t="n">
        <x:f>H2282/G2282</x:f>
        <x:v>0.051748664450438915</x:v>
      </x:c>
      <x:c r="O2282" s="13" t="n">
        <x:f>F2282/E2282</x:f>
        <x:v>0</x:v>
      </x:c>
      <x:c r="P2282" s="2" t="str">
        <x:f>IF(AND(E2282&gt;='Итоги'!$F$5,N2282&lt;='Итоги'!$B$5,O2282&gt;='Итоги'!$D$5),"Да","Нет")</x:f>
        <x:v>Нет</x:v>
      </x:c>
    </x:row>
    <x:row r="2283" ht="60" customHeight="1">
      <x:c r="A2283" s="14" t="str">
        <x:v>Товары для дома</x:v>
      </x:c>
      <x:c r="B2283" s="14" t="str">
        <x:v>Домашний текстиль</x:v>
      </x:c>
      <x:c r="C2283" s="14" t="str">
        <x:v>Наборы с текстилем</x:v>
      </x:c>
      <x:c r="D2283" s="14" t="str">
        <x:v>Набор подарочный с текстилем</x:v>
      </x:c>
      <x:c r="E2283" s="2" t="n">
        <x:v>3</x:v>
      </x:c>
      <x:c r="F2283" s="2" t="n">
        <x:v>0</x:v>
      </x:c>
      <x:c r="G2283" s="12" t="n">
        <x:v>176814.2445</x:v>
      </x:c>
      <x:c r="H2283" s="12" t="n">
        <x:v>9151.0035</x:v>
      </x:c>
      <x:c r="I2283" s="13" t="n">
        <x:v>0.125</x:v>
      </x:c>
      <x:c r="J2283" s="2" t="n">
        <x:v>1</x:v>
      </x:c>
      <x:c r="K2283" s="2" t="n">
        <x:v>2</x:v>
      </x:c>
      <x:c r="L2283" s="12" t="n">
        <x:v>1168.3913</x:v>
      </x:c>
      <x:c r="M2283" s="13" t="n">
        <x:v>0.7209444287731015</x:v>
      </x:c>
      <x:c r="N2283" s="13" t="n">
        <x:f>H2283/G2283</x:f>
        <x:v>0.05175489975865604</x:v>
      </x:c>
      <x:c r="O2283" s="13" t="n">
        <x:f>F2283/E2283</x:f>
        <x:v>0</x:v>
      </x:c>
      <x:c r="P2283" s="2" t="str">
        <x:f>IF(AND(E2283&gt;='Итоги'!$F$5,N2283&lt;='Итоги'!$B$5,O2283&gt;='Итоги'!$D$5),"Да","Нет")</x:f>
        <x:v>Нет</x:v>
      </x:c>
    </x:row>
    <x:row r="2284" ht="60" customHeight="1">
      <x:c r="A2284" s="14" t="str">
        <x:v>Строительство и ремонт (DIY)</x:v>
      </x:c>
      <x:c r="B2284" s="14" t="str">
        <x:v>Сад и огород</x:v>
      </x:c>
      <x:c r="C2284" s="14" t="str">
        <x:v>Садовый инструмент</x:v>
      </x:c>
      <x:c r="D2284" s="14" t="str">
        <x:v>Кусторез бензиновый</x:v>
      </x:c>
      <x:c r="E2284" s="2" t="n">
        <x:v>2</x:v>
      </x:c>
      <x:c r="F2284" s="2" t="n">
        <x:v>0</x:v>
      </x:c>
      <x:c r="G2284" s="12" t="n">
        <x:v>560089.6277000001</x:v>
      </x:c>
      <x:c r="H2284" s="12" t="n">
        <x:v>28994.3392</x:v>
      </x:c>
      <x:c r="I2284" s="13" t="n">
        <x:v>0.0397</x:v>
      </x:c>
      <x:c r="J2284" s="2" t="n">
        <x:v>1</x:v>
      </x:c>
      <x:c r="K2284" s="2" t="n">
        <x:v>2</x:v>
      </x:c>
      <x:c r="L2284" s="12" t="n">
        <x:v>13335.46735</x:v>
      </x:c>
      <x:c r="M2284" s="13" t="n">
        <x:v>0.6519813650175189</x:v>
      </x:c>
      <x:c r="N2284" s="13" t="n">
        <x:f>H2284/G2284</x:f>
        <x:v>0.051767320382391</x:v>
      </x:c>
      <x:c r="O2284" s="13" t="n">
        <x:f>F2284/E2284</x:f>
        <x:v>0</x:v>
      </x:c>
      <x:c r="P2284" s="2" t="str">
        <x:f>IF(AND(E2284&gt;='Итоги'!$F$5,N2284&lt;='Итоги'!$B$5,O2284&gt;='Итоги'!$D$5),"Да","Нет")</x:f>
        <x:v>Нет</x:v>
      </x:c>
    </x:row>
    <x:row r="2285" ht="60" customHeight="1">
      <x:c r="A2285" s="14" t="str">
        <x:v>Автотовары</x:v>
      </x:c>
      <x:c r="B2285" s="14" t="str">
        <x:v>Авто и мото запчасти</x:v>
      </x:c>
      <x:c r="C2285" s="14" t="str">
        <x:v>Универсальные детали</x:v>
      </x:c>
      <x:c r="D2285" s="14" t="str">
        <x:v>Подшипники автомобильные</x:v>
      </x:c>
      <x:c r="E2285" s="2" t="n">
        <x:v>8</x:v>
      </x:c>
      <x:c r="F2285" s="2" t="n">
        <x:v>0</x:v>
      </x:c>
      <x:c r="G2285" s="12" t="n">
        <x:v>530156.2058</x:v>
      </x:c>
      <x:c r="H2285" s="12" t="n">
        <x:v>27519.37097357</x:v>
      </x:c>
      <x:c r="I2285" s="13" t="n">
        <x:v>0.076025</x:v>
      </x:c>
      <x:c r="J2285" s="2" t="n">
        <x:v>2</x:v>
      </x:c>
      <x:c r="K2285" s="2" t="n">
        <x:v>2</x:v>
      </x:c>
      <x:c r="L2285" s="12" t="n">
        <x:v>1165.93665</x:v>
      </x:c>
      <x:c r="M2285" s="13" t="n">
        <x:v>0.8187220818155327</x:v>
      </x:c>
      <x:c r="N2285" s="13" t="n">
        <x:f>H2285/G2285</x:f>
        <x:v>0.05190804270987183</x:v>
      </x:c>
      <x:c r="O2285" s="13" t="n">
        <x:f>F2285/E2285</x:f>
        <x:v>0</x:v>
      </x:c>
      <x:c r="P2285" s="2" t="str">
        <x:f>IF(AND(E2285&gt;='Итоги'!$F$5,N2285&lt;='Итоги'!$B$5,O2285&gt;='Итоги'!$D$5),"Да","Нет")</x:f>
        <x:v>Нет</x:v>
      </x:c>
    </x:row>
    <x:row r="2286" ht="60" customHeight="1">
      <x:c r="A2286" s="14" t="str">
        <x:v>Строительство и ремонт (DIY)</x:v>
      </x:c>
      <x:c r="B2286" s="14" t="str">
        <x:v>Ремонт и строительство</x:v>
      </x:c>
      <x:c r="C2286" s="14" t="str">
        <x:v>Скобяные изделия</x:v>
      </x:c>
      <x:c r="D2286" s="14" t="str">
        <x:v>Такелаж</x:v>
      </x:c>
      <x:c r="E2286" s="2" t="n">
        <x:v>25</x:v>
      </x:c>
      <x:c r="F2286" s="2" t="n">
        <x:v>0</x:v>
      </x:c>
      <x:c r="G2286" s="12" t="n">
        <x:v>3477221.7889</x:v>
      </x:c>
      <x:c r="H2286" s="12" t="n">
        <x:v>180597.43219404</x:v>
      </x:c>
      <x:c r="I2286" s="13" t="n">
        <x:v>0.0545439999999999</x:v>
      </x:c>
      <x:c r="J2286" s="2" t="n">
        <x:v>9</x:v>
      </x:c>
      <x:c r="K2286" s="2" t="n">
        <x:v>12</x:v>
      </x:c>
      <x:c r="L2286" s="12" t="n">
        <x:v>2260.6286</x:v>
      </x:c>
      <x:c r="M2286" s="13" t="n">
        <x:v>0.412726891618265</x:v>
      </x:c>
      <x:c r="N2286" s="13" t="n">
        <x:f>H2286/G2286</x:f>
        <x:v>0.051937277274214655</x:v>
      </x:c>
      <x:c r="O2286" s="13" t="n">
        <x:f>F2286/E2286</x:f>
        <x:v>0</x:v>
      </x:c>
      <x:c r="P2286" s="2" t="str">
        <x:f>IF(AND(E2286&gt;='Итоги'!$F$5,N2286&lt;='Итоги'!$B$5,O2286&gt;='Итоги'!$D$5),"Да","Нет")</x:f>
        <x:v>Нет</x:v>
      </x:c>
    </x:row>
    <x:row r="2287" ht="60" customHeight="1">
      <x:c r="A2287" s="14" t="str">
        <x:v>Одежда</x:v>
      </x:c>
      <x:c r="B2287" s="14" t="str">
        <x:v>Основная одежда женская</x:v>
      </x:c>
      <x:c r="C2287" s="14" t="str">
        <x:v>Головные уборы, перчатки, шарфы женские</x:v>
      </x:c>
      <x:c r="D2287" s="14" t="str">
        <x:v>Спортивная панама</x:v>
      </x:c>
      <x:c r="E2287" s="2" t="n">
        <x:v>36</x:v>
      </x:c>
      <x:c r="F2287" s="2" t="n">
        <x:v>0</x:v>
      </x:c>
      <x:c r="G2287" s="12" t="n">
        <x:v>3624237.57</x:v>
      </x:c>
      <x:c r="H2287" s="12" t="n">
        <x:v>188271.26898266</x:v>
      </x:c>
      <x:c r="I2287" s="13" t="n">
        <x:v>0.0439166666666666</x:v>
      </x:c>
      <x:c r="J2287" s="2" t="n">
        <x:v>24</x:v>
      </x:c>
      <x:c r="K2287" s="2" t="n">
        <x:v>9</x:v>
      </x:c>
      <x:c r="L2287" s="12" t="n">
        <x:v>1628.1619</x:v>
      </x:c>
      <x:c r="M2287" s="13" t="n">
        <x:v>0.2764556386407086</x:v>
      </x:c>
      <x:c r="N2287" s="13" t="n">
        <x:f>H2287/G2287</x:f>
        <x:v>0.051947827742059416</x:v>
      </x:c>
      <x:c r="O2287" s="13" t="n">
        <x:f>F2287/E2287</x:f>
        <x:v>0</x:v>
      </x:c>
      <x:c r="P2287" s="2" t="str">
        <x:f>IF(AND(E2287&gt;='Итоги'!$F$5,N2287&lt;='Итоги'!$B$5,O2287&gt;='Итоги'!$D$5),"Да","Нет")</x:f>
        <x:v>Нет</x:v>
      </x:c>
    </x:row>
    <x:row r="2288" ht="60" customHeight="1">
      <x:c r="A2288" s="14" t="str">
        <x:v>Автотовары</x:v>
      </x:c>
      <x:c r="B2288" s="14" t="str">
        <x:v>Авто и мото запчасти</x:v>
      </x:c>
      <x:c r="C2288" s="14" t="str">
        <x:v>Двигатель</x:v>
      </x:c>
      <x:c r="D2288" s="14" t="str">
        <x:v>Система ГРМ и навесного оборудования</x:v>
      </x:c>
      <x:c r="E2288" s="2" t="n">
        <x:v>57</x:v>
      </x:c>
      <x:c r="F2288" s="2" t="n">
        <x:v>0</x:v>
      </x:c>
      <x:c r="G2288" s="12" t="n">
        <x:v>8568441.6509</x:v>
      </x:c>
      <x:c r="H2288" s="12" t="n">
        <x:v>445310.32168216</x:v>
      </x:c>
      <x:c r="I2288" s="13" t="n">
        <x:v>0.0564087719298245</x:v>
      </x:c>
      <x:c r="J2288" s="2" t="n">
        <x:v>23</x:v>
      </x:c>
      <x:c r="K2288" s="2" t="n">
        <x:v>20</x:v>
      </x:c>
      <x:c r="L2288" s="12" t="n">
        <x:v>5286.9</x:v>
      </x:c>
      <x:c r="M2288" s="13" t="n">
        <x:v>0.5031216567422374</x:v>
      </x:c>
      <x:c r="N2288" s="13" t="n">
        <x:f>H2288/G2288</x:f>
        <x:v>0.051970981401896585</x:v>
      </x:c>
      <x:c r="O2288" s="13" t="n">
        <x:f>F2288/E2288</x:f>
        <x:v>0</x:v>
      </x:c>
      <x:c r="P2288" s="2" t="str">
        <x:f>IF(AND(E2288&gt;='Итоги'!$F$5,N2288&lt;='Итоги'!$B$5,O2288&gt;='Итоги'!$D$5),"Да","Нет")</x:f>
        <x:v>Нет</x:v>
      </x:c>
    </x:row>
    <x:row r="2289" ht="60" customHeight="1">
      <x:c r="A2289" s="14" t="str">
        <x:v>Аксессуары</x:v>
      </x:c>
      <x:c r="B2289" s="14" t="str">
        <x:v>Бижутерия и часы бижутерные</x:v>
      </x:c>
      <x:c r="C2289" s="14" t="str">
        <x:v>Бижутерия</x:v>
      </x:c>
      <x:c r="D2289" s="14" t="str">
        <x:v>Колье, ожерелье авторское</x:v>
      </x:c>
      <x:c r="E2289" s="2" t="n">
        <x:v>1</x:v>
      </x:c>
      <x:c r="F2289" s="2" t="n">
        <x:v>0</x:v>
      </x:c>
      <x:c r="G2289" s="12" t="n">
        <x:v>104304.57</x:v>
      </x:c>
      <x:c r="H2289" s="12" t="n">
        <x:v>5434.268097</x:v>
      </x:c>
      <x:c r="I2289" s="13" t="n">
        <x:v>0.0521</x:v>
      </x:c>
      <x:c r="J2289" s="2" t="n">
        <x:v>0</x:v>
      </x:c>
      <x:c r="K2289" s="2" t="n">
        <x:v>1</x:v>
      </x:c>
      <x:c r="L2289" s="12" t="n">
        <x:v>2317.8793</x:v>
      </x:c>
      <x:c r="M2289" s="13" t="n">
        <x:v>1</x:v>
      </x:c>
      <x:c r="N2289" s="13" t="n">
        <x:f>H2289/G2289</x:f>
        <x:v>0.0521</x:v>
      </x:c>
      <x:c r="O2289" s="13" t="n">
        <x:f>F2289/E2289</x:f>
        <x:v>0</x:v>
      </x:c>
      <x:c r="P2289" s="2" t="str">
        <x:f>IF(AND(E2289&gt;='Итоги'!$F$5,N2289&lt;='Итоги'!$B$5,O2289&gt;='Итоги'!$D$5),"Да","Нет")</x:f>
        <x:v>Нет</x:v>
      </x:c>
    </x:row>
    <x:row r="2290" ht="60" customHeight="1">
      <x:c r="A2290" s="14" t="str">
        <x:v>Товары для детей и спорта</x:v>
      </x:c>
      <x:c r="B2290" s="14" t="str">
        <x:v>Текстиль детский</x:v>
      </x:c>
      <x:c r="C2290" s="14" t="str">
        <x:v>Переноска детей и аксессуары для кормления</x:v>
      </x:c>
      <x:c r="D2290" s="14" t="str">
        <x:v>Подушка для беременных и кормящих</x:v>
      </x:c>
      <x:c r="E2290" s="2" t="n">
        <x:v>19</x:v>
      </x:c>
      <x:c r="F2290" s="2" t="n">
        <x:v>0</x:v>
      </x:c>
      <x:c r="G2290" s="12" t="n">
        <x:v>2423113.919</x:v>
      </x:c>
      <x:c r="H2290" s="12" t="n">
        <x:v>126270.6162536</x:v>
      </x:c>
      <x:c r="I2290" s="13" t="n">
        <x:v>0.0544</x:v>
      </x:c>
      <x:c r="J2290" s="2" t="n">
        <x:v>2</x:v>
      </x:c>
      <x:c r="K2290" s="2" t="n">
        <x:v>8</x:v>
      </x:c>
      <x:c r="L2290" s="12" t="n">
        <x:v>2695.7879</x:v>
      </x:c>
      <x:c r="M2290" s="13" t="n">
        <x:v>0.2685072021989405</x:v>
      </x:c>
      <x:c r="N2290" s="13" t="n">
        <x:f>H2290/G2290</x:f>
        <x:v>0.05211088726101284</x:v>
      </x:c>
      <x:c r="O2290" s="13" t="n">
        <x:f>F2290/E2290</x:f>
        <x:v>0</x:v>
      </x:c>
      <x:c r="P2290" s="2" t="str">
        <x:f>IF(AND(E2290&gt;='Итоги'!$F$5,N2290&lt;='Итоги'!$B$5,O2290&gt;='Итоги'!$D$5),"Да","Нет")</x:f>
        <x:v>Нет</x:v>
      </x:c>
    </x:row>
    <x:row r="2291" ht="60" customHeight="1">
      <x:c r="A2291" s="14" t="str">
        <x:v>Спорт и отдых</x:v>
      </x:c>
      <x:c r="B2291" s="14" t="str">
        <x:v>Тренажеры и фитнес</x:v>
      </x:c>
      <x:c r="C2291" s="14" t="str">
        <x:v>Кардиотренажеры</x:v>
      </x:c>
      <x:c r="D2291" s="14" t="str">
        <x:v>Беговая дорожка</x:v>
      </x:c>
      <x:c r="E2291" s="2" t="n">
        <x:v>104</x:v>
      </x:c>
      <x:c r="F2291" s="2" t="n">
        <x:v>0</x:v>
      </x:c>
      <x:c r="G2291" s="12" t="n">
        <x:v>28287619.4958</x:v>
      </x:c>
      <x:c r="H2291" s="12" t="n">
        <x:v>1476857.64175508</x:v>
      </x:c>
      <x:c r="I2291" s="13" t="n">
        <x:v>0.0506884615384615</x:v>
      </x:c>
      <x:c r="J2291" s="2" t="n">
        <x:v>13</x:v>
      </x:c>
      <x:c r="K2291" s="2" t="n">
        <x:v>21</x:v>
      </x:c>
      <x:c r="L2291" s="12" t="n">
        <x:v>24409.5</x:v>
      </x:c>
      <x:c r="M2291" s="13" t="n">
        <x:v>0.5446001964989426</x:v>
      </x:c>
      <x:c r="N2291" s="13" t="n">
        <x:f>H2291/G2291</x:f>
        <x:v>0.0522086222905521</x:v>
      </x:c>
      <x:c r="O2291" s="13" t="n">
        <x:f>F2291/E2291</x:f>
        <x:v>0</x:v>
      </x:c>
      <x:c r="P2291" s="2" t="str">
        <x:f>IF(AND(E2291&gt;='Итоги'!$F$5,N2291&lt;='Итоги'!$B$5,O2291&gt;='Итоги'!$D$5),"Да","Нет")</x:f>
        <x:v>Нет</x:v>
      </x:c>
    </x:row>
    <x:row r="2292" ht="60" customHeight="1">
      <x:c r="A2292" s="14" t="str">
        <x:v>Спорт и отдых</x:v>
      </x:c>
      <x:c r="B2292" s="14" t="str">
        <x:v>Колесный транспорт</x:v>
      </x:c>
      <x:c r="C2292" s="14" t="str">
        <x:v>Велоаксессуары</x:v>
      </x:c>
      <x:c r="D2292" s="14" t="str">
        <x:v>Накладки/чехлы на вело седла</x:v>
      </x:c>
      <x:c r="E2292" s="2" t="n">
        <x:v>2</x:v>
      </x:c>
      <x:c r="F2292" s="2" t="n">
        <x:v>0</x:v>
      </x:c>
      <x:c r="G2292" s="12" t="n">
        <x:v>148526.62</x:v>
      </x:c>
      <x:c r="H2292" s="12" t="n">
        <x:v>7759.452</x:v>
      </x:c>
      <x:c r="I2292" s="13" t="n">
        <x:v>0.0978</x:v>
      </x:c>
      <x:c r="J2292" s="2" t="n">
        <x:v>1</x:v>
      </x:c>
      <x:c r="K2292" s="2" t="n">
        <x:v>2</x:v>
      </x:c>
      <x:c r="L2292" s="12" t="n">
        <x:v>864.5279</x:v>
      </x:c>
      <x:c r="M2292" s="13" t="n">
        <x:v>0.7329098312477588</x:v>
      </x:c>
      <x:c r="N2292" s="13" t="n">
        <x:f>H2292/G2292</x:f>
        <x:v>0.05224283700793838</x:v>
      </x:c>
      <x:c r="O2292" s="13" t="n">
        <x:f>F2292/E2292</x:f>
        <x:v>0</x:v>
      </x:c>
      <x:c r="P2292" s="2" t="str">
        <x:f>IF(AND(E2292&gt;='Итоги'!$F$5,N2292&lt;='Итоги'!$B$5,O2292&gt;='Итоги'!$D$5),"Да","Нет")</x:f>
        <x:v>Нет</x:v>
      </x:c>
    </x:row>
    <x:row r="2293" ht="60" customHeight="1">
      <x:c r="A2293" s="14" t="str">
        <x:v>Игрушки</x:v>
      </x:c>
      <x:c r="B2293" s="14" t="str">
        <x:v>Игрушки</x:v>
      </x:c>
      <x:c r="C2293" s="14" t="str">
        <x:v>Фигурки, трансформеры</x:v>
      </x:c>
      <x:c r="D2293" s="14" t="str">
        <x:v>Трансформер</x:v>
      </x:c>
      <x:c r="E2293" s="2" t="n">
        <x:v>73</x:v>
      </x:c>
      <x:c r="F2293" s="2" t="n">
        <x:v>0</x:v>
      </x:c>
      <x:c r="G2293" s="12" t="n">
        <x:v>7478078.561</x:v>
      </x:c>
      <x:c r="H2293" s="12" t="n">
        <x:v>391116.74795813</x:v>
      </x:c>
      <x:c r="I2293" s="13" t="n">
        <x:v>0.0573123287671232</x:v>
      </x:c>
      <x:c r="J2293" s="2" t="n">
        <x:v>30</x:v>
      </x:c>
      <x:c r="K2293" s="2" t="n">
        <x:v>17</x:v>
      </x:c>
      <x:c r="L2293" s="12" t="n">
        <x:v>2418.9868</x:v>
      </x:c>
      <x:c r="M2293" s="13" t="n">
        <x:v>0.7296103309418015</x:v>
      </x:c>
      <x:c r="N2293" s="13" t="n">
        <x:f>H2293/G2293</x:f>
        <x:v>0.05230177040368352</x:v>
      </x:c>
      <x:c r="O2293" s="13" t="n">
        <x:f>F2293/E2293</x:f>
        <x:v>0</x:v>
      </x:c>
      <x:c r="P2293" s="2" t="str">
        <x:f>IF(AND(E2293&gt;='Итоги'!$F$5,N2293&lt;='Итоги'!$B$5,O2293&gt;='Итоги'!$D$5),"Да","Нет")</x:f>
        <x:v>Нет</x:v>
      </x:c>
    </x:row>
    <x:row r="2294" ht="60" customHeight="1">
      <x:c r="A2294" s="14" t="str">
        <x:v>Аптека</x:v>
      </x:c>
      <x:c r="B2294" s="14" t="str">
        <x:v>Медицинская техника</x:v>
      </x:c>
      <x:c r="C2294" s="14" t="str">
        <x:v>Медицинская техника</x:v>
      </x:c>
      <x:c r="D2294" s="14" t="str">
        <x:v>Рециркулятор</x:v>
      </x:c>
      <x:c r="E2294" s="2" t="n">
        <x:v>23</x:v>
      </x:c>
      <x:c r="F2294" s="2" t="n">
        <x:v>0</x:v>
      </x:c>
      <x:c r="G2294" s="12" t="n">
        <x:v>4083983.38</x:v>
      </x:c>
      <x:c r="H2294" s="12" t="n">
        <x:v>213663.738413</x:v>
      </x:c>
      <x:c r="I2294" s="13" t="n">
        <x:v>0.0378869565217391</x:v>
      </x:c>
      <x:c r="J2294" s="2" t="n">
        <x:v>15</x:v>
      </x:c>
      <x:c r="K2294" s="2" t="n">
        <x:v>5</x:v>
      </x:c>
      <x:c r="L2294" s="12" t="n">
        <x:v>5294</x:v>
      </x:c>
      <x:c r="M2294" s="13" t="n">
        <x:v>0.7509570007113986</x:v>
      </x:c>
      <x:c r="N2294" s="13" t="n">
        <x:f>H2294/G2294</x:f>
        <x:v>0.052317484801566456</x:v>
      </x:c>
      <x:c r="O2294" s="13" t="n">
        <x:f>F2294/E2294</x:f>
        <x:v>0</x:v>
      </x:c>
      <x:c r="P2294" s="2" t="str">
        <x:f>IF(AND(E2294&gt;='Итоги'!$F$5,N2294&lt;='Итоги'!$B$5,O2294&gt;='Итоги'!$D$5),"Да","Нет")</x:f>
        <x:v>Нет</x:v>
      </x:c>
    </x:row>
    <x:row r="2295" ht="60" customHeight="1">
      <x:c r="A2295" s="14" t="str">
        <x:v>Строительство и ремонт (DIY)</x:v>
      </x:c>
      <x:c r="B2295" s="14" t="str">
        <x:v>Инструменты</x:v>
      </x:c>
      <x:c r="C2295" s="14" t="str">
        <x:v>Техника для строительства, ремонта</x:v>
      </x:c>
      <x:c r="D2295" s="14" t="str">
        <x:v>Виброплита</x:v>
      </x:c>
      <x:c r="E2295" s="2" t="n">
        <x:v>38</x:v>
      </x:c>
      <x:c r="F2295" s="2" t="n">
        <x:v>0</x:v>
      </x:c>
      <x:c r="G2295" s="12" t="n">
        <x:v>7919981.2369</x:v>
      </x:c>
      <x:c r="H2295" s="12" t="n">
        <x:v>414553.35081093</x:v>
      </x:c>
      <x:c r="I2295" s="13" t="n">
        <x:v>0.0539921052631578</x:v>
      </x:c>
      <x:c r="J2295" s="2" t="n">
        <x:v>14</x:v>
      </x:c>
      <x:c r="K2295" s="2" t="n">
        <x:v>15</x:v>
      </x:c>
      <x:c r="L2295" s="12" t="n">
        <x:v>4883.08075</x:v>
      </x:c>
      <x:c r="M2295" s="13" t="n">
        <x:v>0.2953299155687802</x:v>
      </x:c>
      <x:c r="N2295" s="13" t="n">
        <x:f>H2295/G2295</x:f>
        <x:v>0.05234271880335823</x:v>
      </x:c>
      <x:c r="O2295" s="13" t="n">
        <x:f>F2295/E2295</x:f>
        <x:v>0</x:v>
      </x:c>
      <x:c r="P2295" s="2" t="str">
        <x:f>IF(AND(E2295&gt;='Итоги'!$F$5,N2295&lt;='Итоги'!$B$5,O2295&gt;='Итоги'!$D$5),"Да","Нет")</x:f>
        <x:v>Нет</x:v>
      </x:c>
    </x:row>
    <x:row r="2296" ht="60" customHeight="1">
      <x:c r="A2296" s="14" t="str">
        <x:v>Мебель</x:v>
      </x:c>
      <x:c r="B2296" s="14" t="str">
        <x:v>Компьютерная и офисная мебель</x:v>
      </x:c>
      <x:c r="C2296" s="14" t="str">
        <x:v>Компьютерный, офисный кресло, стул</x:v>
      </x:c>
      <x:c r="D2296" s="14" t="str">
        <x:v>Кресло игровое</x:v>
      </x:c>
      <x:c r="E2296" s="2" t="n">
        <x:v>343</x:v>
      </x:c>
      <x:c r="F2296" s="2" t="n">
        <x:v>0</x:v>
      </x:c>
      <x:c r="G2296" s="12" t="n">
        <x:v>85382739.8698</x:v>
      </x:c>
      <x:c r="H2296" s="12" t="n">
        <x:v>4469744.2742423</x:v>
      </x:c>
      <x:c r="I2296" s="13" t="n">
        <x:v>0.0539900874635568</x:v>
      </x:c>
      <x:c r="J2296" s="2" t="n">
        <x:v>87</x:v>
      </x:c>
      <x:c r="K2296" s="2" t="n">
        <x:v>21</x:v>
      </x:c>
      <x:c r="L2296" s="12" t="n">
        <x:v>10134.7391</x:v>
      </x:c>
      <x:c r="M2296" s="13" t="n">
        <x:v>0.9165029306675878</x:v>
      </x:c>
      <x:c r="N2296" s="13" t="n">
        <x:f>H2296/G2296</x:f>
        <x:v>0.05234950624749458</x:v>
      </x:c>
      <x:c r="O2296" s="13" t="n">
        <x:f>F2296/E2296</x:f>
        <x:v>0</x:v>
      </x:c>
      <x:c r="P2296" s="2" t="str">
        <x:f>IF(AND(E2296&gt;='Итоги'!$F$5,N2296&lt;='Итоги'!$B$5,O2296&gt;='Итоги'!$D$5),"Да","Нет")</x:f>
        <x:v>Нет</x:v>
      </x:c>
    </x:row>
    <x:row r="2297" ht="60" customHeight="1">
      <x:c r="A2297" s="14" t="str">
        <x:v>Спорт и отдых</x:v>
      </x:c>
      <x:c r="B2297" s="14" t="str">
        <x:v>Колесный транспорт</x:v>
      </x:c>
      <x:c r="C2297" s="14" t="str">
        <x:v>Скейтборд</x:v>
      </x:c>
      <x:c r="D2297" s="14" t="str">
        <x:v>Аксессуары для скейтборда</x:v>
      </x:c>
      <x:c r="E2297" s="2" t="n">
        <x:v>15</x:v>
      </x:c>
      <x:c r="F2297" s="2" t="n">
        <x:v>0</x:v>
      </x:c>
      <x:c r="G2297" s="12" t="n">
        <x:v>1124565.7151</x:v>
      </x:c>
      <x:c r="H2297" s="12" t="n">
        <x:v>58880.85555801</x:v>
      </x:c>
      <x:c r="I2297" s="13" t="n">
        <x:v>0.0365333333333333</x:v>
      </x:c>
      <x:c r="J2297" s="2" t="n">
        <x:v>8</x:v>
      </x:c>
      <x:c r="K2297" s="2" t="n">
        <x:v>11</x:v>
      </x:c>
      <x:c r="L2297" s="12" t="n">
        <x:v>1657.7967</x:v>
      </x:c>
      <x:c r="M2297" s="13" t="n">
        <x:v>0.24013831257161</x:v>
      </x:c>
      <x:c r="N2297" s="13" t="n">
        <x:f>H2297/G2297</x:f>
        <x:v>0.05235875037571649</x:v>
      </x:c>
      <x:c r="O2297" s="13" t="n">
        <x:f>F2297/E2297</x:f>
        <x:v>0</x:v>
      </x:c>
      <x:c r="P2297" s="2" t="str">
        <x:f>IF(AND(E2297&gt;='Итоги'!$F$5,N2297&lt;='Итоги'!$B$5,O2297&gt;='Итоги'!$D$5),"Да","Нет")</x:f>
        <x:v>Нет</x:v>
      </x:c>
    </x:row>
    <x:row r="2298" ht="60" customHeight="1">
      <x:c r="A2298" s="14" t="str">
        <x:v>Бакалея и кондитерские изделия</x:v>
      </x:c>
      <x:c r="B2298" s="14" t="str">
        <x:v>Бакалея</x:v>
      </x:c>
      <x:c r="C2298" s="14" t="str">
        <x:v>Консервы</x:v>
      </x:c>
      <x:c r="D2298" s="14" t="str">
        <x:v>Овощные консервы</x:v>
      </x:c>
      <x:c r="E2298" s="2" t="n">
        <x:v>9</x:v>
      </x:c>
      <x:c r="F2298" s="2" t="n">
        <x:v>0</x:v>
      </x:c>
      <x:c r="G2298" s="12" t="n">
        <x:v>922549.8835</x:v>
      </x:c>
      <x:c r="H2298" s="12" t="n">
        <x:v>48321.0555728</x:v>
      </x:c>
      <x:c r="I2298" s="13" t="n">
        <x:v>0.0409888888888888</x:v>
      </x:c>
      <x:c r="J2298" s="2" t="n">
        <x:v>4</x:v>
      </x:c>
      <x:c r="K2298" s="2" t="n">
        <x:v>8</x:v>
      </x:c>
      <x:c r="L2298" s="12" t="n">
        <x:v>1434.147</x:v>
      </x:c>
      <x:c r="M2298" s="13" t="n">
        <x:v>0.2586587416765957</x:v>
      </x:c>
      <x:c r="N2298" s="13" t="n">
        <x:f>H2298/G2298</x:f>
        <x:v>0.052377715760450805</x:v>
      </x:c>
      <x:c r="O2298" s="13" t="n">
        <x:f>F2298/E2298</x:f>
        <x:v>0</x:v>
      </x:c>
      <x:c r="P2298" s="2" t="str">
        <x:f>IF(AND(E2298&gt;='Итоги'!$F$5,N2298&lt;='Итоги'!$B$5,O2298&gt;='Итоги'!$D$5),"Да","Нет")</x:f>
        <x:v>Нет</x:v>
      </x:c>
    </x:row>
    <x:row r="2299" ht="60" customHeight="1">
      <x:c r="A2299" s="14" t="str">
        <x:v>Аптека</x:v>
      </x:c>
      <x:c r="B2299" s="14" t="str">
        <x:v>Медицинские изделия</x:v>
      </x:c>
      <x:c r="C2299" s="14" t="str">
        <x:v>Мебель медицинская</x:v>
      </x:c>
      <x:c r="D2299" s="14" t="str">
        <x:v>Мебель медицинская</x:v>
      </x:c>
      <x:c r="E2299" s="2" t="n">
        <x:v>9</x:v>
      </x:c>
      <x:c r="F2299" s="2" t="n">
        <x:v>0</x:v>
      </x:c>
      <x:c r="G2299" s="12" t="n">
        <x:v>1517061.11</x:v>
      </x:c>
      <x:c r="H2299" s="12" t="n">
        <x:v>79493.63392400001</x:v>
      </x:c>
      <x:c r="I2299" s="13" t="n">
        <x:v>0.0547777777777777</x:v>
      </x:c>
      <x:c r="J2299" s="2" t="n">
        <x:v>3</x:v>
      </x:c>
      <x:c r="K2299" s="2" t="n">
        <x:v>5</x:v>
      </x:c>
      <x:c r="L2299" s="12" t="n">
        <x:v>1099.8284</x:v>
      </x:c>
      <x:c r="M2299" s="13" t="n">
        <x:v>0.3811638148182442</x:v>
      </x:c>
      <x:c r="N2299" s="13" t="n">
        <x:f>H2299/G2299</x:f>
        <x:v>0.052399757267523654</x:v>
      </x:c>
      <x:c r="O2299" s="13" t="n">
        <x:f>F2299/E2299</x:f>
        <x:v>0</x:v>
      </x:c>
      <x:c r="P2299" s="2" t="str">
        <x:f>IF(AND(E2299&gt;='Итоги'!$F$5,N2299&lt;='Итоги'!$B$5,O2299&gt;='Итоги'!$D$5),"Да","Нет")</x:f>
        <x:v>Нет</x:v>
      </x:c>
    </x:row>
    <x:row r="2300" ht="60" customHeight="1">
      <x:c r="A2300" s="14" t="str">
        <x:v>Спорт и отдых</x:v>
      </x:c>
      <x:c r="B2300" s="14" t="str">
        <x:v>Туризм</x:v>
      </x:c>
      <x:c r="C2300" s="14" t="str">
        <x:v>Аксессуары для туризма</x:v>
      </x:c>
      <x:c r="D2300" s="14" t="str">
        <x:v>Обогреватель, теплообменник, печь походные</x:v>
      </x:c>
      <x:c r="E2300" s="2" t="n">
        <x:v>18</x:v>
      </x:c>
      <x:c r="F2300" s="2" t="n">
        <x:v>0</x:v>
      </x:c>
      <x:c r="G2300" s="12" t="n">
        <x:v>2907448.6422</x:v>
      </x:c>
      <x:c r="H2300" s="12" t="n">
        <x:v>152400.15556852</x:v>
      </x:c>
      <x:c r="I2300" s="13" t="n">
        <x:v>0.0704166666666666</x:v>
      </x:c>
      <x:c r="J2300" s="2" t="n">
        <x:v>7</x:v>
      </x:c>
      <x:c r="K2300" s="2" t="n">
        <x:v>9</x:v>
      </x:c>
      <x:c r="L2300" s="12" t="n">
        <x:v>5028.92225</x:v>
      </x:c>
      <x:c r="M2300" s="13" t="n">
        <x:v>0.5282766692785986</x:v>
      </x:c>
      <x:c r="N2300" s="13" t="n">
        <x:f>H2300/G2300</x:f>
        <x:v>0.05241714448761587</x:v>
      </x:c>
      <x:c r="O2300" s="13" t="n">
        <x:f>F2300/E2300</x:f>
        <x:v>0</x:v>
      </x:c>
      <x:c r="P2300" s="2" t="str">
        <x:f>IF(AND(E2300&gt;='Итоги'!$F$5,N2300&lt;='Итоги'!$B$5,O2300&gt;='Итоги'!$D$5),"Да","Нет")</x:f>
        <x:v>Нет</x:v>
      </x:c>
    </x:row>
    <x:row r="2301" ht="60" customHeight="1">
      <x:c r="A2301" s="14" t="str">
        <x:v>Автотовары</x:v>
      </x:c>
      <x:c r="B2301" s="14" t="str">
        <x:v>Универсальные авто и мото аксессуары</x:v>
      </x:c>
      <x:c r="C2301" s="14" t="str">
        <x:v>Аксессуар для салона авто</x:v>
      </x:c>
      <x:c r="D2301" s="14" t="str">
        <x:v>Декоративные аксессуары салона авто</x:v>
      </x:c>
      <x:c r="E2301" s="2" t="n">
        <x:v>13</x:v>
      </x:c>
      <x:c r="F2301" s="2" t="n">
        <x:v>0</x:v>
      </x:c>
      <x:c r="G2301" s="12" t="n">
        <x:v>1265729.3385</x:v>
      </x:c>
      <x:c r="H2301" s="12" t="n">
        <x:v>66383.26834237</x:v>
      </x:c>
      <x:c r="I2301" s="13" t="n">
        <x:v>0.0457692307692307</x:v>
      </x:c>
      <x:c r="J2301" s="2" t="n">
        <x:v>7</x:v>
      </x:c>
      <x:c r="K2301" s="2" t="n">
        <x:v>10</x:v>
      </x:c>
      <x:c r="L2301" s="12" t="n">
        <x:v>1077.7659</x:v>
      </x:c>
      <x:c r="M2301" s="13" t="n">
        <x:v>0.2705743238960246</x:v>
      </x:c>
      <x:c r="N2301" s="13" t="n">
        <x:f>H2301/G2301</x:f>
        <x:v>0.05244665373802583</x:v>
      </x:c>
      <x:c r="O2301" s="13" t="n">
        <x:f>F2301/E2301</x:f>
        <x:v>0</x:v>
      </x:c>
      <x:c r="P2301" s="2" t="str">
        <x:f>IF(AND(E2301&gt;='Итоги'!$F$5,N2301&lt;='Итоги'!$B$5,O2301&gt;='Итоги'!$D$5),"Да","Нет")</x:f>
        <x:v>Нет</x:v>
      </x:c>
    </x:row>
    <x:row r="2302" ht="60" customHeight="1">
      <x:c r="A2302" s="14" t="str">
        <x:v>Бытовая химия и гигиена рта</x:v>
      </x:c>
      <x:c r="B2302" s="14" t="str">
        <x:v>Бытовая химия</x:v>
      </x:c>
      <x:c r="C2302" s="14" t="str">
        <x:v>Чистящее и моющее средство</x:v>
      </x:c>
      <x:c r="D2302" s="14" t="str">
        <x:v>Средство для мытья посуды</x:v>
      </x:c>
      <x:c r="E2302" s="2" t="n">
        <x:v>38</x:v>
      </x:c>
      <x:c r="F2302" s="2" t="n">
        <x:v>0</x:v>
      </x:c>
      <x:c r="G2302" s="12" t="n">
        <x:v>10289270.8967</x:v>
      </x:c>
      <x:c r="H2302" s="12" t="n">
        <x:v>539770.95938249</x:v>
      </x:c>
      <x:c r="I2302" s="13" t="n">
        <x:v>0.0625210526315789</x:v>
      </x:c>
      <x:c r="J2302" s="2" t="n">
        <x:v>14</x:v>
      </x:c>
      <x:c r="K2302" s="2" t="n">
        <x:v>14</x:v>
      </x:c>
      <x:c r="L2302" s="12" t="n">
        <x:v>1004.4922</x:v>
      </x:c>
      <x:c r="M2302" s="13" t="n">
        <x:v>0.6817647328976267</x:v>
      </x:c>
      <x:c r="N2302" s="13" t="n">
        <x:f>H2302/G2302</x:f>
        <x:v>0.052459592599083636</x:v>
      </x:c>
      <x:c r="O2302" s="13" t="n">
        <x:f>F2302/E2302</x:f>
        <x:v>0</x:v>
      </x:c>
      <x:c r="P2302" s="2" t="str">
        <x:f>IF(AND(E2302&gt;='Итоги'!$F$5,N2302&lt;='Итоги'!$B$5,O2302&gt;='Итоги'!$D$5),"Да","Нет")</x:f>
        <x:v>Нет</x:v>
      </x:c>
    </x:row>
    <x:row r="2303" ht="60" customHeight="1">
      <x:c r="A2303" s="14" t="str">
        <x:v>Товары для дома</x:v>
      </x:c>
      <x:c r="B2303" s="14" t="str">
        <x:v>Кухня</x:v>
      </x:c>
      <x:c r="C2303" s="14" t="str">
        <x:v>Кухонная утварь и принадлежности</x:v>
      </x:c>
      <x:c r="D2303" s="14" t="str">
        <x:v>Набор для приготовления сыра, творога</x:v>
      </x:c>
      <x:c r="E2303" s="2" t="n">
        <x:v>2</x:v>
      </x:c>
      <x:c r="F2303" s="2" t="n">
        <x:v>0</x:v>
      </x:c>
      <x:c r="G2303" s="12" t="n">
        <x:v>330562.29480000003</x:v>
      </x:c>
      <x:c r="H2303" s="12" t="n">
        <x:v>17370.65499552</x:v>
      </x:c>
      <x:c r="I2303" s="13" t="n">
        <x:v>0.0435</x:v>
      </x:c>
      <x:c r="J2303" s="2" t="n">
        <x:v>0</x:v>
      </x:c>
      <x:c r="K2303" s="2" t="n">
        <x:v>1</x:v>
      </x:c>
      <x:c r="L2303" s="12" t="n">
        <x:v>1421.7321000000002</x:v>
      </x:c>
      <x:c r="M2303" s="13" t="n">
        <x:v>1</x:v>
      </x:c>
      <x:c r="N2303" s="13" t="n">
        <x:f>H2303/G2303</x:f>
        <x:v>0.05254880931302149</x:v>
      </x:c>
      <x:c r="O2303" s="13" t="n">
        <x:f>F2303/E2303</x:f>
        <x:v>0</x:v>
      </x:c>
      <x:c r="P2303" s="2" t="str">
        <x:f>IF(AND(E2303&gt;='Итоги'!$F$5,N2303&lt;='Итоги'!$B$5,O2303&gt;='Итоги'!$D$5),"Да","Нет")</x:f>
        <x:v>Нет</x:v>
      </x:c>
    </x:row>
    <x:row r="2304" ht="60" customHeight="1">
      <x:c r="A2304" s="14" t="str">
        <x:v>Товары для животных</x:v>
      </x:c>
      <x:c r="B2304" s="14" t="str">
        <x:v>Фермерское хозяйство - Оборудование для птицеводства и животноводства</x:v>
      </x:c>
      <x:c r="C2304" s="14" t="str">
        <x:v>Электропастухи и комплектующие</x:v>
      </x:c>
      <x:c r="D2304" s="14" t="str">
        <x:v>Столбы к электропастуху</x:v>
      </x:c>
      <x:c r="E2304" s="2" t="n">
        <x:v>1</x:v>
      </x:c>
      <x:c r="F2304" s="2" t="n">
        <x:v>0</x:v>
      </x:c>
      <x:c r="G2304" s="12" t="n">
        <x:v>578743.4645</x:v>
      </x:c>
      <x:c r="H2304" s="12" t="n">
        <x:v>30441.9062327</x:v>
      </x:c>
      <x:c r="I2304" s="13" t="n">
        <x:v>0.0526</x:v>
      </x:c>
      <x:c r="J2304" s="2" t="n">
        <x:v>0</x:v>
      </x:c>
      <x:c r="K2304" s="2" t="n">
        <x:v>1</x:v>
      </x:c>
      <x:c r="L2304" s="12" t="n">
        <x:v>1173.9218</x:v>
      </x:c>
      <x:c r="M2304" s="13" t="n">
        <x:v>1</x:v>
      </x:c>
      <x:c r="N2304" s="13" t="n">
        <x:f>H2304/G2304</x:f>
        <x:v>0.0526</x:v>
      </x:c>
      <x:c r="O2304" s="13" t="n">
        <x:f>F2304/E2304</x:f>
        <x:v>0</x:v>
      </x:c>
      <x:c r="P2304" s="2" t="str">
        <x:f>IF(AND(E2304&gt;='Итоги'!$F$5,N2304&lt;='Итоги'!$B$5,O2304&gt;='Итоги'!$D$5),"Да","Нет")</x:f>
        <x:v>Нет</x:v>
      </x:c>
    </x:row>
    <x:row r="2305" ht="60" customHeight="1">
      <x:c r="A2305" s="14" t="str">
        <x:v>Товары для дома</x:v>
      </x:c>
      <x:c r="B2305" s="14" t="str">
        <x:v>Интерьер и декор</x:v>
      </x:c>
      <x:c r="C2305" s="14" t="str">
        <x:v>Принадлежности, аксессуары для курения</x:v>
      </x:c>
      <x:c r="D2305" s="14" t="str">
        <x:v>Пепельница</x:v>
      </x:c>
      <x:c r="E2305" s="2" t="n">
        <x:v>11</x:v>
      </x:c>
      <x:c r="F2305" s="2" t="n">
        <x:v>0</x:v>
      </x:c>
      <x:c r="G2305" s="12" t="n">
        <x:v>1363346.9489</x:v>
      </x:c>
      <x:c r="H2305" s="12" t="n">
        <x:v>71769.83503354</x:v>
      </x:c>
      <x:c r="I2305" s="13" t="n">
        <x:v>0.0577363636363636</x:v>
      </x:c>
      <x:c r="J2305" s="2" t="n">
        <x:v>6</x:v>
      </x:c>
      <x:c r="K2305" s="2" t="n">
        <x:v>10</x:v>
      </x:c>
      <x:c r="L2305" s="12" t="n">
        <x:v>1003.9364</x:v>
      </x:c>
      <x:c r="M2305" s="13" t="n">
        <x:v>0.182387176060082</x:v>
      </x:c>
      <x:c r="N2305" s="13" t="n">
        <x:f>H2305/G2305</x:f>
        <x:v>0.05264238504472147</x:v>
      </x:c>
      <x:c r="O2305" s="13" t="n">
        <x:f>F2305/E2305</x:f>
        <x:v>0</x:v>
      </x:c>
      <x:c r="P2305" s="2" t="str">
        <x:f>IF(AND(E2305&gt;='Итоги'!$F$5,N2305&lt;='Итоги'!$B$5,O2305&gt;='Итоги'!$D$5),"Да","Нет")</x:f>
        <x:v>Нет</x:v>
      </x:c>
    </x:row>
    <x:row r="2306" ht="60" customHeight="1">
      <x:c r="A2306" s="14" t="str">
        <x:v>Строительство и ремонт (DIY)</x:v>
      </x:c>
      <x:c r="B2306" s="14" t="str">
        <x:v>Ремонт и строительство</x:v>
      </x:c>
      <x:c r="C2306" s="14" t="str">
        <x:v>Аксессуары для ремонта</x:v>
      </x:c>
      <x:c r="D2306" s="14" t="str">
        <x:v>Монтажная лента</x:v>
      </x:c>
      <x:c r="E2306" s="2" t="n">
        <x:v>8</x:v>
      </x:c>
      <x:c r="F2306" s="2" t="n">
        <x:v>0</x:v>
      </x:c>
      <x:c r="G2306" s="12" t="n">
        <x:v>785939.5966</x:v>
      </x:c>
      <x:c r="H2306" s="12" t="n">
        <x:v>41381.3350557</x:v>
      </x:c>
      <x:c r="I2306" s="13" t="n">
        <x:v>0.0584125</x:v>
      </x:c>
      <x:c r="J2306" s="2" t="n">
        <x:v>1</x:v>
      </x:c>
      <x:c r="K2306" s="2" t="n">
        <x:v>5</x:v>
      </x:c>
      <x:c r="L2306" s="12" t="n">
        <x:v>1124.6837</x:v>
      </x:c>
      <x:c r="M2306" s="13" t="n">
        <x:v>0.3579219080154944</x:v>
      </x:c>
      <x:c r="N2306" s="13" t="n">
        <x:f>H2306/G2306</x:f>
        <x:v>0.052652055240271625</x:v>
      </x:c>
      <x:c r="O2306" s="13" t="n">
        <x:f>F2306/E2306</x:f>
        <x:v>0</x:v>
      </x:c>
      <x:c r="P2306" s="2" t="str">
        <x:f>IF(AND(E2306&gt;='Итоги'!$F$5,N2306&lt;='Итоги'!$B$5,O2306&gt;='Итоги'!$D$5),"Да","Нет")</x:f>
        <x:v>Нет</x:v>
      </x:c>
    </x:row>
    <x:row r="2307" ht="60" customHeight="1">
      <x:c r="A2307" s="14" t="str">
        <x:v>Товары для детей и спорта</x:v>
      </x:c>
      <x:c r="B2307" s="14" t="str">
        <x:v>Текстиль детский</x:v>
      </x:c>
      <x:c r="C2307" s="14" t="str">
        <x:v>Постельное белье для новорожденных и малышей</x:v>
      </x:c>
      <x:c r="D2307" s="14" t="str">
        <x:v>Простыня в кроватку для новорожденных и малышей</x:v>
      </x:c>
      <x:c r="E2307" s="2" t="n">
        <x:v>2</x:v>
      </x:c>
      <x:c r="F2307" s="2" t="n">
        <x:v>0</x:v>
      </x:c>
      <x:c r="G2307" s="12" t="n">
        <x:v>95166</x:v>
      </x:c>
      <x:c r="H2307" s="12" t="n">
        <x:v>5012.977</x:v>
      </x:c>
      <x:c r="I2307" s="13" t="n">
        <x:v>0.0655</x:v>
      </x:c>
      <x:c r="J2307" s="2" t="n">
        <x:v>1</x:v>
      </x:c>
      <x:c r="K2307" s="2" t="n">
        <x:v>2</x:v>
      </x:c>
      <x:c r="L2307" s="12" t="n">
        <x:v>1133.26755</x:v>
      </x:c>
      <x:c r="M2307" s="13" t="n">
        <x:v>0.5978921043229725</x:v>
      </x:c>
      <x:c r="N2307" s="13" t="n">
        <x:f>H2307/G2307</x:f>
        <x:v>0.0526761343336906</x:v>
      </x:c>
      <x:c r="O2307" s="13" t="n">
        <x:f>F2307/E2307</x:f>
        <x:v>0</x:v>
      </x:c>
      <x:c r="P2307" s="2" t="str">
        <x:f>IF(AND(E2307&gt;='Итоги'!$F$5,N2307&lt;='Итоги'!$B$5,O2307&gt;='Итоги'!$D$5),"Да","Нет")</x:f>
        <x:v>Нет</x:v>
      </x:c>
    </x:row>
    <x:row r="2308" ht="60" customHeight="1">
      <x:c r="A2308" s="14" t="str">
        <x:v>Детская одежда</x:v>
      </x:c>
      <x:c r="B2308" s="14" t="str">
        <x:v>Детская одежда</x:v>
      </x:c>
      <x:c r="C2308" s="14" t="str">
        <x:v>Одежда спортивная для девочки</x:v>
      </x:c>
      <x:c r="D2308" s="14" t="str">
        <x:v>Толстовка спортивная для девочки</x:v>
      </x:c>
      <x:c r="E2308" s="2" t="n">
        <x:v>11</x:v>
      </x:c>
      <x:c r="F2308" s="2" t="n">
        <x:v>0</x:v>
      </x:c>
      <x:c r="G2308" s="12" t="n">
        <x:v>678117.7736</x:v>
      </x:c>
      <x:c r="H2308" s="12" t="n">
        <x:v>35743.78216648</x:v>
      </x:c>
      <x:c r="I2308" s="13" t="n">
        <x:v>0.0369727272727272</x:v>
      </x:c>
      <x:c r="J2308" s="2" t="n">
        <x:v>6</x:v>
      </x:c>
      <x:c r="K2308" s="2" t="n">
        <x:v>2</x:v>
      </x:c>
      <x:c r="L2308" s="12" t="n">
        <x:v>1685.5242</x:v>
      </x:c>
      <x:c r="M2308" s="13" t="n">
        <x:v>0.7920920738420829</x:v>
      </x:c>
      <x:c r="N2308" s="13" t="n">
        <x:f>H2308/G2308</x:f>
        <x:v>0.05271028655792779</x:v>
      </x:c>
      <x:c r="O2308" s="13" t="n">
        <x:f>F2308/E2308</x:f>
        <x:v>0</x:v>
      </x:c>
      <x:c r="P2308" s="2" t="str">
        <x:f>IF(AND(E2308&gt;='Итоги'!$F$5,N2308&lt;='Итоги'!$B$5,O2308&gt;='Итоги'!$D$5),"Да","Нет")</x:f>
        <x:v>Нет</x:v>
      </x:c>
    </x:row>
    <x:row r="2309" ht="60" customHeight="1">
      <x:c r="A2309" s="14" t="str">
        <x:v>Спорт и отдых</x:v>
      </x:c>
      <x:c r="B2309" s="14" t="str">
        <x:v>Туризм</x:v>
      </x:c>
      <x:c r="C2309" s="14" t="str">
        <x:v>Туристическая мебель</x:v>
      </x:c>
      <x:c r="D2309" s="14" t="str">
        <x:v>Кровать туристическая</x:v>
      </x:c>
      <x:c r="E2309" s="2" t="n">
        <x:v>44</x:v>
      </x:c>
      <x:c r="F2309" s="2" t="n">
        <x:v>0</x:v>
      </x:c>
      <x:c r="G2309" s="12" t="n">
        <x:v>8447985.195</x:v>
      </x:c>
      <x:c r="H2309" s="12" t="n">
        <x:v>445318.63731883</x:v>
      </x:c>
      <x:c r="I2309" s="13" t="n">
        <x:v>0.0419272727272727</x:v>
      </x:c>
      <x:c r="J2309" s="2" t="n">
        <x:v>22</x:v>
      </x:c>
      <x:c r="K2309" s="2" t="n">
        <x:v>17</x:v>
      </x:c>
      <x:c r="L2309" s="12" t="n">
        <x:v>4313.32975</x:v>
      </x:c>
      <x:c r="M2309" s="13" t="n">
        <x:v>0.5508072502013895</x:v>
      </x:c>
      <x:c r="N2309" s="13" t="n">
        <x:f>H2309/G2309</x:f>
        <x:v>0.05271299925837879</x:v>
      </x:c>
      <x:c r="O2309" s="13" t="n">
        <x:f>F2309/E2309</x:f>
        <x:v>0</x:v>
      </x:c>
      <x:c r="P2309" s="2" t="str">
        <x:f>IF(AND(E2309&gt;='Итоги'!$F$5,N2309&lt;='Итоги'!$B$5,O2309&gt;='Итоги'!$D$5),"Да","Нет")</x:f>
        <x:v>Нет</x:v>
      </x:c>
    </x:row>
    <x:row r="2310" ht="60" customHeight="1">
      <x:c r="A2310" s="14" t="str">
        <x:v>Одежда</x:v>
      </x:c>
      <x:c r="B2310" s="14" t="str">
        <x:v>Основная одежда женская</x:v>
      </x:c>
      <x:c r="C2310" s="14" t="str">
        <x:v>Спортивная основная одежда женская верха</x:v>
      </x:c>
      <x:c r="D2310" s="14" t="str">
        <x:v>Спортивный топ женский</x:v>
      </x:c>
      <x:c r="E2310" s="2" t="n">
        <x:v>145</x:v>
      </x:c>
      <x:c r="F2310" s="2" t="n">
        <x:v>0</x:v>
      </x:c>
      <x:c r="G2310" s="12" t="n">
        <x:v>16697676.7453</x:v>
      </x:c>
      <x:c r="H2310" s="12" t="n">
        <x:v>880411.6254256</x:v>
      </x:c>
      <x:c r="I2310" s="13" t="n">
        <x:v>0.0418406896551724</x:v>
      </x:c>
      <x:c r="J2310" s="2" t="n">
        <x:v>64</x:v>
      </x:c>
      <x:c r="K2310" s="2" t="n">
        <x:v>22</x:v>
      </x:c>
      <x:c r="L2310" s="12" t="n">
        <x:v>1455.2432</x:v>
      </x:c>
      <x:c r="M2310" s="13" t="n">
        <x:v>0.6982681511116126</x:v>
      </x:c>
      <x:c r="N2310" s="13" t="n">
        <x:f>H2310/G2310</x:f>
        <x:v>0.05272659417564871</x:v>
      </x:c>
      <x:c r="O2310" s="13" t="n">
        <x:f>F2310/E2310</x:f>
        <x:v>0</x:v>
      </x:c>
      <x:c r="P2310" s="2" t="str">
        <x:f>IF(AND(E2310&gt;='Итоги'!$F$5,N2310&lt;='Итоги'!$B$5,O2310&gt;='Итоги'!$D$5),"Да","Нет")</x:f>
        <x:v>Нет</x:v>
      </x:c>
    </x:row>
    <x:row r="2311" ht="60" customHeight="1">
      <x:c r="A2311" s="14" t="str">
        <x:v>Строительство и ремонт (DIY)</x:v>
      </x:c>
      <x:c r="B2311" s="14" t="str">
        <x:v>Освещение</x:v>
      </x:c>
      <x:c r="C2311" s="14" t="str">
        <x:v>Аксессуары для светильников</x:v>
      </x:c>
      <x:c r="D2311" s="14" t="str">
        <x:v>Блок питания для диодных светильников</x:v>
      </x:c>
      <x:c r="E2311" s="2" t="n">
        <x:v>37</x:v>
      </x:c>
      <x:c r="F2311" s="2" t="n">
        <x:v>0</x:v>
      </x:c>
      <x:c r="G2311" s="12" t="n">
        <x:v>4935699.8817</x:v>
      </x:c>
      <x:c r="H2311" s="12" t="n">
        <x:v>260470.9207511</x:v>
      </x:c>
      <x:c r="I2311" s="13" t="n">
        <x:v>0.0536945945945946</x:v>
      </x:c>
      <x:c r="J2311" s="2" t="n">
        <x:v>8</x:v>
      </x:c>
      <x:c r="K2311" s="2" t="n">
        <x:v>11</x:v>
      </x:c>
      <x:c r="L2311" s="12" t="n">
        <x:v>1769.0741</x:v>
      </x:c>
      <x:c r="M2311" s="13" t="n">
        <x:v>0.2165010060806105</x:v>
      </x:c>
      <x:c r="N2311" s="13" t="n">
        <x:f>H2311/G2311</x:f>
        <x:v>0.0527728441749149</x:v>
      </x:c>
      <x:c r="O2311" s="13" t="n">
        <x:f>F2311/E2311</x:f>
        <x:v>0</x:v>
      </x:c>
      <x:c r="P2311" s="2" t="str">
        <x:f>IF(AND(E2311&gt;='Итоги'!$F$5,N2311&lt;='Итоги'!$B$5,O2311&gt;='Итоги'!$D$5),"Да","Нет")</x:f>
        <x:v>Нет</x:v>
      </x:c>
    </x:row>
    <x:row r="2312" ht="60" customHeight="1">
      <x:c r="A2312" s="14" t="str">
        <x:v>Одежда</x:v>
      </x:c>
      <x:c r="B2312" s="14" t="str">
        <x:v>Основная одежда мужская</x:v>
      </x:c>
      <x:c r="C2312" s="14" t="str">
        <x:v>Спортивная основная одежда мужская верха</x:v>
      </x:c>
      <x:c r="D2312" s="14" t="str">
        <x:v>Спортивное поло мужское</x:v>
      </x:c>
      <x:c r="E2312" s="2" t="n">
        <x:v>82</x:v>
      </x:c>
      <x:c r="F2312" s="2" t="n">
        <x:v>0</x:v>
      </x:c>
      <x:c r="G2312" s="12" t="n">
        <x:v>5768124.4982</x:v>
      </x:c>
      <x:c r="H2312" s="12" t="n">
        <x:v>304738.62623397005</x:v>
      </x:c>
      <x:c r="I2312" s="13" t="n">
        <x:v>0.0381865853658536</x:v>
      </x:c>
      <x:c r="J2312" s="2" t="n">
        <x:v>59</x:v>
      </x:c>
      <x:c r="K2312" s="2" t="n">
        <x:v>13</x:v>
      </x:c>
      <x:c r="L2312" s="12" t="n">
        <x:v>1766.45665</x:v>
      </x:c>
      <x:c r="M2312" s="13" t="n">
        <x:v>0.2020764344916164</x:v>
      </x:c>
      <x:c r="N2312" s="13" t="n">
        <x:f>H2312/G2312</x:f>
        <x:v>0.05283149251183235</x:v>
      </x:c>
      <x:c r="O2312" s="13" t="n">
        <x:f>F2312/E2312</x:f>
        <x:v>0</x:v>
      </x:c>
      <x:c r="P2312" s="2" t="str">
        <x:f>IF(AND(E2312&gt;='Итоги'!$F$5,N2312&lt;='Итоги'!$B$5,O2312&gt;='Итоги'!$D$5),"Да","Нет")</x:f>
        <x:v>Нет</x:v>
      </x:c>
    </x:row>
    <x:row r="2313" ht="60" customHeight="1">
      <x:c r="A2313" s="14" t="str">
        <x:v>Автотовары</x:v>
      </x:c>
      <x:c r="B2313" s="14" t="str">
        <x:v>Дополнительное оборудование для авто и мото техники</x:v>
      </x:c>
      <x:c r="C2313" s="14" t="str">
        <x:v>Дополнительное электрооборудование для авто</x:v>
      </x:c>
      <x:c r="D2313" s="14" t="str">
        <x:v>Автосигнализация</x:v>
      </x:c>
      <x:c r="E2313" s="2" t="n">
        <x:v>132</x:v>
      </x:c>
      <x:c r="F2313" s="2" t="n">
        <x:v>0</x:v>
      </x:c>
      <x:c r="G2313" s="12" t="n">
        <x:v>23656599.4418</x:v>
      </x:c>
      <x:c r="H2313" s="12" t="n">
        <x:v>1250313.31880131</x:v>
      </x:c>
      <x:c r="I2313" s="13" t="n">
        <x:v>0.0454462121212121</x:v>
      </x:c>
      <x:c r="J2313" s="2" t="n">
        <x:v>35</x:v>
      </x:c>
      <x:c r="K2313" s="2" t="n">
        <x:v>34</x:v>
      </x:c>
      <x:c r="L2313" s="12" t="n">
        <x:v>2934.9498000000003</x:v>
      </x:c>
      <x:c r="M2313" s="13" t="n">
        <x:v>0.3121584075584328</x:v>
      </x:c>
      <x:c r="N2313" s="13" t="n">
        <x:f>H2313/G2313</x:f>
        <x:v>0.05285262245223928</x:v>
      </x:c>
      <x:c r="O2313" s="13" t="n">
        <x:f>F2313/E2313</x:f>
        <x:v>0</x:v>
      </x:c>
      <x:c r="P2313" s="2" t="str">
        <x:f>IF(AND(E2313&gt;='Итоги'!$F$5,N2313&lt;='Итоги'!$B$5,O2313&gt;='Итоги'!$D$5),"Да","Нет")</x:f>
        <x:v>Нет</x:v>
      </x:c>
    </x:row>
    <x:row r="2314" ht="60" customHeight="1">
      <x:c r="A2314" s="14" t="str">
        <x:v>Аптека</x:v>
      </x:c>
      <x:c r="B2314" s="14" t="str">
        <x:v>Средства реабилитации</x:v>
      </x:c>
      <x:c r="C2314" s="14" t="str">
        <x:v>Средства по уходу за лежачими больными</x:v>
      </x:c>
      <x:c r="D2314" s="14" t="str">
        <x:v>Противопролежневые матрасы и подушки</x:v>
      </x:c>
      <x:c r="E2314" s="2" t="n">
        <x:v>24</x:v>
      </x:c>
      <x:c r="F2314" s="2" t="n">
        <x:v>0</x:v>
      </x:c>
      <x:c r="G2314" s="12" t="n">
        <x:v>4891795.7015</x:v>
      </x:c>
      <x:c r="H2314" s="12" t="n">
        <x:v>258645.78445425</x:v>
      </x:c>
      <x:c r="I2314" s="13" t="n">
        <x:v>0.0379791666666666</x:v>
      </x:c>
      <x:c r="J2314" s="2" t="n">
        <x:v>11</x:v>
      </x:c>
      <x:c r="K2314" s="2" t="n">
        <x:v>5</x:v>
      </x:c>
      <x:c r="L2314" s="12" t="n">
        <x:v>3784.5878</x:v>
      </x:c>
      <x:c r="M2314" s="13" t="n">
        <x:v>0.7428277508984601</x:v>
      </x:c>
      <x:c r="N2314" s="13" t="n">
        <x:f>H2314/G2314</x:f>
        <x:v>0.052873382339932946</x:v>
      </x:c>
      <x:c r="O2314" s="13" t="n">
        <x:f>F2314/E2314</x:f>
        <x:v>0</x:v>
      </x:c>
      <x:c r="P2314" s="2" t="str">
        <x:f>IF(AND(E2314&gt;='Итоги'!$F$5,N2314&lt;='Итоги'!$B$5,O2314&gt;='Итоги'!$D$5),"Да","Нет")</x:f>
        <x:v>Нет</x:v>
      </x:c>
    </x:row>
    <x:row r="2315" ht="60" customHeight="1">
      <x:c r="A2315" s="14" t="str">
        <x:v>Аптека</x:v>
      </x:c>
      <x:c r="B2315" s="14" t="str">
        <x:v>Витамины и БАДы</x:v>
      </x:c>
      <x:c r="C2315" s="14" t="str">
        <x:v>Контроль веса</x:v>
      </x:c>
      <x:c r="D2315" s="14" t="str">
        <x:v>БАД комплексы для ускорения обмена веществ</x:v>
      </x:c>
      <x:c r="E2315" s="2" t="n">
        <x:v>16</x:v>
      </x:c>
      <x:c r="F2315" s="2" t="n">
        <x:v>0</x:v>
      </x:c>
      <x:c r="G2315" s="12" t="n">
        <x:v>2814669.2176</x:v>
      </x:c>
      <x:c r="H2315" s="12" t="n">
        <x:v>148902.04264812</x:v>
      </x:c>
      <x:c r="I2315" s="13" t="n">
        <x:v>0.0513812499999999</x:v>
      </x:c>
      <x:c r="J2315" s="2" t="n">
        <x:v>8</x:v>
      </x:c>
      <x:c r="K2315" s="2" t="n">
        <x:v>4</x:v>
      </x:c>
      <x:c r="L2315" s="12" t="n">
        <x:v>2081.2847500000003</x:v>
      </x:c>
      <x:c r="M2315" s="13" t="n">
        <x:v>0.7137516084085376</x:v>
      </x:c>
      <x:c r="N2315" s="13" t="n">
        <x:f>H2315/G2315</x:f>
        <x:v>0.052902146268926455</x:v>
      </x:c>
      <x:c r="O2315" s="13" t="n">
        <x:f>F2315/E2315</x:f>
        <x:v>0</x:v>
      </x:c>
      <x:c r="P2315" s="2" t="str">
        <x:f>IF(AND(E2315&gt;='Итоги'!$F$5,N2315&lt;='Итоги'!$B$5,O2315&gt;='Итоги'!$D$5),"Да","Нет")</x:f>
        <x:v>Нет</x:v>
      </x:c>
    </x:row>
    <x:row r="2316" ht="60" customHeight="1">
      <x:c r="A2316" s="14" t="str">
        <x:v>Товары для красоты и здоровья</x:v>
      </x:c>
      <x:c r="B2316" s="14" t="str">
        <x:v>Косметика для ухода за волосами</x:v>
      </x:c>
      <x:c r="C2316" s="14" t="str">
        <x:v>Уход за волосами для женщин</x:v>
      </x:c>
      <x:c r="D2316" s="14" t="str">
        <x:v>Жидкий шампунь для волос женский</x:v>
      </x:c>
      <x:c r="E2316" s="2" t="n">
        <x:v>396</x:v>
      </x:c>
      <x:c r="F2316" s="2" t="n">
        <x:v>0</x:v>
      </x:c>
      <x:c r="G2316" s="12" t="n">
        <x:v>58279732.542</x:v>
      </x:c>
      <x:c r="H2316" s="12" t="n">
        <x:v>3083806.20758468</x:v>
      </x:c>
      <x:c r="I2316" s="13" t="n">
        <x:v>0.0445681818181818</x:v>
      </x:c>
      <x:c r="J2316" s="2" t="n">
        <x:v>149</x:v>
      </x:c>
      <x:c r="K2316" s="2" t="n">
        <x:v>56</x:v>
      </x:c>
      <x:c r="L2316" s="12" t="n">
        <x:v>1353.53895</x:v>
      </x:c>
      <x:c r="M2316" s="13" t="n">
        <x:v>0.5936834626628613</x:v>
      </x:c>
      <x:c r="N2316" s="13" t="n">
        <x:f>H2316/G2316</x:f>
        <x:v>0.05291387027835616</x:v>
      </x:c>
      <x:c r="O2316" s="13" t="n">
        <x:f>F2316/E2316</x:f>
        <x:v>0</x:v>
      </x:c>
      <x:c r="P2316" s="2" t="str">
        <x:f>IF(AND(E2316&gt;='Итоги'!$F$5,N2316&lt;='Итоги'!$B$5,O2316&gt;='Итоги'!$D$5),"Да","Нет")</x:f>
        <x:v>Нет</x:v>
      </x:c>
    </x:row>
    <x:row r="2317" ht="60" customHeight="1">
      <x:c r="A2317" s="14" t="str">
        <x:v>Товары для красоты и здоровья</x:v>
      </x:c>
      <x:c r="B2317" s="14" t="str">
        <x:v>Декоративная косметика</x:v>
      </x:c>
      <x:c r="C2317" s="14" t="str">
        <x:v>Тон для лица</x:v>
      </x:c>
      <x:c r="D2317" s="14" t="str">
        <x:v>Фиксатор макияжа</x:v>
      </x:c>
      <x:c r="E2317" s="2" t="n">
        <x:v>3</x:v>
      </x:c>
      <x:c r="F2317" s="2" t="n">
        <x:v>0</x:v>
      </x:c>
      <x:c r="G2317" s="12" t="n">
        <x:v>638364.7694</x:v>
      </x:c>
      <x:c r="H2317" s="12" t="n">
        <x:v>33942.787707</x:v>
      </x:c>
      <x:c r="I2317" s="13" t="n">
        <x:v>0.1129666666666666</x:v>
      </x:c>
      <x:c r="J2317" s="2" t="n">
        <x:v>1</x:v>
      </x:c>
      <x:c r="K2317" s="2" t="n">
        <x:v>2</x:v>
      </x:c>
      <x:c r="L2317" s="12" t="n">
        <x:v>1212.7266</x:v>
      </x:c>
      <x:c r="M2317" s="13" t="n">
        <x:v>0.8651185119740726</x:v>
      </x:c>
      <x:c r="N2317" s="13" t="n">
        <x:f>H2317/G2317</x:f>
        <x:v>0.053171461418371944</x:v>
      </x:c>
      <x:c r="O2317" s="13" t="n">
        <x:f>F2317/E2317</x:f>
        <x:v>0</x:v>
      </x:c>
      <x:c r="P2317" s="2" t="str">
        <x:f>IF(AND(E2317&gt;='Итоги'!$F$5,N2317&lt;='Итоги'!$B$5,O2317&gt;='Итоги'!$D$5),"Да","Нет")</x:f>
        <x:v>Нет</x:v>
      </x:c>
    </x:row>
    <x:row r="2318" ht="60" customHeight="1">
      <x:c r="A2318" s="14" t="str">
        <x:v>Спорт и отдых</x:v>
      </x:c>
      <x:c r="B2318" s="14" t="str">
        <x:v>Зимние виды спорта</x:v>
      </x:c>
      <x:c r="C2318" s="14" t="str">
        <x:v>Хоккей</x:v>
      </x:c>
      <x:c r="D2318" s="14" t="str">
        <x:v>Аксессуары для хоккея</x:v>
      </x:c>
      <x:c r="E2318" s="2" t="n">
        <x:v>3</x:v>
      </x:c>
      <x:c r="F2318" s="2" t="n">
        <x:v>0</x:v>
      </x:c>
      <x:c r="G2318" s="12" t="n">
        <x:v>397564.4759</x:v>
      </x:c>
      <x:c r="H2318" s="12" t="n">
        <x:v>21148.33743942</x:v>
      </x:c>
      <x:c r="I2318" s="13" t="n">
        <x:v>0.0549</x:v>
      </x:c>
      <x:c r="J2318" s="2" t="n">
        <x:v>1</x:v>
      </x:c>
      <x:c r="K2318" s="2" t="n">
        <x:v>2</x:v>
      </x:c>
      <x:c r="L2318" s="12" t="n">
        <x:v>13106.8</x:v>
      </x:c>
      <x:c r="M2318" s="13" t="n">
        <x:v>0.6703226572160644</x:v>
      </x:c>
      <x:c r="N2318" s="13" t="n">
        <x:f>H2318/G2318</x:f>
        <x:v>0.05319473625389878</x:v>
      </x:c>
      <x:c r="O2318" s="13" t="n">
        <x:f>F2318/E2318</x:f>
        <x:v>0</x:v>
      </x:c>
      <x:c r="P2318" s="2" t="str">
        <x:f>IF(AND(E2318&gt;='Итоги'!$F$5,N2318&lt;='Итоги'!$B$5,O2318&gt;='Итоги'!$D$5),"Да","Нет")</x:f>
        <x:v>Нет</x:v>
      </x:c>
    </x:row>
    <x:row r="2319" ht="60" customHeight="1">
      <x:c r="A2319" s="14" t="str">
        <x:v>Автотовары</x:v>
      </x:c>
      <x:c r="B2319" s="14" t="str">
        <x:v>Авто и мото запчасти</x:v>
      </x:c>
      <x:c r="C2319" s="14" t="str">
        <x:v>Кузовные детали</x:v>
      </x:c>
      <x:c r="D2319" s="14" t="str">
        <x:v>Упор, амортизатор багажника и капота</x:v>
      </x:c>
      <x:c r="E2319" s="2" t="n">
        <x:v>34</x:v>
      </x:c>
      <x:c r="F2319" s="2" t="n">
        <x:v>0</x:v>
      </x:c>
      <x:c r="G2319" s="12" t="n">
        <x:v>5435292.2471</x:v>
      </x:c>
      <x:c r="H2319" s="12" t="n">
        <x:v>289139.13917751</x:v>
      </x:c>
      <x:c r="I2319" s="13" t="n">
        <x:v>0.0526411764705882</x:v>
      </x:c>
      <x:c r="J2319" s="2" t="n">
        <x:v>11</x:v>
      </x:c>
      <x:c r="K2319" s="2" t="n">
        <x:v>10</x:v>
      </x:c>
      <x:c r="L2319" s="12" t="n">
        <x:v>1873.29035</x:v>
      </x:c>
      <x:c r="M2319" s="13" t="n">
        <x:v>0.417338197630547</x:v>
      </x:c>
      <x:c r="N2319" s="13" t="n">
        <x:f>H2319/G2319</x:f>
        <x:v>0.05319661317784341</x:v>
      </x:c>
      <x:c r="O2319" s="13" t="n">
        <x:f>F2319/E2319</x:f>
        <x:v>0</x:v>
      </x:c>
      <x:c r="P2319" s="2" t="str">
        <x:f>IF(AND(E2319&gt;='Итоги'!$F$5,N2319&lt;='Итоги'!$B$5,O2319&gt;='Итоги'!$D$5),"Да","Нет")</x:f>
        <x:v>Нет</x:v>
      </x:c>
    </x:row>
    <x:row r="2320" ht="60" customHeight="1">
      <x:c r="A2320" s="14" t="str">
        <x:v>Товары для дома</x:v>
      </x:c>
      <x:c r="B2320" s="14" t="str">
        <x:v>Интерьер и декор</x:v>
      </x:c>
      <x:c r="C2320" s="14" t="str">
        <x:v>Принадлежности, аксессуары для курения</x:v>
      </x:c>
      <x:c r="D2320" s="14" t="str">
        <x:v>Аксессуары для трубки</x:v>
      </x:c>
      <x:c r="E2320" s="2" t="n">
        <x:v>1</x:v>
      </x:c>
      <x:c r="F2320" s="2" t="n">
        <x:v>0</x:v>
      </x:c>
      <x:c r="G2320" s="12" t="n">
        <x:v>99639.4927</x:v>
      </x:c>
      <x:c r="H2320" s="12" t="n">
        <x:v>5300.82101164</x:v>
      </x:c>
      <x:c r="I2320" s="13" t="n">
        <x:v>0.0532</x:v>
      </x:c>
      <x:c r="J2320" s="2" t="n">
        <x:v>0</x:v>
      </x:c>
      <x:c r="K2320" s="2" t="n">
        <x:v>1</x:v>
      </x:c>
      <x:c r="L2320" s="12" t="n">
        <x:v>1172.2293</x:v>
      </x:c>
      <x:c r="M2320" s="13" t="n">
        <x:v>1</x:v>
      </x:c>
      <x:c r="N2320" s="13" t="n">
        <x:f>H2320/G2320</x:f>
        <x:v>0.0532</x:v>
      </x:c>
      <x:c r="O2320" s="13" t="n">
        <x:f>F2320/E2320</x:f>
        <x:v>0</x:v>
      </x:c>
      <x:c r="P2320" s="2" t="str">
        <x:f>IF(AND(E2320&gt;='Итоги'!$F$5,N2320&lt;='Итоги'!$B$5,O2320&gt;='Итоги'!$D$5),"Да","Нет")</x:f>
        <x:v>Нет</x:v>
      </x:c>
    </x:row>
    <x:row r="2321" ht="60" customHeight="1">
      <x:c r="A2321" s="14" t="str">
        <x:v>Одежда</x:v>
      </x:c>
      <x:c r="B2321" s="14" t="str">
        <x:v>Белье, домашняя одежда и ЧНИ</x:v>
      </x:c>
      <x:c r="C2321" s="14" t="str">
        <x:v>Белье женское</x:v>
      </x:c>
      <x:c r="D2321" s="14" t="str">
        <x:v>Бюстгальтер</x:v>
      </x:c>
      <x:c r="E2321" s="2" t="n">
        <x:v>878</x:v>
      </x:c>
      <x:c r="F2321" s="2" t="n">
        <x:v>0</x:v>
      </x:c>
      <x:c r="G2321" s="12" t="n">
        <x:v>103636626.6821</x:v>
      </x:c>
      <x:c r="H2321" s="12" t="n">
        <x:v>5518113.07709352</x:v>
      </x:c>
      <x:c r="I2321" s="13" t="n">
        <x:v>0.0517372437357631</x:v>
      </x:c>
      <x:c r="J2321" s="2" t="n">
        <x:v>194</x:v>
      </x:c>
      <x:c r="K2321" s="2" t="n">
        <x:v>52</x:v>
      </x:c>
      <x:c r="L2321" s="12" t="n">
        <x:v>1181.6371</x:v>
      </x:c>
      <x:c r="M2321" s="13" t="n">
        <x:v>0.5612566734425224</x:v>
      </x:c>
      <x:c r="N2321" s="13" t="n">
        <x:f>H2321/G2321</x:f>
        <x:v>0.05324481559999099</x:v>
      </x:c>
      <x:c r="O2321" s="13" t="n">
        <x:f>F2321/E2321</x:f>
        <x:v>0</x:v>
      </x:c>
      <x:c r="P2321" s="2" t="str">
        <x:f>IF(AND(E2321&gt;='Итоги'!$F$5,N2321&lt;='Итоги'!$B$5,O2321&gt;='Итоги'!$D$5),"Да","Нет")</x:f>
        <x:v>Нет</x:v>
      </x:c>
    </x:row>
    <x:row r="2322" ht="60" customHeight="1">
      <x:c r="A2322" s="14" t="str">
        <x:v>Спорт и отдых</x:v>
      </x:c>
      <x:c r="B2322" s="14" t="str">
        <x:v>Тренажеры и фитнес</x:v>
      </x:c>
      <x:c r="C2322" s="14" t="str">
        <x:v>Кросстренинг и тяжёлая атлетика</x:v>
      </x:c>
      <x:c r="D2322" s="14" t="str">
        <x:v>Кольца тренировочные</x:v>
      </x:c>
      <x:c r="E2322" s="2" t="n">
        <x:v>2</x:v>
      </x:c>
      <x:c r="F2322" s="2" t="n">
        <x:v>0</x:v>
      </x:c>
      <x:c r="G2322" s="12" t="n">
        <x:v>353507.8519</x:v>
      </x:c>
      <x:c r="H2322" s="12" t="n">
        <x:v>18836.2884583</x:v>
      </x:c>
      <x:c r="I2322" s="13" t="n">
        <x:v>0.0539</x:v>
      </x:c>
      <x:c r="J2322" s="2" t="n">
        <x:v>0</x:v>
      </x:c>
      <x:c r="K2322" s="2" t="n">
        <x:v>1</x:v>
      </x:c>
      <x:c r="L2322" s="12" t="n">
        <x:v>1888.8996</x:v>
      </x:c>
      <x:c r="M2322" s="13" t="n">
        <x:v>1</x:v>
      </x:c>
      <x:c r="N2322" s="13" t="n">
        <x:f>H2322/G2322</x:f>
        <x:v>0.05328393232868953</x:v>
      </x:c>
      <x:c r="O2322" s="13" t="n">
        <x:f>F2322/E2322</x:f>
        <x:v>0</x:v>
      </x:c>
      <x:c r="P2322" s="2" t="str">
        <x:f>IF(AND(E2322&gt;='Итоги'!$F$5,N2322&lt;='Итоги'!$B$5,O2322&gt;='Итоги'!$D$5),"Да","Нет")</x:f>
        <x:v>Нет</x:v>
      </x:c>
    </x:row>
    <x:row r="2323" ht="60" customHeight="1">
      <x:c r="A2323" s="14" t="str">
        <x:v>Бытовая химия и гигиена рта</x:v>
      </x:c>
      <x:c r="B2323" s="14" t="str">
        <x:v>Средства для стирки</x:v>
      </x:c>
      <x:c r="C2323" s="14" t="str">
        <x:v>Вспомогательные средства для стирки и глажения</x:v>
      </x:c>
      <x:c r="D2323" s="14" t="str">
        <x:v>Вспомогательные средства для стирки</x:v>
      </x:c>
      <x:c r="E2323" s="2" t="n">
        <x:v>8</x:v>
      </x:c>
      <x:c r="F2323" s="2" t="n">
        <x:v>0</x:v>
      </x:c>
      <x:c r="G2323" s="12" t="n">
        <x:v>1338618.0821</x:v>
      </x:c>
      <x:c r="H2323" s="12" t="n">
        <x:v>71367.98126548</x:v>
      </x:c>
      <x:c r="I2323" s="13" t="n">
        <x:v>0.0700625</x:v>
      </x:c>
      <x:c r="J2323" s="2" t="n">
        <x:v>4</x:v>
      </x:c>
      <x:c r="K2323" s="2" t="n">
        <x:v>3</x:v>
      </x:c>
      <x:c r="L2323" s="12" t="n">
        <x:v>990.5906</x:v>
      </x:c>
      <x:c r="M2323" s="13" t="n">
        <x:v>0.8420630445479025</x:v>
      </x:c>
      <x:c r="N2323" s="13" t="n">
        <x:f>H2323/G2323</x:f>
        <x:v>0.053314669971825865</x:v>
      </x:c>
      <x:c r="O2323" s="13" t="n">
        <x:f>F2323/E2323</x:f>
        <x:v>0</x:v>
      </x:c>
      <x:c r="P2323" s="2" t="str">
        <x:f>IF(AND(E2323&gt;='Итоги'!$F$5,N2323&lt;='Итоги'!$B$5,O2323&gt;='Итоги'!$D$5),"Да","Нет")</x:f>
        <x:v>Нет</x:v>
      </x:c>
    </x:row>
    <x:row r="2324" ht="60" customHeight="1">
      <x:c r="A2324" s="14" t="str">
        <x:v>Строительство и ремонт (DIY)</x:v>
      </x:c>
      <x:c r="B2324" s="14" t="str">
        <x:v>Инструменты</x:v>
      </x:c>
      <x:c r="C2324" s="14" t="str">
        <x:v>Электроинструмент для строительства, ремонта</x:v>
      </x:c>
      <x:c r="D2324" s="14" t="str">
        <x:v>Миксер строительный</x:v>
      </x:c>
      <x:c r="E2324" s="2" t="n">
        <x:v>20</x:v>
      </x:c>
      <x:c r="F2324" s="2" t="n">
        <x:v>0</x:v>
      </x:c>
      <x:c r="G2324" s="12" t="n">
        <x:v>3633204.1002</x:v>
      </x:c>
      <x:c r="H2324" s="12" t="n">
        <x:v>193854.6325269</x:v>
      </x:c>
      <x:c r="I2324" s="13" t="n">
        <x:v>0.03773</x:v>
      </x:c>
      <x:c r="J2324" s="2" t="n">
        <x:v>9</x:v>
      </x:c>
      <x:c r="K2324" s="2" t="n">
        <x:v>5</x:v>
      </x:c>
      <x:c r="L2324" s="12" t="n">
        <x:v>5344.552949999999</x:v>
      </x:c>
      <x:c r="M2324" s="13" t="n">
        <x:v>0.8245419243127826</x:v>
      </x:c>
      <x:c r="N2324" s="13" t="n">
        <x:f>H2324/G2324</x:f>
        <x:v>0.053356383836577946</x:v>
      </x:c>
      <x:c r="O2324" s="13" t="n">
        <x:f>F2324/E2324</x:f>
        <x:v>0</x:v>
      </x:c>
      <x:c r="P2324" s="2" t="str">
        <x:f>IF(AND(E2324&gt;='Итоги'!$F$5,N2324&lt;='Итоги'!$B$5,O2324&gt;='Итоги'!$D$5),"Да","Нет")</x:f>
        <x:v>Нет</x:v>
      </x:c>
    </x:row>
    <x:row r="2325" ht="60" customHeight="1">
      <x:c r="A2325" s="14" t="str">
        <x:v>Одежда</x:v>
      </x:c>
      <x:c r="B2325" s="14" t="str">
        <x:v>Основная одежда мужская</x:v>
      </x:c>
      <x:c r="C2325" s="14" t="str">
        <x:v>Пляжная одежда мужская</x:v>
      </x:c>
      <x:c r="D2325" s="14" t="str">
        <x:v>Спортивные плавки мужские</x:v>
      </x:c>
      <x:c r="E2325" s="2" t="n">
        <x:v>61</x:v>
      </x:c>
      <x:c r="F2325" s="2" t="n">
        <x:v>0</x:v>
      </x:c>
      <x:c r="G2325" s="12" t="n">
        <x:v>5984963.2884</x:v>
      </x:c>
      <x:c r="H2325" s="12" t="n">
        <x:v>319792.56538801</x:v>
      </x:c>
      <x:c r="I2325" s="13" t="n">
        <x:v>0.0447983606557377</x:v>
      </x:c>
      <x:c r="J2325" s="2" t="n">
        <x:v>31</x:v>
      </x:c>
      <x:c r="K2325" s="2" t="n">
        <x:v>9</x:v>
      </x:c>
      <x:c r="L2325" s="12" t="n">
        <x:v>1106.1778</x:v>
      </x:c>
      <x:c r="M2325" s="13" t="n">
        <x:v>0.6623300325138215</x:v>
      </x:c>
      <x:c r="N2325" s="13" t="n">
        <x:f>H2325/G2325</x:f>
        <x:v>0.05343266950489554</x:v>
      </x:c>
      <x:c r="O2325" s="13" t="n">
        <x:f>F2325/E2325</x:f>
        <x:v>0</x:v>
      </x:c>
      <x:c r="P2325" s="2" t="str">
        <x:f>IF(AND(E2325&gt;='Итоги'!$F$5,N2325&lt;='Итоги'!$B$5,O2325&gt;='Итоги'!$D$5),"Да","Нет")</x:f>
        <x:v>Нет</x:v>
      </x:c>
    </x:row>
    <x:row r="2326" ht="60" customHeight="1">
      <x:c r="A2326" s="14" t="str">
        <x:v>Аптека</x:v>
      </x:c>
      <x:c r="B2326" s="14" t="str">
        <x:v>Парафармацевтика</x:v>
      </x:c>
      <x:c r="C2326" s="14" t="str">
        <x:v>Парафармацевтика</x:v>
      </x:c>
      <x:c r="D2326" s="14" t="str">
        <x:v>Средства для защиты от перхоти</x:v>
      </x:c>
      <x:c r="E2326" s="2" t="n">
        <x:v>4</x:v>
      </x:c>
      <x:c r="F2326" s="2" t="n">
        <x:v>0</x:v>
      </x:c>
      <x:c r="G2326" s="12" t="n">
        <x:v>685804.7557999999</x:v>
      </x:c>
      <x:c r="H2326" s="12" t="n">
        <x:v>36654.399174000006</x:v>
      </x:c>
      <x:c r="I2326" s="13" t="n">
        <x:v>0.064425</x:v>
      </x:c>
      <x:c r="J2326" s="2" t="n">
        <x:v>1</x:v>
      </x:c>
      <x:c r="K2326" s="2" t="n">
        <x:v>4</x:v>
      </x:c>
      <x:c r="L2326" s="12" t="n">
        <x:v>955.36605</x:v>
      </x:c>
      <x:c r="M2326" s="13" t="n">
        <x:v>0.3433170210745278</x:v>
      </x:c>
      <x:c r="N2326" s="13" t="n">
        <x:f>H2326/G2326</x:f>
        <x:v>0.053447280532842305</x:v>
      </x:c>
      <x:c r="O2326" s="13" t="n">
        <x:f>F2326/E2326</x:f>
        <x:v>0</x:v>
      </x:c>
      <x:c r="P2326" s="2" t="str">
        <x:f>IF(AND(E2326&gt;='Итоги'!$F$5,N2326&lt;='Итоги'!$B$5,O2326&gt;='Итоги'!$D$5),"Да","Нет")</x:f>
        <x:v>Нет</x:v>
      </x:c>
    </x:row>
    <x:row r="2327" ht="60" customHeight="1">
      <x:c r="A2327" s="14" t="str">
        <x:v>Товары для животных</x:v>
      </x:c>
      <x:c r="B2327" s="14" t="str">
        <x:v>Зоокорм, витамины</x:v>
      </x:c>
      <x:c r="C2327" s="14" t="str">
        <x:v>Зоокорм, витамины для сельхоз животных</x:v>
      </x:c>
      <x:c r="D2327" s="14" t="str">
        <x:v>Корм для лошадей</x:v>
      </x:c>
      <x:c r="E2327" s="2" t="n">
        <x:v>10</x:v>
      </x:c>
      <x:c r="F2327" s="2" t="n">
        <x:v>0</x:v>
      </x:c>
      <x:c r="G2327" s="12" t="n">
        <x:v>1534865</x:v>
      </x:c>
      <x:c r="H2327" s="12" t="n">
        <x:v>82146.0039</x:v>
      </x:c>
      <x:c r="I2327" s="13" t="n">
        <x:v>0.059</x:v>
      </x:c>
      <x:c r="J2327" s="2" t="n">
        <x:v>4</x:v>
      </x:c>
      <x:c r="K2327" s="2" t="n">
        <x:v>1</x:v>
      </x:c>
      <x:c r="L2327" s="12" t="n">
        <x:v>2507.0432</x:v>
      </x:c>
      <x:c r="M2327" s="13" t="n">
        <x:v>1</x:v>
      </x:c>
      <x:c r="N2327" s="13" t="n">
        <x:f>H2327/G2327</x:f>
        <x:v>0.05352001895932215</x:v>
      </x:c>
      <x:c r="O2327" s="13" t="n">
        <x:f>F2327/E2327</x:f>
        <x:v>0</x:v>
      </x:c>
      <x:c r="P2327" s="2" t="str">
        <x:f>IF(AND(E2327&gt;='Итоги'!$F$5,N2327&lt;='Итоги'!$B$5,O2327&gt;='Итоги'!$D$5),"Да","Нет")</x:f>
        <x:v>Нет</x:v>
      </x:c>
    </x:row>
    <x:row r="2328" ht="60" customHeight="1">
      <x:c r="A2328" s="14" t="str">
        <x:v>Спорт и отдых</x:v>
      </x:c>
      <x:c r="B2328" s="14" t="str">
        <x:v>Колесный транспорт</x:v>
      </x:c>
      <x:c r="C2328" s="14" t="str">
        <x:v>Запчасти для велосипеда</x:v>
      </x:c>
      <x:c r="D2328" s="14" t="str">
        <x:v>Тормозная система для велосипеда</x:v>
      </x:c>
      <x:c r="E2328" s="2" t="n">
        <x:v>25</x:v>
      </x:c>
      <x:c r="F2328" s="2" t="n">
        <x:v>0</x:v>
      </x:c>
      <x:c r="G2328" s="12" t="n">
        <x:v>3140493.006</x:v>
      </x:c>
      <x:c r="H2328" s="12" t="n">
        <x:v>168123.71052283</x:v>
      </x:c>
      <x:c r="I2328" s="13" t="n">
        <x:v>0.05246</x:v>
      </x:c>
      <x:c r="J2328" s="2" t="n">
        <x:v>11</x:v>
      </x:c>
      <x:c r="K2328" s="2" t="n">
        <x:v>13</x:v>
      </x:c>
      <x:c r="L2328" s="12" t="n">
        <x:v>1522.6279</x:v>
      </x:c>
      <x:c r="M2328" s="13" t="n">
        <x:v>0.2655021232357427</x:v>
      </x:c>
      <x:c r="N2328" s="13" t="n">
        <x:f>H2328/G2328</x:f>
        <x:v>0.053534177659884906</x:v>
      </x:c>
      <x:c r="O2328" s="13" t="n">
        <x:f>F2328/E2328</x:f>
        <x:v>0</x:v>
      </x:c>
      <x:c r="P2328" s="2" t="str">
        <x:f>IF(AND(E2328&gt;='Итоги'!$F$5,N2328&lt;='Итоги'!$B$5,O2328&gt;='Итоги'!$D$5),"Да","Нет")</x:f>
        <x:v>Нет</x:v>
      </x:c>
    </x:row>
    <x:row r="2329" ht="60" customHeight="1">
      <x:c r="A2329" s="14" t="str">
        <x:v>Спорт и отдых</x:v>
      </x:c>
      <x:c r="B2329" s="14" t="str">
        <x:v>Водные виды спорта</x:v>
      </x:c>
      <x:c r="C2329" s="14" t="str">
        <x:v>Плавание</x:v>
      </x:c>
      <x:c r="D2329" s="14" t="str">
        <x:v>Маска для плавания</x:v>
      </x:c>
      <x:c r="E2329" s="2" t="n">
        <x:v>66</x:v>
      </x:c>
      <x:c r="F2329" s="2" t="n">
        <x:v>0</x:v>
      </x:c>
      <x:c r="G2329" s="12" t="n">
        <x:v>9630227.8091</x:v>
      </x:c>
      <x:c r="H2329" s="12" t="n">
        <x:v>515694.43244574</x:v>
      </x:c>
      <x:c r="I2329" s="13" t="n">
        <x:v>0.0547984848484848</x:v>
      </x:c>
      <x:c r="J2329" s="2" t="n">
        <x:v>21</x:v>
      </x:c>
      <x:c r="K2329" s="2" t="n">
        <x:v>28</x:v>
      </x:c>
      <x:c r="L2329" s="12" t="n">
        <x:v>1830.65555</x:v>
      </x:c>
      <x:c r="M2329" s="13" t="n">
        <x:v>0.2954869774639254</x:v>
      </x:c>
      <x:c r="N2329" s="13" t="n">
        <x:f>H2329/G2329</x:f>
        <x:v>0.05354955694385952</x:v>
      </x:c>
      <x:c r="O2329" s="13" t="n">
        <x:f>F2329/E2329</x:f>
        <x:v>0</x:v>
      </x:c>
      <x:c r="P2329" s="2" t="str">
        <x:f>IF(AND(E2329&gt;='Итоги'!$F$5,N2329&lt;='Итоги'!$B$5,O2329&gt;='Итоги'!$D$5),"Да","Нет")</x:f>
        <x:v>Нет</x:v>
      </x:c>
    </x:row>
    <x:row r="2330" ht="60" customHeight="1">
      <x:c r="A2330" s="14" t="str">
        <x:v>Строительство и ремонт (DIY)</x:v>
      </x:c>
      <x:c r="B2330" s="14" t="str">
        <x:v>Ремонт и строительство</x:v>
      </x:c>
      <x:c r="C2330" s="14" t="str">
        <x:v>Столярные изделия</x:v>
      </x:c>
      <x:c r="D2330" s="14" t="str">
        <x:v>Материал для обивки двери</x:v>
      </x:c>
      <x:c r="E2330" s="2" t="n">
        <x:v>4</x:v>
      </x:c>
      <x:c r="F2330" s="2" t="n">
        <x:v>0</x:v>
      </x:c>
      <x:c r="G2330" s="12" t="n">
        <x:v>435484.2213</x:v>
      </x:c>
      <x:c r="H2330" s="12" t="n">
        <x:v>23328.78997805</x:v>
      </x:c>
      <x:c r="I2330" s="13" t="n">
        <x:v>0.057425</x:v>
      </x:c>
      <x:c r="J2330" s="2" t="n">
        <x:v>0</x:v>
      </x:c>
      <x:c r="K2330" s="2" t="n">
        <x:v>1</x:v>
      </x:c>
      <x:c r="L2330" s="12" t="n">
        <x:v>1114.29855</x:v>
      </x:c>
      <x:c r="M2330" s="13" t="n">
        <x:v>1</x:v>
      </x:c>
      <x:c r="N2330" s="13" t="n">
        <x:f>H2330/G2330</x:f>
        <x:v>0.05356977092857532</x:v>
      </x:c>
      <x:c r="O2330" s="13" t="n">
        <x:f>F2330/E2330</x:f>
        <x:v>0</x:v>
      </x:c>
      <x:c r="P2330" s="2" t="str">
        <x:f>IF(AND(E2330&gt;='Итоги'!$F$5,N2330&lt;='Итоги'!$B$5,O2330&gt;='Итоги'!$D$5),"Да","Нет")</x:f>
        <x:v>Нет</x:v>
      </x:c>
    </x:row>
    <x:row r="2331" ht="60" customHeight="1">
      <x:c r="A2331" s="14" t="str">
        <x:v>Спорт и отдых</x:v>
      </x:c>
      <x:c r="B2331" s="14" t="str">
        <x:v>Тренажеры и фитнес</x:v>
      </x:c>
      <x:c r="C2331" s="14" t="str">
        <x:v>Фитнес</x:v>
      </x:c>
      <x:c r="D2331" s="14" t="str">
        <x:v>Степ платформа</x:v>
      </x:c>
      <x:c r="E2331" s="2" t="n">
        <x:v>8</x:v>
      </x:c>
      <x:c r="F2331" s="2" t="n">
        <x:v>0</x:v>
      </x:c>
      <x:c r="G2331" s="12" t="n">
        <x:v>872776.3643</x:v>
      </x:c>
      <x:c r="H2331" s="12" t="n">
        <x:v>46757.713659</x:v>
      </x:c>
      <x:c r="I2331" s="13" t="n">
        <x:v>0.0612625</x:v>
      </x:c>
      <x:c r="J2331" s="2" t="n">
        <x:v>3</x:v>
      </x:c>
      <x:c r="K2331" s="2" t="n">
        <x:v>5</x:v>
      </x:c>
      <x:c r="L2331" s="12" t="n">
        <x:v>2056.7688</x:v>
      </x:c>
      <x:c r="M2331" s="13" t="n">
        <x:v>0.5424028808109188</x:v>
      </x:c>
      <x:c r="N2331" s="13" t="n">
        <x:f>H2331/G2331</x:f>
        <x:v>0.05357353334894841</x:v>
      </x:c>
      <x:c r="O2331" s="13" t="n">
        <x:f>F2331/E2331</x:f>
        <x:v>0</x:v>
      </x:c>
      <x:c r="P2331" s="2" t="str">
        <x:f>IF(AND(E2331&gt;='Итоги'!$F$5,N2331&lt;='Итоги'!$B$5,O2331&gt;='Итоги'!$D$5),"Да","Нет")</x:f>
        <x:v>Нет</x:v>
      </x:c>
    </x:row>
    <x:row r="2332" ht="60" customHeight="1">
      <x:c r="A2332" s="14" t="str">
        <x:v>Товары для животных</x:v>
      </x:c>
      <x:c r="B2332" s="14" t="str">
        <x:v>Спальное место животного</x:v>
      </x:c>
      <x:c r="C2332" s="14" t="str">
        <x:v>Аквариум Оборудование</x:v>
      </x:c>
      <x:c r="D2332" s="14" t="str">
        <x:v>Компрессор для аквариума</x:v>
      </x:c>
      <x:c r="E2332" s="2" t="n">
        <x:v>20</x:v>
      </x:c>
      <x:c r="F2332" s="2" t="n">
        <x:v>0</x:v>
      </x:c>
      <x:c r="G2332" s="12" t="n">
        <x:v>3166586.5717</x:v>
      </x:c>
      <x:c r="H2332" s="12" t="n">
        <x:v>169661.30154491</x:v>
      </x:c>
      <x:c r="I2332" s="13" t="n">
        <x:v>0.0628249999999999</x:v>
      </x:c>
      <x:c r="J2332" s="2" t="n">
        <x:v>2</x:v>
      </x:c>
      <x:c r="K2332" s="2" t="n">
        <x:v>5</x:v>
      </x:c>
      <x:c r="L2332" s="12" t="n">
        <x:v>4084.98535</x:v>
      </x:c>
      <x:c r="M2332" s="13" t="n">
        <x:v>0.9203059842875162</x:v>
      </x:c>
      <x:c r="N2332" s="13" t="n">
        <x:f>H2332/G2332</x:f>
        <x:v>0.05357860829108056</x:v>
      </x:c>
      <x:c r="O2332" s="13" t="n">
        <x:f>F2332/E2332</x:f>
        <x:v>0</x:v>
      </x:c>
      <x:c r="P2332" s="2" t="str">
        <x:f>IF(AND(E2332&gt;='Итоги'!$F$5,N2332&lt;='Итоги'!$B$5,O2332&gt;='Итоги'!$D$5),"Да","Нет")</x:f>
        <x:v>Нет</x:v>
      </x:c>
    </x:row>
    <x:row r="2333" ht="60" customHeight="1">
      <x:c r="A2333" s="14" t="str">
        <x:v>Товары для дома</x:v>
      </x:c>
      <x:c r="B2333" s="14" t="str">
        <x:v>Кухня</x:v>
      </x:c>
      <x:c r="C2333" s="14" t="str">
        <x:v>Кухонная утварь и принадлежности</x:v>
      </x:c>
      <x:c r="D2333" s="14" t="str">
        <x:v>Автоклав для консервирования</x:v>
      </x:c>
      <x:c r="E2333" s="2" t="n">
        <x:v>36</x:v>
      </x:c>
      <x:c r="F2333" s="2" t="n">
        <x:v>0</x:v>
      </x:c>
      <x:c r="G2333" s="12" t="n">
        <x:v>6249453.7419</x:v>
      </x:c>
      <x:c r="H2333" s="12" t="n">
        <x:v>334911.394883</x:v>
      </x:c>
      <x:c r="I2333" s="13" t="n">
        <x:v>0.0639916666666666</x:v>
      </x:c>
      <x:c r="J2333" s="2" t="n">
        <x:v>8</x:v>
      </x:c>
      <x:c r="K2333" s="2" t="n">
        <x:v>8</x:v>
      </x:c>
      <x:c r="L2333" s="12" t="n">
        <x:v>10481.06665</x:v>
      </x:c>
      <x:c r="M2333" s="13" t="n">
        <x:v>0.4790520684756362</x:v>
      </x:c>
      <x:c r="N2333" s="13" t="n">
        <x:f>H2333/G2333</x:f>
        <x:v>0.05359050706105044</x:v>
      </x:c>
      <x:c r="O2333" s="13" t="n">
        <x:f>F2333/E2333</x:f>
        <x:v>0</x:v>
      </x:c>
      <x:c r="P2333" s="2" t="str">
        <x:f>IF(AND(E2333&gt;='Итоги'!$F$5,N2333&lt;='Итоги'!$B$5,O2333&gt;='Итоги'!$D$5),"Да","Нет")</x:f>
        <x:v>Нет</x:v>
      </x:c>
    </x:row>
    <x:row r="2334" ht="60" customHeight="1">
      <x:c r="A2334" s="14" t="str">
        <x:v>Товары для красоты и здоровья</x:v>
      </x:c>
      <x:c r="B2334" s="14" t="str">
        <x:v>Косметика для ухода за волосами</x:v>
      </x:c>
      <x:c r="C2334" s="14" t="str">
        <x:v>Стайлинг для женщин</x:v>
      </x:c>
      <x:c r="D2334" s="14" t="str">
        <x:v>Жидкость для укладки женская</x:v>
      </x:c>
      <x:c r="E2334" s="2" t="n">
        <x:v>26</x:v>
      </x:c>
      <x:c r="F2334" s="2" t="n">
        <x:v>0</x:v>
      </x:c>
      <x:c r="G2334" s="12" t="n">
        <x:v>3247311.557</x:v>
      </x:c>
      <x:c r="H2334" s="12" t="n">
        <x:v>174071.89833795998</x:v>
      </x:c>
      <x:c r="I2334" s="13" t="n">
        <x:v>0.04495</x:v>
      </x:c>
      <x:c r="J2334" s="2" t="n">
        <x:v>14</x:v>
      </x:c>
      <x:c r="K2334" s="2" t="n">
        <x:v>11</x:v>
      </x:c>
      <x:c r="L2334" s="12" t="n">
        <x:v>1280.71205</x:v>
      </x:c>
      <x:c r="M2334" s="13" t="n">
        <x:v>0.5127421836413586</x:v>
      </x:c>
      <x:c r="N2334" s="13" t="n">
        <x:f>H2334/G2334</x:f>
        <x:v>0.05360492680867824</x:v>
      </x:c>
      <x:c r="O2334" s="13" t="n">
        <x:f>F2334/E2334</x:f>
        <x:v>0</x:v>
      </x:c>
      <x:c r="P2334" s="2" t="str">
        <x:f>IF(AND(E2334&gt;='Итоги'!$F$5,N2334&lt;='Итоги'!$B$5,O2334&gt;='Итоги'!$D$5),"Да","Нет")</x:f>
        <x:v>Нет</x:v>
      </x:c>
    </x:row>
    <x:row r="2335" ht="60" customHeight="1">
      <x:c r="A2335" s="14" t="str">
        <x:v>Товары для красоты и здоровья</x:v>
      </x:c>
      <x:c r="B2335" s="14" t="str">
        <x:v>Косметические средства для детей и беременных</x:v>
      </x:c>
      <x:c r="C2335" s="14" t="str">
        <x:v>Косметические средства для беременных и кормящих</x:v>
      </x:c>
      <x:c r="D2335" s="14" t="str">
        <x:v>Средство от растяжек до и после родов</x:v>
      </x:c>
      <x:c r="E2335" s="2" t="n">
        <x:v>10</x:v>
      </x:c>
      <x:c r="F2335" s="2" t="n">
        <x:v>0</x:v>
      </x:c>
      <x:c r="G2335" s="12" t="n">
        <x:v>2034432.3271</x:v>
      </x:c>
      <x:c r="H2335" s="12" t="n">
        <x:v>109071.66006562</x:v>
      </x:c>
      <x:c r="I2335" s="13" t="n">
        <x:v>0.07028</x:v>
      </x:c>
      <x:c r="J2335" s="2" t="n">
        <x:v>2</x:v>
      </x:c>
      <x:c r="K2335" s="2" t="n">
        <x:v>5</x:v>
      </x:c>
      <x:c r="L2335" s="12" t="n">
        <x:v>1860.891</x:v>
      </x:c>
      <x:c r="M2335" s="13" t="n">
        <x:v>0.6110580539545734</x:v>
      </x:c>
      <x:c r="N2335" s="13" t="n">
        <x:f>H2335/G2335</x:f>
        <x:v>0.053612822905295246</x:v>
      </x:c>
      <x:c r="O2335" s="13" t="n">
        <x:f>F2335/E2335</x:f>
        <x:v>0</x:v>
      </x:c>
      <x:c r="P2335" s="2" t="str">
        <x:f>IF(AND(E2335&gt;='Итоги'!$F$5,N2335&lt;='Итоги'!$B$5,O2335&gt;='Итоги'!$D$5),"Да","Нет")</x:f>
        <x:v>Нет</x:v>
      </x:c>
    </x:row>
    <x:row r="2336" ht="60" customHeight="1">
      <x:c r="A2336" s="14" t="str">
        <x:v>Строительство и ремонт (DIY)</x:v>
      </x:c>
      <x:c r="B2336" s="14" t="str">
        <x:v>Ремонт и строительство</x:v>
      </x:c>
      <x:c r="C2336" s="14" t="str">
        <x:v>Скобяные изделия</x:v>
      </x:c>
      <x:c r="D2336" s="14" t="str">
        <x:v>Самоклеящаяся пленка для мебели</x:v>
      </x:c>
      <x:c r="E2336" s="2" t="n">
        <x:v>6</x:v>
      </x:c>
      <x:c r="F2336" s="2" t="n">
        <x:v>0</x:v>
      </x:c>
      <x:c r="G2336" s="12" t="n">
        <x:v>812596.3672</x:v>
      </x:c>
      <x:c r="H2336" s="12" t="n">
        <x:v>43576.69102772</x:v>
      </x:c>
      <x:c r="I2336" s="13" t="n">
        <x:v>0.0571333333333333</x:v>
      </x:c>
      <x:c r="J2336" s="2" t="n">
        <x:v>2</x:v>
      </x:c>
      <x:c r="K2336" s="2" t="n">
        <x:v>3</x:v>
      </x:c>
      <x:c r="L2336" s="12" t="n">
        <x:v>1062.3710999999998</x:v>
      </x:c>
      <x:c r="M2336" s="13" t="n">
        <x:v>0.4784591947410321</x:v>
      </x:c>
      <x:c r="N2336" s="13" t="n">
        <x:f>H2336/G2336</x:f>
        <x:v>0.05362649008372284</x:v>
      </x:c>
      <x:c r="O2336" s="13" t="n">
        <x:f>F2336/E2336</x:f>
        <x:v>0</x:v>
      </x:c>
      <x:c r="P2336" s="2" t="str">
        <x:f>IF(AND(E2336&gt;='Итоги'!$F$5,N2336&lt;='Итоги'!$B$5,O2336&gt;='Итоги'!$D$5),"Да","Нет")</x:f>
        <x:v>Нет</x:v>
      </x:c>
    </x:row>
    <x:row r="2337" ht="60" customHeight="1">
      <x:c r="A2337" s="14" t="str">
        <x:v>Мелкая бытовая техника</x:v>
      </x:c>
      <x:c r="B2337" s="14" t="str">
        <x:v>SDA Климатическая техника</x:v>
      </x:c>
      <x:c r="C2337" s="14" t="str">
        <x:v>Климатическая техника SDA</x:v>
      </x:c>
      <x:c r="D2337" s="14" t="str">
        <x:v>Вентилятор потолочный</x:v>
      </x:c>
      <x:c r="E2337" s="2" t="n">
        <x:v>5</x:v>
      </x:c>
      <x:c r="F2337" s="2" t="n">
        <x:v>0</x:v>
      </x:c>
      <x:c r="G2337" s="12" t="n">
        <x:v>713438.5445</x:v>
      </x:c>
      <x:c r="H2337" s="12" t="n">
        <x:v>38270.88877823</x:v>
      </x:c>
      <x:c r="I2337" s="13" t="n">
        <x:v>0.05774</x:v>
      </x:c>
      <x:c r="J2337" s="2" t="n">
        <x:v>1</x:v>
      </x:c>
      <x:c r="K2337" s="2" t="n">
        <x:v>4</x:v>
      </x:c>
      <x:c r="L2337" s="12" t="n">
        <x:v>1858.9688</x:v>
      </x:c>
      <x:c r="M2337" s="13" t="n">
        <x:v>0.7925197402899782</x:v>
      </x:c>
      <x:c r="N2337" s="13" t="n">
        <x:f>H2337/G2337</x:f>
        <x:v>0.053642866751825745</x:v>
      </x:c>
      <x:c r="O2337" s="13" t="n">
        <x:f>F2337/E2337</x:f>
        <x:v>0</x:v>
      </x:c>
      <x:c r="P2337" s="2" t="str">
        <x:f>IF(AND(E2337&gt;='Итоги'!$F$5,N2337&lt;='Итоги'!$B$5,O2337&gt;='Итоги'!$D$5),"Да","Нет")</x:f>
        <x:v>Нет</x:v>
      </x:c>
    </x:row>
    <x:row r="2338" ht="60" customHeight="1">
      <x:c r="A2338" s="14" t="str">
        <x:v>Детская одежда</x:v>
      </x:c>
      <x:c r="B2338" s="14" t="str">
        <x:v>Детская одежда</x:v>
      </x:c>
      <x:c r="C2338" s="14" t="str">
        <x:v>Верхняя одежда для девочки</x:v>
      </x:c>
      <x:c r="D2338" s="14" t="str">
        <x:v>Парка демисезонная для девочки</x:v>
      </x:c>
      <x:c r="E2338" s="2" t="n">
        <x:v>4</x:v>
      </x:c>
      <x:c r="F2338" s="2" t="n">
        <x:v>0</x:v>
      </x:c>
      <x:c r="G2338" s="12" t="n">
        <x:v>98352</x:v>
      </x:c>
      <x:c r="H2338" s="12" t="n">
        <x:v>5276.394499999999</x:v>
      </x:c>
      <x:c r="I2338" s="13" t="n">
        <x:v>0.0186999999999999</x:v>
      </x:c>
      <x:c r="J2338" s="2" t="n">
        <x:v>2</x:v>
      </x:c>
      <x:c r="K2338" s="2" t="n">
        <x:v>2</x:v>
      </x:c>
      <x:c r="L2338" s="12" t="n">
        <x:v>3623.08335</x:v>
      </x:c>
      <x:c r="M2338" s="13" t="n">
        <x:v>0.9531072067675288</x:v>
      </x:c>
      <x:c r="N2338" s="13" t="n">
        <x:f>H2338/G2338</x:f>
        <x:v>0.053648065113063276</x:v>
      </x:c>
      <x:c r="O2338" s="13" t="n">
        <x:f>F2338/E2338</x:f>
        <x:v>0</x:v>
      </x:c>
      <x:c r="P2338" s="2" t="str">
        <x:f>IF(AND(E2338&gt;='Итоги'!$F$5,N2338&lt;='Итоги'!$B$5,O2338&gt;='Итоги'!$D$5),"Да","Нет")</x:f>
        <x:v>Нет</x:v>
      </x:c>
    </x:row>
    <x:row r="2339" ht="60" customHeight="1">
      <x:c r="A2339" s="14" t="str">
        <x:v>Автотовары</x:v>
      </x:c>
      <x:c r="B2339" s="14" t="str">
        <x:v>Авто и мото запчасти</x:v>
      </x:c>
      <x:c r="C2339" s="14" t="str">
        <x:v>Кузовные детали</x:v>
      </x:c>
      <x:c r="D2339" s="14" t="str">
        <x:v>Автомобильное сиденье</x:v>
      </x:c>
      <x:c r="E2339" s="2" t="n">
        <x:v>3</x:v>
      </x:c>
      <x:c r="F2339" s="2" t="n">
        <x:v>0</x:v>
      </x:c>
      <x:c r="G2339" s="12" t="n">
        <x:v>553547.38</x:v>
      </x:c>
      <x:c r="H2339" s="12" t="n">
        <x:v>29711.775222000004</x:v>
      </x:c>
      <x:c r="I2339" s="13" t="n">
        <x:v>0.0655333333333333</x:v>
      </x:c>
      <x:c r="J2339" s="2" t="n">
        <x:v>0</x:v>
      </x:c>
      <x:c r="K2339" s="2" t="n">
        <x:v>3</x:v>
      </x:c>
      <x:c r="L2339" s="12" t="n">
        <x:v>5445.4706</x:v>
      </x:c>
      <x:c r="M2339" s="13" t="n">
        <x:v>0.6682589663779097</x:v>
      </x:c>
      <x:c r="N2339" s="13" t="n">
        <x:f>H2339/G2339</x:f>
        <x:v>0.053675216061902425</x:v>
      </x:c>
      <x:c r="O2339" s="13" t="n">
        <x:f>F2339/E2339</x:f>
        <x:v>0</x:v>
      </x:c>
      <x:c r="P2339" s="2" t="str">
        <x:f>IF(AND(E2339&gt;='Итоги'!$F$5,N2339&lt;='Итоги'!$B$5,O2339&gt;='Итоги'!$D$5),"Да","Нет")</x:f>
        <x:v>Нет</x:v>
      </x:c>
    </x:row>
    <x:row r="2340" ht="60" customHeight="1">
      <x:c r="A2340" s="14" t="str">
        <x:v>Спорт и отдых</x:v>
      </x:c>
      <x:c r="B2340" s="14" t="str">
        <x:v>Колесный транспорт</x:v>
      </x:c>
      <x:c r="C2340" s="14" t="str">
        <x:v>Самокат</x:v>
      </x:c>
      <x:c r="D2340" s="14" t="str">
        <x:v>Запасная часть для самоката</x:v>
      </x:c>
      <x:c r="E2340" s="2" t="n">
        <x:v>92</x:v>
      </x:c>
      <x:c r="F2340" s="2" t="n">
        <x:v>0</x:v>
      </x:c>
      <x:c r="G2340" s="12" t="n">
        <x:v>10561778.2417</x:v>
      </x:c>
      <x:c r="H2340" s="12" t="n">
        <x:v>567315.60001593</x:v>
      </x:c>
      <x:c r="I2340" s="13" t="n">
        <x:v>0.0473576086956521</x:v>
      </x:c>
      <x:c r="J2340" s="2" t="n">
        <x:v>54</x:v>
      </x:c>
      <x:c r="K2340" s="2" t="n">
        <x:v>22</x:v>
      </x:c>
      <x:c r="L2340" s="12" t="n">
        <x:v>1509.95605</x:v>
      </x:c>
      <x:c r="M2340" s="13" t="n">
        <x:v>0.4737292847946275</x:v>
      </x:c>
      <x:c r="N2340" s="13" t="n">
        <x:f>H2340/G2340</x:f>
        <x:v>0.05371402305873601</x:v>
      </x:c>
      <x:c r="O2340" s="13" t="n">
        <x:f>F2340/E2340</x:f>
        <x:v>0</x:v>
      </x:c>
      <x:c r="P2340" s="2" t="str">
        <x:f>IF(AND(E2340&gt;='Итоги'!$F$5,N2340&lt;='Итоги'!$B$5,O2340&gt;='Итоги'!$D$5),"Да","Нет")</x:f>
        <x:v>Нет</x:v>
      </x:c>
    </x:row>
    <x:row r="2341" ht="60" customHeight="1">
      <x:c r="A2341" s="14" t="str">
        <x:v>Товары для дома</x:v>
      </x:c>
      <x:c r="B2341" s="14" t="str">
        <x:v>Интерьер и декор</x:v>
      </x:c>
      <x:c r="C2341" s="14" t="str">
        <x:v>Принадлежности для праздника</x:v>
      </x:c>
      <x:c r="D2341" s="14" t="str">
        <x:v>Аксессуары для воздушного шара, баллона с гелием</x:v>
      </x:c>
      <x:c r="E2341" s="2" t="n">
        <x:v>7</x:v>
      </x:c>
      <x:c r="F2341" s="2" t="n">
        <x:v>0</x:v>
      </x:c>
      <x:c r="G2341" s="12" t="n">
        <x:v>892182.2154999999</x:v>
      </x:c>
      <x:c r="H2341" s="12" t="n">
        <x:v>47942.8054417</x:v>
      </x:c>
      <x:c r="I2341" s="13" t="n">
        <x:v>0.0454</x:v>
      </x:c>
      <x:c r="J2341" s="2" t="n">
        <x:v>2</x:v>
      </x:c>
      <x:c r="K2341" s="2" t="n">
        <x:v>4</x:v>
      </x:c>
      <x:c r="L2341" s="12" t="n">
        <x:v>1982.1508</x:v>
      </x:c>
      <x:c r="M2341" s="13" t="n">
        <x:v>0.3731129406266449</x:v>
      </x:c>
      <x:c r="N2341" s="13" t="n">
        <x:f>H2341/G2341</x:f>
        <x:v>0.05373656256399566</x:v>
      </x:c>
      <x:c r="O2341" s="13" t="n">
        <x:f>F2341/E2341</x:f>
        <x:v>0</x:v>
      </x:c>
      <x:c r="P2341" s="2" t="str">
        <x:f>IF(AND(E2341&gt;='Итоги'!$F$5,N2341&lt;='Итоги'!$B$5,O2341&gt;='Итоги'!$D$5),"Да","Нет")</x:f>
        <x:v>Нет</x:v>
      </x:c>
    </x:row>
    <x:row r="2342" ht="60" customHeight="1">
      <x:c r="A2342" s="14" t="str">
        <x:v>Бытовая химия и гигиена рта</x:v>
      </x:c>
      <x:c r="B2342" s="14" t="str">
        <x:v>Бритвы и лезвия</x:v>
      </x:c>
      <x:c r="C2342" s="14" t="str">
        <x:v>Бритвы и лезвия</x:v>
      </x:c>
      <x:c r="D2342" s="14" t="str">
        <x:v>Станки одноразовые</x:v>
      </x:c>
      <x:c r="E2342" s="2" t="n">
        <x:v>7</x:v>
      </x:c>
      <x:c r="F2342" s="2" t="n">
        <x:v>0</x:v>
      </x:c>
      <x:c r="G2342" s="12" t="n">
        <x:v>1302688.8751</x:v>
      </x:c>
      <x:c r="H2342" s="12" t="n">
        <x:v>70017.77472737</x:v>
      </x:c>
      <x:c r="I2342" s="13" t="n">
        <x:v>0.055</x:v>
      </x:c>
      <x:c r="J2342" s="2" t="n">
        <x:v>3</x:v>
      </x:c>
      <x:c r="K2342" s="2" t="n">
        <x:v>3</x:v>
      </x:c>
      <x:c r="L2342" s="12" t="n">
        <x:v>999</x:v>
      </x:c>
      <x:c r="M2342" s="13" t="n">
        <x:v>0.430139023761131</x:v>
      </x:c>
      <x:c r="N2342" s="13" t="n">
        <x:f>H2342/G2342</x:f>
        <x:v>0.05374865485206137</x:v>
      </x:c>
      <x:c r="O2342" s="13" t="n">
        <x:f>F2342/E2342</x:f>
        <x:v>0</x:v>
      </x:c>
      <x:c r="P2342" s="2" t="str">
        <x:f>IF(AND(E2342&gt;='Итоги'!$F$5,N2342&lt;='Итоги'!$B$5,O2342&gt;='Итоги'!$D$5),"Да","Нет")</x:f>
        <x:v>Нет</x:v>
      </x:c>
    </x:row>
    <x:row r="2343" ht="60" customHeight="1">
      <x:c r="A2343" s="14" t="str">
        <x:v>Одежда</x:v>
      </x:c>
      <x:c r="B2343" s="14" t="str">
        <x:v>Спецодежда и одежда для мероприятий</x:v>
      </x:c>
      <x:c r="C2343" s="14" t="str">
        <x:v>Спецодежда женская</x:v>
      </x:c>
      <x:c r="D2343" s="14" t="str">
        <x:v>Рабочий комплект одежды женский</x:v>
      </x:c>
      <x:c r="E2343" s="2" t="n">
        <x:v>4</x:v>
      </x:c>
      <x:c r="F2343" s="2" t="n">
        <x:v>0</x:v>
      </x:c>
      <x:c r="G2343" s="12" t="n">
        <x:v>148340.4131</x:v>
      </x:c>
      <x:c r="H2343" s="12" t="n">
        <x:v>7976.22038551</x:v>
      </x:c>
      <x:c r="I2343" s="13" t="n">
        <x:v>0.052975</x:v>
      </x:c>
      <x:c r="J2343" s="2" t="n">
        <x:v>0</x:v>
      </x:c>
      <x:c r="K2343" s="2" t="n">
        <x:v>2</x:v>
      </x:c>
      <x:c r="L2343" s="12" t="n">
        <x:v>5298.8854</x:v>
      </x:c>
      <x:c r="M2343" s="13" t="n">
        <x:v>0.610475918918686</x:v>
      </x:c>
      <x:c r="N2343" s="13" t="n">
        <x:f>H2343/G2343</x:f>
        <x:v>0.053769705900259486</x:v>
      </x:c>
      <x:c r="O2343" s="13" t="n">
        <x:f>F2343/E2343</x:f>
        <x:v>0</x:v>
      </x:c>
      <x:c r="P2343" s="2" t="str">
        <x:f>IF(AND(E2343&gt;='Итоги'!$F$5,N2343&lt;='Итоги'!$B$5,O2343&gt;='Итоги'!$D$5),"Да","Нет")</x:f>
        <x:v>Нет</x:v>
      </x:c>
    </x:row>
    <x:row r="2344" ht="60" customHeight="1">
      <x:c r="A2344" s="14" t="str">
        <x:v>Одежда</x:v>
      </x:c>
      <x:c r="B2344" s="14" t="str">
        <x:v>Основная одежда женская</x:v>
      </x:c>
      <x:c r="C2344" s="14" t="str">
        <x:v>Основная одежда женская верха</x:v>
      </x:c>
      <x:c r="D2344" s="14" t="str">
        <x:v>Свитер женский</x:v>
      </x:c>
      <x:c r="E2344" s="2" t="n">
        <x:v>70</x:v>
      </x:c>
      <x:c r="F2344" s="2" t="n">
        <x:v>0</x:v>
      </x:c>
      <x:c r="G2344" s="12" t="n">
        <x:v>5750828.8129</x:v>
      </x:c>
      <x:c r="H2344" s="12" t="n">
        <x:v>309308.48978857</x:v>
      </x:c>
      <x:c r="I2344" s="13" t="n">
        <x:v>0.04623</x:v>
      </x:c>
      <x:c r="J2344" s="2" t="n">
        <x:v>42</x:v>
      </x:c>
      <x:c r="K2344" s="2" t="n">
        <x:v>18</x:v>
      </x:c>
      <x:c r="L2344" s="12" t="n">
        <x:v>1135.76455</x:v>
      </x:c>
      <x:c r="M2344" s="13" t="n">
        <x:v>0.37250984118926</x:v>
      </x:c>
      <x:c r="N2344" s="13" t="n">
        <x:f>H2344/G2344</x:f>
        <x:v>0.053785028184936245</x:v>
      </x:c>
      <x:c r="O2344" s="13" t="n">
        <x:f>F2344/E2344</x:f>
        <x:v>0</x:v>
      </x:c>
      <x:c r="P2344" s="2" t="str">
        <x:f>IF(AND(E2344&gt;='Итоги'!$F$5,N2344&lt;='Итоги'!$B$5,O2344&gt;='Итоги'!$D$5),"Да","Нет")</x:f>
        <x:v>Нет</x:v>
      </x:c>
    </x:row>
    <x:row r="2345" ht="60" customHeight="1">
      <x:c r="A2345" s="14" t="str">
        <x:v>Мелкая бытовая техника</x:v>
      </x:c>
      <x:c r="B2345" s="14" t="str">
        <x:v>Мелкая бытовая техника SDA</x:v>
      </x:c>
      <x:c r="C2345" s="14" t="str">
        <x:v>Электронная кухонная техника SDA</x:v>
      </x:c>
      <x:c r="D2345" s="14" t="str">
        <x:v>Стерилизатор бытовой для продуктов</x:v>
      </x:c>
      <x:c r="E2345" s="2" t="n">
        <x:v>2</x:v>
      </x:c>
      <x:c r="F2345" s="2" t="n">
        <x:v>0</x:v>
      </x:c>
      <x:c r="G2345" s="12" t="n">
        <x:v>276417.1261</x:v>
      </x:c>
      <x:c r="H2345" s="12" t="n">
        <x:v>14874.013392</x:v>
      </x:c>
      <x:c r="I2345" s="13" t="n">
        <x:v>0.0599</x:v>
      </x:c>
      <x:c r="J2345" s="2" t="n">
        <x:v>1</x:v>
      </x:c>
      <x:c r="K2345" s="2" t="n">
        <x:v>2</x:v>
      </x:c>
      <x:c r="L2345" s="12" t="n">
        <x:v>1388.10355</x:v>
      </x:c>
      <x:c r="M2345" s="13" t="n">
        <x:v>0.5508344878924635</x:v>
      </x:c>
      <x:c r="N2345" s="13" t="n">
        <x:f>H2345/G2345</x:f>
        <x:v>0.05381002835048288</x:v>
      </x:c>
      <x:c r="O2345" s="13" t="n">
        <x:f>F2345/E2345</x:f>
        <x:v>0</x:v>
      </x:c>
      <x:c r="P2345" s="2" t="str">
        <x:f>IF(AND(E2345&gt;='Итоги'!$F$5,N2345&lt;='Итоги'!$B$5,O2345&gt;='Итоги'!$D$5),"Да","Нет")</x:f>
        <x:v>Нет</x:v>
      </x:c>
    </x:row>
    <x:row r="2346" ht="60" customHeight="1">
      <x:c r="A2346" s="14" t="str">
        <x:v>Мебель</x:v>
      </x:c>
      <x:c r="B2346" s="14" t="str">
        <x:v>Компьютерная и офисная мебель</x:v>
      </x:c>
      <x:c r="C2346" s="14" t="str">
        <x:v>Компьютерный, офисный столы</x:v>
      </x:c>
      <x:c r="D2346" s="14" t="str">
        <x:v>Компьютерные и офисные столы</x:v>
      </x:c>
      <x:c r="E2346" s="2" t="n">
        <x:v>666</x:v>
      </x:c>
      <x:c r="F2346" s="2" t="n">
        <x:v>0</x:v>
      </x:c>
      <x:c r="G2346" s="12" t="n">
        <x:v>142259895.6271</x:v>
      </x:c>
      <x:c r="H2346" s="12" t="n">
        <x:v>7658480.78533754</x:v>
      </x:c>
      <x:c r="I2346" s="13" t="n">
        <x:v>0.0545435435435435</x:v>
      </x:c>
      <x:c r="J2346" s="2" t="n">
        <x:v>159</x:v>
      </x:c>
      <x:c r="K2346" s="2" t="n">
        <x:v>65</x:v>
      </x:c>
      <x:c r="L2346" s="12" t="n">
        <x:v>4184.6702000000005</x:v>
      </x:c>
      <x:c r="M2346" s="13" t="n">
        <x:v>0.629909829647938</x:v>
      </x:c>
      <x:c r="N2346" s="13" t="n">
        <x:f>H2346/G2346</x:f>
        <x:v>0.05383443275828348</x:v>
      </x:c>
      <x:c r="O2346" s="13" t="n">
        <x:f>F2346/E2346</x:f>
        <x:v>0</x:v>
      </x:c>
      <x:c r="P2346" s="2" t="str">
        <x:f>IF(AND(E2346&gt;='Итоги'!$F$5,N2346&lt;='Итоги'!$B$5,O2346&gt;='Итоги'!$D$5),"Да","Нет")</x:f>
        <x:v>Нет</x:v>
      </x:c>
    </x:row>
    <x:row r="2347" ht="60" customHeight="1">
      <x:c r="A2347" s="14" t="str">
        <x:v>Обувь</x:v>
      </x:c>
      <x:c r="B2347" s="14" t="str">
        <x:v>Специальная обувь</x:v>
      </x:c>
      <x:c r="C2347" s="14" t="str">
        <x:v>Спецобувь женская</x:v>
      </x:c>
      <x:c r="D2347" s="14" t="str">
        <x:v>Медицинское сабо женское</x:v>
      </x:c>
      <x:c r="E2347" s="2" t="n">
        <x:v>47</x:v>
      </x:c>
      <x:c r="F2347" s="2" t="n">
        <x:v>0</x:v>
      </x:c>
      <x:c r="G2347" s="12" t="n">
        <x:v>6417690.335</x:v>
      </x:c>
      <x:c r="H2347" s="12" t="n">
        <x:v>345622.144202</x:v>
      </x:c>
      <x:c r="I2347" s="13" t="n">
        <x:v>0.0459021276595744</x:v>
      </x:c>
      <x:c r="J2347" s="2" t="n">
        <x:v>21</x:v>
      </x:c>
      <x:c r="K2347" s="2" t="n">
        <x:v>1</x:v>
      </x:c>
      <x:c r="L2347" s="12" t="n">
        <x:v>2773.9959</x:v>
      </x:c>
      <x:c r="M2347" s="13" t="n">
        <x:v>1</x:v>
      </x:c>
      <x:c r="N2347" s="13" t="n">
        <x:f>H2347/G2347</x:f>
        <x:v>0.0538545997330362</x:v>
      </x:c>
      <x:c r="O2347" s="13" t="n">
        <x:f>F2347/E2347</x:f>
        <x:v>0</x:v>
      </x:c>
      <x:c r="P2347" s="2" t="str">
        <x:f>IF(AND(E2347&gt;='Итоги'!$F$5,N2347&lt;='Итоги'!$B$5,O2347&gt;='Итоги'!$D$5),"Да","Нет")</x:f>
        <x:v>Нет</x:v>
      </x:c>
    </x:row>
    <x:row r="2348" ht="60" customHeight="1">
      <x:c r="A2348" s="14" t="str">
        <x:v>Товары для дома</x:v>
      </x:c>
      <x:c r="B2348" s="14" t="str">
        <x:v>Кухня</x:v>
      </x:c>
      <x:c r="C2348" s="14" t="str">
        <x:v>Столовая посуда</x:v>
      </x:c>
      <x:c r="D2348" s="14" t="str">
        <x:v>Креманка, розетка</x:v>
      </x:c>
      <x:c r="E2348" s="2" t="n">
        <x:v>4</x:v>
      </x:c>
      <x:c r="F2348" s="2" t="n">
        <x:v>0</x:v>
      </x:c>
      <x:c r="G2348" s="12" t="n">
        <x:v>731434.2717</x:v>
      </x:c>
      <x:c r="H2348" s="12" t="n">
        <x:v>39391.91109113</x:v>
      </x:c>
      <x:c r="I2348" s="13" t="n">
        <x:v>0.0718</x:v>
      </x:c>
      <x:c r="J2348" s="2" t="n">
        <x:v>0</x:v>
      </x:c>
      <x:c r="K2348" s="2" t="n">
        <x:v>2</x:v>
      </x:c>
      <x:c r="L2348" s="12" t="n">
        <x:v>2050.5911</x:v>
      </x:c>
      <x:c r="M2348" s="13" t="n">
        <x:v>0.8273477838186455</x:v>
      </x:c>
      <x:c r="N2348" s="13" t="n">
        <x:f>H2348/G2348</x:f>
        <x:v>0.053855708729063645</x:v>
      </x:c>
      <x:c r="O2348" s="13" t="n">
        <x:f>F2348/E2348</x:f>
        <x:v>0</x:v>
      </x:c>
      <x:c r="P2348" s="2" t="str">
        <x:f>IF(AND(E2348&gt;='Итоги'!$F$5,N2348&lt;='Итоги'!$B$5,O2348&gt;='Итоги'!$D$5),"Да","Нет")</x:f>
        <x:v>Нет</x:v>
      </x:c>
    </x:row>
    <x:row r="2349" ht="60" customHeight="1">
      <x:c r="A2349" s="14" t="str">
        <x:v>Школьные принадлежности и канцелярия</x:v>
      </x:c>
      <x:c r="B2349" s="14" t="str">
        <x:v>Товары для школы, канцелярия, оборудование</x:v>
      </x:c>
      <x:c r="C2349" s="14" t="str">
        <x:v>Папка</x:v>
      </x:c>
      <x:c r="D2349" s="14" t="str">
        <x:v>Папка на молнии, на кнопке</x:v>
      </x:c>
      <x:c r="E2349" s="2" t="n">
        <x:v>2</x:v>
      </x:c>
      <x:c r="F2349" s="2" t="n">
        <x:v>0</x:v>
      </x:c>
      <x:c r="G2349" s="12" t="n">
        <x:v>224058.4463</x:v>
      </x:c>
      <x:c r="H2349" s="12" t="n">
        <x:v>12067.42663035</x:v>
      </x:c>
      <x:c r="I2349" s="13" t="n">
        <x:v>0.04725</x:v>
      </x:c>
      <x:c r="J2349" s="2" t="n">
        <x:v>1</x:v>
      </x:c>
      <x:c r="K2349" s="2" t="n">
        <x:v>2</x:v>
      </x:c>
      <x:c r="L2349" s="12" t="n">
        <x:v>1262.07965</x:v>
      </x:c>
      <x:c r="M2349" s="13" t="n">
        <x:v>0.5699300267798028</x:v>
      </x:c>
      <x:c r="N2349" s="13" t="n">
        <x:f>H2349/G2349</x:f>
        <x:v>0.05385838753069136</x:v>
      </x:c>
      <x:c r="O2349" s="13" t="n">
        <x:f>F2349/E2349</x:f>
        <x:v>0</x:v>
      </x:c>
      <x:c r="P2349" s="2" t="str">
        <x:f>IF(AND(E2349&gt;='Итоги'!$F$5,N2349&lt;='Итоги'!$B$5,O2349&gt;='Итоги'!$D$5),"Да","Нет")</x:f>
        <x:v>Нет</x:v>
      </x:c>
    </x:row>
    <x:row r="2350" ht="60" customHeight="1">
      <x:c r="A2350" s="14" t="str">
        <x:v>Автотовары</x:v>
      </x:c>
      <x:c r="B2350" s="14" t="str">
        <x:v>Дополнительное оборудование для авто и мото техники</x:v>
      </x:c>
      <x:c r="C2350" s="14" t="str">
        <x:v>Оборудование для дооснащения авто</x:v>
      </x:c>
      <x:c r="D2350" s="14" t="str">
        <x:v>Подлокотник автомобильный</x:v>
      </x:c>
      <x:c r="E2350" s="2" t="n">
        <x:v>30</x:v>
      </x:c>
      <x:c r="F2350" s="2" t="n">
        <x:v>0</x:v>
      </x:c>
      <x:c r="G2350" s="12" t="n">
        <x:v>3670205.2022</x:v>
      </x:c>
      <x:c r="H2350" s="12" t="n">
        <x:v>197690.15909739</x:v>
      </x:c>
      <x:c r="I2350" s="13" t="n">
        <x:v>0.05084</x:v>
      </x:c>
      <x:c r="J2350" s="2" t="n">
        <x:v>10</x:v>
      </x:c>
      <x:c r="K2350" s="2" t="n">
        <x:v>11</x:v>
      </x:c>
      <x:c r="L2350" s="12" t="n">
        <x:v>1844.3602</x:v>
      </x:c>
      <x:c r="M2350" s="13" t="n">
        <x:v>0.2926113040372388</x:v>
      </x:c>
      <x:c r="N2350" s="13" t="n">
        <x:f>H2350/G2350</x:f>
        <x:v>0.05386351667173548</x:v>
      </x:c>
      <x:c r="O2350" s="13" t="n">
        <x:f>F2350/E2350</x:f>
        <x:v>0</x:v>
      </x:c>
      <x:c r="P2350" s="2" t="str">
        <x:f>IF(AND(E2350&gt;='Итоги'!$F$5,N2350&lt;='Итоги'!$B$5,O2350&gt;='Итоги'!$D$5),"Да","Нет")</x:f>
        <x:v>Нет</x:v>
      </x:c>
    </x:row>
    <x:row r="2351" ht="60" customHeight="1">
      <x:c r="A2351" s="14" t="str">
        <x:v>Аптека</x:v>
      </x:c>
      <x:c r="B2351" s="14" t="str">
        <x:v>Медицинская техника</x:v>
      </x:c>
      <x:c r="C2351" s="14" t="str">
        <x:v>Приборы и средства диагностики</x:v>
      </x:c>
      <x:c r="D2351" s="14" t="str">
        <x:v>Гель для УЗИ, физиотерапии</x:v>
      </x:c>
      <x:c r="E2351" s="2" t="n">
        <x:v>8</x:v>
      </x:c>
      <x:c r="F2351" s="2" t="n">
        <x:v>0</x:v>
      </x:c>
      <x:c r="G2351" s="12" t="n">
        <x:v>1819864.44</x:v>
      </x:c>
      <x:c r="H2351" s="12" t="n">
        <x:v>98033.044045</x:v>
      </x:c>
      <x:c r="I2351" s="13" t="n">
        <x:v>0.076</x:v>
      </x:c>
      <x:c r="J2351" s="2" t="n">
        <x:v>0</x:v>
      </x:c>
      <x:c r="K2351" s="2" t="n">
        <x:v>2</x:v>
      </x:c>
      <x:c r="L2351" s="12" t="n">
        <x:v>913.38925</x:v>
      </x:c>
      <x:c r="M2351" s="13" t="n">
        <x:v>0.7628302743252678</x:v>
      </x:c>
      <x:c r="N2351" s="13" t="n">
        <x:f>H2351/G2351</x:f>
        <x:v>0.05386832221690095</x:v>
      </x:c>
      <x:c r="O2351" s="13" t="n">
        <x:f>F2351/E2351</x:f>
        <x:v>0</x:v>
      </x:c>
      <x:c r="P2351" s="2" t="str">
        <x:f>IF(AND(E2351&gt;='Итоги'!$F$5,N2351&lt;='Итоги'!$B$5,O2351&gt;='Итоги'!$D$5),"Да","Нет")</x:f>
        <x:v>Нет</x:v>
      </x:c>
    </x:row>
    <x:row r="2352" ht="60" customHeight="1">
      <x:c r="A2352" s="14" t="str">
        <x:v>Товары для красоты и здоровья</x:v>
      </x:c>
      <x:c r="B2352" s="14" t="str">
        <x:v>Косметические средства для детей и беременных</x:v>
      </x:c>
      <x:c r="C2352" s="14" t="str">
        <x:v>Детские косметические средства</x:v>
      </x:c>
      <x:c r="D2352" s="14" t="str">
        <x:v>Набор детской косметики для ухода</x:v>
      </x:c>
      <x:c r="E2352" s="2" t="n">
        <x:v>3</x:v>
      </x:c>
      <x:c r="F2352" s="2" t="n">
        <x:v>0</x:v>
      </x:c>
      <x:c r="G2352" s="12" t="n">
        <x:v>349132.8407</x:v>
      </x:c>
      <x:c r="H2352" s="12" t="n">
        <x:v>18818.9496</x:v>
      </x:c>
      <x:c r="I2352" s="13" t="n">
        <x:v>0.0373999999999999</x:v>
      </x:c>
      <x:c r="J2352" s="2" t="n">
        <x:v>1</x:v>
      </x:c>
      <x:c r="K2352" s="2" t="n">
        <x:v>1</x:v>
      </x:c>
      <x:c r="L2352" s="12" t="n">
        <x:v>1561.3097</x:v>
      </x:c>
      <x:c r="M2352" s="13" t="n">
        <x:v>1</x:v>
      </x:c>
      <x:c r="N2352" s="13" t="n">
        <x:f>H2352/G2352</x:f>
        <x:v>0.05390197485366492</x:v>
      </x:c>
      <x:c r="O2352" s="13" t="n">
        <x:f>F2352/E2352</x:f>
        <x:v>0</x:v>
      </x:c>
      <x:c r="P2352" s="2" t="str">
        <x:f>IF(AND(E2352&gt;='Итоги'!$F$5,N2352&lt;='Итоги'!$B$5,O2352&gt;='Итоги'!$D$5),"Да","Нет")</x:f>
        <x:v>Нет</x:v>
      </x:c>
    </x:row>
    <x:row r="2353" ht="60" customHeight="1">
      <x:c r="A2353" s="14" t="str">
        <x:v>Спорт и отдых</x:v>
      </x:c>
      <x:c r="B2353" s="14" t="str">
        <x:v>Колесный транспорт</x:v>
      </x:c>
      <x:c r="C2353" s="14" t="str">
        <x:v>Запчасти для велосипеда</x:v>
      </x:c>
      <x:c r="D2353" s="14" t="str">
        <x:v>Трансмиссия для велосипеда</x:v>
      </x:c>
      <x:c r="E2353" s="2" t="n">
        <x:v>39</x:v>
      </x:c>
      <x:c r="F2353" s="2" t="n">
        <x:v>0</x:v>
      </x:c>
      <x:c r="G2353" s="12" t="n">
        <x:v>5904558.9963</x:v>
      </x:c>
      <x:c r="H2353" s="12" t="n">
        <x:v>318367.81119632</x:v>
      </x:c>
      <x:c r="I2353" s="13" t="n">
        <x:v>0.0382846153846153</x:v>
      </x:c>
      <x:c r="J2353" s="2" t="n">
        <x:v>12</x:v>
      </x:c>
      <x:c r="K2353" s="2" t="n">
        <x:v>11</x:v>
      </x:c>
      <x:c r="L2353" s="12" t="n">
        <x:v>1201.5257</x:v>
      </x:c>
      <x:c r="M2353" s="13" t="n">
        <x:v>0.2768631144890572</x:v>
      </x:c>
      <x:c r="N2353" s="13" t="n">
        <x:f>H2353/G2353</x:f>
        <x:v>0.053918982162058204</x:v>
      </x:c>
      <x:c r="O2353" s="13" t="n">
        <x:f>F2353/E2353</x:f>
        <x:v>0</x:v>
      </x:c>
      <x:c r="P2353" s="2" t="str">
        <x:f>IF(AND(E2353&gt;='Итоги'!$F$5,N2353&lt;='Итоги'!$B$5,O2353&gt;='Итоги'!$D$5),"Да","Нет")</x:f>
        <x:v>Нет</x:v>
      </x:c>
    </x:row>
    <x:row r="2354" ht="60" customHeight="1">
      <x:c r="A2354" s="14" t="str">
        <x:v>Товары для дома</x:v>
      </x:c>
      <x:c r="B2354" s="14" t="str">
        <x:v>Кухня</x:v>
      </x:c>
      <x:c r="C2354" s="14" t="str">
        <x:v>Банка, контейнер для хранения продуктов</x:v>
      </x:c>
      <x:c r="D2354" s="14" t="str">
        <x:v>Бидон, ведро, таз пищевые</x:v>
      </x:c>
      <x:c r="E2354" s="2" t="n">
        <x:v>12</x:v>
      </x:c>
      <x:c r="F2354" s="2" t="n">
        <x:v>0</x:v>
      </x:c>
      <x:c r="G2354" s="12" t="n">
        <x:v>1324455.0203</x:v>
      </x:c>
      <x:c r="H2354" s="12" t="n">
        <x:v>71451.33078776</x:v>
      </x:c>
      <x:c r="I2354" s="13" t="n">
        <x:v>0.0603083333333333</x:v>
      </x:c>
      <x:c r="J2354" s="2" t="n">
        <x:v>8</x:v>
      </x:c>
      <x:c r="K2354" s="2" t="n">
        <x:v>8</x:v>
      </x:c>
      <x:c r="L2354" s="12" t="n">
        <x:v>2369.73115</x:v>
      </x:c>
      <x:c r="M2354" s="13" t="n">
        <x:v>0.3288031154137337</x:v>
      </x:c>
      <x:c r="N2354" s="13" t="n">
        <x:f>H2354/G2354</x:f>
        <x:v>0.053947721661076635</x:v>
      </x:c>
      <x:c r="O2354" s="13" t="n">
        <x:f>F2354/E2354</x:f>
        <x:v>0</x:v>
      </x:c>
      <x:c r="P2354" s="2" t="str">
        <x:f>IF(AND(E2354&gt;='Итоги'!$F$5,N2354&lt;='Итоги'!$B$5,O2354&gt;='Итоги'!$D$5),"Да","Нет")</x:f>
        <x:v>Нет</x:v>
      </x:c>
    </x:row>
    <x:row r="2355" ht="60" customHeight="1">
      <x:c r="A2355" s="14" t="str">
        <x:v>Спорт и отдых</x:v>
      </x:c>
      <x:c r="B2355" s="14" t="str">
        <x:v>Товары для охоты</x:v>
      </x:c>
      <x:c r="C2355" s="14" t="str">
        <x:v>Аксессуары для охотничьего оружия</x:v>
      </x:c>
      <x:c r="D2355" s="14" t="str">
        <x:v>Рукоятка оружейная</x:v>
      </x:c>
      <x:c r="E2355" s="2" t="n">
        <x:v>6</x:v>
      </x:c>
      <x:c r="F2355" s="2" t="n">
        <x:v>0</x:v>
      </x:c>
      <x:c r="G2355" s="12" t="n">
        <x:v>1175882.88</x:v>
      </x:c>
      <x:c r="H2355" s="12" t="n">
        <x:v>63441.69492</x:v>
      </x:c>
      <x:c r="I2355" s="13" t="n">
        <x:v>0.0935166666666666</x:v>
      </x:c>
      <x:c r="J2355" s="2" t="n">
        <x:v>3</x:v>
      </x:c>
      <x:c r="K2355" s="2" t="n">
        <x:v>4</x:v>
      </x:c>
      <x:c r="L2355" s="12" t="n">
        <x:v>1494.8024</x:v>
      </x:c>
      <x:c r="M2355" s="13" t="n">
        <x:v>0.5234952140811847</x:v>
      </x:c>
      <x:c r="N2355" s="13" t="n">
        <x:f>H2355/G2355</x:f>
        <x:v>0.053952392707681915</x:v>
      </x:c>
      <x:c r="O2355" s="13" t="n">
        <x:f>F2355/E2355</x:f>
        <x:v>0</x:v>
      </x:c>
      <x:c r="P2355" s="2" t="str">
        <x:f>IF(AND(E2355&gt;='Итоги'!$F$5,N2355&lt;='Итоги'!$B$5,O2355&gt;='Итоги'!$D$5),"Да","Нет")</x:f>
        <x:v>Нет</x:v>
      </x:c>
    </x:row>
    <x:row r="2356" ht="60" customHeight="1">
      <x:c r="A2356" s="14" t="str">
        <x:v>Товары для красоты и здоровья</x:v>
      </x:c>
      <x:c r="B2356" s="14" t="str">
        <x:v>Косметика для ухода за волосами</x:v>
      </x:c>
      <x:c r="C2356" s="14" t="str">
        <x:v>Уход за волосами для женщин</x:v>
      </x:c>
      <x:c r="D2356" s="14" t="str">
        <x:v>Крем для волос женский</x:v>
      </x:c>
      <x:c r="E2356" s="2" t="n">
        <x:v>33</x:v>
      </x:c>
      <x:c r="F2356" s="2" t="n">
        <x:v>0</x:v>
      </x:c>
      <x:c r="G2356" s="12" t="n">
        <x:v>5210742.2776</x:v>
      </x:c>
      <x:c r="H2356" s="12" t="n">
        <x:v>281219.86690788</x:v>
      </x:c>
      <x:c r="I2356" s="13" t="n">
        <x:v>0.0557757575757575</x:v>
      </x:c>
      <x:c r="J2356" s="2" t="n">
        <x:v>8</x:v>
      </x:c>
      <x:c r="K2356" s="2" t="n">
        <x:v>13</x:v>
      </x:c>
      <x:c r="L2356" s="12" t="n">
        <x:v>1495.9858</x:v>
      </x:c>
      <x:c r="M2356" s="13" t="n">
        <x:v>0.3632546196607926</x:v>
      </x:c>
      <x:c r="N2356" s="13" t="n">
        <x:f>H2356/G2356</x:f>
        <x:v>0.05396925273329892</x:v>
      </x:c>
      <x:c r="O2356" s="13" t="n">
        <x:f>F2356/E2356</x:f>
        <x:v>0</x:v>
      </x:c>
      <x:c r="P2356" s="2" t="str">
        <x:f>IF(AND(E2356&gt;='Итоги'!$F$5,N2356&lt;='Итоги'!$B$5,O2356&gt;='Итоги'!$D$5),"Да","Нет")</x:f>
        <x:v>Нет</x:v>
      </x:c>
    </x:row>
    <x:row r="2357" ht="60" customHeight="1">
      <x:c r="A2357" s="14" t="str">
        <x:v>Автотовары</x:v>
      </x:c>
      <x:c r="B2357" s="14" t="str">
        <x:v>Масла и автохимия</x:v>
      </x:c>
      <x:c r="C2357" s="14" t="str">
        <x:v>Товары для детейлинга</x:v>
      </x:c>
      <x:c r="D2357" s="14" t="str">
        <x:v>Автохимия - Защита кузова, стекол</x:v>
      </x:c>
      <x:c r="E2357" s="2" t="n">
        <x:v>109</x:v>
      </x:c>
      <x:c r="F2357" s="2" t="n">
        <x:v>0</x:v>
      </x:c>
      <x:c r="G2357" s="12" t="n">
        <x:v>18978005.4242</x:v>
      </x:c>
      <x:c r="H2357" s="12" t="n">
        <x:v>1024634.91421406</x:v>
      </x:c>
      <x:c r="I2357" s="13" t="n">
        <x:v>0.0559623853211009</x:v>
      </x:c>
      <x:c r="J2357" s="2" t="n">
        <x:v>48</x:v>
      </x:c>
      <x:c r="K2357" s="2" t="n">
        <x:v>24</x:v>
      </x:c>
      <x:c r="L2357" s="12" t="n">
        <x:v>1556.086</x:v>
      </x:c>
      <x:c r="M2357" s="13" t="n">
        <x:v>0.5895812990090167</x:v>
      </x:c>
      <x:c r="N2357" s="13" t="n">
        <x:f>H2357/G2357</x:f>
        <x:v>0.05399065345968793</x:v>
      </x:c>
      <x:c r="O2357" s="13" t="n">
        <x:f>F2357/E2357</x:f>
        <x:v>0</x:v>
      </x:c>
      <x:c r="P2357" s="2" t="str">
        <x:f>IF(AND(E2357&gt;='Итоги'!$F$5,N2357&lt;='Итоги'!$B$5,O2357&gt;='Итоги'!$D$5),"Да","Нет")</x:f>
        <x:v>Нет</x:v>
      </x:c>
    </x:row>
    <x:row r="2358" ht="60" customHeight="1">
      <x:c r="A2358" s="14" t="str">
        <x:v>Аптека</x:v>
      </x:c>
      <x:c r="B2358" s="14" t="str">
        <x:v>Медицинская техника</x:v>
      </x:c>
      <x:c r="C2358" s="14" t="str">
        <x:v>Медицинская техника</x:v>
      </x:c>
      <x:c r="D2358" s="14" t="str">
        <x:v>Центрифуга лабораторная</x:v>
      </x:c>
      <x:c r="E2358" s="2" t="n">
        <x:v>6</x:v>
      </x:c>
      <x:c r="F2358" s="2" t="n">
        <x:v>0</x:v>
      </x:c>
      <x:c r="G2358" s="12" t="n">
        <x:v>1483747.57</x:v>
      </x:c>
      <x:c r="H2358" s="12" t="n">
        <x:v>80134.822041</x:v>
      </x:c>
      <x:c r="I2358" s="13" t="n">
        <x:v>0.0486666666666666</x:v>
      </x:c>
      <x:c r="J2358" s="2" t="n">
        <x:v>3</x:v>
      </x:c>
      <x:c r="K2358" s="2" t="n">
        <x:v>2</x:v>
      </x:c>
      <x:c r="L2358" s="12" t="n">
        <x:v>17093.2514</x:v>
      </x:c>
      <x:c r="M2358" s="13" t="n">
        <x:v>0.7431762803156604</x:v>
      </x:c>
      <x:c r="N2358" s="13" t="n">
        <x:f>H2358/G2358</x:f>
        <x:v>0.054008393112987545</x:v>
      </x:c>
      <x:c r="O2358" s="13" t="n">
        <x:f>F2358/E2358</x:f>
        <x:v>0</x:v>
      </x:c>
      <x:c r="P2358" s="2" t="str">
        <x:f>IF(AND(E2358&gt;='Итоги'!$F$5,N2358&lt;='Итоги'!$B$5,O2358&gt;='Итоги'!$D$5),"Да","Нет")</x:f>
        <x:v>Нет</x:v>
      </x:c>
    </x:row>
    <x:row r="2359" ht="60" customHeight="1">
      <x:c r="A2359" s="14" t="str">
        <x:v>Автотовары</x:v>
      </x:c>
      <x:c r="B2359" s="14" t="str">
        <x:v>Авто и мото запчасти</x:v>
      </x:c>
      <x:c r="C2359" s="14" t="str">
        <x:v>Запчасти для ТО</x:v>
      </x:c>
      <x:c r="D2359" s="14" t="str">
        <x:v>Прочие автомобильные фильтры</x:v>
      </x:c>
      <x:c r="E2359" s="2" t="n">
        <x:v>5</x:v>
      </x:c>
      <x:c r="F2359" s="2" t="n">
        <x:v>0</x:v>
      </x:c>
      <x:c r="G2359" s="12" t="n">
        <x:v>481398.4713</x:v>
      </x:c>
      <x:c r="H2359" s="12" t="n">
        <x:v>26018.40843</x:v>
      </x:c>
      <x:c r="I2359" s="13" t="n">
        <x:v>0.07364</x:v>
      </x:c>
      <x:c r="J2359" s="2" t="n">
        <x:v>2</x:v>
      </x:c>
      <x:c r="K2359" s="2" t="n">
        <x:v>2</x:v>
      </x:c>
      <x:c r="L2359" s="12" t="n">
        <x:v>808.5085</x:v>
      </x:c>
      <x:c r="M2359" s="13" t="n">
        <x:v>0.7027285948508578</x:v>
      </x:c>
      <x:c r="N2359" s="13" t="n">
        <x:f>H2359/G2359</x:f>
        <x:v>0.05404755100226676</x:v>
      </x:c>
      <x:c r="O2359" s="13" t="n">
        <x:f>F2359/E2359</x:f>
        <x:v>0</x:v>
      </x:c>
      <x:c r="P2359" s="2" t="str">
        <x:f>IF(AND(E2359&gt;='Итоги'!$F$5,N2359&lt;='Итоги'!$B$5,O2359&gt;='Итоги'!$D$5),"Да","Нет")</x:f>
        <x:v>Нет</x:v>
      </x:c>
    </x:row>
    <x:row r="2360" ht="60" customHeight="1">
      <x:c r="A2360" s="14" t="str">
        <x:v>Товары для детей и спорта</x:v>
      </x:c>
      <x:c r="B2360" s="14" t="str">
        <x:v>Кормление детское</x:v>
      </x:c>
      <x:c r="C2360" s="14" t="str">
        <x:v>Кормление детское</x:v>
      </x:c>
      <x:c r="D2360" s="14" t="str">
        <x:v>Поильник для младенцев</x:v>
      </x:c>
      <x:c r="E2360" s="2" t="n">
        <x:v>7</x:v>
      </x:c>
      <x:c r="F2360" s="2" t="n">
        <x:v>0</x:v>
      </x:c>
      <x:c r="G2360" s="12" t="n">
        <x:v>624067.2339</x:v>
      </x:c>
      <x:c r="H2360" s="12" t="n">
        <x:v>33741.7366141</x:v>
      </x:c>
      <x:c r="I2360" s="13" t="n">
        <x:v>0.0529857142857142</x:v>
      </x:c>
      <x:c r="J2360" s="2" t="n">
        <x:v>3</x:v>
      </x:c>
      <x:c r="K2360" s="2" t="n">
        <x:v>3</x:v>
      </x:c>
      <x:c r="L2360" s="12" t="n">
        <x:v>983.223</x:v>
      </x:c>
      <x:c r="M2360" s="13" t="n">
        <x:v>0.732889357195909</x:v>
      </x:c>
      <x:c r="N2360" s="13" t="n">
        <x:f>H2360/G2360</x:f>
        <x:v>0.05406747026796595</x:v>
      </x:c>
      <x:c r="O2360" s="13" t="n">
        <x:f>F2360/E2360</x:f>
        <x:v>0</x:v>
      </x:c>
      <x:c r="P2360" s="2" t="str">
        <x:f>IF(AND(E2360&gt;='Итоги'!$F$5,N2360&lt;='Итоги'!$B$5,O2360&gt;='Итоги'!$D$5),"Да","Нет")</x:f>
        <x:v>Нет</x:v>
      </x:c>
    </x:row>
    <x:row r="2361" ht="60" customHeight="1">
      <x:c r="A2361" s="14" t="str">
        <x:v>Детская одежда</x:v>
      </x:c>
      <x:c r="B2361" s="14" t="str">
        <x:v>Детская одежда</x:v>
      </x:c>
      <x:c r="C2361" s="14" t="str">
        <x:v>Белье и ЧНИ для девочек</x:v>
      </x:c>
      <x:c r="D2361" s="14" t="str">
        <x:v>Купальник спортивный для девочки</x:v>
      </x:c>
      <x:c r="E2361" s="2" t="n">
        <x:v>1</x:v>
      </x:c>
      <x:c r="F2361" s="2" t="n">
        <x:v>0</x:v>
      </x:c>
      <x:c r="G2361" s="12" t="n">
        <x:v>18597.25</x:v>
      </x:c>
      <x:c r="H2361" s="12" t="n">
        <x:v>1006.111225</x:v>
      </x:c>
      <x:c r="I2361" s="13" t="n">
        <x:v>0.0541</x:v>
      </x:c>
      <x:c r="J2361" s="2" t="n">
        <x:v>0</x:v>
      </x:c>
      <x:c r="K2361" s="2" t="n">
        <x:v>1</x:v>
      </x:c>
      <x:c r="L2361" s="12" t="n">
        <x:v>1690.6591</x:v>
      </x:c>
      <x:c r="M2361" s="13" t="n">
        <x:v>1</x:v>
      </x:c>
      <x:c r="N2361" s="13" t="n">
        <x:f>H2361/G2361</x:f>
        <x:v>0.0541</x:v>
      </x:c>
      <x:c r="O2361" s="13" t="n">
        <x:f>F2361/E2361</x:f>
        <x:v>0</x:v>
      </x:c>
      <x:c r="P2361" s="2" t="str">
        <x:f>IF(AND(E2361&gt;='Итоги'!$F$5,N2361&lt;='Итоги'!$B$5,O2361&gt;='Итоги'!$D$5),"Да","Нет")</x:f>
        <x:v>Нет</x:v>
      </x:c>
    </x:row>
    <x:row r="2362" ht="60" customHeight="1">
      <x:c r="A2362" s="14" t="str">
        <x:v>Хобби и творчество</x:v>
      </x:c>
      <x:c r="B2362" s="14" t="str">
        <x:v>Детское творчество и хобби</x:v>
      </x:c>
      <x:c r="C2362" s="14" t="str">
        <x:v>Рисование для детей</x:v>
      </x:c>
      <x:c r="D2362" s="14" t="str">
        <x:v>Холст</x:v>
      </x:c>
      <x:c r="E2362" s="2" t="n">
        <x:v>13</x:v>
      </x:c>
      <x:c r="F2362" s="2" t="n">
        <x:v>0</x:v>
      </x:c>
      <x:c r="G2362" s="12" t="n">
        <x:v>1238183.3074</x:v>
      </x:c>
      <x:c r="H2362" s="12" t="n">
        <x:v>66988.53357403</x:v>
      </x:c>
      <x:c r="I2362" s="13" t="n">
        <x:v>0.0584999999999999</x:v>
      </x:c>
      <x:c r="J2362" s="2" t="n">
        <x:v>8</x:v>
      </x:c>
      <x:c r="K2362" s="2" t="n">
        <x:v>4</x:v>
      </x:c>
      <x:c r="L2362" s="12" t="n">
        <x:v>1156.8889</x:v>
      </x:c>
      <x:c r="M2362" s="13" t="n">
        <x:v>0.6525699155133029</x:v>
      </x:c>
      <x:c r="N2362" s="13" t="n">
        <x:f>H2362/G2362</x:f>
        <x:v>0.054102274819627406</x:v>
      </x:c>
      <x:c r="O2362" s="13" t="n">
        <x:f>F2362/E2362</x:f>
        <x:v>0</x:v>
      </x:c>
      <x:c r="P2362" s="2" t="str">
        <x:f>IF(AND(E2362&gt;='Итоги'!$F$5,N2362&lt;='Итоги'!$B$5,O2362&gt;='Итоги'!$D$5),"Да","Нет")</x:f>
        <x:v>Нет</x:v>
      </x:c>
    </x:row>
    <x:row r="2363" ht="60" customHeight="1">
      <x:c r="A2363" s="14" t="str">
        <x:v>Товары для детей и спорта</x:v>
      </x:c>
      <x:c r="B2363" s="14" t="str">
        <x:v>Текстиль детский</x:v>
      </x:c>
      <x:c r="C2363" s="14" t="str">
        <x:v>Постельное белье для новорожденных и малышей</x:v>
      </x:c>
      <x:c r="D2363" s="14" t="str">
        <x:v>Одеяло для новорожденных и малышей</x:v>
      </x:c>
      <x:c r="E2363" s="2" t="n">
        <x:v>5</x:v>
      </x:c>
      <x:c r="F2363" s="2" t="n">
        <x:v>0</x:v>
      </x:c>
      <x:c r="G2363" s="12" t="n">
        <x:v>626258.7157</x:v>
      </x:c>
      <x:c r="H2363" s="12" t="n">
        <x:v>33926.06535436</x:v>
      </x:c>
      <x:c r="I2363" s="13" t="n">
        <x:v>0.0537799999999999</x:v>
      </x:c>
      <x:c r="J2363" s="2" t="n">
        <x:v>1</x:v>
      </x:c>
      <x:c r="K2363" s="2" t="n">
        <x:v>3</x:v>
      </x:c>
      <x:c r="L2363" s="12" t="n">
        <x:v>1823.3404</x:v>
      </x:c>
      <x:c r="M2363" s="13" t="n">
        <x:v>0.5390587902998825</x:v>
      </x:c>
      <x:c r="N2363" s="13" t="n">
        <x:f>H2363/G2363</x:f>
        <x:v>0.05417260391568232</x:v>
      </x:c>
      <x:c r="O2363" s="13" t="n">
        <x:f>F2363/E2363</x:f>
        <x:v>0</x:v>
      </x:c>
      <x:c r="P2363" s="2" t="str">
        <x:f>IF(AND(E2363&gt;='Итоги'!$F$5,N2363&lt;='Итоги'!$B$5,O2363&gt;='Итоги'!$D$5),"Да","Нет")</x:f>
        <x:v>Нет</x:v>
      </x:c>
    </x:row>
    <x:row r="2364" ht="60" customHeight="1">
      <x:c r="A2364" s="14" t="str">
        <x:v>Обувь</x:v>
      </x:c>
      <x:c r="B2364" s="14" t="str">
        <x:v>Специальная обувь</x:v>
      </x:c>
      <x:c r="C2364" s="14" t="str">
        <x:v>Спецобувь мужская</x:v>
      </x:c>
      <x:c r="D2364" s="14" t="str">
        <x:v>Рабочие сапоги мужские</x:v>
      </x:c>
      <x:c r="E2364" s="2" t="n">
        <x:v>2</x:v>
      </x:c>
      <x:c r="F2364" s="2" t="n">
        <x:v>0</x:v>
      </x:c>
      <x:c r="G2364" s="12" t="n">
        <x:v>127006.1</x:v>
      </x:c>
      <x:c r="H2364" s="12" t="n">
        <x:v>6893.57156</x:v>
      </x:c>
      <x:c r="I2364" s="13" t="n">
        <x:v>0.0278</x:v>
      </x:c>
      <x:c r="J2364" s="2" t="n">
        <x:v>1</x:v>
      </x:c>
      <x:c r="K2364" s="2" t="n">
        <x:v>2</x:v>
      </x:c>
      <x:c r="L2364" s="12" t="n">
        <x:v>2422.15515</x:v>
      </x:c>
      <x:c r="M2364" s="13" t="n">
        <x:v>0.9762137409148064</x:v>
      </x:c>
      <x:c r="N2364" s="13" t="n">
        <x:f>H2364/G2364</x:f>
        <x:v>0.05427748399486324</x:v>
      </x:c>
      <x:c r="O2364" s="13" t="n">
        <x:f>F2364/E2364</x:f>
        <x:v>0</x:v>
      </x:c>
      <x:c r="P2364" s="2" t="str">
        <x:f>IF(AND(E2364&gt;='Итоги'!$F$5,N2364&lt;='Итоги'!$B$5,O2364&gt;='Итоги'!$D$5),"Да","Нет")</x:f>
        <x:v>Нет</x:v>
      </x:c>
    </x:row>
    <x:row r="2365" ht="60" customHeight="1">
      <x:c r="A2365" s="14" t="str">
        <x:v>Товары для детей и спорта</x:v>
      </x:c>
      <x:c r="B2365" s="14" t="str">
        <x:v>КГТ и аксессуары для детей</x:v>
      </x:c>
      <x:c r="C2365" s="14" t="str">
        <x:v>Автокресла и аксессуары</x:v>
      </x:c>
      <x:c r="D2365" s="14" t="str">
        <x:v>Детское автокресло группы 0-1 (0-18 кг)</x:v>
      </x:c>
      <x:c r="E2365" s="2" t="n">
        <x:v>5</x:v>
      </x:c>
      <x:c r="F2365" s="2" t="n">
        <x:v>0</x:v>
      </x:c>
      <x:c r="G2365" s="12" t="n">
        <x:v>364818</x:v>
      </x:c>
      <x:c r="H2365" s="12" t="n">
        <x:v>19806.4304</x:v>
      </x:c>
      <x:c r="I2365" s="13" t="n">
        <x:v>0.04642</x:v>
      </x:c>
      <x:c r="J2365" s="2" t="n">
        <x:v>3</x:v>
      </x:c>
      <x:c r="K2365" s="2" t="n">
        <x:v>2</x:v>
      </x:c>
      <x:c r="L2365" s="12" t="n">
        <x:v>6441.8333</x:v>
      </x:c>
      <x:c r="M2365" s="13" t="n">
        <x:v>0.7881080429145492</x:v>
      </x:c>
      <x:c r="N2365" s="13" t="n">
        <x:f>H2365/G2365</x:f>
        <x:v>0.05429126413718622</x:v>
      </x:c>
      <x:c r="O2365" s="13" t="n">
        <x:f>F2365/E2365</x:f>
        <x:v>0</x:v>
      </x:c>
      <x:c r="P2365" s="2" t="str">
        <x:f>IF(AND(E2365&gt;='Итоги'!$F$5,N2365&lt;='Итоги'!$B$5,O2365&gt;='Итоги'!$D$5),"Да","Нет")</x:f>
        <x:v>Нет</x:v>
      </x:c>
    </x:row>
    <x:row r="2366" ht="60" customHeight="1">
      <x:c r="A2366" s="14" t="str">
        <x:v>Товары для дома</x:v>
      </x:c>
      <x:c r="B2366" s="14" t="str">
        <x:v>Домашний текстиль</x:v>
      </x:c>
      <x:c r="C2366" s="14" t="str">
        <x:v>Одеяло</x:v>
      </x:c>
      <x:c r="D2366" s="14" t="str">
        <x:v>Комплект одеяло+подушка</x:v>
      </x:c>
      <x:c r="E2366" s="2" t="n">
        <x:v>10</x:v>
      </x:c>
      <x:c r="F2366" s="2" t="n">
        <x:v>0</x:v>
      </x:c>
      <x:c r="G2366" s="12" t="n">
        <x:v>1953526.908</x:v>
      </x:c>
      <x:c r="H2366" s="12" t="n">
        <x:v>106120.18013832</x:v>
      </x:c>
      <x:c r="I2366" s="13" t="n">
        <x:v>0.09523</x:v>
      </x:c>
      <x:c r="J2366" s="2" t="n">
        <x:v>2</x:v>
      </x:c>
      <x:c r="K2366" s="2" t="n">
        <x:v>5</x:v>
      </x:c>
      <x:c r="L2366" s="12" t="n">
        <x:v>2038.36855</x:v>
      </x:c>
      <x:c r="M2366" s="13" t="n">
        <x:v>0.8592981807036364</x:v>
      </x:c>
      <x:c r="N2366" s="13" t="n">
        <x:f>H2366/G2366</x:f>
        <x:v>0.054322353945441534</x:v>
      </x:c>
      <x:c r="O2366" s="13" t="n">
        <x:f>F2366/E2366</x:f>
        <x:v>0</x:v>
      </x:c>
      <x:c r="P2366" s="2" t="str">
        <x:f>IF(AND(E2366&gt;='Итоги'!$F$5,N2366&lt;='Итоги'!$B$5,O2366&gt;='Итоги'!$D$5),"Да","Нет")</x:f>
        <x:v>Нет</x:v>
      </x:c>
    </x:row>
    <x:row r="2367" ht="60" customHeight="1">
      <x:c r="A2367" s="14" t="str">
        <x:v>Товары для детей и спорта</x:v>
      </x:c>
      <x:c r="B2367" s="14" t="str">
        <x:v>КГТ и аксессуары для детей</x:v>
      </x:c>
      <x:c r="C2367" s="14" t="str">
        <x:v>Коляска детская</x:v>
      </x:c>
      <x:c r="D2367" s="14" t="str">
        <x:v>Прогулочная коляска</x:v>
      </x:c>
      <x:c r="E2367" s="2" t="n">
        <x:v>219</x:v>
      </x:c>
      <x:c r="F2367" s="2" t="n">
        <x:v>0</x:v>
      </x:c>
      <x:c r="G2367" s="12" t="n">
        <x:v>27645993.3789</x:v>
      </x:c>
      <x:c r="H2367" s="12" t="n">
        <x:v>1501819.32354684</x:v>
      </x:c>
      <x:c r="I2367" s="13" t="n">
        <x:v>0.0505607305936073</x:v>
      </x:c>
      <x:c r="J2367" s="2" t="n">
        <x:v>89</x:v>
      </x:c>
      <x:c r="K2367" s="2" t="n">
        <x:v>16</x:v>
      </x:c>
      <x:c r="L2367" s="12" t="n">
        <x:v>12120.0909</x:v>
      </x:c>
      <x:c r="M2367" s="13" t="n">
        <x:v>0.7427413235753663</x:v>
      </x:c>
      <x:c r="N2367" s="13" t="n">
        <x:f>H2367/G2367</x:f>
        <x:v>0.0543232179420639</x:v>
      </x:c>
      <x:c r="O2367" s="13" t="n">
        <x:f>F2367/E2367</x:f>
        <x:v>0</x:v>
      </x:c>
      <x:c r="P2367" s="2" t="str">
        <x:f>IF(AND(E2367&gt;='Итоги'!$F$5,N2367&lt;='Итоги'!$B$5,O2367&gt;='Итоги'!$D$5),"Да","Нет")</x:f>
        <x:v>Нет</x:v>
      </x:c>
    </x:row>
    <x:row r="2368" ht="60" customHeight="1">
      <x:c r="A2368" s="14" t="str">
        <x:v>Аксессуары для электроники</x:v>
      </x:c>
      <x:c r="B2368" s="14" t="str">
        <x:v>Аксессуары для МБТ (дом) Access</x:v>
      </x:c>
      <x:c r="C2368" s="14" t="str">
        <x:v>Расходные материалы для бытовой техники Access</x:v>
      </x:c>
      <x:c r="D2368" s="14" t="str">
        <x:v>Расходные материалы для бытовой техники</x:v>
      </x:c>
      <x:c r="E2368" s="2" t="n">
        <x:v>4</x:v>
      </x:c>
      <x:c r="F2368" s="2" t="n">
        <x:v>0</x:v>
      </x:c>
      <x:c r="G2368" s="12" t="n">
        <x:v>508797.1935</x:v>
      </x:c>
      <x:c r="H2368" s="12" t="n">
        <x:v>27655.57475835</x:v>
      </x:c>
      <x:c r="I2368" s="13" t="n">
        <x:v>0.0317</x:v>
      </x:c>
      <x:c r="J2368" s="2" t="n">
        <x:v>2</x:v>
      </x:c>
      <x:c r="K2368" s="2" t="n">
        <x:v>3</x:v>
      </x:c>
      <x:c r="L2368" s="12" t="n">
        <x:v>5559.0791</x:v>
      </x:c>
      <x:c r="M2368" s="13" t="n">
        <x:v>0.7080840816391021</x:v>
      </x:c>
      <x:c r="N2368" s="13" t="n">
        <x:f>H2368/G2368</x:f>
        <x:v>0.054354809955039586</x:v>
      </x:c>
      <x:c r="O2368" s="13" t="n">
        <x:f>F2368/E2368</x:f>
        <x:v>0</x:v>
      </x:c>
      <x:c r="P2368" s="2" t="str">
        <x:f>IF(AND(E2368&gt;='Итоги'!$F$5,N2368&lt;='Итоги'!$B$5,O2368&gt;='Итоги'!$D$5),"Да","Нет")</x:f>
        <x:v>Нет</x:v>
      </x:c>
    </x:row>
    <x:row r="2369" ht="60" customHeight="1">
      <x:c r="A2369" s="14" t="str">
        <x:v>Спорт и отдых</x:v>
      </x:c>
      <x:c r="B2369" s="14" t="str">
        <x:v>Водные виды спорта</x:v>
      </x:c>
      <x:c r="C2369" s="14" t="str">
        <x:v>Дайвинг</x:v>
      </x:c>
      <x:c r="D2369" s="14" t="str">
        <x:v>Трубка для дайвинга</x:v>
      </x:c>
      <x:c r="E2369" s="2" t="n">
        <x:v>5</x:v>
      </x:c>
      <x:c r="F2369" s="2" t="n">
        <x:v>0</x:v>
      </x:c>
      <x:c r="G2369" s="12" t="n">
        <x:v>573066.4</x:v>
      </x:c>
      <x:c r="H2369" s="12" t="n">
        <x:v>31183.56128</x:v>
      </x:c>
      <x:c r="I2369" s="13" t="n">
        <x:v>0.0436</x:v>
      </x:c>
      <x:c r="J2369" s="2" t="n">
        <x:v>1</x:v>
      </x:c>
      <x:c r="K2369" s="2" t="n">
        <x:v>3</x:v>
      </x:c>
      <x:c r="L2369" s="12" t="n">
        <x:v>1491.8696</x:v>
      </x:c>
      <x:c r="M2369" s="13" t="n">
        <x:v>0.5717564317154172</x:v>
      </x:c>
      <x:c r="N2369" s="13" t="n">
        <x:f>H2369/G2369</x:f>
        <x:v>0.05441526720114807</x:v>
      </x:c>
      <x:c r="O2369" s="13" t="n">
        <x:f>F2369/E2369</x:f>
        <x:v>0</x:v>
      </x:c>
      <x:c r="P2369" s="2" t="str">
        <x:f>IF(AND(E2369&gt;='Итоги'!$F$5,N2369&lt;='Итоги'!$B$5,O2369&gt;='Итоги'!$D$5),"Да","Нет")</x:f>
        <x:v>Нет</x:v>
      </x:c>
    </x:row>
    <x:row r="2370" ht="60" customHeight="1">
      <x:c r="A2370" s="14" t="str">
        <x:v>Спорт и отдых</x:v>
      </x:c>
      <x:c r="B2370" s="14" t="str">
        <x:v>Тренажеры и фитнес</x:v>
      </x:c>
      <x:c r="C2370" s="14" t="str">
        <x:v>Мини тренажеры</x:v>
      </x:c>
      <x:c r="D2370" s="14" t="str">
        <x:v>Виброплатформа</x:v>
      </x:c>
      <x:c r="E2370" s="2" t="n">
        <x:v>21</x:v>
      </x:c>
      <x:c r="F2370" s="2" t="n">
        <x:v>0</x:v>
      </x:c>
      <x:c r="G2370" s="12" t="n">
        <x:v>7045737.1087</x:v>
      </x:c>
      <x:c r="H2370" s="12" t="n">
        <x:v>383601.45930419</x:v>
      </x:c>
      <x:c r="I2370" s="13" t="n">
        <x:v>0.0469333333333333</x:v>
      </x:c>
      <x:c r="J2370" s="2" t="n">
        <x:v>4</x:v>
      </x:c>
      <x:c r="K2370" s="2" t="n">
        <x:v>11</x:v>
      </x:c>
      <x:c r="L2370" s="12" t="n">
        <x:v>9585.9524</x:v>
      </x:c>
      <x:c r="M2370" s="13" t="n">
        <x:v>0.3382672179262941</x:v>
      </x:c>
      <x:c r="N2370" s="13" t="n">
        <x:f>H2370/G2370</x:f>
        <x:v>0.054444475203385474</x:v>
      </x:c>
      <x:c r="O2370" s="13" t="n">
        <x:f>F2370/E2370</x:f>
        <x:v>0</x:v>
      </x:c>
      <x:c r="P2370" s="2" t="str">
        <x:f>IF(AND(E2370&gt;='Итоги'!$F$5,N2370&lt;='Итоги'!$B$5,O2370&gt;='Итоги'!$D$5),"Да","Нет")</x:f>
        <x:v>Нет</x:v>
      </x:c>
    </x:row>
    <x:row r="2371" ht="60" customHeight="1">
      <x:c r="A2371" s="14" t="str">
        <x:v>Строительство и ремонт (DIY)</x:v>
      </x:c>
      <x:c r="B2371" s="14" t="str">
        <x:v>Инструменты</x:v>
      </x:c>
      <x:c r="C2371" s="14" t="str">
        <x:v>Инструмент ручной для строительства, ремонта</x:v>
      </x:c>
      <x:c r="D2371" s="14" t="str">
        <x:v>Резец, нож, набор резцов, ножей по дереву</x:v>
      </x:c>
      <x:c r="E2371" s="2" t="n">
        <x:v>13</x:v>
      </x:c>
      <x:c r="F2371" s="2" t="n">
        <x:v>0</x:v>
      </x:c>
      <x:c r="G2371" s="12" t="n">
        <x:v>1414785.4815</x:v>
      </x:c>
      <x:c r="H2371" s="12" t="n">
        <x:v>77061.1508645</x:v>
      </x:c>
      <x:c r="I2371" s="13" t="n">
        <x:v>0.0414076923076923</x:v>
      </x:c>
      <x:c r="J2371" s="2" t="n">
        <x:v>5</x:v>
      </x:c>
      <x:c r="K2371" s="2" t="n">
        <x:v>8</x:v>
      </x:c>
      <x:c r="L2371" s="12" t="n">
        <x:v>2946</x:v>
      </x:c>
      <x:c r="M2371" s="13" t="n">
        <x:v>0.2089694896264738</x:v>
      </x:c>
      <x:c r="N2371" s="13" t="n">
        <x:f>H2371/G2371</x:f>
        <x:v>0.05446843487734787</x:v>
      </x:c>
      <x:c r="O2371" s="13" t="n">
        <x:f>F2371/E2371</x:f>
        <x:v>0</x:v>
      </x:c>
      <x:c r="P2371" s="2" t="str">
        <x:f>IF(AND(E2371&gt;='Итоги'!$F$5,N2371&lt;='Итоги'!$B$5,O2371&gt;='Итоги'!$D$5),"Да","Нет")</x:f>
        <x:v>Нет</x:v>
      </x:c>
    </x:row>
    <x:row r="2372" ht="60" customHeight="1">
      <x:c r="A2372" s="14" t="str">
        <x:v>Детская одежда</x:v>
      </x:c>
      <x:c r="B2372" s="14" t="str">
        <x:v>Детская одежда</x:v>
      </x:c>
      <x:c r="C2372" s="14" t="str">
        <x:v>Школьная одежда для девочки</x:v>
      </x:c>
      <x:c r="D2372" s="14" t="str">
        <x:v>Школьное платье для девочки</x:v>
      </x:c>
      <x:c r="E2372" s="2" t="n">
        <x:v>175</x:v>
      </x:c>
      <x:c r="F2372" s="2" t="n">
        <x:v>0</x:v>
      </x:c>
      <x:c r="G2372" s="12" t="n">
        <x:v>14866148.532</x:v>
      </x:c>
      <x:c r="H2372" s="12" t="n">
        <x:v>809939.59382047</x:v>
      </x:c>
      <x:c r="I2372" s="13" t="n">
        <x:v>0.0466051428571428</x:v>
      </x:c>
      <x:c r="J2372" s="2" t="n">
        <x:v>72</x:v>
      </x:c>
      <x:c r="K2372" s="2" t="n">
        <x:v>27</x:v>
      </x:c>
      <x:c r="L2372" s="12" t="n">
        <x:v>1897</x:v>
      </x:c>
      <x:c r="M2372" s="13" t="n">
        <x:v>0.28028272577332</x:v>
      </x:c>
      <x:c r="N2372" s="13" t="n">
        <x:f>H2372/G2372</x:f>
        <x:v>0.054482140554229064</x:v>
      </x:c>
      <x:c r="O2372" s="13" t="n">
        <x:f>F2372/E2372</x:f>
        <x:v>0</x:v>
      </x:c>
      <x:c r="P2372" s="2" t="str">
        <x:f>IF(AND(E2372&gt;='Итоги'!$F$5,N2372&lt;='Итоги'!$B$5,O2372&gt;='Итоги'!$D$5),"Да","Нет")</x:f>
        <x:v>Нет</x:v>
      </x:c>
    </x:row>
    <x:row r="2373" ht="60" customHeight="1">
      <x:c r="A2373" s="14" t="str">
        <x:v>Спорт и отдых</x:v>
      </x:c>
      <x:c r="B2373" s="14" t="str">
        <x:v>Товары для охоты</x:v>
      </x:c>
      <x:c r="C2373" s="14" t="str">
        <x:v>Средства связи для охоты, рыбалки</x:v>
      </x:c>
      <x:c r="D2373" s="14" t="str">
        <x:v>Гарнитура для рации, радиостанции</x:v>
      </x:c>
      <x:c r="E2373" s="2" t="n">
        <x:v>4</x:v>
      </x:c>
      <x:c r="F2373" s="2" t="n">
        <x:v>0</x:v>
      </x:c>
      <x:c r="G2373" s="12" t="n">
        <x:v>366734</x:v>
      </x:c>
      <x:c r="H2373" s="12" t="n">
        <x:v>19985.5138</x:v>
      </x:c>
      <x:c r="I2373" s="13" t="n">
        <x:v>0.055725</x:v>
      </x:c>
      <x:c r="J2373" s="2" t="n">
        <x:v>0</x:v>
      </x:c>
      <x:c r="K2373" s="2" t="n">
        <x:v>2</x:v>
      </x:c>
      <x:c r="L2373" s="12" t="n">
        <x:v>1685.37045</x:v>
      </x:c>
      <x:c r="M2373" s="13" t="n">
        <x:v>0.7194151619429886</x:v>
      </x:c>
      <x:c r="N2373" s="13" t="n">
        <x:f>H2373/G2373</x:f>
        <x:v>0.054495939291148356</x:v>
      </x:c>
      <x:c r="O2373" s="13" t="n">
        <x:f>F2373/E2373</x:f>
        <x:v>0</x:v>
      </x:c>
      <x:c r="P2373" s="2" t="str">
        <x:f>IF(AND(E2373&gt;='Итоги'!$F$5,N2373&lt;='Итоги'!$B$5,O2373&gt;='Итоги'!$D$5),"Да","Нет")</x:f>
        <x:v>Нет</x:v>
      </x:c>
    </x:row>
    <x:row r="2374" ht="60" customHeight="1">
      <x:c r="A2374" s="14" t="str">
        <x:v>Аптека</x:v>
      </x:c>
      <x:c r="B2374" s="14" t="str">
        <x:v>Парафармацевтика</x:v>
      </x:c>
      <x:c r="C2374" s="14" t="str">
        <x:v>Парафармацевтика</x:v>
      </x:c>
      <x:c r="D2374" s="14" t="str">
        <x:v>Средства для мышц и суставов</x:v>
      </x:c>
      <x:c r="E2374" s="2" t="n">
        <x:v>17</x:v>
      </x:c>
      <x:c r="F2374" s="2" t="n">
        <x:v>0</x:v>
      </x:c>
      <x:c r="G2374" s="12" t="n">
        <x:v>3042887.1799</x:v>
      </x:c>
      <x:c r="H2374" s="12" t="n">
        <x:v>165895.39583372002</x:v>
      </x:c>
      <x:c r="I2374" s="13" t="n">
        <x:v>0.0587294117647058</x:v>
      </x:c>
      <x:c r="J2374" s="2" t="n">
        <x:v>7</x:v>
      </x:c>
      <x:c r="K2374" s="2" t="n">
        <x:v>8</x:v>
      </x:c>
      <x:c r="L2374" s="12" t="n">
        <x:v>2464.9872</x:v>
      </x:c>
      <x:c r="M2374" s="13" t="n">
        <x:v>0.2796836197614031</x:v>
      </x:c>
      <x:c r="N2374" s="13" t="n">
        <x:f>H2374/G2374</x:f>
        <x:v>0.05451907547856307</x:v>
      </x:c>
      <x:c r="O2374" s="13" t="n">
        <x:f>F2374/E2374</x:f>
        <x:v>0</x:v>
      </x:c>
      <x:c r="P2374" s="2" t="str">
        <x:f>IF(AND(E2374&gt;='Итоги'!$F$5,N2374&lt;='Итоги'!$B$5,O2374&gt;='Итоги'!$D$5),"Да","Нет")</x:f>
        <x:v>Нет</x:v>
      </x:c>
    </x:row>
    <x:row r="2375" ht="60" customHeight="1">
      <x:c r="A2375" s="14" t="str">
        <x:v>Аудио и видеотехника</x:v>
      </x:c>
      <x:c r="B2375" s="14" t="str">
        <x:v>Система безопасности TV&amp;Audio</x:v>
      </x:c>
      <x:c r="C2375" s="14" t="str">
        <x:v>Безопасность дома TV&amp;Audio</x:v>
      </x:c>
      <x:c r="D2375" s="14" t="str">
        <x:v>Видеорегистратор охранный</x:v>
      </x:c>
      <x:c r="E2375" s="2" t="n">
        <x:v>24</x:v>
      </x:c>
      <x:c r="F2375" s="2" t="n">
        <x:v>0</x:v>
      </x:c>
      <x:c r="G2375" s="12" t="n">
        <x:v>5180537.234</x:v>
      </x:c>
      <x:c r="H2375" s="12" t="n">
        <x:v>282438.2110711</x:v>
      </x:c>
      <x:c r="I2375" s="13" t="n">
        <x:v>0.0563125</x:v>
      </x:c>
      <x:c r="J2375" s="2" t="n">
        <x:v>4</x:v>
      </x:c>
      <x:c r="K2375" s="2" t="n">
        <x:v>5</x:v>
      </x:c>
      <x:c r="L2375" s="12" t="n">
        <x:v>3610.27795</x:v>
      </x:c>
      <x:c r="M2375" s="13" t="n">
        <x:v>0.6991473288192952</x:v>
      </x:c>
      <x:c r="N2375" s="13" t="n">
        <x:f>H2375/G2375</x:f>
        <x:v>0.054519096825991466</x:v>
      </x:c>
      <x:c r="O2375" s="13" t="n">
        <x:f>F2375/E2375</x:f>
        <x:v>0</x:v>
      </x:c>
      <x:c r="P2375" s="2" t="str">
        <x:f>IF(AND(E2375&gt;='Итоги'!$F$5,N2375&lt;='Итоги'!$B$5,O2375&gt;='Итоги'!$D$5),"Да","Нет")</x:f>
        <x:v>Нет</x:v>
      </x:c>
    </x:row>
    <x:row r="2376" ht="60" customHeight="1">
      <x:c r="A2376" s="14" t="str">
        <x:v>Товары для дома</x:v>
      </x:c>
      <x:c r="B2376" s="14" t="str">
        <x:v>Кухня</x:v>
      </x:c>
      <x:c r="C2376" s="14" t="str">
        <x:v>Столовые приборы</x:v>
      </x:c>
      <x:c r="D2376" s="14" t="str">
        <x:v>Палочки для еды</x:v>
      </x:c>
      <x:c r="E2376" s="2" t="n">
        <x:v>1</x:v>
      </x:c>
      <x:c r="F2376" s="2" t="n">
        <x:v>0</x:v>
      </x:c>
      <x:c r="G2376" s="12" t="n">
        <x:v>105881.785</x:v>
      </x:c>
      <x:c r="H2376" s="12" t="n">
        <x:v>5781.145461</x:v>
      </x:c>
      <x:c r="I2376" s="13" t="n">
        <x:v>0.0546</x:v>
      </x:c>
      <x:c r="J2376" s="2" t="n">
        <x:v>0</x:v>
      </x:c>
      <x:c r="K2376" s="2" t="n">
        <x:v>1</x:v>
      </x:c>
      <x:c r="L2376" s="12" t="n">
        <x:v>847.0543</x:v>
      </x:c>
      <x:c r="M2376" s="13" t="n">
        <x:v>1</x:v>
      </x:c>
      <x:c r="N2376" s="13" t="n">
        <x:f>H2376/G2376</x:f>
        <x:v>0.054599999999999996</x:v>
      </x:c>
      <x:c r="O2376" s="13" t="n">
        <x:f>F2376/E2376</x:f>
        <x:v>0</x:v>
      </x:c>
      <x:c r="P2376" s="2" t="str">
        <x:f>IF(AND(E2376&gt;='Итоги'!$F$5,N2376&lt;='Итоги'!$B$5,O2376&gt;='Итоги'!$D$5),"Да","Нет")</x:f>
        <x:v>Нет</x:v>
      </x:c>
    </x:row>
    <x:row r="2377" ht="60" customHeight="1">
      <x:c r="A2377" s="14" t="str">
        <x:v>Хобби и творчество</x:v>
      </x:c>
      <x:c r="B2377" s="14" t="str">
        <x:v>Взрослое творчество и хобби</x:v>
      </x:c>
      <x:c r="C2377" s="14" t="str">
        <x:v>Живопись и аэрография</x:v>
      </x:c>
      <x:c r="D2377" s="14" t="str">
        <x:v>Принадлежности для аэрографии</x:v>
      </x:c>
      <x:c r="E2377" s="2" t="n">
        <x:v>2</x:v>
      </x:c>
      <x:c r="F2377" s="2" t="n">
        <x:v>0</x:v>
      </x:c>
      <x:c r="G2377" s="12" t="n">
        <x:v>202517</x:v>
      </x:c>
      <x:c r="H2377" s="12" t="n">
        <x:v>11058.9686</x:v>
      </x:c>
      <x:c r="I2377" s="13" t="n">
        <x:v>0.0622</x:v>
      </x:c>
      <x:c r="J2377" s="2" t="n">
        <x:v>0</x:v>
      </x:c>
      <x:c r="K2377" s="2" t="n">
        <x:v>2</x:v>
      </x:c>
      <x:c r="L2377" s="12" t="n">
        <x:v>2951.7734</x:v>
      </x:c>
      <x:c r="M2377" s="13" t="n">
        <x:v>0.5718976678501064</x:v>
      </x:c>
      <x:c r="N2377" s="13" t="n">
        <x:f>H2377/G2377</x:f>
        <x:v>0.05460760627502877</x:v>
      </x:c>
      <x:c r="O2377" s="13" t="n">
        <x:f>F2377/E2377</x:f>
        <x:v>0</x:v>
      </x:c>
      <x:c r="P2377" s="2" t="str">
        <x:f>IF(AND(E2377&gt;='Итоги'!$F$5,N2377&lt;='Итоги'!$B$5,O2377&gt;='Итоги'!$D$5),"Да","Нет")</x:f>
        <x:v>Нет</x:v>
      </x:c>
    </x:row>
    <x:row r="2378" ht="60" customHeight="1">
      <x:c r="A2378" s="14" t="str">
        <x:v>Спорт и отдых</x:v>
      </x:c>
      <x:c r="B2378" s="14" t="str">
        <x:v>Колесный транспорт</x:v>
      </x:c>
      <x:c r="C2378" s="14" t="str">
        <x:v>Инструменты для велосипеда</x:v>
      </x:c>
      <x:c r="D2378" s="14" t="str">
        <x:v>Набор инструментов для велосипеда</x:v>
      </x:c>
      <x:c r="E2378" s="2" t="n">
        <x:v>13</x:v>
      </x:c>
      <x:c r="F2378" s="2" t="n">
        <x:v>0</x:v>
      </x:c>
      <x:c r="G2378" s="12" t="n">
        <x:v>1493270.4172</x:v>
      </x:c>
      <x:c r="H2378" s="12" t="n">
        <x:v>81556.41358697</x:v>
      </x:c>
      <x:c r="I2378" s="13" t="n">
        <x:v>0.0632</x:v>
      </x:c>
      <x:c r="J2378" s="2" t="n">
        <x:v>2</x:v>
      </x:c>
      <x:c r="K2378" s="2" t="n">
        <x:v>5</x:v>
      </x:c>
      <x:c r="L2378" s="12" t="n">
        <x:v>1670.8282</x:v>
      </x:c>
      <x:c r="M2378" s="13" t="n">
        <x:v>0.6986474286125702</x:v>
      </x:c>
      <x:c r="N2378" s="13" t="n">
        <x:f>H2378/G2378</x:f>
        <x:v>0.0546159708567017</x:v>
      </x:c>
      <x:c r="O2378" s="13" t="n">
        <x:f>F2378/E2378</x:f>
        <x:v>0</x:v>
      </x:c>
      <x:c r="P2378" s="2" t="str">
        <x:f>IF(AND(E2378&gt;='Итоги'!$F$5,N2378&lt;='Итоги'!$B$5,O2378&gt;='Итоги'!$D$5),"Да","Нет")</x:f>
        <x:v>Нет</x:v>
      </x:c>
    </x:row>
    <x:row r="2379" ht="60" customHeight="1">
      <x:c r="A2379" s="14" t="str">
        <x:v>Школьные принадлежности и канцелярия</x:v>
      </x:c>
      <x:c r="B2379" s="14" t="str">
        <x:v>Товары для школы, канцелярия, оборудование</x:v>
      </x:c>
      <x:c r="C2379" s="14" t="str">
        <x:v>Оборудование для магазина</x:v>
      </x:c>
      <x:c r="D2379" s="14" t="str">
        <x:v>Рекламная вывеска-баннер</x:v>
      </x:c>
      <x:c r="E2379" s="2" t="n">
        <x:v>3</x:v>
      </x:c>
      <x:c r="F2379" s="2" t="n">
        <x:v>0</x:v>
      </x:c>
      <x:c r="G2379" s="12" t="n">
        <x:v>311781.4014</x:v>
      </x:c>
      <x:c r="H2379" s="12" t="n">
        <x:v>17040.95776826</x:v>
      </x:c>
      <x:c r="I2379" s="13" t="n">
        <x:v>0.0448999999999999</x:v>
      </x:c>
      <x:c r="J2379" s="2" t="n">
        <x:v>1</x:v>
      </x:c>
      <x:c r="K2379" s="2" t="n">
        <x:v>3</x:v>
      </x:c>
      <x:c r="L2379" s="12" t="n">
        <x:v>1019.7857</x:v>
      </x:c>
      <x:c r="M2379" s="13" t="n">
        <x:v>0.4121252884970836</x:v>
      </x:c>
      <x:c r="N2379" s="13" t="n">
        <x:f>H2379/G2379</x:f>
        <x:v>0.05465674890080214</x:v>
      </x:c>
      <x:c r="O2379" s="13" t="n">
        <x:f>F2379/E2379</x:f>
        <x:v>0</x:v>
      </x:c>
      <x:c r="P2379" s="2" t="str">
        <x:f>IF(AND(E2379&gt;='Итоги'!$F$5,N2379&lt;='Итоги'!$B$5,O2379&gt;='Итоги'!$D$5),"Да","Нет")</x:f>
        <x:v>Нет</x:v>
      </x:c>
    </x:row>
    <x:row r="2380" ht="60" customHeight="1">
      <x:c r="A2380" s="14" t="str">
        <x:v>Строительство и ремонт (DIY)</x:v>
      </x:c>
      <x:c r="B2380" s="14" t="str">
        <x:v>Ремонт и строительство</x:v>
      </x:c>
      <x:c r="C2380" s="14" t="str">
        <x:v>Электротовары</x:v>
      </x:c>
      <x:c r="D2380" s="14" t="str">
        <x:v>Щитовое оборудование</x:v>
      </x:c>
      <x:c r="E2380" s="2" t="n">
        <x:v>161</x:v>
      </x:c>
      <x:c r="F2380" s="2" t="n">
        <x:v>0</x:v>
      </x:c>
      <x:c r="G2380" s="12" t="n">
        <x:v>30150347.0936</x:v>
      </x:c>
      <x:c r="H2380" s="12" t="n">
        <x:v>1648495.31871074</x:v>
      </x:c>
      <x:c r="I2380" s="13" t="n">
        <x:v>0.0480906832298136</x:v>
      </x:c>
      <x:c r="J2380" s="2" t="n">
        <x:v>51</x:v>
      </x:c>
      <x:c r="K2380" s="2" t="n">
        <x:v>28</x:v>
      </x:c>
      <x:c r="L2380" s="12" t="n">
        <x:v>2659.439</x:v>
      </x:c>
      <x:c r="M2380" s="13" t="n">
        <x:v>0.6677757610715455</x:v>
      </x:c>
      <x:c r="N2380" s="13" t="n">
        <x:f>H2380/G2380</x:f>
        <x:v>0.05467583220826885</x:v>
      </x:c>
      <x:c r="O2380" s="13" t="n">
        <x:f>F2380/E2380</x:f>
        <x:v>0</x:v>
      </x:c>
      <x:c r="P2380" s="2" t="str">
        <x:f>IF(AND(E2380&gt;='Итоги'!$F$5,N2380&lt;='Итоги'!$B$5,O2380&gt;='Итоги'!$D$5),"Да","Нет")</x:f>
        <x:v>Нет</x:v>
      </x:c>
    </x:row>
    <x:row r="2381" ht="60" customHeight="1">
      <x:c r="A2381" s="14" t="str">
        <x:v>Аксессуары для электроники</x:v>
      </x:c>
      <x:c r="B2381" s="14" t="str">
        <x:v>Электропитание Access</x:v>
      </x:c>
      <x:c r="C2381" s="14" t="str">
        <x:v>Кабели и переходники Access</x:v>
      </x:c>
      <x:c r="D2381" s="14" t="str">
        <x:v>Кабель питания</x:v>
      </x:c>
      <x:c r="E2381" s="2" t="n">
        <x:v>10</x:v>
      </x:c>
      <x:c r="F2381" s="2" t="n">
        <x:v>0</x:v>
      </x:c>
      <x:c r="G2381" s="12" t="n">
        <x:v>1022078.33</x:v>
      </x:c>
      <x:c r="H2381" s="12" t="n">
        <x:v>55973.629381</x:v>
      </x:c>
      <x:c r="I2381" s="13" t="n">
        <x:v>0.0526</x:v>
      </x:c>
      <x:c r="J2381" s="2" t="n">
        <x:v>4</x:v>
      </x:c>
      <x:c r="K2381" s="2" t="n">
        <x:v>8</x:v>
      </x:c>
      <x:c r="L2381" s="12" t="n">
        <x:v>1819.0042</x:v>
      </x:c>
      <x:c r="M2381" s="13" t="n">
        <x:v>0.2390702970876997</x:v>
      </x:c>
      <x:c r="N2381" s="13" t="n">
        <x:f>H2381/G2381</x:f>
        <x:v>0.05476452023104726</x:v>
      </x:c>
      <x:c r="O2381" s="13" t="n">
        <x:f>F2381/E2381</x:f>
        <x:v>0</x:v>
      </x:c>
      <x:c r="P2381" s="2" t="str">
        <x:f>IF(AND(E2381&gt;='Итоги'!$F$5,N2381&lt;='Итоги'!$B$5,O2381&gt;='Итоги'!$D$5),"Да","Нет")</x:f>
        <x:v>Нет</x:v>
      </x:c>
    </x:row>
    <x:row r="2382" ht="60" customHeight="1">
      <x:c r="A2382" s="14" t="str">
        <x:v>Аудио и видеотехника</x:v>
      </x:c>
      <x:c r="B2382" s="14" t="str">
        <x:v>Система безопасности TV&amp;Audio</x:v>
      </x:c>
      <x:c r="C2382" s="14" t="str">
        <x:v>Умный дом TV&amp;Audio</x:v>
      </x:c>
      <x:c r="D2382" s="14" t="str">
        <x:v>Контроллер, панель управления для умного дома</x:v>
      </x:c>
      <x:c r="E2382" s="2" t="n">
        <x:v>56</x:v>
      </x:c>
      <x:c r="F2382" s="2" t="n">
        <x:v>0</x:v>
      </x:c>
      <x:c r="G2382" s="12" t="n">
        <x:v>8387498.5292</x:v>
      </x:c>
      <x:c r="H2382" s="12" t="n">
        <x:v>459707.39605478</x:v>
      </x:c>
      <x:c r="I2382" s="13" t="n">
        <x:v>0.0470482142857142</x:v>
      </x:c>
      <x:c r="J2382" s="2" t="n">
        <x:v>26</x:v>
      </x:c>
      <x:c r="K2382" s="2" t="n">
        <x:v>19</x:v>
      </x:c>
      <x:c r="L2382" s="12" t="n">
        <x:v>1377.92145</x:v>
      </x:c>
      <x:c r="M2382" s="13" t="n">
        <x:v>0.3788988377090206</x:v>
      </x:c>
      <x:c r="N2382" s="13" t="n">
        <x:f>H2382/G2382</x:f>
        <x:v>0.05480864103336265</x:v>
      </x:c>
      <x:c r="O2382" s="13" t="n">
        <x:f>F2382/E2382</x:f>
        <x:v>0</x:v>
      </x:c>
      <x:c r="P2382" s="2" t="str">
        <x:f>IF(AND(E2382&gt;='Итоги'!$F$5,N2382&lt;='Итоги'!$B$5,O2382&gt;='Итоги'!$D$5),"Да","Нет")</x:f>
        <x:v>Нет</x:v>
      </x:c>
    </x:row>
    <x:row r="2383" ht="60" customHeight="1">
      <x:c r="A2383" s="14" t="str">
        <x:v>Строительство и ремонт (DIY)</x:v>
      </x:c>
      <x:c r="B2383" s="14" t="str">
        <x:v>Ремонт и строительство</x:v>
      </x:c>
      <x:c r="C2383" s="14" t="str">
        <x:v>Скобяные изделия</x:v>
      </x:c>
      <x:c r="D2383" s="14" t="str">
        <x:v>Направляющие для ящиков, выкатные корзины</x:v>
      </x:c>
      <x:c r="E2383" s="2" t="n">
        <x:v>24</x:v>
      </x:c>
      <x:c r="F2383" s="2" t="n">
        <x:v>0</x:v>
      </x:c>
      <x:c r="G2383" s="12" t="n">
        <x:v>2097737.7312</x:v>
      </x:c>
      <x:c r="H2383" s="12" t="n">
        <x:v>115096.80855192</x:v>
      </x:c>
      <x:c r="I2383" s="13" t="n">
        <x:v>0.0516625</x:v>
      </x:c>
      <x:c r="J2383" s="2" t="n">
        <x:v>8</x:v>
      </x:c>
      <x:c r="K2383" s="2" t="n">
        <x:v>8</x:v>
      </x:c>
      <x:c r="L2383" s="12" t="n">
        <x:v>4741.995849999999</x:v>
      </x:c>
      <x:c r="M2383" s="13" t="n">
        <x:v>0.3635190643035139</x:v>
      </x:c>
      <x:c r="N2383" s="13" t="n">
        <x:f>H2383/G2383</x:f>
        <x:v>0.05486711081183608</x:v>
      </x:c>
      <x:c r="O2383" s="13" t="n">
        <x:f>F2383/E2383</x:f>
        <x:v>0</x:v>
      </x:c>
      <x:c r="P2383" s="2" t="str">
        <x:f>IF(AND(E2383&gt;='Итоги'!$F$5,N2383&lt;='Итоги'!$B$5,O2383&gt;='Итоги'!$D$5),"Да","Нет")</x:f>
        <x:v>Нет</x:v>
      </x:c>
    </x:row>
    <x:row r="2384" ht="60" customHeight="1">
      <x:c r="A2384" s="14" t="str">
        <x:v>Товары для дома</x:v>
      </x:c>
      <x:c r="B2384" s="14" t="str">
        <x:v>Интерьер и декор</x:v>
      </x:c>
      <x:c r="C2384" s="14" t="str">
        <x:v>Принадлежности для праздника</x:v>
      </x:c>
      <x:c r="D2384" s="14" t="str">
        <x:v>Карнавальные шляпы, цилиндры, колпаки</x:v>
      </x:c>
      <x:c r="E2384" s="2" t="n">
        <x:v>3</x:v>
      </x:c>
      <x:c r="F2384" s="2" t="n">
        <x:v>0</x:v>
      </x:c>
      <x:c r="G2384" s="12" t="n">
        <x:v>263139.5907</x:v>
      </x:c>
      <x:c r="H2384" s="12" t="n">
        <x:v>14457.82573927</x:v>
      </x:c>
      <x:c r="I2384" s="13" t="n">
        <x:v>0.0483333333333333</x:v>
      </x:c>
      <x:c r="J2384" s="2" t="n">
        <x:v>1</x:v>
      </x:c>
      <x:c r="K2384" s="2" t="n">
        <x:v>3</x:v>
      </x:c>
      <x:c r="L2384" s="12" t="n">
        <x:v>1120.8596</x:v>
      </x:c>
      <x:c r="M2384" s="13" t="n">
        <x:v>0.4172067057942718</x:v>
      </x:c>
      <x:c r="N2384" s="13" t="n">
        <x:f>H2384/G2384</x:f>
        <x:v>0.054943559427182764</x:v>
      </x:c>
      <x:c r="O2384" s="13" t="n">
        <x:f>F2384/E2384</x:f>
        <x:v>0</x:v>
      </x:c>
      <x:c r="P2384" s="2" t="str">
        <x:f>IF(AND(E2384&gt;='Итоги'!$F$5,N2384&lt;='Итоги'!$B$5,O2384&gt;='Итоги'!$D$5),"Да","Нет")</x:f>
        <x:v>Нет</x:v>
      </x:c>
    </x:row>
    <x:row r="2385" ht="60" customHeight="1">
      <x:c r="A2385" s="14" t="str">
        <x:v>Строительство и ремонт (DIY)</x:v>
      </x:c>
      <x:c r="B2385" s="14" t="str">
        <x:v>Освещение</x:v>
      </x:c>
      <x:c r="C2385" s="14" t="str">
        <x:v>Аксессуары для светильников</x:v>
      </x:c>
      <x:c r="D2385" s="14" t="str">
        <x:v>Светодиодный модуль</x:v>
      </x:c>
      <x:c r="E2385" s="2" t="n">
        <x:v>3</x:v>
      </x:c>
      <x:c r="F2385" s="2" t="n">
        <x:v>0</x:v>
      </x:c>
      <x:c r="G2385" s="12" t="n">
        <x:v>514691.4436</x:v>
      </x:c>
      <x:c r="H2385" s="12" t="n">
        <x:v>28285.6676444</x:v>
      </x:c>
      <x:c r="I2385" s="13" t="n">
        <x:v>0.0450666666666666</x:v>
      </x:c>
      <x:c r="J2385" s="2" t="n">
        <x:v>1</x:v>
      </x:c>
      <x:c r="K2385" s="2" t="n">
        <x:v>2</x:v>
      </x:c>
      <x:c r="L2385" s="12" t="n">
        <x:v>1117.8182</x:v>
      </x:c>
      <x:c r="M2385" s="13" t="n">
        <x:v>0.7234295511027998</x:v>
      </x:c>
      <x:c r="N2385" s="13" t="n">
        <x:f>H2385/G2385</x:f>
        <x:v>0.0549565530884998</x:v>
      </x:c>
      <x:c r="O2385" s="13" t="n">
        <x:f>F2385/E2385</x:f>
        <x:v>0</x:v>
      </x:c>
      <x:c r="P2385" s="2" t="str">
        <x:f>IF(AND(E2385&gt;='Итоги'!$F$5,N2385&lt;='Итоги'!$B$5,O2385&gt;='Итоги'!$D$5),"Да","Нет")</x:f>
        <x:v>Нет</x:v>
      </x:c>
    </x:row>
    <x:row r="2386" ht="60" customHeight="1">
      <x:c r="A2386" s="14" t="str">
        <x:v>Автотовары</x:v>
      </x:c>
      <x:c r="B2386" s="14" t="str">
        <x:v>Авто и мото запчасти</x:v>
      </x:c>
      <x:c r="C2386" s="14" t="str">
        <x:v>Рулевое управление</x:v>
      </x:c>
      <x:c r="D2386" s="14" t="str">
        <x:v>Рулевая рейка и составляющие</x:v>
      </x:c>
      <x:c r="E2386" s="2" t="n">
        <x:v>70</x:v>
      </x:c>
      <x:c r="F2386" s="2" t="n">
        <x:v>0</x:v>
      </x:c>
      <x:c r="G2386" s="12" t="n">
        <x:v>8649810.055</x:v>
      </x:c>
      <x:c r="H2386" s="12" t="n">
        <x:v>475550.89990711</x:v>
      </x:c>
      <x:c r="I2386" s="13" t="n">
        <x:v>0.06281</x:v>
      </x:c>
      <x:c r="J2386" s="2" t="n">
        <x:v>25</x:v>
      </x:c>
      <x:c r="K2386" s="2" t="n">
        <x:v>28</x:v>
      </x:c>
      <x:c r="L2386" s="12" t="n">
        <x:v>1877.0454</x:v>
      </x:c>
      <x:c r="M2386" s="13" t="n">
        <x:v>0.4978710214463779</x:v>
      </x:c>
      <x:c r="N2386" s="13" t="n">
        <x:f>H2386/G2386</x:f>
        <x:v>0.05497818991206854</x:v>
      </x:c>
      <x:c r="O2386" s="13" t="n">
        <x:f>F2386/E2386</x:f>
        <x:v>0</x:v>
      </x:c>
      <x:c r="P2386" s="2" t="str">
        <x:f>IF(AND(E2386&gt;='Итоги'!$F$5,N2386&lt;='Итоги'!$B$5,O2386&gt;='Итоги'!$D$5),"Да","Нет")</x:f>
        <x:v>Нет</x:v>
      </x:c>
    </x:row>
    <x:row r="2387" ht="60" customHeight="1">
      <x:c r="A2387" s="14" t="str">
        <x:v>Спорт и отдых</x:v>
      </x:c>
      <x:c r="B2387" s="14" t="str">
        <x:v>Колесный транспорт</x:v>
      </x:c>
      <x:c r="C2387" s="14" t="str">
        <x:v>Велосипед</x:v>
      </x:c>
      <x:c r="D2387" s="14" t="str">
        <x:v>Велосипед городской</x:v>
      </x:c>
      <x:c r="E2387" s="2" t="n">
        <x:v>93</x:v>
      </x:c>
      <x:c r="F2387" s="2" t="n">
        <x:v>0</x:v>
      </x:c>
      <x:c r="G2387" s="12" t="n">
        <x:v>16411085.14</x:v>
      </x:c>
      <x:c r="H2387" s="12" t="n">
        <x:v>903107.680679</x:v>
      </x:c>
      <x:c r="I2387" s="13" t="n">
        <x:v>0.0415096774193548</x:v>
      </x:c>
      <x:c r="J2387" s="2" t="n">
        <x:v>24</x:v>
      </x:c>
      <x:c r="K2387" s="2" t="n">
        <x:v>8</x:v>
      </x:c>
      <x:c r="L2387" s="12" t="n">
        <x:v>12249</x:v>
      </x:c>
      <x:c r="M2387" s="13" t="n">
        <x:v>0.7695595374871109</x:v>
      </x:c>
      <x:c r="N2387" s="13" t="n">
        <x:f>H2387/G2387</x:f>
        <x:v>0.05503034521938992</x:v>
      </x:c>
      <x:c r="O2387" s="13" t="n">
        <x:f>F2387/E2387</x:f>
        <x:v>0</x:v>
      </x:c>
      <x:c r="P2387" s="2" t="str">
        <x:f>IF(AND(E2387&gt;='Итоги'!$F$5,N2387&lt;='Итоги'!$B$5,O2387&gt;='Итоги'!$D$5),"Да","Нет")</x:f>
        <x:v>Нет</x:v>
      </x:c>
    </x:row>
    <x:row r="2388" ht="60" customHeight="1">
      <x:c r="A2388" s="14" t="str">
        <x:v>Аудио и видеотехника</x:v>
      </x:c>
      <x:c r="B2388" s="14" t="str">
        <x:v>Система безопасности TV&amp;Audio</x:v>
      </x:c>
      <x:c r="C2388" s="14" t="str">
        <x:v>Умный дом TV&amp;Audio</x:v>
      </x:c>
      <x:c r="D2388" s="14" t="str">
        <x:v>Пульт управления Умный дом</x:v>
      </x:c>
      <x:c r="E2388" s="2" t="n">
        <x:v>11</x:v>
      </x:c>
      <x:c r="F2388" s="2" t="n">
        <x:v>0</x:v>
      </x:c>
      <x:c r="G2388" s="12" t="n">
        <x:v>1006852.2882</x:v>
      </x:c>
      <x:c r="H2388" s="12" t="n">
        <x:v>55412.37546216</x:v>
      </x:c>
      <x:c r="I2388" s="13" t="n">
        <x:v>0.0475181818181818</x:v>
      </x:c>
      <x:c r="J2388" s="2" t="n">
        <x:v>6</x:v>
      </x:c>
      <x:c r="K2388" s="2" t="n">
        <x:v>7</x:v>
      </x:c>
      <x:c r="L2388" s="12" t="n">
        <x:v>1342.6807</x:v>
      </x:c>
      <x:c r="M2388" s="13" t="n">
        <x:v>0.3657272151194183</x:v>
      </x:c>
      <x:c r="N2388" s="13" t="n">
        <x:f>H2388/G2388</x:f>
        <x:v>0.05503525801309293</x:v>
      </x:c>
      <x:c r="O2388" s="13" t="n">
        <x:f>F2388/E2388</x:f>
        <x:v>0</x:v>
      </x:c>
      <x:c r="P2388" s="2" t="str">
        <x:f>IF(AND(E2388&gt;='Итоги'!$F$5,N2388&lt;='Итоги'!$B$5,O2388&gt;='Итоги'!$D$5),"Да","Нет")</x:f>
        <x:v>Нет</x:v>
      </x:c>
    </x:row>
    <x:row r="2389" ht="60" customHeight="1">
      <x:c r="A2389" s="14" t="str">
        <x:v>Спорт и отдых</x:v>
      </x:c>
      <x:c r="B2389" s="14" t="str">
        <x:v>Товары для охоты</x:v>
      </x:c>
      <x:c r="C2389" s="14" t="str">
        <x:v>Аксессуары для охоты</x:v>
      </x:c>
      <x:c r="D2389" s="14" t="str">
        <x:v>Маскировка для охоты</x:v>
      </x:c>
      <x:c r="E2389" s="2" t="n">
        <x:v>31</x:v>
      </x:c>
      <x:c r="F2389" s="2" t="n">
        <x:v>0</x:v>
      </x:c>
      <x:c r="G2389" s="12" t="n">
        <x:v>6014892.1115</x:v>
      </x:c>
      <x:c r="H2389" s="12" t="n">
        <x:v>331217.08483876</x:v>
      </x:c>
      <x:c r="I2389" s="13" t="n">
        <x:v>0.0538838709677419</x:v>
      </x:c>
      <x:c r="J2389" s="2" t="n">
        <x:v>14</x:v>
      </x:c>
      <x:c r="K2389" s="2" t="n">
        <x:v>16</x:v>
      </x:c>
      <x:c r="L2389" s="12" t="n">
        <x:v>2638.6364</x:v>
      </x:c>
      <x:c r="M2389" s="13" t="n">
        <x:v>0.1718286830156055</x:v>
      </x:c>
      <x:c r="N2389" s="13" t="n">
        <x:f>H2389/G2389</x:f>
        <x:v>0.05506617221038746</x:v>
      </x:c>
      <x:c r="O2389" s="13" t="n">
        <x:f>F2389/E2389</x:f>
        <x:v>0</x:v>
      </x:c>
      <x:c r="P2389" s="2" t="str">
        <x:f>IF(AND(E2389&gt;='Итоги'!$F$5,N2389&lt;='Итоги'!$B$5,O2389&gt;='Итоги'!$D$5),"Да","Нет")</x:f>
        <x:v>Нет</x:v>
      </x:c>
    </x:row>
    <x:row r="2390" ht="60" customHeight="1">
      <x:c r="A2390" s="14" t="str">
        <x:v>Спорт и отдых</x:v>
      </x:c>
      <x:c r="B2390" s="14" t="str">
        <x:v>Туризм</x:v>
      </x:c>
      <x:c r="C2390" s="14" t="str">
        <x:v>Туристическая мебель</x:v>
      </x:c>
      <x:c r="D2390" s="14" t="str">
        <x:v>Стол складной для пикника и кемпинга</x:v>
      </x:c>
      <x:c r="E2390" s="2" t="n">
        <x:v>166</x:v>
      </x:c>
      <x:c r="F2390" s="2" t="n">
        <x:v>0</x:v>
      </x:c>
      <x:c r="G2390" s="12" t="n">
        <x:v>31063658.8441</x:v>
      </x:c>
      <x:c r="H2390" s="12" t="n">
        <x:v>1711393.05834224</x:v>
      </x:c>
      <x:c r="I2390" s="13" t="n">
        <x:v>0.0578108433734939</x:v>
      </x:c>
      <x:c r="J2390" s="2" t="n">
        <x:v>51</x:v>
      </x:c>
      <x:c r="K2390" s="2" t="n">
        <x:v>38</x:v>
      </x:c>
      <x:c r="L2390" s="12" t="n">
        <x:v>2438.4391</x:v>
      </x:c>
      <x:c r="M2390" s="13" t="n">
        <x:v>0.621375648753177</x:v>
      </x:c>
      <x:c r="N2390" s="13" t="n">
        <x:f>H2390/G2390</x:f>
        <x:v>0.05509309340960939</x:v>
      </x:c>
      <x:c r="O2390" s="13" t="n">
        <x:f>F2390/E2390</x:f>
        <x:v>0</x:v>
      </x:c>
      <x:c r="P2390" s="2" t="str">
        <x:f>IF(AND(E2390&gt;='Итоги'!$F$5,N2390&lt;='Итоги'!$B$5,O2390&gt;='Итоги'!$D$5),"Да","Нет")</x:f>
        <x:v>Нет</x:v>
      </x:c>
    </x:row>
    <x:row r="2391" ht="60" customHeight="1">
      <x:c r="A2391" s="14" t="str">
        <x:v>Аптека</x:v>
      </x:c>
      <x:c r="B2391" s="14" t="str">
        <x:v>Медицинские изделия</x:v>
      </x:c>
      <x:c r="C2391" s="14" t="str">
        <x:v>Медицинские изделия</x:v>
      </x:c>
      <x:c r="D2391" s="14" t="str">
        <x:v>Лабораторная посуда</x:v>
      </x:c>
      <x:c r="E2391" s="2" t="n">
        <x:v>5</x:v>
      </x:c>
      <x:c r="F2391" s="2" t="n">
        <x:v>0</x:v>
      </x:c>
      <x:c r="G2391" s="12" t="n">
        <x:v>527240.9299999999</x:v>
      </x:c>
      <x:c r="H2391" s="12" t="n">
        <x:v>29050.246289</x:v>
      </x:c>
      <x:c r="I2391" s="13" t="n">
        <x:v>0.06094</x:v>
      </x:c>
      <x:c r="J2391" s="2" t="n">
        <x:v>1</x:v>
      </x:c>
      <x:c r="K2391" s="2" t="n">
        <x:v>5</x:v>
      </x:c>
      <x:c r="L2391" s="12" t="n">
        <x:v>1544.8234</x:v>
      </x:c>
      <x:c r="M2391" s="13" t="n">
        <x:v>0.2654573877638825</x:v>
      </x:c>
      <x:c r="N2391" s="13" t="n">
        <x:f>H2391/G2391</x:f>
        <x:v>0.05509861741765762</x:v>
      </x:c>
      <x:c r="O2391" s="13" t="n">
        <x:f>F2391/E2391</x:f>
        <x:v>0</x:v>
      </x:c>
      <x:c r="P2391" s="2" t="str">
        <x:f>IF(AND(E2391&gt;='Итоги'!$F$5,N2391&lt;='Итоги'!$B$5,O2391&gt;='Итоги'!$D$5),"Да","Нет")</x:f>
        <x:v>Нет</x:v>
      </x:c>
    </x:row>
    <x:row r="2392" ht="60" customHeight="1">
      <x:c r="A2392" s="14" t="str">
        <x:v>Ноутбуки и компьютеры</x:v>
      </x:c>
      <x:c r="B2392" s="14" t="str">
        <x:v>Компьютерные комплектующие Lap&amp;Comp</x:v>
      </x:c>
      <x:c r="C2392" s="14" t="str">
        <x:v>Компьютерные комплектующие Lap&amp;Comp</x:v>
      </x:c>
      <x:c r="D2392" s="14" t="str">
        <x:v>Электронные компоненты</x:v>
      </x:c>
      <x:c r="E2392" s="2" t="n">
        <x:v>8</x:v>
      </x:c>
      <x:c r="F2392" s="2" t="n">
        <x:v>0</x:v>
      </x:c>
      <x:c r="G2392" s="12" t="n">
        <x:v>902194.1258</x:v>
      </x:c>
      <x:c r="H2392" s="12" t="n">
        <x:v>49749.05185372</x:v>
      </x:c>
      <x:c r="I2392" s="13" t="n">
        <x:v>0.05475</x:v>
      </x:c>
      <x:c r="J2392" s="2" t="n">
        <x:v>4</x:v>
      </x:c>
      <x:c r="K2392" s="2" t="n">
        <x:v>7</x:v>
      </x:c>
      <x:c r="L2392" s="12" t="n">
        <x:v>1567.93255</x:v>
      </x:c>
      <x:c r="M2392" s="13" t="n">
        <x:v>0.4037881187454745</x:v>
      </x:c>
      <x:c r="N2392" s="13" t="n">
        <x:f>H2392/G2392</x:f>
        <x:v>0.05514229192038483</x:v>
      </x:c>
      <x:c r="O2392" s="13" t="n">
        <x:f>F2392/E2392</x:f>
        <x:v>0</x:v>
      </x:c>
      <x:c r="P2392" s="2" t="str">
        <x:f>IF(AND(E2392&gt;='Итоги'!$F$5,N2392&lt;='Итоги'!$B$5,O2392&gt;='Итоги'!$D$5),"Да","Нет")</x:f>
        <x:v>Нет</x:v>
      </x:c>
    </x:row>
    <x:row r="2393" ht="60" customHeight="1">
      <x:c r="A2393" s="14" t="str">
        <x:v>Спорт и отдых</x:v>
      </x:c>
      <x:c r="B2393" s="14" t="str">
        <x:v>Туризм</x:v>
      </x:c>
      <x:c r="C2393" s="14" t="str">
        <x:v>Приготовление пищи, посуда туристическая</x:v>
      </x:c>
      <x:c r="D2393" s="14" t="str">
        <x:v>Горелка, плита газовая туристическая</x:v>
      </x:c>
      <x:c r="E2393" s="2" t="n">
        <x:v>99</x:v>
      </x:c>
      <x:c r="F2393" s="2" t="n">
        <x:v>0</x:v>
      </x:c>
      <x:c r="G2393" s="12" t="n">
        <x:v>19970822.345</x:v>
      </x:c>
      <x:c r="H2393" s="12" t="n">
        <x:v>1101937.04568557</x:v>
      </x:c>
      <x:c r="I2393" s="13" t="n">
        <x:v>0.0546767676767676</x:v>
      </x:c>
      <x:c r="J2393" s="2" t="n">
        <x:v>34</x:v>
      </x:c>
      <x:c r="K2393" s="2" t="n">
        <x:v>38</x:v>
      </x:c>
      <x:c r="L2393" s="12" t="n">
        <x:v>1645.8518</x:v>
      </x:c>
      <x:c r="M2393" s="13" t="n">
        <x:v>0.433749574061418</x:v>
      </x:c>
      <x:c r="N2393" s="13" t="n">
        <x:f>H2393/G2393</x:f>
        <x:v>0.055177349567753615</x:v>
      </x:c>
      <x:c r="O2393" s="13" t="n">
        <x:f>F2393/E2393</x:f>
        <x:v>0</x:v>
      </x:c>
      <x:c r="P2393" s="2" t="str">
        <x:f>IF(AND(E2393&gt;='Итоги'!$F$5,N2393&lt;='Итоги'!$B$5,O2393&gt;='Итоги'!$D$5),"Да","Нет")</x:f>
        <x:v>Нет</x:v>
      </x:c>
    </x:row>
    <x:row r="2394" ht="60" customHeight="1">
      <x:c r="A2394" s="14" t="str">
        <x:v>Строительство и ремонт (DIY)</x:v>
      </x:c>
      <x:c r="B2394" s="14" t="str">
        <x:v>Инструменты</x:v>
      </x:c>
      <x:c r="C2394" s="14" t="str">
        <x:v>Инструмент ручной для строительства, ремонта</x:v>
      </x:c>
      <x:c r="D2394" s="14" t="str">
        <x:v>Слесарный инструмент</x:v>
      </x:c>
      <x:c r="E2394" s="2" t="n">
        <x:v>16</x:v>
      </x:c>
      <x:c r="F2394" s="2" t="n">
        <x:v>0</x:v>
      </x:c>
      <x:c r="G2394" s="12" t="n">
        <x:v>2310885.3439</x:v>
      </x:c>
      <x:c r="H2394" s="12" t="n">
        <x:v>127617.2739033</x:v>
      </x:c>
      <x:c r="I2394" s="13" t="n">
        <x:v>0.03856875</x:v>
      </x:c>
      <x:c r="J2394" s="2" t="n">
        <x:v>8</x:v>
      </x:c>
      <x:c r="K2394" s="2" t="n">
        <x:v>6</x:v>
      </x:c>
      <x:c r="L2394" s="12" t="n">
        <x:v>1461.62955</x:v>
      </x:c>
      <x:c r="M2394" s="13" t="n">
        <x:v>0.4815298203943055</x:v>
      </x:c>
      <x:c r="N2394" s="13" t="n">
        <x:f>H2394/G2394</x:f>
        <x:v>0.055224407493936846</x:v>
      </x:c>
      <x:c r="O2394" s="13" t="n">
        <x:f>F2394/E2394</x:f>
        <x:v>0</x:v>
      </x:c>
      <x:c r="P2394" s="2" t="str">
        <x:f>IF(AND(E2394&gt;='Итоги'!$F$5,N2394&lt;='Итоги'!$B$5,O2394&gt;='Итоги'!$D$5),"Да","Нет")</x:f>
        <x:v>Нет</x:v>
      </x:c>
    </x:row>
    <x:row r="2395" ht="60" customHeight="1">
      <x:c r="A2395" s="14" t="str">
        <x:v>Аксессуары для электроники</x:v>
      </x:c>
      <x:c r="B2395" s="14" t="str">
        <x:v>Домашняя Аудио и Видеотехника Access</x:v>
      </x:c>
      <x:c r="C2395" s="14" t="str">
        <x:v>Аксессуар к TV и аудиотехнике Access</x:v>
      </x:c>
      <x:c r="D2395" s="14" t="str">
        <x:v>Аксессуары для хранения музыки</x:v>
      </x:c>
      <x:c r="E2395" s="2" t="n">
        <x:v>7</x:v>
      </x:c>
      <x:c r="F2395" s="2" t="n">
        <x:v>0</x:v>
      </x:c>
      <x:c r="G2395" s="12" t="n">
        <x:v>674474.2767</x:v>
      </x:c>
      <x:c r="H2395" s="12" t="n">
        <x:v>37260.6006135</x:v>
      </x:c>
      <x:c r="I2395" s="13" t="n">
        <x:v>0.0487428571428571</x:v>
      </x:c>
      <x:c r="J2395" s="2" t="n">
        <x:v>2</x:v>
      </x:c>
      <x:c r="K2395" s="2" t="n">
        <x:v>5</x:v>
      </x:c>
      <x:c r="L2395" s="12" t="n">
        <x:v>1118.6622</x:v>
      </x:c>
      <x:c r="M2395" s="13" t="n">
        <x:v>0.2852213950118759</x:v>
      </x:c>
      <x:c r="N2395" s="13" t="n">
        <x:f>H2395/G2395</x:f>
        <x:v>0.05524391648530307</x:v>
      </x:c>
      <x:c r="O2395" s="13" t="n">
        <x:f>F2395/E2395</x:f>
        <x:v>0</x:v>
      </x:c>
      <x:c r="P2395" s="2" t="str">
        <x:f>IF(AND(E2395&gt;='Итоги'!$F$5,N2395&lt;='Итоги'!$B$5,O2395&gt;='Итоги'!$D$5),"Да","Нет")</x:f>
        <x:v>Нет</x:v>
      </x:c>
    </x:row>
    <x:row r="2396" ht="60" customHeight="1">
      <x:c r="A2396" s="14" t="str">
        <x:v>Строительство и ремонт (DIY)</x:v>
      </x:c>
      <x:c r="B2396" s="14" t="str">
        <x:v>Ремонт и строительство</x:v>
      </x:c>
      <x:c r="C2396" s="14" t="str">
        <x:v>Скобяные изделия</x:v>
      </x:c>
      <x:c r="D2396" s="14" t="str">
        <x:v>Пломба опечатывающая</x:v>
      </x:c>
      <x:c r="E2396" s="2" t="n">
        <x:v>7</x:v>
      </x:c>
      <x:c r="F2396" s="2" t="n">
        <x:v>0</x:v>
      </x:c>
      <x:c r="G2396" s="12" t="n">
        <x:v>829414.99</x:v>
      </x:c>
      <x:c r="H2396" s="12" t="n">
        <x:v>45837.548703</x:v>
      </x:c>
      <x:c r="I2396" s="13" t="n">
        <x:v>0.0556142857142857</x:v>
      </x:c>
      <x:c r="J2396" s="2" t="n">
        <x:v>1</x:v>
      </x:c>
      <x:c r="K2396" s="2" t="n">
        <x:v>4</x:v>
      </x:c>
      <x:c r="L2396" s="12" t="n">
        <x:v>2925.0652</x:v>
      </x:c>
      <x:c r="M2396" s="13" t="n">
        <x:v>0.4131900123965688</x:v>
      </x:c>
      <x:c r="N2396" s="13" t="n">
        <x:f>H2396/G2396</x:f>
        <x:v>0.055264914735867025</x:v>
      </x:c>
      <x:c r="O2396" s="13" t="n">
        <x:f>F2396/E2396</x:f>
        <x:v>0</x:v>
      </x:c>
      <x:c r="P2396" s="2" t="str">
        <x:f>IF(AND(E2396&gt;='Итоги'!$F$5,N2396&lt;='Итоги'!$B$5,O2396&gt;='Итоги'!$D$5),"Да","Нет")</x:f>
        <x:v>Нет</x:v>
      </x:c>
    </x:row>
    <x:row r="2397" ht="60" customHeight="1">
      <x:c r="A2397" s="14" t="str">
        <x:v>Детское питание</x:v>
      </x:c>
      <x:c r="B2397" s="14" t="str">
        <x:v>Детское питание</x:v>
      </x:c>
      <x:c r="C2397" s="14" t="str">
        <x:v>Детские напитки</x:v>
      </x:c>
      <x:c r="D2397" s="14" t="str">
        <x:v>Вода для детей до 3 лет</x:v>
      </x:c>
      <x:c r="E2397" s="2" t="n">
        <x:v>4</x:v>
      </x:c>
      <x:c r="F2397" s="2" t="n">
        <x:v>0</x:v>
      </x:c>
      <x:c r="G2397" s="12" t="n">
        <x:v>396002.96</x:v>
      </x:c>
      <x:c r="H2397" s="12" t="n">
        <x:v>21892.037795</x:v>
      </x:c>
      <x:c r="I2397" s="13" t="n">
        <x:v>0.056075</x:v>
      </x:c>
      <x:c r="J2397" s="2" t="n">
        <x:v>2</x:v>
      </x:c>
      <x:c r="K2397" s="2" t="n">
        <x:v>4</x:v>
      </x:c>
      <x:c r="L2397" s="12" t="n">
        <x:v>1018.054</x:v>
      </x:c>
      <x:c r="M2397" s="13" t="n">
        <x:v>0.4934584327349472</x:v>
      </x:c>
      <x:c r="N2397" s="13" t="n">
        <x:f>H2397/G2397</x:f>
        <x:v>0.0552825105019417</x:v>
      </x:c>
      <x:c r="O2397" s="13" t="n">
        <x:f>F2397/E2397</x:f>
        <x:v>0</x:v>
      </x:c>
      <x:c r="P2397" s="2" t="str">
        <x:f>IF(AND(E2397&gt;='Итоги'!$F$5,N2397&lt;='Итоги'!$B$5,O2397&gt;='Итоги'!$D$5),"Да","Нет")</x:f>
        <x:v>Нет</x:v>
      </x:c>
    </x:row>
    <x:row r="2398" ht="60" customHeight="1">
      <x:c r="A2398" s="14" t="str">
        <x:v>Строительство и ремонт (DIY)</x:v>
      </x:c>
      <x:c r="B2398" s="14" t="str">
        <x:v>Ремонт и строительство</x:v>
      </x:c>
      <x:c r="C2398" s="14" t="str">
        <x:v>Отделка стен</x:v>
      </x:c>
      <x:c r="D2398" s="14" t="str">
        <x:v>Стеновая панель</x:v>
      </x:c>
      <x:c r="E2398" s="2" t="n">
        <x:v>422</x:v>
      </x:c>
      <x:c r="F2398" s="2" t="n">
        <x:v>0</x:v>
      </x:c>
      <x:c r="G2398" s="12" t="n">
        <x:v>83935576.9972</x:v>
      </x:c>
      <x:c r="H2398" s="12" t="n">
        <x:v>4647958.94649038</x:v>
      </x:c>
      <x:c r="I2398" s="13" t="n">
        <x:v>0.0657751184834123</x:v>
      </x:c>
      <x:c r="J2398" s="2" t="n">
        <x:v>93</x:v>
      </x:c>
      <x:c r="K2398" s="2" t="n">
        <x:v>38</x:v>
      </x:c>
      <x:c r="L2398" s="12" t="n">
        <x:v>1243.06875</x:v>
      </x:c>
      <x:c r="M2398" s="13" t="n">
        <x:v>0.3892318999533398</x:v>
      </x:c>
      <x:c r="N2398" s="13" t="n">
        <x:f>H2398/G2398</x:f>
        <x:v>0.05537531417274264</x:v>
      </x:c>
      <x:c r="O2398" s="13" t="n">
        <x:f>F2398/E2398</x:f>
        <x:v>0</x:v>
      </x:c>
      <x:c r="P2398" s="2" t="str">
        <x:f>IF(AND(E2398&gt;='Итоги'!$F$5,N2398&lt;='Итоги'!$B$5,O2398&gt;='Итоги'!$D$5),"Да","Нет")</x:f>
        <x:v>Нет</x:v>
      </x:c>
    </x:row>
    <x:row r="2399" ht="60" customHeight="1">
      <x:c r="A2399" s="14" t="str">
        <x:v>Одежда</x:v>
      </x:c>
      <x:c r="B2399" s="14" t="str">
        <x:v>Основная одежда женская</x:v>
      </x:c>
      <x:c r="C2399" s="14" t="str">
        <x:v>Спортивная основная одежда женская верха</x:v>
      </x:c>
      <x:c r="D2399" s="14" t="str">
        <x:v>Спортивные платья женские</x:v>
      </x:c>
      <x:c r="E2399" s="2" t="n">
        <x:v>165</x:v>
      </x:c>
      <x:c r="F2399" s="2" t="n">
        <x:v>0</x:v>
      </x:c>
      <x:c r="G2399" s="12" t="n">
        <x:v>14666377.0759</x:v>
      </x:c>
      <x:c r="H2399" s="12" t="n">
        <x:v>812416.74174055</x:v>
      </x:c>
      <x:c r="I2399" s="13" t="n">
        <x:v>0.0489078787878787</x:v>
      </x:c>
      <x:c r="J2399" s="2" t="n">
        <x:v>80</x:v>
      </x:c>
      <x:c r="K2399" s="2" t="n">
        <x:v>14</x:v>
      </x:c>
      <x:c r="L2399" s="12" t="n">
        <x:v>1839.7268</x:v>
      </x:c>
      <x:c r="M2399" s="13" t="n">
        <x:v>0.4160980034958982</x:v>
      </x:c>
      <x:c r="N2399" s="13" t="n">
        <x:f>H2399/G2399</x:f>
        <x:v>0.05539314430115975</x:v>
      </x:c>
      <x:c r="O2399" s="13" t="n">
        <x:f>F2399/E2399</x:f>
        <x:v>0</x:v>
      </x:c>
      <x:c r="P2399" s="2" t="str">
        <x:f>IF(AND(E2399&gt;='Итоги'!$F$5,N2399&lt;='Итоги'!$B$5,O2399&gt;='Итоги'!$D$5),"Да","Нет")</x:f>
        <x:v>Нет</x:v>
      </x:c>
    </x:row>
    <x:row r="2400" ht="60" customHeight="1">
      <x:c r="A2400" s="14" t="str">
        <x:v>Строительство и ремонт (DIY)</x:v>
      </x:c>
      <x:c r="B2400" s="14" t="str">
        <x:v>Ремонт и строительство</x:v>
      </x:c>
      <x:c r="C2400" s="14" t="str">
        <x:v>Изоляционные материалы</x:v>
      </x:c>
      <x:c r="D2400" s="14" t="str">
        <x:v>Георешетка</x:v>
      </x:c>
      <x:c r="E2400" s="2" t="n">
        <x:v>13</x:v>
      </x:c>
      <x:c r="F2400" s="2" t="n">
        <x:v>0</x:v>
      </x:c>
      <x:c r="G2400" s="12" t="n">
        <x:v>2371144.8013</x:v>
      </x:c>
      <x:c r="H2400" s="12" t="n">
        <x:v>131370.06077835</x:v>
      </x:c>
      <x:c r="I2400" s="13" t="n">
        <x:v>0.0276307692307692</x:v>
      </x:c>
      <x:c r="J2400" s="2" t="n">
        <x:v>5</x:v>
      </x:c>
      <x:c r="K2400" s="2" t="n">
        <x:v>4</x:v>
      </x:c>
      <x:c r="L2400" s="12" t="n">
        <x:v>2360.1228</x:v>
      </x:c>
      <x:c r="M2400" s="13" t="n">
        <x:v>0.4107953158178978</x:v>
      </x:c>
      <x:c r="N2400" s="13" t="n">
        <x:f>H2400/G2400</x:f>
        <x:v>0.05540364329767008</x:v>
      </x:c>
      <x:c r="O2400" s="13" t="n">
        <x:f>F2400/E2400</x:f>
        <x:v>0</x:v>
      </x:c>
      <x:c r="P2400" s="2" t="str">
        <x:f>IF(AND(E2400&gt;='Итоги'!$F$5,N2400&lt;='Итоги'!$B$5,O2400&gt;='Итоги'!$D$5),"Да","Нет")</x:f>
        <x:v>Нет</x:v>
      </x:c>
    </x:row>
    <x:row r="2401" ht="60" customHeight="1">
      <x:c r="A2401" s="14" t="str">
        <x:v>Аптека</x:v>
      </x:c>
      <x:c r="B2401" s="14" t="str">
        <x:v>Тату</x:v>
      </x:c>
      <x:c r="C2401" s="14" t="str">
        <x:v>Тату картриджи</x:v>
      </x:c>
      <x:c r="D2401" s="14" t="str">
        <x:v>Тату картридж</x:v>
      </x:c>
      <x:c r="E2401" s="2" t="n">
        <x:v>16</x:v>
      </x:c>
      <x:c r="F2401" s="2" t="n">
        <x:v>0</x:v>
      </x:c>
      <x:c r="G2401" s="12" t="n">
        <x:v>2345938.8379</x:v>
      </x:c>
      <x:c r="H2401" s="12" t="n">
        <x:v>130095.52161025</x:v>
      </x:c>
      <x:c r="I2401" s="13" t="n">
        <x:v>0.0506375</x:v>
      </x:c>
      <x:c r="J2401" s="2" t="n">
        <x:v>3</x:v>
      </x:c>
      <x:c r="K2401" s="2" t="n">
        <x:v>7</x:v>
      </x:c>
      <x:c r="L2401" s="12" t="n">
        <x:v>1065.736</x:v>
      </x:c>
      <x:c r="M2401" s="13" t="n">
        <x:v>0.4117892352490985</x:v>
      </x:c>
      <x:c r="N2401" s="13" t="n">
        <x:f>H2401/G2401</x:f>
        <x:v>0.05545563230740782</x:v>
      </x:c>
      <x:c r="O2401" s="13" t="n">
        <x:f>F2401/E2401</x:f>
        <x:v>0</x:v>
      </x:c>
      <x:c r="P2401" s="2" t="str">
        <x:f>IF(AND(E2401&gt;='Итоги'!$F$5,N2401&lt;='Итоги'!$B$5,O2401&gt;='Итоги'!$D$5),"Да","Нет")</x:f>
        <x:v>Нет</x:v>
      </x:c>
    </x:row>
    <x:row r="2402" ht="60" customHeight="1">
      <x:c r="A2402" s="14" t="str">
        <x:v>Строительство и ремонт (DIY)</x:v>
      </x:c>
      <x:c r="B2402" s="14" t="str">
        <x:v>Инструменты</x:v>
      </x:c>
      <x:c r="C2402" s="14" t="str">
        <x:v>Электроинструмент для строительства, ремонта</x:v>
      </x:c>
      <x:c r="D2402" s="14" t="str">
        <x:v>Лобзик</x:v>
      </x:c>
      <x:c r="E2402" s="2" t="n">
        <x:v>55</x:v>
      </x:c>
      <x:c r="F2402" s="2" t="n">
        <x:v>0</x:v>
      </x:c>
      <x:c r="G2402" s="12" t="n">
        <x:v>10005972.7443</x:v>
      </x:c>
      <x:c r="H2402" s="12" t="n">
        <x:v>555289.89412512</x:v>
      </x:c>
      <x:c r="I2402" s="13" t="n">
        <x:v>0.058690909090909</x:v>
      </x:c>
      <x:c r="J2402" s="2" t="n">
        <x:v>17</x:v>
      </x:c>
      <x:c r="K2402" s="2" t="n">
        <x:v>10</x:v>
      </x:c>
      <x:c r="L2402" s="12" t="n">
        <x:v>2658.3854</x:v>
      </x:c>
      <x:c r="M2402" s="13" t="n">
        <x:v>0.7955851853019323</x:v>
      </x:c>
      <x:c r="N2402" s="13" t="n">
        <x:f>H2402/G2402</x:f>
        <x:v>0.0554958431644186</x:v>
      </x:c>
      <x:c r="O2402" s="13" t="n">
        <x:f>F2402/E2402</x:f>
        <x:v>0</x:v>
      </x:c>
      <x:c r="P2402" s="2" t="str">
        <x:f>IF(AND(E2402&gt;='Итоги'!$F$5,N2402&lt;='Итоги'!$B$5,O2402&gt;='Итоги'!$D$5),"Да","Нет")</x:f>
        <x:v>Нет</x:v>
      </x:c>
    </x:row>
    <x:row r="2403" ht="60" customHeight="1">
      <x:c r="A2403" s="14" t="str">
        <x:v>Товары для красоты и здоровья</x:v>
      </x:c>
      <x:c r="B2403" s="14" t="str">
        <x:v>Косметические средства для детей и беременных</x:v>
      </x:c>
      <x:c r="C2403" s="14" t="str">
        <x:v>Детская гигиена Health&amp;Beauty</x:v>
      </x:c>
      <x:c r="D2403" s="14" t="str">
        <x:v>Шампунь детский</x:v>
      </x:c>
      <x:c r="E2403" s="2" t="n">
        <x:v>14</x:v>
      </x:c>
      <x:c r="F2403" s="2" t="n">
        <x:v>0</x:v>
      </x:c>
      <x:c r="G2403" s="12" t="n">
        <x:v>965823.0271</x:v>
      </x:c>
      <x:c r="H2403" s="12" t="n">
        <x:v>53605.24929956</x:v>
      </x:c>
      <x:c r="I2403" s="13" t="n">
        <x:v>0.0343428571428571</x:v>
      </x:c>
      <x:c r="J2403" s="2" t="n">
        <x:v>6</x:v>
      </x:c>
      <x:c r="K2403" s="2" t="n">
        <x:v>7</x:v>
      </x:c>
      <x:c r="L2403" s="12" t="n">
        <x:v>1293.5321</x:v>
      </x:c>
      <x:c r="M2403" s="13" t="n">
        <x:v>0.7196442683572872</x:v>
      </x:c>
      <x:c r="N2403" s="13" t="n">
        <x:f>H2403/G2403</x:f>
        <x:v>0.05550214459114339</x:v>
      </x:c>
      <x:c r="O2403" s="13" t="n">
        <x:f>F2403/E2403</x:f>
        <x:v>0</x:v>
      </x:c>
      <x:c r="P2403" s="2" t="str">
        <x:f>IF(AND(E2403&gt;='Итоги'!$F$5,N2403&lt;='Итоги'!$B$5,O2403&gt;='Итоги'!$D$5),"Да","Нет")</x:f>
        <x:v>Нет</x:v>
      </x:c>
    </x:row>
    <x:row r="2404" ht="60" customHeight="1">
      <x:c r="A2404" s="14" t="str">
        <x:v>Мебель</x:v>
      </x:c>
      <x:c r="B2404" s="14" t="str">
        <x:v>Корпусная мебель и мебель для хранения</x:v>
      </x:c>
      <x:c r="C2404" s="14" t="str">
        <x:v>Мебель для ванной комнаты</x:v>
      </x:c>
      <x:c r="D2404" s="14" t="str">
        <x:v>Шкаф-зеркало для ванной комнаты</x:v>
      </x:c>
      <x:c r="E2404" s="2" t="n">
        <x:v>57</x:v>
      </x:c>
      <x:c r="F2404" s="2" t="n">
        <x:v>0</x:v>
      </x:c>
      <x:c r="G2404" s="12" t="n">
        <x:v>12172428.6475</x:v>
      </x:c>
      <x:c r="H2404" s="12" t="n">
        <x:v>675654.35335276</x:v>
      </x:c>
      <x:c r="I2404" s="13" t="n">
        <x:v>0.057598245614035</x:v>
      </x:c>
      <x:c r="J2404" s="2" t="n">
        <x:v>18</x:v>
      </x:c>
      <x:c r="K2404" s="2" t="n">
        <x:v>9</x:v>
      </x:c>
      <x:c r="L2404" s="12" t="n">
        <x:v>3843.8889</x:v>
      </x:c>
      <x:c r="M2404" s="13" t="n">
        <x:v>0.5000228313722798</x:v>
      </x:c>
      <x:c r="N2404" s="13" t="n">
        <x:f>H2404/G2404</x:f>
        <x:v>0.05550694712772272</x:v>
      </x:c>
      <x:c r="O2404" s="13" t="n">
        <x:f>F2404/E2404</x:f>
        <x:v>0</x:v>
      </x:c>
      <x:c r="P2404" s="2" t="str">
        <x:f>IF(AND(E2404&gt;='Итоги'!$F$5,N2404&lt;='Итоги'!$B$5,O2404&gt;='Итоги'!$D$5),"Да","Нет")</x:f>
        <x:v>Нет</x:v>
      </x:c>
    </x:row>
    <x:row r="2405" ht="60" customHeight="1">
      <x:c r="A2405" s="14" t="str">
        <x:v>Спорт и отдых</x:v>
      </x:c>
      <x:c r="B2405" s="14" t="str">
        <x:v>Единоборства</x:v>
      </x:c>
      <x:c r="C2405" s="14" t="str">
        <x:v>Смешанные единоборства</x:v>
      </x:c>
      <x:c r="D2405" s="14" t="str">
        <x:v>Рашгард</x:v>
      </x:c>
      <x:c r="E2405" s="2" t="n">
        <x:v>49</x:v>
      </x:c>
      <x:c r="F2405" s="2" t="n">
        <x:v>0</x:v>
      </x:c>
      <x:c r="G2405" s="12" t="n">
        <x:v>6286564.7536</x:v>
      </x:c>
      <x:c r="H2405" s="12" t="n">
        <x:v>349043.02480033</x:v>
      </x:c>
      <x:c r="I2405" s="13" t="n">
        <x:v>0.0542061224489795</x:v>
      </x:c>
      <x:c r="J2405" s="2" t="n">
        <x:v>14</x:v>
      </x:c>
      <x:c r="K2405" s="2" t="n">
        <x:v>8</x:v>
      </x:c>
      <x:c r="L2405" s="12" t="n">
        <x:v>2087.8365</x:v>
      </x:c>
      <x:c r="M2405" s="13" t="n">
        <x:v>0.3085332361667443</x:v>
      </x:c>
      <x:c r="N2405" s="13" t="n">
        <x:f>H2405/G2405</x:f>
        <x:v>0.055522059897728814</x:v>
      </x:c>
      <x:c r="O2405" s="13" t="n">
        <x:f>F2405/E2405</x:f>
        <x:v>0</x:v>
      </x:c>
      <x:c r="P2405" s="2" t="str">
        <x:f>IF(AND(E2405&gt;='Итоги'!$F$5,N2405&lt;='Итоги'!$B$5,O2405&gt;='Итоги'!$D$5),"Да","Нет")</x:f>
        <x:v>Нет</x:v>
      </x:c>
    </x:row>
    <x:row r="2406" ht="60" customHeight="1">
      <x:c r="A2406" s="14" t="str">
        <x:v>Бакалея и кондитерские изделия</x:v>
      </x:c>
      <x:c r="B2406" s="14" t="str">
        <x:v>Бакалея</x:v>
      </x:c>
      <x:c r="C2406" s="14" t="str">
        <x:v>Снэки, чипсы, готовые завтраки</x:v>
      </x:c>
      <x:c r="D2406" s="14" t="str">
        <x:v>Ягоды сушеные, вяленые</x:v>
      </x:c>
      <x:c r="E2406" s="2" t="n">
        <x:v>7</x:v>
      </x:c>
      <x:c r="F2406" s="2" t="n">
        <x:v>0</x:v>
      </x:c>
      <x:c r="G2406" s="12" t="n">
        <x:v>680507.4664</x:v>
      </x:c>
      <x:c r="H2406" s="12" t="n">
        <x:v>37800.57958284</x:v>
      </x:c>
      <x:c r="I2406" s="13" t="n">
        <x:v>0.0615</x:v>
      </x:c>
      <x:c r="J2406" s="2" t="n">
        <x:v>1</x:v>
      </x:c>
      <x:c r="K2406" s="2" t="n">
        <x:v>6</x:v>
      </x:c>
      <x:c r="L2406" s="12" t="n">
        <x:v>1406.7667</x:v>
      </x:c>
      <x:c r="M2406" s="13" t="n">
        <x:v>0.3125404797175051</x:v>
      </x:c>
      <x:c r="N2406" s="13" t="n">
        <x:f>H2406/G2406</x:f>
        <x:v>0.05554763386037699</x:v>
      </x:c>
      <x:c r="O2406" s="13" t="n">
        <x:f>F2406/E2406</x:f>
        <x:v>0</x:v>
      </x:c>
      <x:c r="P2406" s="2" t="str">
        <x:f>IF(AND(E2406&gt;='Итоги'!$F$5,N2406&lt;='Итоги'!$B$5,O2406&gt;='Итоги'!$D$5),"Да","Нет")</x:f>
        <x:v>Нет</x:v>
      </x:c>
    </x:row>
    <x:row r="2407" ht="60" customHeight="1">
      <x:c r="A2407" s="14" t="str">
        <x:v>Аптека</x:v>
      </x:c>
      <x:c r="B2407" s="14" t="str">
        <x:v>Средства реабилитации</x:v>
      </x:c>
      <x:c r="C2407" s="14" t="str">
        <x:v>Средства по уходу за лежачими больными</x:v>
      </x:c>
      <x:c r="D2407" s="14" t="str">
        <x:v>Приспособления для ухода за лежачими больными</x:v>
      </x:c>
      <x:c r="E2407" s="2" t="n">
        <x:v>11</x:v>
      </x:c>
      <x:c r="F2407" s="2" t="n">
        <x:v>0</x:v>
      </x:c>
      <x:c r="G2407" s="12" t="n">
        <x:v>1697340.9185</x:v>
      </x:c>
      <x:c r="H2407" s="12" t="n">
        <x:v>94336.32249908</x:v>
      </x:c>
      <x:c r="I2407" s="13" t="n">
        <x:v>0.0601090909090909</x:v>
      </x:c>
      <x:c r="J2407" s="2" t="n">
        <x:v>3</x:v>
      </x:c>
      <x:c r="K2407" s="2" t="n">
        <x:v>7</x:v>
      </x:c>
      <x:c r="L2407" s="12" t="n">
        <x:v>2426.0175</x:v>
      </x:c>
      <x:c r="M2407" s="13" t="n">
        <x:v>0.5399086464667705</x:v>
      </x:c>
      <x:c r="N2407" s="13" t="n">
        <x:f>H2407/G2407</x:f>
        <x:v>0.05557888899682471</x:v>
      </x:c>
      <x:c r="O2407" s="13" t="n">
        <x:f>F2407/E2407</x:f>
        <x:v>0</x:v>
      </x:c>
      <x:c r="P2407" s="2" t="str">
        <x:f>IF(AND(E2407&gt;='Итоги'!$F$5,N2407&lt;='Итоги'!$B$5,O2407&gt;='Итоги'!$D$5),"Да","Нет")</x:f>
        <x:v>Нет</x:v>
      </x:c>
    </x:row>
    <x:row r="2408" ht="60" customHeight="1">
      <x:c r="A2408" s="14" t="str">
        <x:v>Аптека</x:v>
      </x:c>
      <x:c r="B2408" s="14" t="str">
        <x:v>Парафармацевтика</x:v>
      </x:c>
      <x:c r="C2408" s="14" t="str">
        <x:v>Парафармацевтика</x:v>
      </x:c>
      <x:c r="D2408" s="14" t="str">
        <x:v>Здоровое пищеварение</x:v>
      </x:c>
      <x:c r="E2408" s="2" t="n">
        <x:v>47</x:v>
      </x:c>
      <x:c r="F2408" s="2" t="n">
        <x:v>0</x:v>
      </x:c>
      <x:c r="G2408" s="12" t="n">
        <x:v>9600506.8509</x:v>
      </x:c>
      <x:c r="H2408" s="12" t="n">
        <x:v>533817.9107314</x:v>
      </x:c>
      <x:c r="I2408" s="13" t="n">
        <x:v>0.0398085106382978</x:v>
      </x:c>
      <x:c r="J2408" s="2" t="n">
        <x:v>17</x:v>
      </x:c>
      <x:c r="K2408" s="2" t="n">
        <x:v>8</x:v>
      </x:c>
      <x:c r="L2408" s="12" t="n">
        <x:v>1465.7083</x:v>
      </x:c>
      <x:c r="M2408" s="13" t="n">
        <x:v>0.8115452834419475</x:v>
      </x:c>
      <x:c r="N2408" s="13" t="n">
        <x:f>H2408/G2408</x:f>
        <x:v>0.05560309669289567</x:v>
      </x:c>
      <x:c r="O2408" s="13" t="n">
        <x:f>F2408/E2408</x:f>
        <x:v>0</x:v>
      </x:c>
      <x:c r="P2408" s="2" t="str">
        <x:f>IF(AND(E2408&gt;='Итоги'!$F$5,N2408&lt;='Итоги'!$B$5,O2408&gt;='Итоги'!$D$5),"Да","Нет")</x:f>
        <x:v>Нет</x:v>
      </x:c>
    </x:row>
    <x:row r="2409" ht="60" customHeight="1">
      <x:c r="A2409" s="14" t="str">
        <x:v>Товары для красоты и здоровья</x:v>
      </x:c>
      <x:c r="B2409" s="14" t="str">
        <x:v>Косметика для ухода за волосами</x:v>
      </x:c>
      <x:c r="C2409" s="14" t="str">
        <x:v>Стайлинг для мужчин</x:v>
      </x:c>
      <x:c r="D2409" s="14" t="str">
        <x:v>Паста для волос мужская</x:v>
      </x:c>
      <x:c r="E2409" s="2" t="n">
        <x:v>13</x:v>
      </x:c>
      <x:c r="F2409" s="2" t="n">
        <x:v>0</x:v>
      </x:c>
      <x:c r="G2409" s="12" t="n">
        <x:v>2471471.6831</x:v>
      </x:c>
      <x:c r="H2409" s="12" t="n">
        <x:v>137503.87312327</x:v>
      </x:c>
      <x:c r="I2409" s="13" t="n">
        <x:v>0.0822076923076923</x:v>
      </x:c>
      <x:c r="J2409" s="2" t="n">
        <x:v>2</x:v>
      </x:c>
      <x:c r="K2409" s="2" t="n">
        <x:v>5</x:v>
      </x:c>
      <x:c r="L2409" s="12" t="n">
        <x:v>1155.5113</x:v>
      </x:c>
      <x:c r="M2409" s="13" t="n">
        <x:v>0.7569878073833878</x:v>
      </x:c>
      <x:c r="N2409" s="13" t="n">
        <x:f>H2409/G2409</x:f>
        <x:v>0.055636434786417235</x:v>
      </x:c>
      <x:c r="O2409" s="13" t="n">
        <x:f>F2409/E2409</x:f>
        <x:v>0</x:v>
      </x:c>
      <x:c r="P2409" s="2" t="str">
        <x:f>IF(AND(E2409&gt;='Итоги'!$F$5,N2409&lt;='Итоги'!$B$5,O2409&gt;='Итоги'!$D$5),"Да","Нет")</x:f>
        <x:v>Нет</x:v>
      </x:c>
    </x:row>
    <x:row r="2410" ht="60" customHeight="1">
      <x:c r="A2410" s="14" t="str">
        <x:v>Одежда</x:v>
      </x:c>
      <x:c r="B2410" s="14" t="str">
        <x:v>Спецодежда и одежда для мероприятий</x:v>
      </x:c>
      <x:c r="C2410" s="14" t="str">
        <x:v>Спецодежда мужская</x:v>
      </x:c>
      <x:c r="D2410" s="14" t="str">
        <x:v>Медицинский костюм мужской</x:v>
      </x:c>
      <x:c r="E2410" s="2" t="n">
        <x:v>9</x:v>
      </x:c>
      <x:c r="F2410" s="2" t="n">
        <x:v>0</x:v>
      </x:c>
      <x:c r="G2410" s="12" t="n">
        <x:v>475776.59</x:v>
      </x:c>
      <x:c r="H2410" s="12" t="n">
        <x:v>26490.031951</x:v>
      </x:c>
      <x:c r="I2410" s="13" t="n">
        <x:v>0.0363444444444444</x:v>
      </x:c>
      <x:c r="J2410" s="2" t="n">
        <x:v>3</x:v>
      </x:c>
      <x:c r="K2410" s="2" t="n">
        <x:v>6</x:v>
      </x:c>
      <x:c r="L2410" s="12" t="n">
        <x:v>4035</x:v>
      </x:c>
      <x:c r="M2410" s="13" t="n">
        <x:v>0.3775364609679514</x:v>
      </x:c>
      <x:c r="N2410" s="13" t="n">
        <x:f>H2410/G2410</x:f>
        <x:v>0.05567745977371438</x:v>
      </x:c>
      <x:c r="O2410" s="13" t="n">
        <x:f>F2410/E2410</x:f>
        <x:v>0</x:v>
      </x:c>
      <x:c r="P2410" s="2" t="str">
        <x:f>IF(AND(E2410&gt;='Итоги'!$F$5,N2410&lt;='Итоги'!$B$5,O2410&gt;='Итоги'!$D$5),"Да","Нет")</x:f>
        <x:v>Нет</x:v>
      </x:c>
    </x:row>
    <x:row r="2411" ht="60" customHeight="1">
      <x:c r="A2411" s="14" t="str">
        <x:v>Аксессуары для электроники</x:v>
      </x:c>
      <x:c r="B2411" s="14" t="str">
        <x:v>Компьютеры Access</x:v>
      </x:c>
      <x:c r="C2411" s="14" t="str">
        <x:v>Аксессуар к компьютерной технике Access</x:v>
      </x:c>
      <x:c r="D2411" s="14" t="str">
        <x:v>Bluetooth адаптер</x:v>
      </x:c>
      <x:c r="E2411" s="2" t="n">
        <x:v>7</x:v>
      </x:c>
      <x:c r="F2411" s="2" t="n">
        <x:v>0</x:v>
      </x:c>
      <x:c r="G2411" s="12" t="n">
        <x:v>744212.5881</x:v>
      </x:c>
      <x:c r="H2411" s="12" t="n">
        <x:v>41441.37509289</x:v>
      </x:c>
      <x:c r="I2411" s="13" t="n">
        <x:v>0.0444857142857142</x:v>
      </x:c>
      <x:c r="J2411" s="2" t="n">
        <x:v>4</x:v>
      </x:c>
      <x:c r="K2411" s="2" t="n">
        <x:v>6</x:v>
      </x:c>
      <x:c r="L2411" s="12" t="n">
        <x:v>1040.2557</x:v>
      </x:c>
      <x:c r="M2411" s="13" t="n">
        <x:v>0.3826836829340645</x:v>
      </x:c>
      <x:c r="N2411" s="13" t="n">
        <x:f>H2411/G2411</x:f>
        <x:v>0.05568486176603278</x:v>
      </x:c>
      <x:c r="O2411" s="13" t="n">
        <x:f>F2411/E2411</x:f>
        <x:v>0</x:v>
      </x:c>
      <x:c r="P2411" s="2" t="str">
        <x:f>IF(AND(E2411&gt;='Итоги'!$F$5,N2411&lt;='Итоги'!$B$5,O2411&gt;='Итоги'!$D$5),"Да","Нет")</x:f>
        <x:v>Нет</x:v>
      </x:c>
    </x:row>
    <x:row r="2412" ht="60" customHeight="1">
      <x:c r="A2412" s="14" t="str">
        <x:v>Бакалея и кондитерские изделия</x:v>
      </x:c>
      <x:c r="B2412" s="14" t="str">
        <x:v>Кондитерские изделия</x:v>
      </x:c>
      <x:c r="C2412" s="14" t="str">
        <x:v>Мучные изделия</x:v>
      </x:c>
      <x:c r="D2412" s="14" t="str">
        <x:v>Вафли (взрослые)</x:v>
      </x:c>
      <x:c r="E2412" s="2" t="n">
        <x:v>7</x:v>
      </x:c>
      <x:c r="F2412" s="2" t="n">
        <x:v>0</x:v>
      </x:c>
      <x:c r="G2412" s="12" t="n">
        <x:v>950366.6349</x:v>
      </x:c>
      <x:c r="H2412" s="12" t="n">
        <x:v>52951.05751427</x:v>
      </x:c>
      <x:c r="I2412" s="13" t="n">
        <x:v>0.0418</x:v>
      </x:c>
      <x:c r="J2412" s="2" t="n">
        <x:v>0</x:v>
      </x:c>
      <x:c r="K2412" s="2" t="n">
        <x:v>3</x:v>
      </x:c>
      <x:c r="L2412" s="12" t="n">
        <x:v>1213.3569</x:v>
      </x:c>
      <x:c r="M2412" s="13" t="n">
        <x:v>0.648918651237048</x:v>
      </x:c>
      <x:c r="N2412" s="13" t="n">
        <x:f>H2412/G2412</x:f>
        <x:v>0.0557164525455396</x:v>
      </x:c>
      <x:c r="O2412" s="13" t="n">
        <x:f>F2412/E2412</x:f>
        <x:v>0</x:v>
      </x:c>
      <x:c r="P2412" s="2" t="str">
        <x:f>IF(AND(E2412&gt;='Итоги'!$F$5,N2412&lt;='Итоги'!$B$5,O2412&gt;='Итоги'!$D$5),"Да","Нет")</x:f>
        <x:v>Нет</x:v>
      </x:c>
    </x:row>
    <x:row r="2413" ht="60" customHeight="1">
      <x:c r="A2413" s="14" t="str">
        <x:v>Мебель</x:v>
      </x:c>
      <x:c r="B2413" s="14" t="str">
        <x:v>Мебель для сада</x:v>
      </x:c>
      <x:c r="C2413" s="14" t="str">
        <x:v>Садовые диван, кресло, стул</x:v>
      </x:c>
      <x:c r="D2413" s="14" t="str">
        <x:v>Стул для сада</x:v>
      </x:c>
      <x:c r="E2413" s="2" t="n">
        <x:v>28</x:v>
      </x:c>
      <x:c r="F2413" s="2" t="n">
        <x:v>0</x:v>
      </x:c>
      <x:c r="G2413" s="12" t="n">
        <x:v>5218760.0308</x:v>
      </x:c>
      <x:c r="H2413" s="12" t="n">
        <x:v>290934.87213996</x:v>
      </x:c>
      <x:c r="I2413" s="13" t="n">
        <x:v>0.0598428571428571</x:v>
      </x:c>
      <x:c r="J2413" s="2" t="n">
        <x:v>8</x:v>
      </x:c>
      <x:c r="K2413" s="2" t="n">
        <x:v>15</x:v>
      </x:c>
      <x:c r="L2413" s="12" t="n">
        <x:v>3683.3276</x:v>
      </x:c>
      <x:c r="M2413" s="13" t="n">
        <x:v>0.3672640854701626</x:v>
      </x:c>
      <x:c r="N2413" s="13" t="n">
        <x:f>H2413/G2413</x:f>
        <x:v>0.05574789230064708</x:v>
      </x:c>
      <x:c r="O2413" s="13" t="n">
        <x:f>F2413/E2413</x:f>
        <x:v>0</x:v>
      </x:c>
      <x:c r="P2413" s="2" t="str">
        <x:f>IF(AND(E2413&gt;='Итоги'!$F$5,N2413&lt;='Итоги'!$B$5,O2413&gt;='Итоги'!$D$5),"Да","Нет")</x:f>
        <x:v>Нет</x:v>
      </x:c>
    </x:row>
    <x:row r="2414" ht="60" customHeight="1">
      <x:c r="A2414" s="14" t="str">
        <x:v>Строительство и ремонт (DIY)</x:v>
      </x:c>
      <x:c r="B2414" s="14" t="str">
        <x:v>Инструменты</x:v>
      </x:c>
      <x:c r="C2414" s="14" t="str">
        <x:v>Электроинструмент для строительства, ремонта</x:v>
      </x:c>
      <x:c r="D2414" s="14" t="str">
        <x:v>Дрель электрическая, аккумуляторная</x:v>
      </x:c>
      <x:c r="E2414" s="2" t="n">
        <x:v>89</x:v>
      </x:c>
      <x:c r="F2414" s="2" t="n">
        <x:v>0</x:v>
      </x:c>
      <x:c r="G2414" s="12" t="n">
        <x:v>20770756.9444</x:v>
      </x:c>
      <x:c r="H2414" s="12" t="n">
        <x:v>1158470.07141019</x:v>
      </x:c>
      <x:c r="I2414" s="13" t="n">
        <x:v>0.050538202247191</x:v>
      </x:c>
      <x:c r="J2414" s="2" t="n">
        <x:v>30</x:v>
      </x:c>
      <x:c r="K2414" s="2" t="n">
        <x:v>19</x:v>
      </x:c>
      <x:c r="L2414" s="12" t="n">
        <x:v>3658.8434</x:v>
      </x:c>
      <x:c r="M2414" s="13" t="n">
        <x:v>0.7128370114403504</x:v>
      </x:c>
      <x:c r="N2414" s="13" t="n">
        <x:f>H2414/G2414</x:f>
        <x:v>0.05577409020341576</x:v>
      </x:c>
      <x:c r="O2414" s="13" t="n">
        <x:f>F2414/E2414</x:f>
        <x:v>0</x:v>
      </x:c>
      <x:c r="P2414" s="2" t="str">
        <x:f>IF(AND(E2414&gt;='Итоги'!$F$5,N2414&lt;='Итоги'!$B$5,O2414&gt;='Итоги'!$D$5),"Да","Нет")</x:f>
        <x:v>Нет</x:v>
      </x:c>
    </x:row>
    <x:row r="2415" ht="60" customHeight="1">
      <x:c r="A2415" s="14" t="str">
        <x:v>Одежда</x:v>
      </x:c>
      <x:c r="B2415" s="14" t="str">
        <x:v>Основная одежда мужская</x:v>
      </x:c>
      <x:c r="C2415" s="14" t="str">
        <x:v>Головные уборы, перчатки, шарфы мужские</x:v>
      </x:c>
      <x:c r="D2415" s="14" t="str">
        <x:v>Мужская панама</x:v>
      </x:c>
      <x:c r="E2415" s="2" t="n">
        <x:v>33</x:v>
      </x:c>
      <x:c r="F2415" s="2" t="n">
        <x:v>0</x:v>
      </x:c>
      <x:c r="G2415" s="12" t="n">
        <x:v>2714706.9184</x:v>
      </x:c>
      <x:c r="H2415" s="12" t="n">
        <x:v>151490.63644312</x:v>
      </x:c>
      <x:c r="I2415" s="13" t="n">
        <x:v>0.0423030303030303</x:v>
      </x:c>
      <x:c r="J2415" s="2" t="n">
        <x:v>20</x:v>
      </x:c>
      <x:c r="K2415" s="2" t="n">
        <x:v>15</x:v>
      </x:c>
      <x:c r="L2415" s="12" t="n">
        <x:v>1105.2</x:v>
      </x:c>
      <x:c r="M2415" s="13" t="n">
        <x:v>0.2503291074973672</x:v>
      </x:c>
      <x:c r="N2415" s="13" t="n">
        <x:f>H2415/G2415</x:f>
        <x:v>0.05580368010127807</x:v>
      </x:c>
      <x:c r="O2415" s="13" t="n">
        <x:f>F2415/E2415</x:f>
        <x:v>0</x:v>
      </x:c>
      <x:c r="P2415" s="2" t="str">
        <x:f>IF(AND(E2415&gt;='Итоги'!$F$5,N2415&lt;='Итоги'!$B$5,O2415&gt;='Итоги'!$D$5),"Да","Нет")</x:f>
        <x:v>Нет</x:v>
      </x:c>
    </x:row>
    <x:row r="2416" ht="60" customHeight="1">
      <x:c r="A2416" s="14" t="str">
        <x:v>Автотовары</x:v>
      </x:c>
      <x:c r="B2416" s="14" t="str">
        <x:v>Авто и мото запчасти</x:v>
      </x:c>
      <x:c r="C2416" s="14" t="str">
        <x:v>Кузовные детали</x:v>
      </x:c>
      <x:c r="D2416" s="14" t="str">
        <x:v>Приборная панель для авто</x:v>
      </x:c>
      <x:c r="E2416" s="2" t="n">
        <x:v>3</x:v>
      </x:c>
      <x:c r="F2416" s="2" t="n">
        <x:v>0</x:v>
      </x:c>
      <x:c r="G2416" s="12" t="n">
        <x:v>378652.8121</x:v>
      </x:c>
      <x:c r="H2416" s="12" t="n">
        <x:v>21159.949209</x:v>
      </x:c>
      <x:c r="I2416" s="13" t="n">
        <x:v>0.0483333333333333</x:v>
      </x:c>
      <x:c r="J2416" s="2" t="n">
        <x:v>2</x:v>
      </x:c>
      <x:c r="K2416" s="2" t="n">
        <x:v>3</x:v>
      </x:c>
      <x:c r="L2416" s="12" t="n">
        <x:v>1504.44</x:v>
      </x:c>
      <x:c r="M2416" s="13" t="n">
        <x:v>0.3853944287133949</x:v>
      </x:c>
      <x:c r="N2416" s="13" t="n">
        <x:f>H2416/G2416</x:f>
        <x:v>0.05588219216344227</x:v>
      </x:c>
      <x:c r="O2416" s="13" t="n">
        <x:f>F2416/E2416</x:f>
        <x:v>0</x:v>
      </x:c>
      <x:c r="P2416" s="2" t="str">
        <x:f>IF(AND(E2416&gt;='Итоги'!$F$5,N2416&lt;='Итоги'!$B$5,O2416&gt;='Итоги'!$D$5),"Да","Нет")</x:f>
        <x:v>Нет</x:v>
      </x:c>
    </x:row>
    <x:row r="2417" ht="60" customHeight="1">
      <x:c r="A2417" s="14" t="str">
        <x:v>Товары для красоты и здоровья</x:v>
      </x:c>
      <x:c r="B2417" s="14" t="str">
        <x:v>Косметические средства для детей и беременных</x:v>
      </x:c>
      <x:c r="C2417" s="14" t="str">
        <x:v>Детские косметические средства</x:v>
      </x:c>
      <x:c r="D2417" s="14" t="str">
        <x:v>Средство солнцезащитное детское</x:v>
      </x:c>
      <x:c r="E2417" s="2" t="n">
        <x:v>20</x:v>
      </x:c>
      <x:c r="F2417" s="2" t="n">
        <x:v>0</x:v>
      </x:c>
      <x:c r="G2417" s="12" t="n">
        <x:v>3069843.3695</x:v>
      </x:c>
      <x:c r="H2417" s="12" t="n">
        <x:v>171584.56339199998</x:v>
      </x:c>
      <x:c r="I2417" s="13" t="n">
        <x:v>0.05018</x:v>
      </x:c>
      <x:c r="J2417" s="2" t="n">
        <x:v>11</x:v>
      </x:c>
      <x:c r="K2417" s="2" t="n">
        <x:v>8</x:v>
      </x:c>
      <x:c r="L2417" s="12" t="n">
        <x:v>1322.11435</x:v>
      </x:c>
      <x:c r="M2417" s="13" t="n">
        <x:v>0.4937544350501756</x:v>
      </x:c>
      <x:c r="N2417" s="13" t="n">
        <x:f>H2417/G2417</x:f>
        <x:v>0.05589358893575954</x:v>
      </x:c>
      <x:c r="O2417" s="13" t="n">
        <x:f>F2417/E2417</x:f>
        <x:v>0</x:v>
      </x:c>
      <x:c r="P2417" s="2" t="str">
        <x:f>IF(AND(E2417&gt;='Итоги'!$F$5,N2417&lt;='Итоги'!$B$5,O2417&gt;='Итоги'!$D$5),"Да","Нет")</x:f>
        <x:v>Нет</x:v>
      </x:c>
    </x:row>
    <x:row r="2418" ht="60" customHeight="1">
      <x:c r="A2418" s="14" t="str">
        <x:v>Аксессуары для электроники</x:v>
      </x:c>
      <x:c r="B2418" s="14" t="str">
        <x:v>Оборудование Access</x:v>
      </x:c>
      <x:c r="C2418" s="14" t="str">
        <x:v>Оборудование для предприятий Access</x:v>
      </x:c>
      <x:c r="D2418" s="14" t="str">
        <x:v>Оборудование для приготовления или обработки продуктов</x:v>
      </x:c>
      <x:c r="E2418" s="2" t="n">
        <x:v>14</x:v>
      </x:c>
      <x:c r="F2418" s="2" t="n">
        <x:v>0</x:v>
      </x:c>
      <x:c r="G2418" s="12" t="n">
        <x:v>1607939.88</x:v>
      </x:c>
      <x:c r="H2418" s="12" t="n">
        <x:v>89923.4184</x:v>
      </x:c>
      <x:c r="I2418" s="13" t="n">
        <x:v>0.0571714285714285</x:v>
      </x:c>
      <x:c r="J2418" s="2" t="n">
        <x:v>8</x:v>
      </x:c>
      <x:c r="K2418" s="2" t="n">
        <x:v>5</x:v>
      </x:c>
      <x:c r="L2418" s="12" t="n">
        <x:v>11697.6389</x:v>
      </x:c>
      <x:c r="M2418" s="13" t="n">
        <x:v>0.7378167646417229</x:v>
      </x:c>
      <x:c r="N2418" s="13" t="n">
        <x:f>H2418/G2418</x:f>
        <x:v>0.0559246147934337</x:v>
      </x:c>
      <x:c r="O2418" s="13" t="n">
        <x:f>F2418/E2418</x:f>
        <x:v>0</x:v>
      </x:c>
      <x:c r="P2418" s="2" t="str">
        <x:f>IF(AND(E2418&gt;='Итоги'!$F$5,N2418&lt;='Итоги'!$B$5,O2418&gt;='Итоги'!$D$5),"Да","Нет")</x:f>
        <x:v>Нет</x:v>
      </x:c>
    </x:row>
    <x:row r="2419" ht="60" customHeight="1">
      <x:c r="A2419" s="14" t="str">
        <x:v>Строительство и ремонт (DIY)</x:v>
      </x:c>
      <x:c r="B2419" s="14" t="str">
        <x:v>Сад и огород</x:v>
      </x:c>
      <x:c r="C2419" s="14" t="str">
        <x:v>Садовый инструмент</x:v>
      </x:c>
      <x:c r="D2419" s="14" t="str">
        <x:v>Тачка, тележка садовая</x:v>
      </x:c>
      <x:c r="E2419" s="2" t="n">
        <x:v>53</x:v>
      </x:c>
      <x:c r="F2419" s="2" t="n">
        <x:v>0</x:v>
      </x:c>
      <x:c r="G2419" s="12" t="n">
        <x:v>9841058.9021</x:v>
      </x:c>
      <x:c r="H2419" s="12" t="n">
        <x:v>550762.91946343</x:v>
      </x:c>
      <x:c r="I2419" s="13" t="n">
        <x:v>0.059777358490566</x:v>
      </x:c>
      <x:c r="J2419" s="2" t="n">
        <x:v>19</x:v>
      </x:c>
      <x:c r="K2419" s="2" t="n">
        <x:v>18</x:v>
      </x:c>
      <x:c r="L2419" s="12" t="n">
        <x:v>1332.3866</x:v>
      </x:c>
      <x:c r="M2419" s="13" t="n">
        <x:v>0.4269674828694875</x:v>
      </x:c>
      <x:c r="N2419" s="13" t="n">
        <x:f>H2419/G2419</x:f>
        <x:v>0.055965818815077076</x:v>
      </x:c>
      <x:c r="O2419" s="13" t="n">
        <x:f>F2419/E2419</x:f>
        <x:v>0</x:v>
      </x:c>
      <x:c r="P2419" s="2" t="str">
        <x:f>IF(AND(E2419&gt;='Итоги'!$F$5,N2419&lt;='Итоги'!$B$5,O2419&gt;='Итоги'!$D$5),"Да","Нет")</x:f>
        <x:v>Нет</x:v>
      </x:c>
    </x:row>
    <x:row r="2420" ht="60" customHeight="1">
      <x:c r="A2420" s="14" t="str">
        <x:v>Товары для детей и спорта</x:v>
      </x:c>
      <x:c r="B2420" s="14" t="str">
        <x:v>КГТ и аксессуары для детей</x:v>
      </x:c>
      <x:c r="C2420" s="14" t="str">
        <x:v>Детская мебель и аксессуары в дом</x:v>
      </x:c>
      <x:c r="D2420" s="14" t="str">
        <x:v>Шезлонг детский и аксессуары к нему</x:v>
      </x:c>
      <x:c r="E2420" s="2" t="n">
        <x:v>16</x:v>
      </x:c>
      <x:c r="F2420" s="2" t="n">
        <x:v>0</x:v>
      </x:c>
      <x:c r="G2420" s="12" t="n">
        <x:v>1754191.0764</x:v>
      </x:c>
      <x:c r="H2420" s="12" t="n">
        <x:v>98186.60611688</x:v>
      </x:c>
      <x:c r="I2420" s="13" t="n">
        <x:v>0.04635</x:v>
      </x:c>
      <x:c r="J2420" s="2" t="n">
        <x:v>8</x:v>
      </x:c>
      <x:c r="K2420" s="2" t="n">
        <x:v>4</x:v>
      </x:c>
      <x:c r="L2420" s="12" t="n">
        <x:v>1973.1638</x:v>
      </x:c>
      <x:c r="M2420" s="13" t="n">
        <x:v>0.4659105520461761</x:v>
      </x:c>
      <x:c r="N2420" s="13" t="n">
        <x:f>H2420/G2420</x:f>
        <x:v>0.055972583282307704</x:v>
      </x:c>
      <x:c r="O2420" s="13" t="n">
        <x:f>F2420/E2420</x:f>
        <x:v>0</x:v>
      </x:c>
      <x:c r="P2420" s="2" t="str">
        <x:f>IF(AND(E2420&gt;='Итоги'!$F$5,N2420&lt;='Итоги'!$B$5,O2420&gt;='Итоги'!$D$5),"Да","Нет")</x:f>
        <x:v>Нет</x:v>
      </x:c>
    </x:row>
    <x:row r="2421" ht="60" customHeight="1">
      <x:c r="A2421" s="14" t="str">
        <x:v>Спорт и отдых</x:v>
      </x:c>
      <x:c r="B2421" s="14" t="str">
        <x:v>Тренажеры и фитнес</x:v>
      </x:c>
      <x:c r="C2421" s="14" t="str">
        <x:v>Кросстренинг и тяжёлая атлетика</x:v>
      </x:c>
      <x:c r="D2421" s="14" t="str">
        <x:v>Скамья спортивная</x:v>
      </x:c>
      <x:c r="E2421" s="2" t="n">
        <x:v>59</x:v>
      </x:c>
      <x:c r="F2421" s="2" t="n">
        <x:v>0</x:v>
      </x:c>
      <x:c r="G2421" s="12" t="n">
        <x:v>10801584.3747</x:v>
      </x:c>
      <x:c r="H2421" s="12" t="n">
        <x:v>605528.2884283101</x:v>
      </x:c>
      <x:c r="I2421" s="13" t="n">
        <x:v>0.0478305084745762</x:v>
      </x:c>
      <x:c r="J2421" s="2" t="n">
        <x:v>11</x:v>
      </x:c>
      <x:c r="K2421" s="2" t="n">
        <x:v>18</x:v>
      </x:c>
      <x:c r="L2421" s="12" t="n">
        <x:v>7193.3571</x:v>
      </x:c>
      <x:c r="M2421" s="13" t="n">
        <x:v>0.7908600292665174</x:v>
      </x:c>
      <x:c r="N2421" s="13" t="n">
        <x:f>H2421/G2421</x:f>
        <x:v>0.0560592101513004</x:v>
      </x:c>
      <x:c r="O2421" s="13" t="n">
        <x:f>F2421/E2421</x:f>
        <x:v>0</x:v>
      </x:c>
      <x:c r="P2421" s="2" t="str">
        <x:f>IF(AND(E2421&gt;='Итоги'!$F$5,N2421&lt;='Итоги'!$B$5,O2421&gt;='Итоги'!$D$5),"Да","Нет")</x:f>
        <x:v>Нет</x:v>
      </x:c>
    </x:row>
    <x:row r="2422" ht="60" customHeight="1">
      <x:c r="A2422" s="14" t="str">
        <x:v>Строительство и ремонт (DIY)</x:v>
      </x:c>
      <x:c r="B2422" s="14" t="str">
        <x:v>Ремонт и строительство</x:v>
      </x:c>
      <x:c r="C2422" s="14" t="str">
        <x:v>Скобяные изделия</x:v>
      </x:c>
      <x:c r="D2422" s="14" t="str">
        <x:v>Ламели, латодержатели</x:v>
      </x:c>
      <x:c r="E2422" s="2" t="n">
        <x:v>3</x:v>
      </x:c>
      <x:c r="F2422" s="2" t="n">
        <x:v>0</x:v>
      </x:c>
      <x:c r="G2422" s="12" t="n">
        <x:v>725674.8031</x:v>
      </x:c>
      <x:c r="H2422" s="12" t="n">
        <x:v>40689.31178712</x:v>
      </x:c>
      <x:c r="I2422" s="13" t="n">
        <x:v>0.0694666666666666</x:v>
      </x:c>
      <x:c r="J2422" s="2" t="n">
        <x:v>0</x:v>
      </x:c>
      <x:c r="K2422" s="2" t="n">
        <x:v>1</x:v>
      </x:c>
      <x:c r="L2422" s="12" t="n">
        <x:v>836.8827</x:v>
      </x:c>
      <x:c r="M2422" s="13" t="n">
        <x:v>1</x:v>
      </x:c>
      <x:c r="N2422" s="13" t="n">
        <x:f>H2422/G2422</x:f>
        <x:v>0.05607099986564216</x:v>
      </x:c>
      <x:c r="O2422" s="13" t="n">
        <x:f>F2422/E2422</x:f>
        <x:v>0</x:v>
      </x:c>
      <x:c r="P2422" s="2" t="str">
        <x:f>IF(AND(E2422&gt;='Итоги'!$F$5,N2422&lt;='Итоги'!$B$5,O2422&gt;='Итоги'!$D$5),"Да","Нет")</x:f>
        <x:v>Нет</x:v>
      </x:c>
    </x:row>
    <x:row r="2423" ht="60" customHeight="1">
      <x:c r="A2423" s="14" t="str">
        <x:v>Товары для дома</x:v>
      </x:c>
      <x:c r="B2423" s="14" t="str">
        <x:v>Домашний текстиль</x:v>
      </x:c>
      <x:c r="C2423" s="14" t="str">
        <x:v>Полотенце</x:v>
      </x:c>
      <x:c r="D2423" s="14" t="str">
        <x:v>Полотенце для лица, рук или ног</x:v>
      </x:c>
      <x:c r="E2423" s="2" t="n">
        <x:v>8</x:v>
      </x:c>
      <x:c r="F2423" s="2" t="n">
        <x:v>0</x:v>
      </x:c>
      <x:c r="G2423" s="12" t="n">
        <x:v>1266639.7356</x:v>
      </x:c>
      <x:c r="H2423" s="12" t="n">
        <x:v>71113.41129649</x:v>
      </x:c>
      <x:c r="I2423" s="13" t="n">
        <x:v>0.09185</x:v>
      </x:c>
      <x:c r="J2423" s="2" t="n">
        <x:v>0</x:v>
      </x:c>
      <x:c r="K2423" s="2" t="n">
        <x:v>6</x:v>
      </x:c>
      <x:c r="L2423" s="12" t="n">
        <x:v>925.8973</x:v>
      </x:c>
      <x:c r="M2423" s="13" t="n">
        <x:v>0.6005017914108773</x:v>
      </x:c>
      <x:c r="N2423" s="13" t="n">
        <x:f>H2423/G2423</x:f>
        <x:v>0.05614336049769036</x:v>
      </x:c>
      <x:c r="O2423" s="13" t="n">
        <x:f>F2423/E2423</x:f>
        <x:v>0</x:v>
      </x:c>
      <x:c r="P2423" s="2" t="str">
        <x:f>IF(AND(E2423&gt;='Итоги'!$F$5,N2423&lt;='Итоги'!$B$5,O2423&gt;='Итоги'!$D$5),"Да","Нет")</x:f>
        <x:v>Нет</x:v>
      </x:c>
    </x:row>
    <x:row r="2424" ht="60" customHeight="1">
      <x:c r="A2424" s="14" t="str">
        <x:v>Товары для красоты и здоровья</x:v>
      </x:c>
      <x:c r="B2424" s="14" t="str">
        <x:v>Парфюмерия, ароматерапия</x:v>
      </x:c>
      <x:c r="C2424" s="14" t="str">
        <x:v>Парфюмерия для женщин</x:v>
      </x:c>
      <x:c r="D2424" s="14" t="str">
        <x:v>Туалетная вода женская</x:v>
      </x:c>
      <x:c r="E2424" s="2" t="n">
        <x:v>48</x:v>
      </x:c>
      <x:c r="F2424" s="2" t="n">
        <x:v>0</x:v>
      </x:c>
      <x:c r="G2424" s="12" t="n">
        <x:v>6211972.9724</x:v>
      </x:c>
      <x:c r="H2424" s="12" t="n">
        <x:v>349160.48382092</x:v>
      </x:c>
      <x:c r="I2424" s="13" t="n">
        <x:v>0.0571833333333333</x:v>
      </x:c>
      <x:c r="J2424" s="2" t="n">
        <x:v>24</x:v>
      </x:c>
      <x:c r="K2424" s="2" t="n">
        <x:v>7</x:v>
      </x:c>
      <x:c r="L2424" s="12" t="n">
        <x:v>2703.97935</x:v>
      </x:c>
      <x:c r="M2424" s="13" t="n">
        <x:v>0.879189942449145</x:v>
      </x:c>
      <x:c r="N2424" s="13" t="n">
        <x:f>H2424/G2424</x:f>
        <x:v>0.056207663068118856</x:v>
      </x:c>
      <x:c r="O2424" s="13" t="n">
        <x:f>F2424/E2424</x:f>
        <x:v>0</x:v>
      </x:c>
      <x:c r="P2424" s="2" t="str">
        <x:f>IF(AND(E2424&gt;='Итоги'!$F$5,N2424&lt;='Итоги'!$B$5,O2424&gt;='Итоги'!$D$5),"Да","Нет")</x:f>
        <x:v>Нет</x:v>
      </x:c>
    </x:row>
    <x:row r="2425" ht="60" customHeight="1">
      <x:c r="A2425" s="14" t="str">
        <x:v>Товары для дома</x:v>
      </x:c>
      <x:c r="B2425" s="14" t="str">
        <x:v>Хранение</x:v>
      </x:c>
      <x:c r="C2425" s="14" t="str">
        <x:v>Товары для хранения</x:v>
      </x:c>
      <x:c r="D2425" s="14" t="str">
        <x:v>Ящик для хранения</x:v>
      </x:c>
      <x:c r="E2425" s="2" t="n">
        <x:v>67</x:v>
      </x:c>
      <x:c r="F2425" s="2" t="n">
        <x:v>0</x:v>
      </x:c>
      <x:c r="G2425" s="12" t="n">
        <x:v>11895797.4904</x:v>
      </x:c>
      <x:c r="H2425" s="12" t="n">
        <x:v>668802.7765147</x:v>
      </x:c>
      <x:c r="I2425" s="13" t="n">
        <x:v>0.0694059701492537</x:v>
      </x:c>
      <x:c r="J2425" s="2" t="n">
        <x:v>19</x:v>
      </x:c>
      <x:c r="K2425" s="2" t="n">
        <x:v>14</x:v>
      </x:c>
      <x:c r="L2425" s="12" t="n">
        <x:v>1514.0243</x:v>
      </x:c>
      <x:c r="M2425" s="13" t="n">
        <x:v>0.6790237264225982</x:v>
      </x:c>
      <x:c r="N2425" s="13" t="n">
        <x:f>H2425/G2425</x:f>
        <x:v>0.05622176882671624</x:v>
      </x:c>
      <x:c r="O2425" s="13" t="n">
        <x:f>F2425/E2425</x:f>
        <x:v>0</x:v>
      </x:c>
      <x:c r="P2425" s="2" t="str">
        <x:f>IF(AND(E2425&gt;='Итоги'!$F$5,N2425&lt;='Итоги'!$B$5,O2425&gt;='Итоги'!$D$5),"Да","Нет")</x:f>
        <x:v>Нет</x:v>
      </x:c>
    </x:row>
    <x:row r="2426" ht="60" customHeight="1">
      <x:c r="A2426" s="14" t="str">
        <x:v>Товары для животных</x:v>
      </x:c>
      <x:c r="B2426" s="14" t="str">
        <x:v>Спальное место животного</x:v>
      </x:c>
      <x:c r="C2426" s="14" t="str">
        <x:v>Аквариум Мебель</x:v>
      </x:c>
      <x:c r="D2426" s="14" t="str">
        <x:v>Тумбы, подставки для аквариумов и комплектующие к ним</x:v>
      </x:c>
      <x:c r="E2426" s="2" t="n">
        <x:v>3</x:v>
      </x:c>
      <x:c r="F2426" s="2" t="n">
        <x:v>0</x:v>
      </x:c>
      <x:c r="G2426" s="12" t="n">
        <x:v>327990.82</x:v>
      </x:c>
      <x:c r="H2426" s="12" t="n">
        <x:v>18448.55147992</x:v>
      </x:c>
      <x:c r="I2426" s="13" t="n">
        <x:v>0.0563666666666666</x:v>
      </x:c>
      <x:c r="J2426" s="2" t="n">
        <x:v>2</x:v>
      </x:c>
      <x:c r="K2426" s="2" t="n">
        <x:v>1</x:v>
      </x:c>
      <x:c r="L2426" s="12" t="n">
        <x:v>4285.3929</x:v>
      </x:c>
      <x:c r="M2426" s="13" t="n">
        <x:v>1</x:v>
      </x:c>
      <x:c r="N2426" s="13" t="n">
        <x:f>H2426/G2426</x:f>
        <x:v>0.05624715801472736</x:v>
      </x:c>
      <x:c r="O2426" s="13" t="n">
        <x:f>F2426/E2426</x:f>
        <x:v>0</x:v>
      </x:c>
      <x:c r="P2426" s="2" t="str">
        <x:f>IF(AND(E2426&gt;='Итоги'!$F$5,N2426&lt;='Итоги'!$B$5,O2426&gt;='Итоги'!$D$5),"Да","Нет")</x:f>
        <x:v>Нет</x:v>
      </x:c>
    </x:row>
    <x:row r="2427" ht="60" customHeight="1">
      <x:c r="A2427" s="14" t="str">
        <x:v>Спорт и отдых</x:v>
      </x:c>
      <x:c r="B2427" s="14" t="str">
        <x:v>Туризм</x:v>
      </x:c>
      <x:c r="C2427" s="14" t="str">
        <x:v>Туристическая мебель</x:v>
      </x:c>
      <x:c r="D2427" s="14" t="str">
        <x:v>Кресло складное туристическое</x:v>
      </x:c>
      <x:c r="E2427" s="2" t="n">
        <x:v>146</x:v>
      </x:c>
      <x:c r="F2427" s="2" t="n">
        <x:v>0</x:v>
      </x:c>
      <x:c r="G2427" s="12" t="n">
        <x:v>24310816.6153</x:v>
      </x:c>
      <x:c r="H2427" s="12" t="n">
        <x:v>1368622.54558636</x:v>
      </x:c>
      <x:c r="I2427" s="13" t="n">
        <x:v>0.0463705479452054</x:v>
      </x:c>
      <x:c r="J2427" s="2" t="n">
        <x:v>52</x:v>
      </x:c>
      <x:c r="K2427" s="2" t="n">
        <x:v>20</x:v>
      </x:c>
      <x:c r="L2427" s="12" t="n">
        <x:v>3050.1672</x:v>
      </x:c>
      <x:c r="M2427" s="13" t="n">
        <x:v>0.6059395320406114</x:v>
      </x:c>
      <x:c r="N2427" s="13" t="n">
        <x:f>H2427/G2427</x:f>
        <x:v>0.05629685613789781</x:v>
      </x:c>
      <x:c r="O2427" s="13" t="n">
        <x:f>F2427/E2427</x:f>
        <x:v>0</x:v>
      </x:c>
      <x:c r="P2427" s="2" t="str">
        <x:f>IF(AND(E2427&gt;='Итоги'!$F$5,N2427&lt;='Итоги'!$B$5,O2427&gt;='Итоги'!$D$5),"Да","Нет")</x:f>
        <x:v>Нет</x:v>
      </x:c>
    </x:row>
    <x:row r="2428" ht="60" customHeight="1">
      <x:c r="A2428" s="14" t="str">
        <x:v>Товары для дома</x:v>
      </x:c>
      <x:c r="B2428" s="14" t="str">
        <x:v>Интерьер и декор</x:v>
      </x:c>
      <x:c r="C2428" s="14" t="str">
        <x:v>Принадлежности, аксессуары для курения</x:v>
      </x:c>
      <x:c r="D2428" s="14" t="str">
        <x:v>Аксессуары для самокрутки</x:v>
      </x:c>
      <x:c r="E2428" s="2" t="n">
        <x:v>41</x:v>
      </x:c>
      <x:c r="F2428" s="2" t="n">
        <x:v>0</x:v>
      </x:c>
      <x:c r="G2428" s="12" t="n">
        <x:v>5410683.6171</x:v>
      </x:c>
      <x:c r="H2428" s="12" t="n">
        <x:v>304647.58594221</x:v>
      </x:c>
      <x:c r="I2428" s="13" t="n">
        <x:v>0.0553390243902439</x:v>
      </x:c>
      <x:c r="J2428" s="2" t="n">
        <x:v>10</x:v>
      </x:c>
      <x:c r="K2428" s="2" t="n">
        <x:v>14</x:v>
      </x:c>
      <x:c r="L2428" s="12" t="n">
        <x:v>1232.27</x:v>
      </x:c>
      <x:c r="M2428" s="13" t="n">
        <x:v>0.3250146616117507</x:v>
      </x:c>
      <x:c r="N2428" s="13" t="n">
        <x:f>H2428/G2428</x:f>
        <x:v>0.05630482347542878</x:v>
      </x:c>
      <x:c r="O2428" s="13" t="n">
        <x:f>F2428/E2428</x:f>
        <x:v>0</x:v>
      </x:c>
      <x:c r="P2428" s="2" t="str">
        <x:f>IF(AND(E2428&gt;='Итоги'!$F$5,N2428&lt;='Итоги'!$B$5,O2428&gt;='Итоги'!$D$5),"Да","Нет")</x:f>
        <x:v>Нет</x:v>
      </x:c>
    </x:row>
    <x:row r="2429" ht="60" customHeight="1">
      <x:c r="A2429" s="14" t="str">
        <x:v>Одежда</x:v>
      </x:c>
      <x:c r="B2429" s="14" t="str">
        <x:v>Основная одежда мужская</x:v>
      </x:c>
      <x:c r="C2429" s="14" t="str">
        <x:v>Спортивная основная одежда мужская верха</x:v>
      </x:c>
      <x:c r="D2429" s="14" t="str">
        <x:v>Спортивное худи на молнии мужское</x:v>
      </x:c>
      <x:c r="E2429" s="2" t="n">
        <x:v>29</x:v>
      </x:c>
      <x:c r="F2429" s="2" t="n">
        <x:v>0</x:v>
      </x:c>
      <x:c r="G2429" s="12" t="n">
        <x:v>3151754.1648</x:v>
      </x:c>
      <x:c r="H2429" s="12" t="n">
        <x:v>177461.69873752</x:v>
      </x:c>
      <x:c r="I2429" s="13" t="n">
        <x:v>0.0438862068965517</x:v>
      </x:c>
      <x:c r="J2429" s="2" t="n">
        <x:v>15</x:v>
      </x:c>
      <x:c r="K2429" s="2" t="n">
        <x:v>4</x:v>
      </x:c>
      <x:c r="L2429" s="12" t="n">
        <x:v>1346.5083</x:v>
      </x:c>
      <x:c r="M2429" s="13" t="n">
        <x:v>0.5193403337991205</x:v>
      </x:c>
      <x:c r="N2429" s="13" t="n">
        <x:f>H2429/G2429</x:f>
        <x:v>0.05630569183329092</x:v>
      </x:c>
      <x:c r="O2429" s="13" t="n">
        <x:f>F2429/E2429</x:f>
        <x:v>0</x:v>
      </x:c>
      <x:c r="P2429" s="2" t="str">
        <x:f>IF(AND(E2429&gt;='Итоги'!$F$5,N2429&lt;='Итоги'!$B$5,O2429&gt;='Итоги'!$D$5),"Да","Нет")</x:f>
        <x:v>Нет</x:v>
      </x:c>
    </x:row>
    <x:row r="2430" ht="60" customHeight="1">
      <x:c r="A2430" s="14" t="str">
        <x:v>Аптека</x:v>
      </x:c>
      <x:c r="B2430" s="14" t="str">
        <x:v>Парафармацевтика</x:v>
      </x:c>
      <x:c r="C2430" s="14" t="str">
        <x:v>Парафармацевтика</x:v>
      </x:c>
      <x:c r="D2430" s="14" t="str">
        <x:v>Средства для кожи и слизистых</x:v>
      </x:c>
      <x:c r="E2430" s="2" t="n">
        <x:v>68</x:v>
      </x:c>
      <x:c r="F2430" s="2" t="n">
        <x:v>0</x:v>
      </x:c>
      <x:c r="G2430" s="12" t="n">
        <x:v>13281824.1874</x:v>
      </x:c>
      <x:c r="H2430" s="12" t="n">
        <x:v>747973.57050054</x:v>
      </x:c>
      <x:c r="I2430" s="13" t="n">
        <x:v>0.0536</x:v>
      </x:c>
      <x:c r="J2430" s="2" t="n">
        <x:v>35</x:v>
      </x:c>
      <x:c r="K2430" s="2" t="n">
        <x:v>27</x:v>
      </x:c>
      <x:c r="L2430" s="12" t="n">
        <x:v>1397.45085</x:v>
      </x:c>
      <x:c r="M2430" s="13" t="n">
        <x:v>0.2897861640761143</x:v>
      </x:c>
      <x:c r="N2430" s="13" t="n">
        <x:f>H2430/G2430</x:f>
        <x:v>0.05631557532662691</x:v>
      </x:c>
      <x:c r="O2430" s="13" t="n">
        <x:f>F2430/E2430</x:f>
        <x:v>0</x:v>
      </x:c>
      <x:c r="P2430" s="2" t="str">
        <x:f>IF(AND(E2430&gt;='Итоги'!$F$5,N2430&lt;='Итоги'!$B$5,O2430&gt;='Итоги'!$D$5),"Да","Нет")</x:f>
        <x:v>Нет</x:v>
      </x:c>
    </x:row>
    <x:row r="2431" ht="60" customHeight="1">
      <x:c r="A2431" s="14" t="str">
        <x:v>Мебель</x:v>
      </x:c>
      <x:c r="B2431" s="14" t="str">
        <x:v>Мебель для сада</x:v>
      </x:c>
      <x:c r="C2431" s="14" t="str">
        <x:v>Садовые диван, кресло, стул</x:v>
      </x:c>
      <x:c r="D2431" s="14" t="str">
        <x:v>Кресло для сада</x:v>
      </x:c>
      <x:c r="E2431" s="2" t="n">
        <x:v>17</x:v>
      </x:c>
      <x:c r="F2431" s="2" t="n">
        <x:v>0</x:v>
      </x:c>
      <x:c r="G2431" s="12" t="n">
        <x:v>2635044.7902</x:v>
      </x:c>
      <x:c r="H2431" s="12" t="n">
        <x:v>148407.9254723</x:v>
      </x:c>
      <x:c r="I2431" s="13" t="n">
        <x:v>0.0648705882352941</x:v>
      </x:c>
      <x:c r="J2431" s="2" t="n">
        <x:v>3</x:v>
      </x:c>
      <x:c r="K2431" s="2" t="n">
        <x:v>11</x:v>
      </x:c>
      <x:c r="L2431" s="12" t="n">
        <x:v>6003.2308</x:v>
      </x:c>
      <x:c r="M2431" s="13" t="n">
        <x:v>0.528118681388477</x:v>
      </x:c>
      <x:c r="N2431" s="13" t="n">
        <x:f>H2431/G2431</x:f>
        <x:v>0.05632083599650533</x:v>
      </x:c>
      <x:c r="O2431" s="13" t="n">
        <x:f>F2431/E2431</x:f>
        <x:v>0</x:v>
      </x:c>
      <x:c r="P2431" s="2" t="str">
        <x:f>IF(AND(E2431&gt;='Итоги'!$F$5,N2431&lt;='Итоги'!$B$5,O2431&gt;='Итоги'!$D$5),"Да","Нет")</x:f>
        <x:v>Нет</x:v>
      </x:c>
    </x:row>
    <x:row r="2432" ht="60" customHeight="1">
      <x:c r="A2432" s="14" t="str">
        <x:v>Аптека</x:v>
      </x:c>
      <x:c r="B2432" s="14" t="str">
        <x:v>Медицинская техника</x:v>
      </x:c>
      <x:c r="C2432" s="14" t="str">
        <x:v>Приборы и средства диагностики</x:v>
      </x:c>
      <x:c r="D2432" s="14" t="str">
        <x:v>Термометр для тела</x:v>
      </x:c>
      <x:c r="E2432" s="2" t="n">
        <x:v>11</x:v>
      </x:c>
      <x:c r="F2432" s="2" t="n">
        <x:v>0</x:v>
      </x:c>
      <x:c r="G2432" s="12" t="n">
        <x:v>1764733.0702</x:v>
      </x:c>
      <x:c r="H2432" s="12" t="n">
        <x:v>99441.52466154</x:v>
      </x:c>
      <x:c r="I2432" s="13" t="n">
        <x:v>0.0623545454545454</x:v>
      </x:c>
      <x:c r="J2432" s="2" t="n">
        <x:v>3</x:v>
      </x:c>
      <x:c r="K2432" s="2" t="n">
        <x:v>6</x:v>
      </x:c>
      <x:c r="L2432" s="12" t="n">
        <x:v>1803.0182</x:v>
      </x:c>
      <x:c r="M2432" s="13" t="n">
        <x:v>0.5359714826972704</x:v>
      </x:c>
      <x:c r="N2432" s="13" t="n">
        <x:f>H2432/G2432</x:f>
        <x:v>0.05634932916527151</x:v>
      </x:c>
      <x:c r="O2432" s="13" t="n">
        <x:f>F2432/E2432</x:f>
        <x:v>0</x:v>
      </x:c>
      <x:c r="P2432" s="2" t="str">
        <x:f>IF(AND(E2432&gt;='Итоги'!$F$5,N2432&lt;='Итоги'!$B$5,O2432&gt;='Итоги'!$D$5),"Да","Нет")</x:f>
        <x:v>Нет</x:v>
      </x:c>
    </x:row>
    <x:row r="2433" ht="60" customHeight="1">
      <x:c r="A2433" s="14" t="str">
        <x:v>Товары для дома</x:v>
      </x:c>
      <x:c r="B2433" s="14" t="str">
        <x:v>Кухня</x:v>
      </x:c>
      <x:c r="C2433" s="14" t="str">
        <x:v>Питьевое стекло, аксессуар для бара, сосуд для жидкости</x:v>
      </x:c>
      <x:c r="D2433" s="14" t="str">
        <x:v>Диспенсер для напитков</x:v>
      </x:c>
      <x:c r="E2433" s="2" t="n">
        <x:v>23</x:v>
      </x:c>
      <x:c r="F2433" s="2" t="n">
        <x:v>0</x:v>
      </x:c>
      <x:c r="G2433" s="12" t="n">
        <x:v>4171048.9198</x:v>
      </x:c>
      <x:c r="H2433" s="12" t="n">
        <x:v>235071.75583893</x:v>
      </x:c>
      <x:c r="I2433" s="13" t="n">
        <x:v>0.0548043478260869</x:v>
      </x:c>
      <x:c r="J2433" s="2" t="n">
        <x:v>10</x:v>
      </x:c>
      <x:c r="K2433" s="2" t="n">
        <x:v>7</x:v>
      </x:c>
      <x:c r="L2433" s="12" t="n">
        <x:v>2330.8515</x:v>
      </x:c>
      <x:c r="M2433" s="13" t="n">
        <x:v>0.7787484398422615</x:v>
      </x:c>
      <x:c r="N2433" s="13" t="n">
        <x:f>H2433/G2433</x:f>
        <x:v>0.056357947451309585</x:v>
      </x:c>
      <x:c r="O2433" s="13" t="n">
        <x:f>F2433/E2433</x:f>
        <x:v>0</x:v>
      </x:c>
      <x:c r="P2433" s="2" t="str">
        <x:f>IF(AND(E2433&gt;='Итоги'!$F$5,N2433&lt;='Итоги'!$B$5,O2433&gt;='Итоги'!$D$5),"Да","Нет")</x:f>
        <x:v>Нет</x:v>
      </x:c>
    </x:row>
    <x:row r="2434" ht="60" customHeight="1">
      <x:c r="A2434" s="14" t="str">
        <x:v>Строительство и ремонт (DIY)</x:v>
      </x:c>
      <x:c r="B2434" s="14" t="str">
        <x:v>Сад и огород</x:v>
      </x:c>
      <x:c r="C2434" s="14" t="str">
        <x:v>Полив</x:v>
      </x:c>
      <x:c r="D2434" s="14" t="str">
        <x:v>Соединитель для шлангов</x:v>
      </x:c>
      <x:c r="E2434" s="2" t="n">
        <x:v>13</x:v>
      </x:c>
      <x:c r="F2434" s="2" t="n">
        <x:v>0</x:v>
      </x:c>
      <x:c r="G2434" s="12" t="n">
        <x:v>900340.3873000001</x:v>
      </x:c>
      <x:c r="H2434" s="12" t="n">
        <x:v>50766.52961479</x:v>
      </x:c>
      <x:c r="I2434" s="13" t="n">
        <x:v>0.0252615384615384</x:v>
      </x:c>
      <x:c r="J2434" s="2" t="n">
        <x:v>7</x:v>
      </x:c>
      <x:c r="K2434" s="2" t="n">
        <x:v>6</x:v>
      </x:c>
      <x:c r="L2434" s="12" t="n">
        <x:v>1013.6429</x:v>
      </x:c>
      <x:c r="M2434" s="13" t="n">
        <x:v>0.5064966469709761</x:v>
      </x:c>
      <x:c r="N2434" s="13" t="n">
        <x:f>H2434/G2434</x:f>
        <x:v>0.0563859295116506</x:v>
      </x:c>
      <x:c r="O2434" s="13" t="n">
        <x:f>F2434/E2434</x:f>
        <x:v>0</x:v>
      </x:c>
      <x:c r="P2434" s="2" t="str">
        <x:f>IF(AND(E2434&gt;='Итоги'!$F$5,N2434&lt;='Итоги'!$B$5,O2434&gt;='Итоги'!$D$5),"Да","Нет")</x:f>
        <x:v>Нет</x:v>
      </x:c>
    </x:row>
    <x:row r="2435" ht="60" customHeight="1">
      <x:c r="A2435" s="14" t="str">
        <x:v>Ноутбуки и компьютеры</x:v>
      </x:c>
      <x:c r="B2435" s="14" t="str">
        <x:v>Компьютерные комплектующие Lap&amp;Comp</x:v>
      </x:c>
      <x:c r="C2435" s="14" t="str">
        <x:v>Компьютерные комплектующие Lap&amp;Comp</x:v>
      </x:c>
      <x:c r="D2435" s="14" t="str">
        <x:v>Сетевой блок питания</x:v>
      </x:c>
      <x:c r="E2435" s="2" t="n">
        <x:v>16</x:v>
      </x:c>
      <x:c r="F2435" s="2" t="n">
        <x:v>0</x:v>
      </x:c>
      <x:c r="G2435" s="12" t="n">
        <x:v>2302196.4252</x:v>
      </x:c>
      <x:c r="H2435" s="12" t="n">
        <x:v>129933.89808468</x:v>
      </x:c>
      <x:c r="I2435" s="13" t="n">
        <x:v>0.045425</x:v>
      </x:c>
      <x:c r="J2435" s="2" t="n">
        <x:v>4</x:v>
      </x:c>
      <x:c r="K2435" s="2" t="n">
        <x:v>7</x:v>
      </x:c>
      <x:c r="L2435" s="12" t="n">
        <x:v>1038.7487</x:v>
      </x:c>
      <x:c r="M2435" s="13" t="n">
        <x:v>0.7395987399520352</x:v>
      </x:c>
      <x:c r="N2435" s="13" t="n">
        <x:f>H2435/G2435</x:f>
        <x:v>0.05643910166066398</x:v>
      </x:c>
      <x:c r="O2435" s="13" t="n">
        <x:f>F2435/E2435</x:f>
        <x:v>0</x:v>
      </x:c>
      <x:c r="P2435" s="2" t="str">
        <x:f>IF(AND(E2435&gt;='Итоги'!$F$5,N2435&lt;='Итоги'!$B$5,O2435&gt;='Итоги'!$D$5),"Да","Нет")</x:f>
        <x:v>Нет</x:v>
      </x:c>
    </x:row>
    <x:row r="2436" ht="60" customHeight="1">
      <x:c r="A2436" s="14" t="str">
        <x:v>Спорт и отдых</x:v>
      </x:c>
      <x:c r="B2436" s="14" t="str">
        <x:v>Тренажеры и фитнес</x:v>
      </x:c>
      <x:c r="C2436" s="14" t="str">
        <x:v>Йога, пилатес</x:v>
      </x:c>
      <x:c r="D2436" s="14" t="str">
        <x:v>Блок для йоги</x:v>
      </x:c>
      <x:c r="E2436" s="2" t="n">
        <x:v>2</x:v>
      </x:c>
      <x:c r="F2436" s="2" t="n">
        <x:v>0</x:v>
      </x:c>
      <x:c r="G2436" s="12" t="n">
        <x:v>154976.9722</x:v>
      </x:c>
      <x:c r="H2436" s="12" t="n">
        <x:v>8747.85898044</x:v>
      </x:c>
      <x:c r="I2436" s="13" t="n">
        <x:v>0.0978</x:v>
      </x:c>
      <x:c r="J2436" s="2" t="n">
        <x:v>0</x:v>
      </x:c>
      <x:c r="K2436" s="2" t="n">
        <x:v>2</x:v>
      </x:c>
      <x:c r="L2436" s="12" t="n">
        <x:v>1064.6491</x:v>
      </x:c>
      <x:c r="M2436" s="13" t="n">
        <x:v>0.7360377518073618</x:v>
      </x:c>
      <x:c r="N2436" s="13" t="n">
        <x:f>H2436/G2436</x:f>
        <x:v>0.05644618588335023</x:v>
      </x:c>
      <x:c r="O2436" s="13" t="n">
        <x:f>F2436/E2436</x:f>
        <x:v>0</x:v>
      </x:c>
      <x:c r="P2436" s="2" t="str">
        <x:f>IF(AND(E2436&gt;='Итоги'!$F$5,N2436&lt;='Итоги'!$B$5,O2436&gt;='Итоги'!$D$5),"Да","Нет")</x:f>
        <x:v>Нет</x:v>
      </x:c>
    </x:row>
    <x:row r="2437" ht="60" customHeight="1">
      <x:c r="A2437" s="14" t="str">
        <x:v>Аптека</x:v>
      </x:c>
      <x:c r="B2437" s="14" t="str">
        <x:v>Спортивное питание</x:v>
      </x:c>
      <x:c r="C2437" s="14" t="str">
        <x:v>Изотоники и электролиты</x:v>
      </x:c>
      <x:c r="D2437" s="14" t="str">
        <x:v>Изотонические напитки</x:v>
      </x:c>
      <x:c r="E2437" s="2" t="n">
        <x:v>39</x:v>
      </x:c>
      <x:c r="F2437" s="2" t="n">
        <x:v>0</x:v>
      </x:c>
      <x:c r="G2437" s="12" t="n">
        <x:v>8426123.5086</x:v>
      </x:c>
      <x:c r="H2437" s="12" t="n">
        <x:v>475692.94041316</x:v>
      </x:c>
      <x:c r="I2437" s="13" t="n">
        <x:v>0.0673128205128205</x:v>
      </x:c>
      <x:c r="J2437" s="2" t="n">
        <x:v>9</x:v>
      </x:c>
      <x:c r="K2437" s="2" t="n">
        <x:v>5</x:v>
      </x:c>
      <x:c r="L2437" s="12" t="n">
        <x:v>1438.0543</x:v>
      </x:c>
      <x:c r="M2437" s="13" t="n">
        <x:v>0.8641048024953228</x:v>
      </x:c>
      <x:c r="N2437" s="13" t="n">
        <x:f>H2437/G2437</x:f>
        <x:v>0.05645454163206259</x:v>
      </x:c>
      <x:c r="O2437" s="13" t="n">
        <x:f>F2437/E2437</x:f>
        <x:v>0</x:v>
      </x:c>
      <x:c r="P2437" s="2" t="str">
        <x:f>IF(AND(E2437&gt;='Итоги'!$F$5,N2437&lt;='Итоги'!$B$5,O2437&gt;='Итоги'!$D$5),"Да","Нет")</x:f>
        <x:v>Нет</x:v>
      </x:c>
    </x:row>
    <x:row r="2438" ht="60" customHeight="1">
      <x:c r="A2438" s="14" t="str">
        <x:v>Школьные принадлежности и канцелярия</x:v>
      </x:c>
      <x:c r="B2438" s="14" t="str">
        <x:v>Товары для школы, канцелярия, оборудование</x:v>
      </x:c>
      <x:c r="C2438" s="14" t="str">
        <x:v>Ежедневник, планинг</x:v>
      </x:c>
      <x:c r="D2438" s="14" t="str">
        <x:v>Ежедневник недатированный</x:v>
      </x:c>
      <x:c r="E2438" s="2" t="n">
        <x:v>5</x:v>
      </x:c>
      <x:c r="F2438" s="2" t="n">
        <x:v>0</x:v>
      </x:c>
      <x:c r="G2438" s="12" t="n">
        <x:v>434888.4735</x:v>
      </x:c>
      <x:c r="H2438" s="12" t="n">
        <x:v>24558.74542082</x:v>
      </x:c>
      <x:c r="I2438" s="13" t="n">
        <x:v>0.07608</x:v>
      </x:c>
      <x:c r="J2438" s="2" t="n">
        <x:v>2</x:v>
      </x:c>
      <x:c r="K2438" s="2" t="n">
        <x:v>4</x:v>
      </x:c>
      <x:c r="L2438" s="12" t="n">
        <x:v>2003.0435</x:v>
      </x:c>
      <x:c r="M2438" s="13" t="n">
        <x:v>0.4306569803809711</x:v>
      </x:c>
      <x:c r="N2438" s="13" t="n">
        <x:f>H2438/G2438</x:f>
        <x:v>0.05647136430903819</x:v>
      </x:c>
      <x:c r="O2438" s="13" t="n">
        <x:f>F2438/E2438</x:f>
        <x:v>0</x:v>
      </x:c>
      <x:c r="P2438" s="2" t="str">
        <x:f>IF(AND(E2438&gt;='Итоги'!$F$5,N2438&lt;='Итоги'!$B$5,O2438&gt;='Итоги'!$D$5),"Да","Нет")</x:f>
        <x:v>Нет</x:v>
      </x:c>
    </x:row>
    <x:row r="2439" ht="60" customHeight="1">
      <x:c r="A2439" s="14" t="str">
        <x:v>Спорт и отдых</x:v>
      </x:c>
      <x:c r="B2439" s="14" t="str">
        <x:v>Водные виды спорта</x:v>
      </x:c>
      <x:c r="C2439" s="14" t="str">
        <x:v>Плавание</x:v>
      </x:c>
      <x:c r="D2439" s="14" t="str">
        <x:v>Ласты</x:v>
      </x:c>
      <x:c r="E2439" s="2" t="n">
        <x:v>23</x:v>
      </x:c>
      <x:c r="F2439" s="2" t="n">
        <x:v>0</x:v>
      </x:c>
      <x:c r="G2439" s="12" t="n">
        <x:v>2537379.7604</x:v>
      </x:c>
      <x:c r="H2439" s="12" t="n">
        <x:v>143302.02760098</x:v>
      </x:c>
      <x:c r="I2439" s="13" t="n">
        <x:v>0.0606130434782608</x:v>
      </x:c>
      <x:c r="J2439" s="2" t="n">
        <x:v>9</x:v>
      </x:c>
      <x:c r="K2439" s="2" t="n">
        <x:v>8</x:v>
      </x:c>
      <x:c r="L2439" s="12" t="n">
        <x:v>1687.5</x:v>
      </x:c>
      <x:c r="M2439" s="13" t="n">
        <x:v>0.4308972964802246</x:v>
      </x:c>
      <x:c r="N2439" s="13" t="n">
        <x:f>H2439/G2439</x:f>
        <x:v>0.056476381595472906</x:v>
      </x:c>
      <x:c r="O2439" s="13" t="n">
        <x:f>F2439/E2439</x:f>
        <x:v>0</x:v>
      </x:c>
      <x:c r="P2439" s="2" t="str">
        <x:f>IF(AND(E2439&gt;='Итоги'!$F$5,N2439&lt;='Итоги'!$B$5,O2439&gt;='Итоги'!$D$5),"Да","Нет")</x:f>
        <x:v>Нет</x:v>
      </x:c>
    </x:row>
    <x:row r="2440" ht="60" customHeight="1">
      <x:c r="A2440" s="14" t="str">
        <x:v>Товары для красоты и здоровья</x:v>
      </x:c>
      <x:c r="B2440" s="14" t="str">
        <x:v>Косметическая техника</x:v>
      </x:c>
      <x:c r="C2440" s="14" t="str">
        <x:v>Оборудование для салона красоты</x:v>
      </x:c>
      <x:c r="D2440" s="14" t="str">
        <x:v>Мини-холодильник для косметики</x:v>
      </x:c>
      <x:c r="E2440" s="2" t="n">
        <x:v>21</x:v>
      </x:c>
      <x:c r="F2440" s="2" t="n">
        <x:v>0</x:v>
      </x:c>
      <x:c r="G2440" s="12" t="n">
        <x:v>3102340.4608</x:v>
      </x:c>
      <x:c r="H2440" s="12" t="n">
        <x:v>175220.650227</x:v>
      </x:c>
      <x:c r="I2440" s="13" t="n">
        <x:v>0.0545714285714285</x:v>
      </x:c>
      <x:c r="J2440" s="2" t="n">
        <x:v>7</x:v>
      </x:c>
      <x:c r="K2440" s="2" t="n">
        <x:v>9</x:v>
      </x:c>
      <x:c r="L2440" s="12" t="n">
        <x:v>4471.8</x:v>
      </x:c>
      <x:c r="M2440" s="13" t="n">
        <x:v>0.5017527410897378</x:v>
      </x:c>
      <x:c r="N2440" s="13" t="n">
        <x:f>H2440/G2440</x:f>
        <x:v>0.056480148597815694</x:v>
      </x:c>
      <x:c r="O2440" s="13" t="n">
        <x:f>F2440/E2440</x:f>
        <x:v>0</x:v>
      </x:c>
      <x:c r="P2440" s="2" t="str">
        <x:f>IF(AND(E2440&gt;='Итоги'!$F$5,N2440&lt;='Итоги'!$B$5,O2440&gt;='Итоги'!$D$5),"Да","Нет")</x:f>
        <x:v>Нет</x:v>
      </x:c>
    </x:row>
    <x:row r="2441" ht="60" customHeight="1">
      <x:c r="A2441" s="14" t="str">
        <x:v>Школьные принадлежности и канцелярия</x:v>
      </x:c>
      <x:c r="B2441" s="14" t="str">
        <x:v>Товары для школы, канцелярия, оборудование</x:v>
      </x:c>
      <x:c r="C2441" s="14" t="str">
        <x:v>Письменные принадлежности</x:v>
      </x:c>
      <x:c r="D2441" s="14" t="str">
        <x:v>Набор цветных карандашей</x:v>
      </x:c>
      <x:c r="E2441" s="2" t="n">
        <x:v>10</x:v>
      </x:c>
      <x:c r="F2441" s="2" t="n">
        <x:v>0</x:v>
      </x:c>
      <x:c r="G2441" s="12" t="n">
        <x:v>894949.9791</x:v>
      </x:c>
      <x:c r="H2441" s="12" t="n">
        <x:v>50553.796093</x:v>
      </x:c>
      <x:c r="I2441" s="13" t="n">
        <x:v>0.0529</x:v>
      </x:c>
      <x:c r="J2441" s="2" t="n">
        <x:v>1</x:v>
      </x:c>
      <x:c r="K2441" s="2" t="n">
        <x:v>3</x:v>
      </x:c>
      <x:c r="L2441" s="12" t="n">
        <x:v>1735.308</x:v>
      </x:c>
      <x:c r="M2441" s="13" t="n">
        <x:v>0.8429666425141101</x:v>
      </x:c>
      <x:c r="N2441" s="13" t="n">
        <x:f>H2441/G2441</x:f>
        <x:v>0.056487845436723805</x:v>
      </x:c>
      <x:c r="O2441" s="13" t="n">
        <x:f>F2441/E2441</x:f>
        <x:v>0</x:v>
      </x:c>
      <x:c r="P2441" s="2" t="str">
        <x:f>IF(AND(E2441&gt;='Итоги'!$F$5,N2441&lt;='Итоги'!$B$5,O2441&gt;='Итоги'!$D$5),"Да","Нет")</x:f>
        <x:v>Нет</x:v>
      </x:c>
    </x:row>
    <x:row r="2442" ht="60" customHeight="1">
      <x:c r="A2442" s="14" t="str">
        <x:v>Аптека</x:v>
      </x:c>
      <x:c r="B2442" s="14" t="str">
        <x:v>Средства реабилитации</x:v>
      </x:c>
      <x:c r="C2442" s="14" t="str">
        <x:v>Товары по уходу за стомой</x:v>
      </x:c>
      <x:c r="D2442" s="14" t="str">
        <x:v>Защитная пленка и салфетки для стомы</x:v>
      </x:c>
      <x:c r="E2442" s="2" t="n">
        <x:v>3</x:v>
      </x:c>
      <x:c r="F2442" s="2" t="n">
        <x:v>0</x:v>
      </x:c>
      <x:c r="G2442" s="12" t="n">
        <x:v>915456.49</x:v>
      </x:c>
      <x:c r="H2442" s="12" t="n">
        <x:v>51724.12122</x:v>
      </x:c>
      <x:c r="I2442" s="13" t="n">
        <x:v>0.0436666666666666</x:v>
      </x:c>
      <x:c r="J2442" s="2" t="n">
        <x:v>2</x:v>
      </x:c>
      <x:c r="K2442" s="2" t="n">
        <x:v>1</x:v>
      </x:c>
      <x:c r="L2442" s="12" t="n">
        <x:v>1605.0432</x:v>
      </x:c>
      <x:c r="M2442" s="13" t="n">
        <x:v>1</x:v>
      </x:c>
      <x:c r="N2442" s="13" t="n">
        <x:f>H2442/G2442</x:f>
        <x:v>0.056500906143556864</x:v>
      </x:c>
      <x:c r="O2442" s="13" t="n">
        <x:f>F2442/E2442</x:f>
        <x:v>0</x:v>
      </x:c>
      <x:c r="P2442" s="2" t="str">
        <x:f>IF(AND(E2442&gt;='Итоги'!$F$5,N2442&lt;='Итоги'!$B$5,O2442&gt;='Итоги'!$D$5),"Да","Нет")</x:f>
        <x:v>Нет</x:v>
      </x:c>
    </x:row>
    <x:row r="2443" ht="60" customHeight="1">
      <x:c r="A2443" s="14" t="str">
        <x:v>Товары для красоты и здоровья</x:v>
      </x:c>
      <x:c r="B2443" s="14" t="str">
        <x:v>Косметика для ухода за кожей</x:v>
      </x:c>
      <x:c r="C2443" s="14" t="str">
        <x:v>Тело</x:v>
      </x:c>
      <x:c r="D2443" s="14" t="str">
        <x:v>Средство массажное</x:v>
      </x:c>
      <x:c r="E2443" s="2" t="n">
        <x:v>21</x:v>
      </x:c>
      <x:c r="F2443" s="2" t="n">
        <x:v>0</x:v>
      </x:c>
      <x:c r="G2443" s="12" t="n">
        <x:v>3257264.8058</x:v>
      </x:c>
      <x:c r="H2443" s="12" t="n">
        <x:v>184062.05328735</x:v>
      </x:c>
      <x:c r="I2443" s="13" t="n">
        <x:v>0.0429571428571428</x:v>
      </x:c>
      <x:c r="J2443" s="2" t="n">
        <x:v>13</x:v>
      </x:c>
      <x:c r="K2443" s="2" t="n">
        <x:v>13</x:v>
      </x:c>
      <x:c r="L2443" s="12" t="n">
        <x:v>1199.7268</x:v>
      </x:c>
      <x:c r="M2443" s="13" t="n">
        <x:v>0.5699367416472761</x:v>
      </x:c>
      <x:c r="N2443" s="13" t="n">
        <x:f>H2443/G2443</x:f>
        <x:v>0.05650816383107773</x:v>
      </x:c>
      <x:c r="O2443" s="13" t="n">
        <x:f>F2443/E2443</x:f>
        <x:v>0</x:v>
      </x:c>
      <x:c r="P2443" s="2" t="str">
        <x:f>IF(AND(E2443&gt;='Итоги'!$F$5,N2443&lt;='Итоги'!$B$5,O2443&gt;='Итоги'!$D$5),"Да","Нет")</x:f>
        <x:v>Нет</x:v>
      </x:c>
    </x:row>
    <x:row r="2444" ht="60" customHeight="1">
      <x:c r="A2444" s="14" t="str">
        <x:v>Товары для красоты и здоровья</x:v>
      </x:c>
      <x:c r="B2444" s="14" t="str">
        <x:v>Косметика для ухода за кожей</x:v>
      </x:c>
      <x:c r="C2444" s="14" t="str">
        <x:v>Лицо</x:v>
      </x:c>
      <x:c r="D2444" s="14" t="str">
        <x:v>Маска косметическая для глаз</x:v>
      </x:c>
      <x:c r="E2444" s="2" t="n">
        <x:v>8</x:v>
      </x:c>
      <x:c r="F2444" s="2" t="n">
        <x:v>0</x:v>
      </x:c>
      <x:c r="G2444" s="12" t="n">
        <x:v>1634017.6092</x:v>
      </x:c>
      <x:c r="H2444" s="12" t="n">
        <x:v>92413.52224578</x:v>
      </x:c>
      <x:c r="I2444" s="13" t="n">
        <x:v>0.0626125</x:v>
      </x:c>
      <x:c r="J2444" s="2" t="n">
        <x:v>3</x:v>
      </x:c>
      <x:c r="K2444" s="2" t="n">
        <x:v>4</x:v>
      </x:c>
      <x:c r="L2444" s="12" t="n">
        <x:v>1593.4075</x:v>
      </x:c>
      <x:c r="M2444" s="13" t="n">
        <x:v>0.4197101831330742</x:v>
      </x:c>
      <x:c r="N2444" s="13" t="n">
        <x:f>H2444/G2444</x:f>
        <x:v>0.05655601367174054</x:v>
      </x:c>
      <x:c r="O2444" s="13" t="n">
        <x:f>F2444/E2444</x:f>
        <x:v>0</x:v>
      </x:c>
      <x:c r="P2444" s="2" t="str">
        <x:f>IF(AND(E2444&gt;='Итоги'!$F$5,N2444&lt;='Итоги'!$B$5,O2444&gt;='Итоги'!$D$5),"Да","Нет")</x:f>
        <x:v>Нет</x:v>
      </x:c>
    </x:row>
    <x:row r="2445" ht="60" customHeight="1">
      <x:c r="A2445" s="14" t="str">
        <x:v>Мебель</x:v>
      </x:c>
      <x:c r="B2445" s="14" t="str">
        <x:v>Корпусная мебель и мебель для хранения</x:v>
      </x:c>
      <x:c r="C2445" s="14" t="str">
        <x:v>Шкаф, гардероб</x:v>
      </x:c>
      <x:c r="D2445" s="14" t="str">
        <x:v>Корпусные шкафы и гардеробы</x:v>
      </x:c>
      <x:c r="E2445" s="2" t="n">
        <x:v>178</x:v>
      </x:c>
      <x:c r="F2445" s="2" t="n">
        <x:v>0</x:v>
      </x:c>
      <x:c r="G2445" s="12" t="n">
        <x:v>39394263.0645</x:v>
      </x:c>
      <x:c r="H2445" s="12" t="n">
        <x:v>2228314.70534722</x:v>
      </x:c>
      <x:c r="I2445" s="13" t="n">
        <x:v>0.0552516853932584</x:v>
      </x:c>
      <x:c r="J2445" s="2" t="n">
        <x:v>58</x:v>
      </x:c>
      <x:c r="K2445" s="2" t="n">
        <x:v>24</x:v>
      </x:c>
      <x:c r="L2445" s="12" t="n">
        <x:v>5614.0848000000005</x:v>
      </x:c>
      <x:c r="M2445" s="13" t="n">
        <x:v>0.7163599797309265</x:v>
      </x:c>
      <x:c r="N2445" s="13" t="n">
        <x:f>H2445/G2445</x:f>
        <x:v>0.05656444700333176</x:v>
      </x:c>
      <x:c r="O2445" s="13" t="n">
        <x:f>F2445/E2445</x:f>
        <x:v>0</x:v>
      </x:c>
      <x:c r="P2445" s="2" t="str">
        <x:f>IF(AND(E2445&gt;='Итоги'!$F$5,N2445&lt;='Итоги'!$B$5,O2445&gt;='Итоги'!$D$5),"Да","Нет")</x:f>
        <x:v>Нет</x:v>
      </x:c>
    </x:row>
    <x:row r="2446" ht="60" customHeight="1">
      <x:c r="A2446" s="14" t="str">
        <x:v>Мебель</x:v>
      </x:c>
      <x:c r="B2446" s="14" t="str">
        <x:v>Мягкая мебель</x:v>
      </x:c>
      <x:c r="C2446" s="14" t="str">
        <x:v>Аксессуары для мебели</x:v>
      </x:c>
      <x:c r="D2446" s="14" t="str">
        <x:v>Выкатной ящик под кровать, диван</x:v>
      </x:c>
      <x:c r="E2446" s="2" t="n">
        <x:v>12</x:v>
      </x:c>
      <x:c r="F2446" s="2" t="n">
        <x:v>0</x:v>
      </x:c>
      <x:c r="G2446" s="12" t="n">
        <x:v>1876795.1596</x:v>
      </x:c>
      <x:c r="H2446" s="12" t="n">
        <x:v>106178.9941624</x:v>
      </x:c>
      <x:c r="I2446" s="13" t="n">
        <x:v>0.03905</x:v>
      </x:c>
      <x:c r="J2446" s="2" t="n">
        <x:v>7</x:v>
      </x:c>
      <x:c r="K2446" s="2" t="n">
        <x:v>2</x:v>
      </x:c>
      <x:c r="L2446" s="12" t="n">
        <x:v>3604.92165</x:v>
      </x:c>
      <x:c r="M2446" s="13" t="n">
        <x:v>0.6893517459176209</x:v>
      </x:c>
      <x:c r="N2446" s="13" t="n">
        <x:f>H2446/G2446</x:f>
        <x:v>0.05657463129062516</x:v>
      </x:c>
      <x:c r="O2446" s="13" t="n">
        <x:f>F2446/E2446</x:f>
        <x:v>0</x:v>
      </x:c>
      <x:c r="P2446" s="2" t="str">
        <x:f>IF(AND(E2446&gt;='Итоги'!$F$5,N2446&lt;='Итоги'!$B$5,O2446&gt;='Итоги'!$D$5),"Да","Нет")</x:f>
        <x:v>Нет</x:v>
      </x:c>
    </x:row>
    <x:row r="2447" ht="60" customHeight="1">
      <x:c r="A2447" s="14" t="str">
        <x:v>Товары для дома</x:v>
      </x:c>
      <x:c r="B2447" s="14" t="str">
        <x:v>Интерьер и декор</x:v>
      </x:c>
      <x:c r="C2447" s="14" t="str">
        <x:v>Украшение интерьера</x:v>
      </x:c>
      <x:c r="D2447" s="14" t="str">
        <x:v>Зеркало декоративное</x:v>
      </x:c>
      <x:c r="E2447" s="2" t="n">
        <x:v>59</x:v>
      </x:c>
      <x:c r="F2447" s="2" t="n">
        <x:v>0</x:v>
      </x:c>
      <x:c r="G2447" s="12" t="n">
        <x:v>10937284.2236</x:v>
      </x:c>
      <x:c r="H2447" s="12" t="n">
        <x:v>618787.7318806701</x:v>
      </x:c>
      <x:c r="I2447" s="13" t="n">
        <x:v>0.0622389830508474</x:v>
      </x:c>
      <x:c r="J2447" s="2" t="n">
        <x:v>14</x:v>
      </x:c>
      <x:c r="K2447" s="2" t="n">
        <x:v>9</x:v>
      </x:c>
      <x:c r="L2447" s="12" t="n">
        <x:v>2461.9759</x:v>
      </x:c>
      <x:c r="M2447" s="13" t="n">
        <x:v>0.651466345249161</x:v>
      </x:c>
      <x:c r="N2447" s="13" t="n">
        <x:f>H2447/G2447</x:f>
        <x:v>0.056575994481836415</x:v>
      </x:c>
      <x:c r="O2447" s="13" t="n">
        <x:f>F2447/E2447</x:f>
        <x:v>0</x:v>
      </x:c>
      <x:c r="P2447" s="2" t="str">
        <x:f>IF(AND(E2447&gt;='Итоги'!$F$5,N2447&lt;='Итоги'!$B$5,O2447&gt;='Итоги'!$D$5),"Да","Нет")</x:f>
        <x:v>Нет</x:v>
      </x:c>
    </x:row>
    <x:row r="2448" ht="60" customHeight="1">
      <x:c r="A2448" s="14" t="str">
        <x:v>Строительство и ремонт (DIY)</x:v>
      </x:c>
      <x:c r="B2448" s="14" t="str">
        <x:v>Ремонт и строительство</x:v>
      </x:c>
      <x:c r="C2448" s="14" t="str">
        <x:v>Скобяные изделия</x:v>
      </x:c>
      <x:c r="D2448" s="14" t="str">
        <x:v>Кляймер</x:v>
      </x:c>
      <x:c r="E2448" s="2" t="n">
        <x:v>13</x:v>
      </x:c>
      <x:c r="F2448" s="2" t="n">
        <x:v>0</x:v>
      </x:c>
      <x:c r="G2448" s="12" t="n">
        <x:v>1679670.3296</x:v>
      </x:c>
      <x:c r="H2448" s="12" t="n">
        <x:v>95179.16982784</x:v>
      </x:c>
      <x:c r="I2448" s="13" t="n">
        <x:v>0.0414538461538461</x:v>
      </x:c>
      <x:c r="J2448" s="2" t="n">
        <x:v>4</x:v>
      </x:c>
      <x:c r="K2448" s="2" t="n">
        <x:v>4</x:v>
      </x:c>
      <x:c r="L2448" s="12" t="n">
        <x:v>1252.9905</x:v>
      </x:c>
      <x:c r="M2448" s="13" t="n">
        <x:v>0.4819800086560986</x:v>
      </x:c>
      <x:c r="N2448" s="13" t="n">
        <x:f>H2448/G2448</x:f>
        <x:v>0.05666538733854169</x:v>
      </x:c>
      <x:c r="O2448" s="13" t="n">
        <x:f>F2448/E2448</x:f>
        <x:v>0</x:v>
      </x:c>
      <x:c r="P2448" s="2" t="str">
        <x:f>IF(AND(E2448&gt;='Итоги'!$F$5,N2448&lt;='Итоги'!$B$5,O2448&gt;='Итоги'!$D$5),"Да","Нет")</x:f>
        <x:v>Нет</x:v>
      </x:c>
    </x:row>
    <x:row r="2449" ht="60" customHeight="1">
      <x:c r="A2449" s="14" t="str">
        <x:v>Одежда</x:v>
      </x:c>
      <x:c r="B2449" s="14" t="str">
        <x:v>Основная одежда мужская</x:v>
      </x:c>
      <x:c r="C2449" s="14" t="str">
        <x:v>Основная одежда мужская низы</x:v>
      </x:c>
      <x:c r="D2449" s="14" t="str">
        <x:v>Шорты мужские</x:v>
      </x:c>
      <x:c r="E2449" s="2" t="n">
        <x:v>1881</x:v>
      </x:c>
      <x:c r="F2449" s="2" t="n">
        <x:v>0</x:v>
      </x:c>
      <x:c r="G2449" s="12" t="n">
        <x:v>205269948.6752</x:v>
      </x:c>
      <x:c r="H2449" s="12" t="n">
        <x:v>11631809.89529196</x:v>
      </x:c>
      <x:c r="I2449" s="13" t="n">
        <x:v>0.0455701222753854</x:v>
      </x:c>
      <x:c r="J2449" s="2" t="n">
        <x:v>843</x:v>
      </x:c>
      <x:c r="K2449" s="2" t="n">
        <x:v>123</x:v>
      </x:c>
      <x:c r="L2449" s="12" t="n">
        <x:v>1660.4892</x:v>
      </x:c>
      <x:c r="M2449" s="13" t="n">
        <x:v>0.4974560865213336</x:v>
      </x:c>
      <x:c r="N2449" s="13" t="n">
        <x:f>H2449/G2449</x:f>
        <x:v>0.05666591710263956</x:v>
      </x:c>
      <x:c r="O2449" s="13" t="n">
        <x:f>F2449/E2449</x:f>
        <x:v>0</x:v>
      </x:c>
      <x:c r="P2449" s="2" t="str">
        <x:f>IF(AND(E2449&gt;='Итоги'!$F$5,N2449&lt;='Итоги'!$B$5,O2449&gt;='Итоги'!$D$5),"Да","Нет")</x:f>
        <x:v>Нет</x:v>
      </x:c>
    </x:row>
    <x:row r="2450" ht="60" customHeight="1">
      <x:c r="A2450" s="14" t="str">
        <x:v>Товары для дома</x:v>
      </x:c>
      <x:c r="B2450" s="14" t="str">
        <x:v>Домашний текстиль</x:v>
      </x:c>
      <x:c r="C2450" s="14" t="str">
        <x:v>Плед</x:v>
      </x:c>
      <x:c r="D2450" s="14" t="str">
        <x:v>Плед 2-х спальный</x:v>
      </x:c>
      <x:c r="E2450" s="2" t="n">
        <x:v>69</x:v>
      </x:c>
      <x:c r="F2450" s="2" t="n">
        <x:v>0</x:v>
      </x:c>
      <x:c r="G2450" s="12" t="n">
        <x:v>7779833.5374</x:v>
      </x:c>
      <x:c r="H2450" s="12" t="n">
        <x:v>441917.5815361</x:v>
      </x:c>
      <x:c r="I2450" s="13" t="n">
        <x:v>0.070331884057971</x:v>
      </x:c>
      <x:c r="J2450" s="2" t="n">
        <x:v>18</x:v>
      </x:c>
      <x:c r="K2450" s="2" t="n">
        <x:v>21</x:v>
      </x:c>
      <x:c r="L2450" s="12" t="n">
        <x:v>3067.8889</x:v>
      </x:c>
      <x:c r="M2450" s="13" t="n">
        <x:v>0.2391821969524908</x:v>
      </x:c>
      <x:c r="N2450" s="13" t="n">
        <x:f>H2450/G2450</x:f>
        <x:v>0.05680296106744049</x:v>
      </x:c>
      <x:c r="O2450" s="13" t="n">
        <x:f>F2450/E2450</x:f>
        <x:v>0</x:v>
      </x:c>
      <x:c r="P2450" s="2" t="str">
        <x:f>IF(AND(E2450&gt;='Итоги'!$F$5,N2450&lt;='Итоги'!$B$5,O2450&gt;='Итоги'!$D$5),"Да","Нет")</x:f>
        <x:v>Нет</x:v>
      </x:c>
    </x:row>
    <x:row r="2451" ht="60" customHeight="1">
      <x:c r="A2451" s="14" t="str">
        <x:v>Напитки</x:v>
      </x:c>
      <x:c r="B2451" s="14" t="str">
        <x:v>Напитки холодные</x:v>
      </x:c>
      <x:c r="C2451" s="14" t="str">
        <x:v>Вода</x:v>
      </x:c>
      <x:c r="D2451" s="14" t="str">
        <x:v>Вода негазированная</x:v>
      </x:c>
      <x:c r="E2451" s="2" t="n">
        <x:v>132</x:v>
      </x:c>
      <x:c r="F2451" s="2" t="n">
        <x:v>0</x:v>
      </x:c>
      <x:c r="G2451" s="12" t="n">
        <x:v>23124721.6395</x:v>
      </x:c>
      <x:c r="H2451" s="12" t="n">
        <x:v>1314317.72345629</x:v>
      </x:c>
      <x:c r="I2451" s="13" t="n">
        <x:v>0.0619924242424242</x:v>
      </x:c>
      <x:c r="J2451" s="2" t="n">
        <x:v>40</x:v>
      </x:c>
      <x:c r="K2451" s="2" t="n">
        <x:v>33</x:v>
      </x:c>
      <x:c r="L2451" s="12" t="n">
        <x:v>1553.35365</x:v>
      </x:c>
      <x:c r="M2451" s="13" t="n">
        <x:v>0.3590062492695805</x:v>
      </x:c>
      <x:c r="N2451" s="13" t="n">
        <x:f>H2451/G2451</x:f>
        <x:v>0.056836045161783325</x:v>
      </x:c>
      <x:c r="O2451" s="13" t="n">
        <x:f>F2451/E2451</x:f>
        <x:v>0</x:v>
      </x:c>
      <x:c r="P2451" s="2" t="str">
        <x:f>IF(AND(E2451&gt;='Итоги'!$F$5,N2451&lt;='Итоги'!$B$5,O2451&gt;='Итоги'!$D$5),"Да","Нет")</x:f>
        <x:v>Нет</x:v>
      </x:c>
    </x:row>
    <x:row r="2452" ht="60" customHeight="1">
      <x:c r="A2452" s="14" t="str">
        <x:v>Мелкая бытовая техника</x:v>
      </x:c>
      <x:c r="B2452" s="14" t="str">
        <x:v>Мелкая бытовая техника SDA</x:v>
      </x:c>
      <x:c r="C2452" s="14" t="str">
        <x:v>Электронная кухонная техника SDA</x:v>
      </x:c>
      <x:c r="D2452" s="14" t="str">
        <x:v>Электросковорода</x:v>
      </x:c>
      <x:c r="E2452" s="2" t="n">
        <x:v>5</x:v>
      </x:c>
      <x:c r="F2452" s="2" t="n">
        <x:v>0</x:v>
      </x:c>
      <x:c r="G2452" s="12" t="n">
        <x:v>438093</x:v>
      </x:c>
      <x:c r="H2452" s="12" t="n">
        <x:v>24900.3323</x:v>
      </x:c>
      <x:c r="I2452" s="13" t="n">
        <x:v>0.03234</x:v>
      </x:c>
      <x:c r="J2452" s="2" t="n">
        <x:v>2</x:v>
      </x:c>
      <x:c r="K2452" s="2" t="n">
        <x:v>2</x:v>
      </x:c>
      <x:c r="L2452" s="12" t="n">
        <x:v>4208.7586</x:v>
      </x:c>
      <x:c r="M2452" s="13" t="n">
        <x:v>0.7213970549632156</x:v>
      </x:c>
      <x:c r="N2452" s="13" t="n">
        <x:f>H2452/G2452</x:f>
        <x:v>0.05683800540067976</x:v>
      </x:c>
      <x:c r="O2452" s="13" t="n">
        <x:f>F2452/E2452</x:f>
        <x:v>0</x:v>
      </x:c>
      <x:c r="P2452" s="2" t="str">
        <x:f>IF(AND(E2452&gt;='Итоги'!$F$5,N2452&lt;='Итоги'!$B$5,O2452&gt;='Итоги'!$D$5),"Да","Нет")</x:f>
        <x:v>Нет</x:v>
      </x:c>
    </x:row>
    <x:row r="2453" ht="60" customHeight="1">
      <x:c r="A2453" s="14" t="str">
        <x:v>Мелкая бытовая техника</x:v>
      </x:c>
      <x:c r="B2453" s="14" t="str">
        <x:v>Мелкая бытовая техника SDA</x:v>
      </x:c>
      <x:c r="C2453" s="14" t="str">
        <x:v>Электронная кухонная техника SDA</x:v>
      </x:c>
      <x:c r="D2453" s="14" t="str">
        <x:v>Фондюшница, шоколадный фонтан электрические</x:v>
      </x:c>
      <x:c r="E2453" s="2" t="n">
        <x:v>6</x:v>
      </x:c>
      <x:c r="F2453" s="2" t="n">
        <x:v>0</x:v>
      </x:c>
      <x:c r="G2453" s="12" t="n">
        <x:v>577628.7186</x:v>
      </x:c>
      <x:c r="H2453" s="12" t="n">
        <x:v>32908.9503918</x:v>
      </x:c>
      <x:c r="I2453" s="13" t="n">
        <x:v>0.0378999999999999</x:v>
      </x:c>
      <x:c r="J2453" s="2" t="n">
        <x:v>3</x:v>
      </x:c>
      <x:c r="K2453" s="2" t="n">
        <x:v>5</x:v>
      </x:c>
      <x:c r="L2453" s="12" t="n">
        <x:v>3379.25</x:v>
      </x:c>
      <x:c r="M2453" s="13" t="n">
        <x:v>0.6209927191109712</x:v>
      </x:c>
      <x:c r="N2453" s="13" t="n">
        <x:f>H2453/G2453</x:f>
        <x:v>0.05697249692079281</x:v>
      </x:c>
      <x:c r="O2453" s="13" t="n">
        <x:f>F2453/E2453</x:f>
        <x:v>0</x:v>
      </x:c>
      <x:c r="P2453" s="2" t="str">
        <x:f>IF(AND(E2453&gt;='Итоги'!$F$5,N2453&lt;='Итоги'!$B$5,O2453&gt;='Итоги'!$D$5),"Да","Нет")</x:f>
        <x:v>Нет</x:v>
      </x:c>
    </x:row>
    <x:row r="2454" ht="60" customHeight="1">
      <x:c r="A2454" s="14" t="str">
        <x:v>Детская одежда</x:v>
      </x:c>
      <x:c r="B2454" s="14" t="str">
        <x:v>Детская одежда</x:v>
      </x:c>
      <x:c r="C2454" s="14" t="str">
        <x:v>Одежда для девочки</x:v>
      </x:c>
      <x:c r="D2454" s="14" t="str">
        <x:v>Жилет для девочки</x:v>
      </x:c>
      <x:c r="E2454" s="2" t="n">
        <x:v>8</x:v>
      </x:c>
      <x:c r="F2454" s="2" t="n">
        <x:v>0</x:v>
      </x:c>
      <x:c r="G2454" s="12" t="n">
        <x:v>210498.43</x:v>
      </x:c>
      <x:c r="H2454" s="12" t="n">
        <x:v>11994.72879</x:v>
      </x:c>
      <x:c r="I2454" s="13" t="n">
        <x:v>0.0339375</x:v>
      </x:c>
      <x:c r="J2454" s="2" t="n">
        <x:v>3</x:v>
      </x:c>
      <x:c r="K2454" s="2" t="n">
        <x:v>4</x:v>
      </x:c>
      <x:c r="L2454" s="12" t="n">
        <x:v>1046.80145</x:v>
      </x:c>
      <x:c r="M2454" s="13" t="n">
        <x:v>0.6831246199793509</x:v>
      </x:c>
      <x:c r="N2454" s="13" t="n">
        <x:f>H2454/G2454</x:f>
        <x:v>0.05698250951325385</x:v>
      </x:c>
      <x:c r="O2454" s="13" t="n">
        <x:f>F2454/E2454</x:f>
        <x:v>0</x:v>
      </x:c>
      <x:c r="P2454" s="2" t="str">
        <x:f>IF(AND(E2454&gt;='Итоги'!$F$5,N2454&lt;='Итоги'!$B$5,O2454&gt;='Итоги'!$D$5),"Да","Нет")</x:f>
        <x:v>Нет</x:v>
      </x:c>
    </x:row>
    <x:row r="2455" ht="60" customHeight="1">
      <x:c r="A2455" s="14" t="str">
        <x:v>Спорт и отдых</x:v>
      </x:c>
      <x:c r="B2455" s="14" t="str">
        <x:v>Всесезонные виды спорта</x:v>
      </x:c>
      <x:c r="C2455" s="14" t="str">
        <x:v>Баскетбол</x:v>
      </x:c>
      <x:c r="D2455" s="14" t="str">
        <x:v>Мяч для баскетбола</x:v>
      </x:c>
      <x:c r="E2455" s="2" t="n">
        <x:v>34</x:v>
      </x:c>
      <x:c r="F2455" s="2" t="n">
        <x:v>0</x:v>
      </x:c>
      <x:c r="G2455" s="12" t="n">
        <x:v>4935278.122</x:v>
      </x:c>
      <x:c r="H2455" s="12" t="n">
        <x:v>281651.64885762</x:v>
      </x:c>
      <x:c r="I2455" s="13" t="n">
        <x:v>0.0656823529411764</x:v>
      </x:c>
      <x:c r="J2455" s="2" t="n">
        <x:v>2</x:v>
      </x:c>
      <x:c r="K2455" s="2" t="n">
        <x:v>9</x:v>
      </x:c>
      <x:c r="L2455" s="12" t="n">
        <x:v>1542.02135</x:v>
      </x:c>
      <x:c r="M2455" s="13" t="n">
        <x:v>0.6251806519365192</x:v>
      </x:c>
      <x:c r="N2455" s="13" t="n">
        <x:f>H2455/G2455</x:f>
        <x:v>0.05706905302906858</x:v>
      </x:c>
      <x:c r="O2455" s="13" t="n">
        <x:f>F2455/E2455</x:f>
        <x:v>0</x:v>
      </x:c>
      <x:c r="P2455" s="2" t="str">
        <x:f>IF(AND(E2455&gt;='Итоги'!$F$5,N2455&lt;='Итоги'!$B$5,O2455&gt;='Итоги'!$D$5),"Да","Нет")</x:f>
        <x:v>Нет</x:v>
      </x:c>
    </x:row>
    <x:row r="2456" ht="60" customHeight="1">
      <x:c r="A2456" s="14" t="str">
        <x:v>Товары для дома</x:v>
      </x:c>
      <x:c r="B2456" s="14" t="str">
        <x:v>Хранение</x:v>
      </x:c>
      <x:c r="C2456" s="14" t="str">
        <x:v>Товары для хранения</x:v>
      </x:c>
      <x:c r="D2456" s="14" t="str">
        <x:v>Чехол, органайзер для хранения обуви</x:v>
      </x:c>
      <x:c r="E2456" s="2" t="n">
        <x:v>5</x:v>
      </x:c>
      <x:c r="F2456" s="2" t="n">
        <x:v>0</x:v>
      </x:c>
      <x:c r="G2456" s="12" t="n">
        <x:v>560600.5145</x:v>
      </x:c>
      <x:c r="H2456" s="12" t="n">
        <x:v>32002.1884228</x:v>
      </x:c>
      <x:c r="I2456" s="13" t="n">
        <x:v>0.06</x:v>
      </x:c>
      <x:c r="J2456" s="2" t="n">
        <x:v>0</x:v>
      </x:c>
      <x:c r="K2456" s="2" t="n">
        <x:v>3</x:v>
      </x:c>
      <x:c r="L2456" s="12" t="n">
        <x:v>1162.4308</x:v>
      </x:c>
      <x:c r="M2456" s="13" t="n">
        <x:v>0.5427993849977103</x:v>
      </x:c>
      <x:c r="N2456" s="13" t="n">
        <x:f>H2456/G2456</x:f>
        <x:v>0.057085549504610734</x:v>
      </x:c>
      <x:c r="O2456" s="13" t="n">
        <x:f>F2456/E2456</x:f>
        <x:v>0</x:v>
      </x:c>
      <x:c r="P2456" s="2" t="str">
        <x:f>IF(AND(E2456&gt;='Итоги'!$F$5,N2456&lt;='Итоги'!$B$5,O2456&gt;='Итоги'!$D$5),"Да","Нет")</x:f>
        <x:v>Нет</x:v>
      </x:c>
    </x:row>
    <x:row r="2457" ht="60" customHeight="1">
      <x:c r="A2457" s="14" t="str">
        <x:v>Автотовары</x:v>
      </x:c>
      <x:c r="B2457" s="14" t="str">
        <x:v>Авто и мото запчасти</x:v>
      </x:c>
      <x:c r="C2457" s="14" t="str">
        <x:v>Трансмиссия</x:v>
      </x:c>
      <x:c r="D2457" s="14" t="str">
        <x:v>Вал карданный и комплектующие</x:v>
      </x:c>
      <x:c r="E2457" s="2" t="n">
        <x:v>36</x:v>
      </x:c>
      <x:c r="F2457" s="2" t="n">
        <x:v>0</x:v>
      </x:c>
      <x:c r="G2457" s="12" t="n">
        <x:v>4547199.1078</x:v>
      </x:c>
      <x:c r="H2457" s="12" t="n">
        <x:v>259611.94636846</x:v>
      </x:c>
      <x:c r="I2457" s="13" t="n">
        <x:v>0.0561638888888888</x:v>
      </x:c>
      <x:c r="J2457" s="2" t="n">
        <x:v>14</x:v>
      </x:c>
      <x:c r="K2457" s="2" t="n">
        <x:v>9</x:v>
      </x:c>
      <x:c r="L2457" s="12" t="n">
        <x:v>4263.85235</x:v>
      </x:c>
      <x:c r="M2457" s="13" t="n">
        <x:v>0.337313092661581</x:v>
      </x:c>
      <x:c r="N2457" s="13" t="n">
        <x:f>H2457/G2457</x:f>
        <x:v>0.057092715804578864</x:v>
      </x:c>
      <x:c r="O2457" s="13" t="n">
        <x:f>F2457/E2457</x:f>
        <x:v>0</x:v>
      </x:c>
      <x:c r="P2457" s="2" t="str">
        <x:f>IF(AND(E2457&gt;='Итоги'!$F$5,N2457&lt;='Итоги'!$B$5,O2457&gt;='Итоги'!$D$5),"Да","Нет")</x:f>
        <x:v>Нет</x:v>
      </x:c>
    </x:row>
    <x:row r="2458" ht="60" customHeight="1">
      <x:c r="A2458" s="14" t="str">
        <x:v>Строительство и ремонт (DIY)</x:v>
      </x:c>
      <x:c r="B2458" s="14" t="str">
        <x:v>Ремонт и строительство</x:v>
      </x:c>
      <x:c r="C2458" s="14" t="str">
        <x:v>Скобяные изделия</x:v>
      </x:c>
      <x:c r="D2458" s="14" t="str">
        <x:v>Перфорированный крепеж</x:v>
      </x:c>
      <x:c r="E2458" s="2" t="n">
        <x:v>41</x:v>
      </x:c>
      <x:c r="F2458" s="2" t="n">
        <x:v>0</x:v>
      </x:c>
      <x:c r="G2458" s="12" t="n">
        <x:v>9874861.0292</x:v>
      </x:c>
      <x:c r="H2458" s="12" t="n">
        <x:v>565430.50451248</x:v>
      </x:c>
      <x:c r="I2458" s="13" t="n">
        <x:v>0.0550097560975609</x:v>
      </x:c>
      <x:c r="J2458" s="2" t="n">
        <x:v>5</x:v>
      </x:c>
      <x:c r="K2458" s="2" t="n">
        <x:v>9</x:v>
      </x:c>
      <x:c r="L2458" s="12" t="n">
        <x:v>1543</x:v>
      </x:c>
      <x:c r="M2458" s="13" t="n">
        <x:v>0.6839301783720538</x:v>
      </x:c>
      <x:c r="N2458" s="13" t="n">
        <x:f>H2458/G2458</x:f>
        <x:v>0.05725959108087698</x:v>
      </x:c>
      <x:c r="O2458" s="13" t="n">
        <x:f>F2458/E2458</x:f>
        <x:v>0</x:v>
      </x:c>
      <x:c r="P2458" s="2" t="str">
        <x:f>IF(AND(E2458&gt;='Итоги'!$F$5,N2458&lt;='Итоги'!$B$5,O2458&gt;='Итоги'!$D$5),"Да","Нет")</x:f>
        <x:v>Нет</x:v>
      </x:c>
    </x:row>
    <x:row r="2459" ht="60" customHeight="1">
      <x:c r="A2459" s="14" t="str">
        <x:v>Аксессуары</x:v>
      </x:c>
      <x:c r="B2459" s="14" t="str">
        <x:v>Ювелирные изделия</x:v>
      </x:c>
      <x:c r="C2459" s="14" t="str">
        <x:v>Браслет ювелирный</x:v>
      </x:c>
      <x:c r="D2459" s="14" t="str">
        <x:v>Серебро браслет</x:v>
      </x:c>
      <x:c r="E2459" s="2" t="n">
        <x:v>141</x:v>
      </x:c>
      <x:c r="F2459" s="2" t="n">
        <x:v>0</x:v>
      </x:c>
      <x:c r="G2459" s="12" t="n">
        <x:v>12333305.6</x:v>
      </x:c>
      <x:c r="H2459" s="12" t="n">
        <x:v>706629.756697</x:v>
      </x:c>
      <x:c r="I2459" s="13" t="n">
        <x:v>0.0642170212765957</x:v>
      </x:c>
      <x:c r="J2459" s="2" t="n">
        <x:v>49</x:v>
      </x:c>
      <x:c r="K2459" s="2" t="n">
        <x:v>14</x:v>
      </x:c>
      <x:c r="L2459" s="12" t="n">
        <x:v>3366.2059</x:v>
      </x:c>
      <x:c r="M2459" s="13" t="n">
        <x:v>0.9264497783951774</x:v>
      </x:c>
      <x:c r="N2459" s="13" t="n">
        <x:f>H2459/G2459</x:f>
        <x:v>0.057294433432104365</x:v>
      </x:c>
      <x:c r="O2459" s="13" t="n">
        <x:f>F2459/E2459</x:f>
        <x:v>0</x:v>
      </x:c>
      <x:c r="P2459" s="2" t="str">
        <x:f>IF(AND(E2459&gt;='Итоги'!$F$5,N2459&lt;='Итоги'!$B$5,O2459&gt;='Итоги'!$D$5),"Да","Нет")</x:f>
        <x:v>Нет</x:v>
      </x:c>
    </x:row>
    <x:row r="2460" ht="60" customHeight="1">
      <x:c r="A2460" s="14" t="str">
        <x:v>Мелкая бытовая техника</x:v>
      </x:c>
      <x:c r="B2460" s="14" t="str">
        <x:v>Мелкая бытовая техника SDA</x:v>
      </x:c>
      <x:c r="C2460" s="14" t="str">
        <x:v>Электронная кухонная техника SDA</x:v>
      </x:c>
      <x:c r="D2460" s="14" t="str">
        <x:v>Весы электронные профессиональные</x:v>
      </x:c>
      <x:c r="E2460" s="2" t="n">
        <x:v>72</x:v>
      </x:c>
      <x:c r="F2460" s="2" t="n">
        <x:v>0</x:v>
      </x:c>
      <x:c r="G2460" s="12" t="n">
        <x:v>13134007.7168</x:v>
      </x:c>
      <x:c r="H2460" s="12" t="n">
        <x:v>753291.94813084</x:v>
      </x:c>
      <x:c r="I2460" s="13" t="n">
        <x:v>0.0423458333333333</x:v>
      </x:c>
      <x:c r="J2460" s="2" t="n">
        <x:v>24</x:v>
      </x:c>
      <x:c r="K2460" s="2" t="n">
        <x:v>20</x:v>
      </x:c>
      <x:c r="L2460" s="12" t="n">
        <x:v>4204.2673</x:v>
      </x:c>
      <x:c r="M2460" s="13" t="n">
        <x:v>0.7363200096517244</x:v>
      </x:c>
      <x:c r="N2460" s="13" t="n">
        <x:f>H2460/G2460</x:f>
        <x:v>0.05735430984765507</x:v>
      </x:c>
      <x:c r="O2460" s="13" t="n">
        <x:f>F2460/E2460</x:f>
        <x:v>0</x:v>
      </x:c>
      <x:c r="P2460" s="2" t="str">
        <x:f>IF(AND(E2460&gt;='Итоги'!$F$5,N2460&lt;='Итоги'!$B$5,O2460&gt;='Итоги'!$D$5),"Да","Нет")</x:f>
        <x:v>Нет</x:v>
      </x:c>
    </x:row>
    <x:row r="2461" ht="60" customHeight="1">
      <x:c r="A2461" s="14" t="str">
        <x:v>Строительство и ремонт (DIY)</x:v>
      </x:c>
      <x:c r="B2461" s="14" t="str">
        <x:v>Фильтры для воды</x:v>
      </x:c>
      <x:c r="C2461" s="14" t="str">
        <x:v>Фильтры для воды</x:v>
      </x:c>
      <x:c r="D2461" s="14" t="str">
        <x:v>Фильтр насадка для воды</x:v>
      </x:c>
      <x:c r="E2461" s="2" t="n">
        <x:v>4</x:v>
      </x:c>
      <x:c r="F2461" s="2" t="n">
        <x:v>0</x:v>
      </x:c>
      <x:c r="G2461" s="12" t="n">
        <x:v>562967.3263</x:v>
      </x:c>
      <x:c r="H2461" s="12" t="n">
        <x:v>32293.23263434</x:v>
      </x:c>
      <x:c r="I2461" s="13" t="n">
        <x:v>0.068325</x:v>
      </x:c>
      <x:c r="J2461" s="2" t="n">
        <x:v>1</x:v>
      </x:c>
      <x:c r="K2461" s="2" t="n">
        <x:v>4</x:v>
      </x:c>
      <x:c r="L2461" s="12" t="n">
        <x:v>1150.8000000000002</x:v>
      </x:c>
      <x:c r="M2461" s="13" t="n">
        <x:v>0.4086713548938693</x:v>
      </x:c>
      <x:c r="N2461" s="13" t="n">
        <x:f>H2461/G2461</x:f>
        <x:v>0.05736253442376732</x:v>
      </x:c>
      <x:c r="O2461" s="13" t="n">
        <x:f>F2461/E2461</x:f>
        <x:v>0</x:v>
      </x:c>
      <x:c r="P2461" s="2" t="str">
        <x:f>IF(AND(E2461&gt;='Итоги'!$F$5,N2461&lt;='Итоги'!$B$5,O2461&gt;='Итоги'!$D$5),"Да","Нет")</x:f>
        <x:v>Нет</x:v>
      </x:c>
    </x:row>
    <x:row r="2462" ht="60" customHeight="1">
      <x:c r="A2462" s="14" t="str">
        <x:v>Товары для детей и спорта</x:v>
      </x:c>
      <x:c r="B2462" s="14" t="str">
        <x:v>Спорт детский</x:v>
      </x:c>
      <x:c r="C2462" s="14" t="str">
        <x:v>Товары для плаванья и бассейны детские</x:v>
      </x:c>
      <x:c r="D2462" s="14" t="str">
        <x:v>Надувной круг с максимальной нагрузкой до 60 кг</x:v>
      </x:c>
      <x:c r="E2462" s="2" t="n">
        <x:v>9</x:v>
      </x:c>
      <x:c r="F2462" s="2" t="n">
        <x:v>0</x:v>
      </x:c>
      <x:c r="G2462" s="12" t="n">
        <x:v>1072885.6916</x:v>
      </x:c>
      <x:c r="H2462" s="12" t="n">
        <x:v>61556.378395060005</x:v>
      </x:c>
      <x:c r="I2462" s="13" t="n">
        <x:v>0.0611222222222222</x:v>
      </x:c>
      <x:c r="J2462" s="2" t="n">
        <x:v>1</x:v>
      </x:c>
      <x:c r="K2462" s="2" t="n">
        <x:v>5</x:v>
      </x:c>
      <x:c r="L2462" s="12" t="n">
        <x:v>1867.8483</x:v>
      </x:c>
      <x:c r="M2462" s="13" t="n">
        <x:v>0.574309011970423</x:v>
      </x:c>
      <x:c r="N2462" s="13" t="n">
        <x:f>H2462/G2462</x:f>
        <x:v>0.05737459160561705</x:v>
      </x:c>
      <x:c r="O2462" s="13" t="n">
        <x:f>F2462/E2462</x:f>
        <x:v>0</x:v>
      </x:c>
      <x:c r="P2462" s="2" t="str">
        <x:f>IF(AND(E2462&gt;='Итоги'!$F$5,N2462&lt;='Итоги'!$B$5,O2462&gt;='Итоги'!$D$5),"Да","Нет")</x:f>
        <x:v>Нет</x:v>
      </x:c>
    </x:row>
    <x:row r="2463" ht="60" customHeight="1">
      <x:c r="A2463" s="14" t="str">
        <x:v>Аптека</x:v>
      </x:c>
      <x:c r="B2463" s="14" t="str">
        <x:v>Спортивное питание</x:v>
      </x:c>
      <x:c r="C2463" s="14" t="str">
        <x:v>Спортивные энергетики</x:v>
      </x:c>
      <x:c r="D2463" s="14" t="str">
        <x:v>Спортивный энергетик</x:v>
      </x:c>
      <x:c r="E2463" s="2" t="n">
        <x:v>23</x:v>
      </x:c>
      <x:c r="F2463" s="2" t="n">
        <x:v>0</x:v>
      </x:c>
      <x:c r="G2463" s="12" t="n">
        <x:v>4116650.3067</x:v>
      </x:c>
      <x:c r="H2463" s="12" t="n">
        <x:v>236396.95585588</x:v>
      </x:c>
      <x:c r="I2463" s="13" t="n">
        <x:v>0.0615739130434782</x:v>
      </x:c>
      <x:c r="J2463" s="2" t="n">
        <x:v>3</x:v>
      </x:c>
      <x:c r="K2463" s="2" t="n">
        <x:v>4</x:v>
      </x:c>
      <x:c r="L2463" s="12" t="n">
        <x:v>1361.9327</x:v>
      </x:c>
      <x:c r="M2463" s="13" t="n">
        <x:v>0.8732643376701511</x:v>
      </x:c>
      <x:c r="N2463" s="13" t="n">
        <x:f>H2463/G2463</x:f>
        <x:v>0.05742458995633786</x:v>
      </x:c>
      <x:c r="O2463" s="13" t="n">
        <x:f>F2463/E2463</x:f>
        <x:v>0</x:v>
      </x:c>
      <x:c r="P2463" s="2" t="str">
        <x:f>IF(AND(E2463&gt;='Итоги'!$F$5,N2463&lt;='Итоги'!$B$5,O2463&gt;='Итоги'!$D$5),"Да","Нет")</x:f>
        <x:v>Нет</x:v>
      </x:c>
    </x:row>
    <x:row r="2464" ht="60" customHeight="1">
      <x:c r="A2464" s="14" t="str">
        <x:v>Товары для детей и спорта</x:v>
      </x:c>
      <x:c r="B2464" s="14" t="str">
        <x:v>Текстиль детский</x:v>
      </x:c>
      <x:c r="C2464" s="14" t="str">
        <x:v>Переноска детей и аксессуары для кормления</x:v>
      </x:c>
      <x:c r="D2464" s="14" t="str">
        <x:v>Хипсит для переноски детей</x:v>
      </x:c>
      <x:c r="E2464" s="2" t="n">
        <x:v>5</x:v>
      </x:c>
      <x:c r="F2464" s="2" t="n">
        <x:v>0</x:v>
      </x:c>
      <x:c r="G2464" s="12" t="n">
        <x:v>634186.65</x:v>
      </x:c>
      <x:c r="H2464" s="12" t="n">
        <x:v>36425.751132</x:v>
      </x:c>
      <x:c r="I2464" s="13" t="n">
        <x:v>0.05978</x:v>
      </x:c>
      <x:c r="J2464" s="2" t="n">
        <x:v>0</x:v>
      </x:c>
      <x:c r="K2464" s="2" t="n">
        <x:v>3</x:v>
      </x:c>
      <x:c r="L2464" s="12" t="n">
        <x:v>1570.1787</x:v>
      </x:c>
      <x:c r="M2464" s="13" t="n">
        <x:v>0.4914793617935666</x:v>
      </x:c>
      <x:c r="N2464" s="13" t="n">
        <x:f>H2464/G2464</x:f>
        <x:v>0.05743695666252198</x:v>
      </x:c>
      <x:c r="O2464" s="13" t="n">
        <x:f>F2464/E2464</x:f>
        <x:v>0</x:v>
      </x:c>
      <x:c r="P2464" s="2" t="str">
        <x:f>IF(AND(E2464&gt;='Итоги'!$F$5,N2464&lt;='Итоги'!$B$5,O2464&gt;='Итоги'!$D$5),"Да","Нет")</x:f>
        <x:v>Нет</x:v>
      </x:c>
    </x:row>
    <x:row r="2465" ht="60" customHeight="1">
      <x:c r="A2465" s="14" t="str">
        <x:v>Аптека</x:v>
      </x:c>
      <x:c r="B2465" s="14" t="str">
        <x:v>Спортивное питание</x:v>
      </x:c>
      <x:c r="C2465" s="14" t="str">
        <x:v>Витаминно-минеральные комплексы спортивные</x:v>
      </x:c>
      <x:c r="D2465" s="14" t="str">
        <x:v>Витаминно-минеральный комплекс спортивный</x:v>
      </x:c>
      <x:c r="E2465" s="2" t="n">
        <x:v>160</x:v>
      </x:c>
      <x:c r="F2465" s="2" t="n">
        <x:v>0</x:v>
      </x:c>
      <x:c r="G2465" s="12" t="n">
        <x:v>23032561.4939</x:v>
      </x:c>
      <x:c r="H2465" s="12" t="n">
        <x:v>1323382.76627427</x:v>
      </x:c>
      <x:c r="I2465" s="13" t="n">
        <x:v>0.0484225</x:v>
      </x:c>
      <x:c r="J2465" s="2" t="n">
        <x:v>76</x:v>
      </x:c>
      <x:c r="K2465" s="2" t="n">
        <x:v>39</x:v>
      </x:c>
      <x:c r="L2465" s="12" t="n">
        <x:v>2082.95255</x:v>
      </x:c>
      <x:c r="M2465" s="13" t="n">
        <x:v>0.5230347766960488</x:v>
      </x:c>
      <x:c r="N2465" s="13" t="n">
        <x:f>H2465/G2465</x:f>
        <x:v>0.05745703822932407</x:v>
      </x:c>
      <x:c r="O2465" s="13" t="n">
        <x:f>F2465/E2465</x:f>
        <x:v>0</x:v>
      </x:c>
      <x:c r="P2465" s="2" t="str">
        <x:f>IF(AND(E2465&gt;='Итоги'!$F$5,N2465&lt;='Итоги'!$B$5,O2465&gt;='Итоги'!$D$5),"Да","Нет")</x:f>
        <x:v>Нет</x:v>
      </x:c>
    </x:row>
    <x:row r="2466" ht="60" customHeight="1">
      <x:c r="A2466" s="14" t="str">
        <x:v>Детская одежда</x:v>
      </x:c>
      <x:c r="B2466" s="14" t="str">
        <x:v>Детская одежда</x:v>
      </x:c>
      <x:c r="C2466" s="14" t="str">
        <x:v>Одежда для девочки</x:v>
      </x:c>
      <x:c r="D2466" s="14" t="str">
        <x:v>Джинсы для девочки</x:v>
      </x:c>
      <x:c r="E2466" s="2" t="n">
        <x:v>49</x:v>
      </x:c>
      <x:c r="F2466" s="2" t="n">
        <x:v>0</x:v>
      </x:c>
      <x:c r="G2466" s="12" t="n">
        <x:v>2177383.0266</x:v>
      </x:c>
      <x:c r="H2466" s="12" t="n">
        <x:v>125178.38428815</x:v>
      </x:c>
      <x:c r="I2466" s="13" t="n">
        <x:v>0.0252632653061224</x:v>
      </x:c>
      <x:c r="J2466" s="2" t="n">
        <x:v>34</x:v>
      </x:c>
      <x:c r="K2466" s="2" t="n">
        <x:v>5</x:v>
      </x:c>
      <x:c r="L2466" s="12" t="n">
        <x:v>1212.6</x:v>
      </x:c>
      <x:c r="M2466" s="13" t="n">
        <x:v>0.5130394797117226</x:v>
      </x:c>
      <x:c r="N2466" s="13" t="n">
        <x:f>H2466/G2466</x:f>
        <x:v>0.05749029121606454</x:v>
      </x:c>
      <x:c r="O2466" s="13" t="n">
        <x:f>F2466/E2466</x:f>
        <x:v>0</x:v>
      </x:c>
      <x:c r="P2466" s="2" t="str">
        <x:f>IF(AND(E2466&gt;='Итоги'!$F$5,N2466&lt;='Итоги'!$B$5,O2466&gt;='Итоги'!$D$5),"Да","Нет")</x:f>
        <x:v>Нет</x:v>
      </x:c>
    </x:row>
    <x:row r="2467" ht="60" customHeight="1">
      <x:c r="A2467" s="14" t="str">
        <x:v>Игрушки</x:v>
      </x:c>
      <x:c r="B2467" s="14" t="str">
        <x:v>Игрушки</x:v>
      </x:c>
      <x:c r="C2467" s="14" t="str">
        <x:v>Куклы и аксессуары</x:v>
      </x:c>
      <x:c r="D2467" s="14" t="str">
        <x:v>Кукла</x:v>
      </x:c>
      <x:c r="E2467" s="2" t="n">
        <x:v>143</x:v>
      </x:c>
      <x:c r="F2467" s="2" t="n">
        <x:v>0</x:v>
      </x:c>
      <x:c r="G2467" s="12" t="n">
        <x:v>13648394.9479</x:v>
      </x:c>
      <x:c r="H2467" s="12" t="n">
        <x:v>785135.81044674</x:v>
      </x:c>
      <x:c r="I2467" s="13" t="n">
        <x:v>0.0551237762237762</x:v>
      </x:c>
      <x:c r="J2467" s="2" t="n">
        <x:v>58</x:v>
      </x:c>
      <x:c r="K2467" s="2" t="n">
        <x:v>34</x:v>
      </x:c>
      <x:c r="L2467" s="12" t="n">
        <x:v>2626.5</x:v>
      </x:c>
      <x:c r="M2467" s="13" t="n">
        <x:v>0.5555338919589677</x:v>
      </x:c>
      <x:c r="N2467" s="13" t="n">
        <x:f>H2467/G2467</x:f>
        <x:v>0.05752587124301707</x:v>
      </x:c>
      <x:c r="O2467" s="13" t="n">
        <x:f>F2467/E2467</x:f>
        <x:v>0</x:v>
      </x:c>
      <x:c r="P2467" s="2" t="str">
        <x:f>IF(AND(E2467&gt;='Итоги'!$F$5,N2467&lt;='Итоги'!$B$5,O2467&gt;='Итоги'!$D$5),"Да","Нет")</x:f>
        <x:v>Нет</x:v>
      </x:c>
    </x:row>
    <x:row r="2468" ht="60" customHeight="1">
      <x:c r="A2468" s="14" t="str">
        <x:v>Одежда</x:v>
      </x:c>
      <x:c r="B2468" s="14" t="str">
        <x:v>Основная одежда женская</x:v>
      </x:c>
      <x:c r="C2468" s="14" t="str">
        <x:v>Спортивная основная одежда женская низы</x:v>
      </x:c>
      <x:c r="D2468" s="14" t="str">
        <x:v>Спортивные тайтсы женские</x:v>
      </x:c>
      <x:c r="E2468" s="2" t="n">
        <x:v>22</x:v>
      </x:c>
      <x:c r="F2468" s="2" t="n">
        <x:v>0</x:v>
      </x:c>
      <x:c r="G2468" s="12" t="n">
        <x:v>2067161.0191</x:v>
      </x:c>
      <x:c r="H2468" s="12" t="n">
        <x:v>119009.1085047</x:v>
      </x:c>
      <x:c r="I2468" s="13" t="n">
        <x:v>0.0423</x:v>
      </x:c>
      <x:c r="J2468" s="2" t="n">
        <x:v>13</x:v>
      </x:c>
      <x:c r="K2468" s="2" t="n">
        <x:v>4</x:v>
      </x:c>
      <x:c r="L2468" s="12" t="n">
        <x:v>1450.3245</x:v>
      </x:c>
      <x:c r="M2468" s="13" t="n">
        <x:v>0.3956664953251197</x:v>
      </x:c>
      <x:c r="N2468" s="13" t="n">
        <x:f>H2468/G2468</x:f>
        <x:v>0.05757128129114691</x:v>
      </x:c>
      <x:c r="O2468" s="13" t="n">
        <x:f>F2468/E2468</x:f>
        <x:v>0</x:v>
      </x:c>
      <x:c r="P2468" s="2" t="str">
        <x:f>IF(AND(E2468&gt;='Итоги'!$F$5,N2468&lt;='Итоги'!$B$5,O2468&gt;='Итоги'!$D$5),"Да","Нет")</x:f>
        <x:v>Нет</x:v>
      </x:c>
    </x:row>
    <x:row r="2469" ht="60" customHeight="1">
      <x:c r="A2469" s="14" t="str">
        <x:v>Товары для животных</x:v>
      </x:c>
      <x:c r="B2469" s="14" t="str">
        <x:v>Фермерское хозяйство - Оборудование для птицеводства и животноводства</x:v>
      </x:c>
      <x:c r="C2469" s="14" t="str">
        <x:v>Электропастухи и комплектующие</x:v>
      </x:c>
      <x:c r="D2469" s="14" t="str">
        <x:v>Электропастух</x:v>
      </x:c>
      <x:c r="E2469" s="2" t="n">
        <x:v>8</x:v>
      </x:c>
      <x:c r="F2469" s="2" t="n">
        <x:v>0</x:v>
      </x:c>
      <x:c r="G2469" s="12" t="n">
        <x:v>1462036.9921</x:v>
      </x:c>
      <x:c r="H2469" s="12" t="n">
        <x:v>84173.60430045001</x:v>
      </x:c>
      <x:c r="I2469" s="13" t="n">
        <x:v>0.0534624999999999</x:v>
      </x:c>
      <x:c r="J2469" s="2" t="n">
        <x:v>3</x:v>
      </x:c>
      <x:c r="K2469" s="2" t="n">
        <x:v>6</x:v>
      </x:c>
      <x:c r="L2469" s="12" t="n">
        <x:v>5691.3831</x:v>
      </x:c>
      <x:c r="M2469" s="13" t="n">
        <x:v>0.3254021632630892</x:v>
      </x:c>
      <x:c r="N2469" s="13" t="n">
        <x:f>H2469/G2469</x:f>
        <x:v>0.057572828016852755</x:v>
      </x:c>
      <x:c r="O2469" s="13" t="n">
        <x:f>F2469/E2469</x:f>
        <x:v>0</x:v>
      </x:c>
      <x:c r="P2469" s="2" t="str">
        <x:f>IF(AND(E2469&gt;='Итоги'!$F$5,N2469&lt;='Итоги'!$B$5,O2469&gt;='Итоги'!$D$5),"Да","Нет")</x:f>
        <x:v>Нет</x:v>
      </x:c>
    </x:row>
    <x:row r="2470" ht="60" customHeight="1">
      <x:c r="A2470" s="14" t="str">
        <x:v>Спорт и отдых</x:v>
      </x:c>
      <x:c r="B2470" s="14" t="str">
        <x:v>Колесный транспорт</x:v>
      </x:c>
      <x:c r="C2470" s="14" t="str">
        <x:v>Экипировка для велоспорта</x:v>
      </x:c>
      <x:c r="D2470" s="14" t="str">
        <x:v>Маски/очки для велоспорта</x:v>
      </x:c>
      <x:c r="E2470" s="2" t="n">
        <x:v>12</x:v>
      </x:c>
      <x:c r="F2470" s="2" t="n">
        <x:v>0</x:v>
      </x:c>
      <x:c r="G2470" s="12" t="n">
        <x:v>1767895.8999</x:v>
      </x:c>
      <x:c r="H2470" s="12" t="n">
        <x:v>101788.23960764</x:v>
      </x:c>
      <x:c r="I2470" s="13" t="n">
        <x:v>0.0610416666666666</x:v>
      </x:c>
      <x:c r="J2470" s="2" t="n">
        <x:v>2</x:v>
      </x:c>
      <x:c r="K2470" s="2" t="n">
        <x:v>5</x:v>
      </x:c>
      <x:c r="L2470" s="12" t="n">
        <x:v>1060.4348</x:v>
      </x:c>
      <x:c r="M2470" s="13" t="n">
        <x:v>0.7237584062344258</x:v>
      </x:c>
      <x:c r="N2470" s="13" t="n">
        <x:f>H2470/G2470</x:f>
        <x:v>0.05757592379358852</x:v>
      </x:c>
      <x:c r="O2470" s="13" t="n">
        <x:f>F2470/E2470</x:f>
        <x:v>0</x:v>
      </x:c>
      <x:c r="P2470" s="2" t="str">
        <x:f>IF(AND(E2470&gt;='Итоги'!$F$5,N2470&lt;='Итоги'!$B$5,O2470&gt;='Итоги'!$D$5),"Да","Нет")</x:f>
        <x:v>Нет</x:v>
      </x:c>
    </x:row>
    <x:row r="2471" ht="60" customHeight="1">
      <x:c r="A2471" s="14" t="str">
        <x:v>Товары для дома</x:v>
      </x:c>
      <x:c r="B2471" s="14" t="str">
        <x:v>Аксессуары для уборки и стирки</x:v>
      </x:c>
      <x:c r="C2471" s="14" t="str">
        <x:v>HoReCa</x:v>
      </x:c>
      <x:c r="D2471" s="14" t="str">
        <x:v>Упаковка из гофрокартона</x:v>
      </x:c>
      <x:c r="E2471" s="2" t="n">
        <x:v>8</x:v>
      </x:c>
      <x:c r="F2471" s="2" t="n">
        <x:v>0</x:v>
      </x:c>
      <x:c r="G2471" s="12" t="n">
        <x:v>949772.2014</x:v>
      </x:c>
      <x:c r="H2471" s="12" t="n">
        <x:v>54737.037536200005</x:v>
      </x:c>
      <x:c r="I2471" s="13" t="n">
        <x:v>0.068225</x:v>
      </x:c>
      <x:c r="J2471" s="2" t="n">
        <x:v>2</x:v>
      </x:c>
      <x:c r="K2471" s="2" t="n">
        <x:v>5</x:v>
      </x:c>
      <x:c r="L2471" s="12" t="n">
        <x:v>1437.7578</x:v>
      </x:c>
      <x:c r="M2471" s="13" t="n">
        <x:v>0.2699681365932216</x:v>
      </x:c>
      <x:c r="N2471" s="13" t="n">
        <x:f>H2471/G2471</x:f>
        <x:v>0.05763175365157619</x:v>
      </x:c>
      <x:c r="O2471" s="13" t="n">
        <x:f>F2471/E2471</x:f>
        <x:v>0</x:v>
      </x:c>
      <x:c r="P2471" s="2" t="str">
        <x:f>IF(AND(E2471&gt;='Итоги'!$F$5,N2471&lt;='Итоги'!$B$5,O2471&gt;='Итоги'!$D$5),"Да","Нет")</x:f>
        <x:v>Нет</x:v>
      </x:c>
    </x:row>
    <x:row r="2472" ht="60" customHeight="1">
      <x:c r="A2472" s="14" t="str">
        <x:v>Спорт и отдых</x:v>
      </x:c>
      <x:c r="B2472" s="14" t="str">
        <x:v>Всесезонные виды спорта</x:v>
      </x:c>
      <x:c r="C2472" s="14" t="str">
        <x:v>Конный спорт</x:v>
      </x:c>
      <x:c r="D2472" s="14" t="str">
        <x:v>Обувь для всадника</x:v>
      </x:c>
      <x:c r="E2472" s="2" t="n">
        <x:v>5</x:v>
      </x:c>
      <x:c r="F2472" s="2" t="n">
        <x:v>0</x:v>
      </x:c>
      <x:c r="G2472" s="12" t="n">
        <x:v>217894.48</x:v>
      </x:c>
      <x:c r="H2472" s="12" t="n">
        <x:v>12558.603115</x:v>
      </x:c>
      <x:c r="I2472" s="13" t="n">
        <x:v>0.0941999999999999</x:v>
      </x:c>
      <x:c r="J2472" s="2" t="n">
        <x:v>2</x:v>
      </x:c>
      <x:c r="K2472" s="2" t="n">
        <x:v>4</x:v>
      </x:c>
      <x:c r="L2472" s="12" t="n">
        <x:v>3970</x:v>
      </x:c>
      <x:c r="M2472" s="13" t="n">
        <x:v>0.8900568752361234</x:v>
      </x:c>
      <x:c r="N2472" s="13" t="n">
        <x:f>H2472/G2472</x:f>
        <x:v>0.057636169190701844</x:v>
      </x:c>
      <x:c r="O2472" s="13" t="n">
        <x:f>F2472/E2472</x:f>
        <x:v>0</x:v>
      </x:c>
      <x:c r="P2472" s="2" t="str">
        <x:f>IF(AND(E2472&gt;='Итоги'!$F$5,N2472&lt;='Итоги'!$B$5,O2472&gt;='Итоги'!$D$5),"Да","Нет")</x:f>
        <x:v>Нет</x:v>
      </x:c>
    </x:row>
    <x:row r="2473" ht="60" customHeight="1">
      <x:c r="A2473" s="14" t="str">
        <x:v>Строительство и ремонт (DIY)</x:v>
      </x:c>
      <x:c r="B2473" s="14" t="str">
        <x:v>Ремонт и строительство</x:v>
      </x:c>
      <x:c r="C2473" s="14" t="str">
        <x:v>Стройматериалы</x:v>
      </x:c>
      <x:c r="D2473" s="14" t="str">
        <x:v>Лестница</x:v>
      </x:c>
      <x:c r="E2473" s="2" t="n">
        <x:v>18</x:v>
      </x:c>
      <x:c r="F2473" s="2" t="n">
        <x:v>0</x:v>
      </x:c>
      <x:c r="G2473" s="12" t="n">
        <x:v>5216669.3209</x:v>
      </x:c>
      <x:c r="H2473" s="12" t="n">
        <x:v>300676.92554151</x:v>
      </x:c>
      <x:c r="I2473" s="13" t="n">
        <x:v>0.0585444444444444</x:v>
      </x:c>
      <x:c r="J2473" s="2" t="n">
        <x:v>3</x:v>
      </x:c>
      <x:c r="K2473" s="2" t="n">
        <x:v>3</x:v>
      </x:c>
      <x:c r="L2473" s="12" t="n">
        <x:v>13895.16665</x:v>
      </x:c>
      <x:c r="M2473" s="13" t="n">
        <x:v>0.5679336407485495</x:v>
      </x:c>
      <x:c r="N2473" s="13" t="n">
        <x:f>H2473/G2473</x:f>
        <x:v>0.057637719979083527</x:v>
      </x:c>
      <x:c r="O2473" s="13" t="n">
        <x:f>F2473/E2473</x:f>
        <x:v>0</x:v>
      </x:c>
      <x:c r="P2473" s="2" t="str">
        <x:f>IF(AND(E2473&gt;='Итоги'!$F$5,N2473&lt;='Итоги'!$B$5,O2473&gt;='Итоги'!$D$5),"Да","Нет")</x:f>
        <x:v>Нет</x:v>
      </x:c>
    </x:row>
    <x:row r="2474" ht="60" customHeight="1">
      <x:c r="A2474" s="14" t="str">
        <x:v>Аксессуары для электроники</x:v>
      </x:c>
      <x:c r="B2474" s="14" t="str">
        <x:v>Электропитание Access</x:v>
      </x:c>
      <x:c r="C2474" s="14" t="str">
        <x:v>Кабели и переходники Access</x:v>
      </x:c>
      <x:c r="D2474" s="14" t="str">
        <x:v>Тестер кабельный</x:v>
      </x:c>
      <x:c r="E2474" s="2" t="n">
        <x:v>7</x:v>
      </x:c>
      <x:c r="F2474" s="2" t="n">
        <x:v>0</x:v>
      </x:c>
      <x:c r="G2474" s="12" t="n">
        <x:v>953144.5315</x:v>
      </x:c>
      <x:c r="H2474" s="12" t="n">
        <x:v>55008.6452623</x:v>
      </x:c>
      <x:c r="I2474" s="13" t="n">
        <x:v>0.0401</x:v>
      </x:c>
      <x:c r="J2474" s="2" t="n">
        <x:v>3</x:v>
      </x:c>
      <x:c r="K2474" s="2" t="n">
        <x:v>5</x:v>
      </x:c>
      <x:c r="L2474" s="12" t="n">
        <x:v>5433.15</x:v>
      </x:c>
      <x:c r="M2474" s="13" t="n">
        <x:v>0.4201382232868636</x:v>
      </x:c>
      <x:c r="N2474" s="13" t="n">
        <x:f>H2474/G2474</x:f>
        <x:v>0.05771280581732006</x:v>
      </x:c>
      <x:c r="O2474" s="13" t="n">
        <x:f>F2474/E2474</x:f>
        <x:v>0</x:v>
      </x:c>
      <x:c r="P2474" s="2" t="str">
        <x:f>IF(AND(E2474&gt;='Итоги'!$F$5,N2474&lt;='Итоги'!$B$5,O2474&gt;='Итоги'!$D$5),"Да","Нет")</x:f>
        <x:v>Нет</x:v>
      </x:c>
    </x:row>
    <x:row r="2475" ht="60" customHeight="1">
      <x:c r="A2475" s="14" t="str">
        <x:v>Спорт и отдых</x:v>
      </x:c>
      <x:c r="B2475" s="14" t="str">
        <x:v>Страйкбол и пневматика</x:v>
      </x:c>
      <x:c r="C2475" s="14" t="str">
        <x:v>Точные виды спорта</x:v>
      </x:c>
      <x:c r="D2475" s="14" t="str">
        <x:v>Арбалет, рогатка</x:v>
      </x:c>
      <x:c r="E2475" s="2" t="n">
        <x:v>39</x:v>
      </x:c>
      <x:c r="F2475" s="2" t="n">
        <x:v>0</x:v>
      </x:c>
      <x:c r="G2475" s="12" t="n">
        <x:v>6745528.265</x:v>
      </x:c>
      <x:c r="H2475" s="12" t="n">
        <x:v>389391.5233297</x:v>
      </x:c>
      <x:c r="I2475" s="13" t="n">
        <x:v>0.0691974358974359</x:v>
      </x:c>
      <x:c r="J2475" s="2" t="n">
        <x:v>6</x:v>
      </x:c>
      <x:c r="K2475" s="2" t="n">
        <x:v>9</x:v>
      </x:c>
      <x:c r="L2475" s="12" t="n">
        <x:v>3526.12</x:v>
      </x:c>
      <x:c r="M2475" s="13" t="n">
        <x:v>0.5134774205560311</x:v>
      </x:c>
      <x:c r="N2475" s="13" t="n">
        <x:f>H2475/G2475</x:f>
        <x:v>0.057725875280977716</x:v>
      </x:c>
      <x:c r="O2475" s="13" t="n">
        <x:f>F2475/E2475</x:f>
        <x:v>0</x:v>
      </x:c>
      <x:c r="P2475" s="2" t="str">
        <x:f>IF(AND(E2475&gt;='Итоги'!$F$5,N2475&lt;='Итоги'!$B$5,O2475&gt;='Итоги'!$D$5),"Да","Нет")</x:f>
        <x:v>Нет</x:v>
      </x:c>
    </x:row>
    <x:row r="2476" ht="60" customHeight="1">
      <x:c r="A2476" s="14" t="str">
        <x:v>Строительство и ремонт (DIY)</x:v>
      </x:c>
      <x:c r="B2476" s="14" t="str">
        <x:v>Сад и огород</x:v>
      </x:c>
      <x:c r="C2476" s="14" t="str">
        <x:v>Загородный отдых</x:v>
      </x:c>
      <x:c r="D2476" s="14" t="str">
        <x:v>Утеплитель для окон и дверей</x:v>
      </x:c>
      <x:c r="E2476" s="2" t="n">
        <x:v>16</x:v>
      </x:c>
      <x:c r="F2476" s="2" t="n">
        <x:v>0</x:v>
      </x:c>
      <x:c r="G2476" s="12" t="n">
        <x:v>2839965.7557</x:v>
      </x:c>
      <x:c r="H2476" s="12" t="n">
        <x:v>164221.44243125</x:v>
      </x:c>
      <x:c r="I2476" s="13" t="n">
        <x:v>0.063275</x:v>
      </x:c>
      <x:c r="J2476" s="2" t="n">
        <x:v>0</x:v>
      </x:c>
      <x:c r="K2476" s="2" t="n">
        <x:v>5</x:v>
      </x:c>
      <x:c r="L2476" s="12" t="n">
        <x:v>1025.6855</x:v>
      </x:c>
      <x:c r="M2476" s="13" t="n">
        <x:v>0.319182009705808</x:v>
      </x:c>
      <x:c r="N2476" s="13" t="n">
        <x:f>H2476/G2476</x:f>
        <x:v>0.05782514880739201</x:v>
      </x:c>
      <x:c r="O2476" s="13" t="n">
        <x:f>F2476/E2476</x:f>
        <x:v>0</x:v>
      </x:c>
      <x:c r="P2476" s="2" t="str">
        <x:f>IF(AND(E2476&gt;='Итоги'!$F$5,N2476&lt;='Итоги'!$B$5,O2476&gt;='Итоги'!$D$5),"Да","Нет")</x:f>
        <x:v>Нет</x:v>
      </x:c>
    </x:row>
    <x:row r="2477" ht="60" customHeight="1">
      <x:c r="A2477" s="14" t="str">
        <x:v>Товары для дома</x:v>
      </x:c>
      <x:c r="B2477" s="14" t="str">
        <x:v>Принадлежности для Нового года</x:v>
      </x:c>
      <x:c r="C2477" s="14" t="str">
        <x:v>Гирлянда электрическая</x:v>
      </x:c>
      <x:c r="D2477" s="14" t="str">
        <x:v>Аксессуары для электрогирлянды</x:v>
      </x:c>
      <x:c r="E2477" s="2" t="n">
        <x:v>5</x:v>
      </x:c>
      <x:c r="F2477" s="2" t="n">
        <x:v>0</x:v>
      </x:c>
      <x:c r="G2477" s="12" t="n">
        <x:v>533904.1669</x:v>
      </x:c>
      <x:c r="H2477" s="12" t="n">
        <x:v>30879.660544</x:v>
      </x:c>
      <x:c r="I2477" s="13" t="n">
        <x:v>0.06014</x:v>
      </x:c>
      <x:c r="J2477" s="2" t="n">
        <x:v>1</x:v>
      </x:c>
      <x:c r="K2477" s="2" t="n">
        <x:v>4</x:v>
      </x:c>
      <x:c r="L2477" s="12" t="n">
        <x:v>1099.8415</x:v>
      </x:c>
      <x:c r="M2477" s="13" t="n">
        <x:v>0.3738217687246149</x:v>
      </x:c>
      <x:c r="N2477" s="13" t="n">
        <x:f>H2477/G2477</x:f>
        <x:v>0.057837459338997345</x:v>
      </x:c>
      <x:c r="O2477" s="13" t="n">
        <x:f>F2477/E2477</x:f>
        <x:v>0</x:v>
      </x:c>
      <x:c r="P2477" s="2" t="str">
        <x:f>IF(AND(E2477&gt;='Итоги'!$F$5,N2477&lt;='Итоги'!$B$5,O2477&gt;='Итоги'!$D$5),"Да","Нет")</x:f>
        <x:v>Нет</x:v>
      </x:c>
    </x:row>
    <x:row r="2478" ht="60" customHeight="1">
      <x:c r="A2478" s="14" t="str">
        <x:v>Товары для детей и спорта</x:v>
      </x:c>
      <x:c r="B2478" s="14" t="str">
        <x:v>Спорт детский</x:v>
      </x:c>
      <x:c r="C2478" s="14" t="str">
        <x:v>Детский транспорт и аксессуары</x:v>
      </x:c>
      <x:c r="D2478" s="14" t="str">
        <x:v>Ходунки детские</x:v>
      </x:c>
      <x:c r="E2478" s="2" t="n">
        <x:v>24</x:v>
      </x:c>
      <x:c r="F2478" s="2" t="n">
        <x:v>0</x:v>
      </x:c>
      <x:c r="G2478" s="12" t="n">
        <x:v>2467109.9565</x:v>
      </x:c>
      <x:c r="H2478" s="12" t="n">
        <x:v>142728.65972091</x:v>
      </x:c>
      <x:c r="I2478" s="13" t="n">
        <x:v>0.0467208333333333</x:v>
      </x:c>
      <x:c r="J2478" s="2" t="n">
        <x:v>11</x:v>
      </x:c>
      <x:c r="K2478" s="2" t="n">
        <x:v>7</x:v>
      </x:c>
      <x:c r="L2478" s="12" t="n">
        <x:v>2721.80585</x:v>
      </x:c>
      <x:c r="M2478" s="13" t="n">
        <x:v>0.3813670529443222</x:v>
      </x:c>
      <x:c r="N2478" s="13" t="n">
        <x:f>H2478/G2478</x:f>
        <x:v>0.057852573349991256</x:v>
      </x:c>
      <x:c r="O2478" s="13" t="n">
        <x:f>F2478/E2478</x:f>
        <x:v>0</x:v>
      </x:c>
      <x:c r="P2478" s="2" t="str">
        <x:f>IF(AND(E2478&gt;='Итоги'!$F$5,N2478&lt;='Итоги'!$B$5,O2478&gt;='Итоги'!$D$5),"Да","Нет")</x:f>
        <x:v>Нет</x:v>
      </x:c>
    </x:row>
    <x:row r="2479" ht="60" customHeight="1">
      <x:c r="A2479" s="14" t="str">
        <x:v>Мебель</x:v>
      </x:c>
      <x:c r="B2479" s="14" t="str">
        <x:v>Мебель для сада</x:v>
      </x:c>
      <x:c r="C2479" s="14" t="str">
        <x:v>Комплект садовой мебели</x:v>
      </x:c>
      <x:c r="D2479" s="14" t="str">
        <x:v>Комплекты садовой мебели</x:v>
      </x:c>
      <x:c r="E2479" s="2" t="n">
        <x:v>44</x:v>
      </x:c>
      <x:c r="F2479" s="2" t="n">
        <x:v>0</x:v>
      </x:c>
      <x:c r="G2479" s="12" t="n">
        <x:v>9571271.5354</x:v>
      </x:c>
      <x:c r="H2479" s="12" t="n">
        <x:v>553869.2245313</x:v>
      </x:c>
      <x:c r="I2479" s="13" t="n">
        <x:v>0.0617636363636363</x:v>
      </x:c>
      <x:c r="J2479" s="2" t="n">
        <x:v>7</x:v>
      </x:c>
      <x:c r="K2479" s="2" t="n">
        <x:v>13</x:v>
      </x:c>
      <x:c r="L2479" s="12" t="n">
        <x:v>14814.60685</x:v>
      </x:c>
      <x:c r="M2479" s="13" t="n">
        <x:v>0.6990319126831028</x:v>
      </x:c>
      <x:c r="N2479" s="13" t="n">
        <x:f>H2479/G2479</x:f>
        <x:v>0.05786788333010687</x:v>
      </x:c>
      <x:c r="O2479" s="13" t="n">
        <x:f>F2479/E2479</x:f>
        <x:v>0</x:v>
      </x:c>
      <x:c r="P2479" s="2" t="str">
        <x:f>IF(AND(E2479&gt;='Итоги'!$F$5,N2479&lt;='Итоги'!$B$5,O2479&gt;='Итоги'!$D$5),"Да","Нет")</x:f>
        <x:v>Нет</x:v>
      </x:c>
    </x:row>
    <x:row r="2480" ht="60" customHeight="1">
      <x:c r="A2480" s="14" t="str">
        <x:v>Товары для красоты и здоровья</x:v>
      </x:c>
      <x:c r="B2480" s="14" t="str">
        <x:v>Косметическая техника</x:v>
      </x:c>
      <x:c r="C2480" s="14" t="str">
        <x:v>Оборудование для салона красоты</x:v>
      </x:c>
      <x:c r="D2480" s="14" t="str">
        <x:v>Маникюрный стол, мобильная студия визажиста, гримерный стол</x:v>
      </x:c>
      <x:c r="E2480" s="2" t="n">
        <x:v>24</x:v>
      </x:c>
      <x:c r="F2480" s="2" t="n">
        <x:v>0</x:v>
      </x:c>
      <x:c r="G2480" s="12" t="n">
        <x:v>3245008.1777</x:v>
      </x:c>
      <x:c r="H2480" s="12" t="n">
        <x:v>187825.54878438</x:v>
      </x:c>
      <x:c r="I2480" s="13" t="n">
        <x:v>0.0470333333333333</x:v>
      </x:c>
      <x:c r="J2480" s="2" t="n">
        <x:v>11</x:v>
      </x:c>
      <x:c r="K2480" s="2" t="n">
        <x:v>9</x:v>
      </x:c>
      <x:c r="L2480" s="12" t="n">
        <x:v>3449.70255</x:v>
      </x:c>
      <x:c r="M2480" s="13" t="n">
        <x:v>0.3191090419482242</x:v>
      </x:c>
      <x:c r="N2480" s="13" t="n">
        <x:f>H2480/G2480</x:f>
        <x:v>0.057881379182688895</x:v>
      </x:c>
      <x:c r="O2480" s="13" t="n">
        <x:f>F2480/E2480</x:f>
        <x:v>0</x:v>
      </x:c>
      <x:c r="P2480" s="2" t="str">
        <x:f>IF(AND(E2480&gt;='Итоги'!$F$5,N2480&lt;='Итоги'!$B$5,O2480&gt;='Итоги'!$D$5),"Да","Нет")</x:f>
        <x:v>Нет</x:v>
      </x:c>
    </x:row>
    <x:row r="2481" ht="60" customHeight="1">
      <x:c r="A2481" s="14" t="str">
        <x:v>Товары для красоты и здоровья</x:v>
      </x:c>
      <x:c r="B2481" s="14" t="str">
        <x:v>Косметика для ухода за кожей</x:v>
      </x:c>
      <x:c r="C2481" s="14" t="str">
        <x:v>Тело</x:v>
      </x:c>
      <x:c r="D2481" s="14" t="str">
        <x:v>Средство антицеллюлитное</x:v>
      </x:c>
      <x:c r="E2481" s="2" t="n">
        <x:v>23</x:v>
      </x:c>
      <x:c r="F2481" s="2" t="n">
        <x:v>0</x:v>
      </x:c>
      <x:c r="G2481" s="12" t="n">
        <x:v>3609998.0759</x:v>
      </x:c>
      <x:c r="H2481" s="12" t="n">
        <x:v>209030.6990043</x:v>
      </x:c>
      <x:c r="I2481" s="13" t="n">
        <x:v>0.0622782608695652</x:v>
      </x:c>
      <x:c r="J2481" s="2" t="n">
        <x:v>10</x:v>
      </x:c>
      <x:c r="K2481" s="2" t="n">
        <x:v>10</x:v>
      </x:c>
      <x:c r="L2481" s="12" t="n">
        <x:v>1312.8078</x:v>
      </x:c>
      <x:c r="M2481" s="13" t="n">
        <x:v>0.3823171026915061</x:v>
      </x:c>
      <x:c r="N2481" s="13" t="n">
        <x:f>H2481/G2481</x:f>
        <x:v>0.057903271583375306</x:v>
      </x:c>
      <x:c r="O2481" s="13" t="n">
        <x:f>F2481/E2481</x:f>
        <x:v>0</x:v>
      </x:c>
      <x:c r="P2481" s="2" t="str">
        <x:f>IF(AND(E2481&gt;='Итоги'!$F$5,N2481&lt;='Итоги'!$B$5,O2481&gt;='Итоги'!$D$5),"Да","Нет")</x:f>
        <x:v>Нет</x:v>
      </x:c>
    </x:row>
    <x:row r="2482" ht="60" customHeight="1">
      <x:c r="A2482" s="14" t="str">
        <x:v>Товары для дома</x:v>
      </x:c>
      <x:c r="B2482" s="14" t="str">
        <x:v>Домашний текстиль</x:v>
      </x:c>
      <x:c r="C2482" s="14" t="str">
        <x:v>Покрывало</x:v>
      </x:c>
      <x:c r="D2482" s="14" t="str">
        <x:v>Покрывало детское от 110х140</x:v>
      </x:c>
      <x:c r="E2482" s="2" t="n">
        <x:v>3</x:v>
      </x:c>
      <x:c r="F2482" s="2" t="n">
        <x:v>0</x:v>
      </x:c>
      <x:c r="G2482" s="12" t="n">
        <x:v>202398.8007</x:v>
      </x:c>
      <x:c r="H2482" s="12" t="n">
        <x:v>11722.51044542</x:v>
      </x:c>
      <x:c r="I2482" s="13" t="n">
        <x:v>0.0821666666666666</x:v>
      </x:c>
      <x:c r="J2482" s="2" t="n">
        <x:v>0</x:v>
      </x:c>
      <x:c r="K2482" s="2" t="n">
        <x:v>2</x:v>
      </x:c>
      <x:c r="L2482" s="12" t="n">
        <x:v>2625.7143</x:v>
      </x:c>
      <x:c r="M2482" s="13" t="n">
        <x:v>0.6833890330457872</x:v>
      </x:c>
      <x:c r="N2482" s="13" t="n">
        <x:f>H2482/G2482</x:f>
        <x:v>0.05791788491274396</x:v>
      </x:c>
      <x:c r="O2482" s="13" t="n">
        <x:f>F2482/E2482</x:f>
        <x:v>0</x:v>
      </x:c>
      <x:c r="P2482" s="2" t="str">
        <x:f>IF(AND(E2482&gt;='Итоги'!$F$5,N2482&lt;='Итоги'!$B$5,O2482&gt;='Итоги'!$D$5),"Да","Нет")</x:f>
        <x:v>Нет</x:v>
      </x:c>
    </x:row>
    <x:row r="2483" ht="60" customHeight="1">
      <x:c r="A2483" s="14" t="str">
        <x:v>Спорт и отдых</x:v>
      </x:c>
      <x:c r="B2483" s="14" t="str">
        <x:v>Тренажеры и фитнес</x:v>
      </x:c>
      <x:c r="C2483" s="14" t="str">
        <x:v>Фитнес</x:v>
      </x:c>
      <x:c r="D2483" s="14" t="str">
        <x:v>Перчатки для фитнеса</x:v>
      </x:c>
      <x:c r="E2483" s="2" t="n">
        <x:v>2</x:v>
      </x:c>
      <x:c r="F2483" s="2" t="n">
        <x:v>0</x:v>
      </x:c>
      <x:c r="G2483" s="12" t="n">
        <x:v>168287</x:v>
      </x:c>
      <x:c r="H2483" s="12" t="n">
        <x:v>9747.9361</x:v>
      </x:c>
      <x:c r="I2483" s="13" t="n">
        <x:v>0.0582499999999999</x:v>
      </x:c>
      <x:c r="J2483" s="2" t="n">
        <x:v>0</x:v>
      </x:c>
      <x:c r="K2483" s="2" t="n">
        <x:v>1</x:v>
      </x:c>
      <x:c r="L2483" s="12" t="n">
        <x:v>950.76255</x:v>
      </x:c>
      <x:c r="M2483" s="13" t="n">
        <x:v>1</x:v>
      </x:c>
      <x:c r="N2483" s="13" t="n">
        <x:f>H2483/G2483</x:f>
        <x:v>0.057924474855455266</x:v>
      </x:c>
      <x:c r="O2483" s="13" t="n">
        <x:f>F2483/E2483</x:f>
        <x:v>0</x:v>
      </x:c>
      <x:c r="P2483" s="2" t="str">
        <x:f>IF(AND(E2483&gt;='Итоги'!$F$5,N2483&lt;='Итоги'!$B$5,O2483&gt;='Итоги'!$D$5),"Да","Нет")</x:f>
        <x:v>Нет</x:v>
      </x:c>
    </x:row>
    <x:row r="2484" ht="60" customHeight="1">
      <x:c r="A2484" s="14" t="str">
        <x:v>Строительство и ремонт (DIY)</x:v>
      </x:c>
      <x:c r="B2484" s="14" t="str">
        <x:v>Ремонт и строительство</x:v>
      </x:c>
      <x:c r="C2484" s="14" t="str">
        <x:v>Скобяные изделия</x:v>
      </x:c>
      <x:c r="D2484" s="14" t="str">
        <x:v>Скоба строительная</x:v>
      </x:c>
      <x:c r="E2484" s="2" t="n">
        <x:v>11</x:v>
      </x:c>
      <x:c r="F2484" s="2" t="n">
        <x:v>0</x:v>
      </x:c>
      <x:c r="G2484" s="12" t="n">
        <x:v>2820184.5909</x:v>
      </x:c>
      <x:c r="H2484" s="12" t="n">
        <x:v>163394.67138376</x:v>
      </x:c>
      <x:c r="I2484" s="13" t="n">
        <x:v>0.0636999999999999</x:v>
      </x:c>
      <x:c r="J2484" s="2" t="n">
        <x:v>3</x:v>
      </x:c>
      <x:c r="K2484" s="2" t="n">
        <x:v>7</x:v>
      </x:c>
      <x:c r="L2484" s="12" t="n">
        <x:v>1354.3726</x:v>
      </x:c>
      <x:c r="M2484" s="13" t="n">
        <x:v>0.4698497240484301</x:v>
      </x:c>
      <x:c r="N2484" s="13" t="n">
        <x:f>H2484/G2484</x:f>
        <x:v>0.05793758036654479</x:v>
      </x:c>
      <x:c r="O2484" s="13" t="n">
        <x:f>F2484/E2484</x:f>
        <x:v>0</x:v>
      </x:c>
      <x:c r="P2484" s="2" t="str">
        <x:f>IF(AND(E2484&gt;='Итоги'!$F$5,N2484&lt;='Итоги'!$B$5,O2484&gt;='Итоги'!$D$5),"Да","Нет")</x:f>
        <x:v>Нет</x:v>
      </x:c>
    </x:row>
    <x:row r="2485" ht="60" customHeight="1">
      <x:c r="A2485" s="14" t="str">
        <x:v>Товары для дома</x:v>
      </x:c>
      <x:c r="B2485" s="14" t="str">
        <x:v>Домашний текстиль</x:v>
      </x:c>
      <x:c r="C2485" s="14" t="str">
        <x:v>Одеяло</x:v>
      </x:c>
      <x:c r="D2485" s="14" t="str">
        <x:v>Электроодеяло</x:v>
      </x:c>
      <x:c r="E2485" s="2" t="n">
        <x:v>4</x:v>
      </x:c>
      <x:c r="F2485" s="2" t="n">
        <x:v>0</x:v>
      </x:c>
      <x:c r="G2485" s="12" t="n">
        <x:v>604297.08</x:v>
      </x:c>
      <x:c r="H2485" s="12" t="n">
        <x:v>35023.48187</x:v>
      </x:c>
      <x:c r="I2485" s="13" t="n">
        <x:v>0.064875</x:v>
      </x:c>
      <x:c r="J2485" s="2" t="n">
        <x:v>1</x:v>
      </x:c>
      <x:c r="K2485" s="2" t="n">
        <x:v>3</x:v>
      </x:c>
      <x:c r="L2485" s="12" t="n">
        <x:v>6573.1528</x:v>
      </x:c>
      <x:c r="M2485" s="13" t="n">
        <x:v>0.4063668982150302</x:v>
      </x:c>
      <x:c r="N2485" s="13" t="n">
        <x:f>H2485/G2485</x:f>
        <x:v>0.057957390543737206</x:v>
      </x:c>
      <x:c r="O2485" s="13" t="n">
        <x:f>F2485/E2485</x:f>
        <x:v>0</x:v>
      </x:c>
      <x:c r="P2485" s="2" t="str">
        <x:f>IF(AND(E2485&gt;='Итоги'!$F$5,N2485&lt;='Итоги'!$B$5,O2485&gt;='Итоги'!$D$5),"Да","Нет")</x:f>
        <x:v>Нет</x:v>
      </x:c>
    </x:row>
    <x:row r="2486" ht="60" customHeight="1">
      <x:c r="A2486" s="14" t="str">
        <x:v>Детская одежда</x:v>
      </x:c>
      <x:c r="B2486" s="14" t="str">
        <x:v>Детская одежда</x:v>
      </x:c>
      <x:c r="C2486" s="14" t="str">
        <x:v>Одежда для мальчика</x:v>
      </x:c>
      <x:c r="D2486" s="14" t="str">
        <x:v>Комплект футболок для мальчика</x:v>
      </x:c>
      <x:c r="E2486" s="2" t="n">
        <x:v>11</x:v>
      </x:c>
      <x:c r="F2486" s="2" t="n">
        <x:v>0</x:v>
      </x:c>
      <x:c r="G2486" s="12" t="n">
        <x:v>1240204.1718</x:v>
      </x:c>
      <x:c r="H2486" s="12" t="n">
        <x:v>71887.44910499999</x:v>
      </x:c>
      <x:c r="I2486" s="13" t="n">
        <x:v>0.0680090909090909</x:v>
      </x:c>
      <x:c r="J2486" s="2" t="n">
        <x:v>5</x:v>
      </x:c>
      <x:c r="K2486" s="2" t="n">
        <x:v>2</x:v>
      </x:c>
      <x:c r="L2486" s="12" t="n">
        <x:v>795.8504</x:v>
      </x:c>
      <x:c r="M2486" s="13" t="n">
        <x:v>0.6789430600591373</x:v>
      </x:c>
      <x:c r="N2486" s="13" t="n">
        <x:f>H2486/G2486</x:f>
        <x:v>0.057964205200716615</x:v>
      </x:c>
      <x:c r="O2486" s="13" t="n">
        <x:f>F2486/E2486</x:f>
        <x:v>0</x:v>
      </x:c>
      <x:c r="P2486" s="2" t="str">
        <x:f>IF(AND(E2486&gt;='Итоги'!$F$5,N2486&lt;='Итоги'!$B$5,O2486&gt;='Итоги'!$D$5),"Да","Нет")</x:f>
        <x:v>Нет</x:v>
      </x:c>
    </x:row>
    <x:row r="2487" ht="60" customHeight="1">
      <x:c r="A2487" s="14" t="str">
        <x:v>Детская одежда</x:v>
      </x:c>
      <x:c r="B2487" s="14" t="str">
        <x:v>Детская одежда</x:v>
      </x:c>
      <x:c r="C2487" s="14" t="str">
        <x:v>Верхняя одежда для девочки</x:v>
      </x:c>
      <x:c r="D2487" s="14" t="str">
        <x:v>Ветровка для девочки</x:v>
      </x:c>
      <x:c r="E2487" s="2" t="n">
        <x:v>10</x:v>
      </x:c>
      <x:c r="F2487" s="2" t="n">
        <x:v>0</x:v>
      </x:c>
      <x:c r="G2487" s="12" t="n">
        <x:v>466255.6536</x:v>
      </x:c>
      <x:c r="H2487" s="12" t="n">
        <x:v>27035.490352</x:v>
      </x:c>
      <x:c r="I2487" s="13" t="n">
        <x:v>0.04238</x:v>
      </x:c>
      <x:c r="J2487" s="2" t="n">
        <x:v>9</x:v>
      </x:c>
      <x:c r="K2487" s="2" t="n">
        <x:v>3</x:v>
      </x:c>
      <x:c r="L2487" s="12" t="n">
        <x:v>1265.26335</x:v>
      </x:c>
      <x:c r="M2487" s="13" t="n">
        <x:v>0.9715382754127746</x:v>
      </x:c>
      <x:c r="N2487" s="13" t="n">
        <x:f>H2487/G2487</x:f>
        <x:v>0.05798426280358566</x:v>
      </x:c>
      <x:c r="O2487" s="13" t="n">
        <x:f>F2487/E2487</x:f>
        <x:v>0</x:v>
      </x:c>
      <x:c r="P2487" s="2" t="str">
        <x:f>IF(AND(E2487&gt;='Итоги'!$F$5,N2487&lt;='Итоги'!$B$5,O2487&gt;='Итоги'!$D$5),"Да","Нет")</x:f>
        <x:v>Нет</x:v>
      </x:c>
    </x:row>
    <x:row r="2488" ht="60" customHeight="1">
      <x:c r="A2488" s="14" t="str">
        <x:v>Автотовары</x:v>
      </x:c>
      <x:c r="B2488" s="14" t="str">
        <x:v>Авто и мото запчасти</x:v>
      </x:c>
      <x:c r="C2488" s="14" t="str">
        <x:v>Двигатель</x:v>
      </x:c>
      <x:c r="D2488" s="14" t="str">
        <x:v>Прокладки и сальники</x:v>
      </x:c>
      <x:c r="E2488" s="2" t="n">
        <x:v>4</x:v>
      </x:c>
      <x:c r="F2488" s="2" t="n">
        <x:v>0</x:v>
      </x:c>
      <x:c r="G2488" s="12" t="n">
        <x:v>707617.9484999999</x:v>
      </x:c>
      <x:c r="H2488" s="12" t="n">
        <x:v>41039.58392592</x:v>
      </x:c>
      <x:c r="I2488" s="13" t="n">
        <x:v>0.064925</x:v>
      </x:c>
      <x:c r="J2488" s="2" t="n">
        <x:v>2</x:v>
      </x:c>
      <x:c r="K2488" s="2" t="n">
        <x:v>4</x:v>
      </x:c>
      <x:c r="L2488" s="12" t="n">
        <x:v>2217.8055</x:v>
      </x:c>
      <x:c r="M2488" s="13" t="n">
        <x:v>0.3455650051250785</x:v>
      </x:c>
      <x:c r="N2488" s="13" t="n">
        <x:f>H2488/G2488</x:f>
        <x:v>0.057996810302671405</x:v>
      </x:c>
      <x:c r="O2488" s="13" t="n">
        <x:f>F2488/E2488</x:f>
        <x:v>0</x:v>
      </x:c>
      <x:c r="P2488" s="2" t="str">
        <x:f>IF(AND(E2488&gt;='Итоги'!$F$5,N2488&lt;='Итоги'!$B$5,O2488&gt;='Итоги'!$D$5),"Да","Нет")</x:f>
        <x:v>Нет</x:v>
      </x:c>
    </x:row>
    <x:row r="2489" ht="60" customHeight="1">
      <x:c r="A2489" s="14" t="str">
        <x:v>Товары для дома</x:v>
      </x:c>
      <x:c r="B2489" s="14" t="str">
        <x:v>Домашний текстиль</x:v>
      </x:c>
      <x:c r="C2489" s="14" t="str">
        <x:v>Ткани</x:v>
      </x:c>
      <x:c r="D2489" s="14" t="str">
        <x:v>Ткань мебельная под заказ</x:v>
      </x:c>
      <x:c r="E2489" s="2" t="n">
        <x:v>1</x:v>
      </x:c>
      <x:c r="F2489" s="2" t="n">
        <x:v>0</x:v>
      </x:c>
      <x:c r="G2489" s="12" t="n">
        <x:v>84089</x:v>
      </x:c>
      <x:c r="H2489" s="12" t="n">
        <x:v>4877.162</x:v>
      </x:c>
      <x:c r="I2489" s="13" t="n">
        <x:v>0.058</x:v>
      </x:c>
      <x:c r="J2489" s="2" t="n">
        <x:v>0</x:v>
      </x:c>
      <x:c r="K2489" s="2" t="n">
        <x:v>1</x:v>
      </x:c>
      <x:c r="L2489" s="12" t="n">
        <x:v>1828.0217</x:v>
      </x:c>
      <x:c r="M2489" s="13" t="n">
        <x:v>1</x:v>
      </x:c>
      <x:c r="N2489" s="13" t="n">
        <x:f>H2489/G2489</x:f>
        <x:v>0.058</x:v>
      </x:c>
      <x:c r="O2489" s="13" t="n">
        <x:f>F2489/E2489</x:f>
        <x:v>0</x:v>
      </x:c>
      <x:c r="P2489" s="2" t="str">
        <x:f>IF(AND(E2489&gt;='Итоги'!$F$5,N2489&lt;='Итоги'!$B$5,O2489&gt;='Итоги'!$D$5),"Да","Нет")</x:f>
        <x:v>Нет</x:v>
      </x:c>
    </x:row>
    <x:row r="2490" ht="60" customHeight="1">
      <x:c r="A2490" s="14" t="str">
        <x:v>Детская одежда</x:v>
      </x:c>
      <x:c r="B2490" s="14" t="str">
        <x:v>Одежда для новорожденных</x:v>
      </x:c>
      <x:c r="C2490" s="14" t="str">
        <x:v>Одежда для новорожденных</x:v>
      </x:c>
      <x:c r="D2490" s="14" t="str">
        <x:v>Комплект одежды на выписку</x:v>
      </x:c>
      <x:c r="E2490" s="2" t="n">
        <x:v>88</x:v>
      </x:c>
      <x:c r="F2490" s="2" t="n">
        <x:v>0</x:v>
      </x:c>
      <x:c r="G2490" s="12" t="n">
        <x:v>7694434.9372</x:v>
      </x:c>
      <x:c r="H2490" s="12" t="n">
        <x:v>446774.84126356</x:v>
      </x:c>
      <x:c r="I2490" s="13" t="n">
        <x:v>0.0508568181818181</x:v>
      </x:c>
      <x:c r="J2490" s="2" t="n">
        <x:v>19</x:v>
      </x:c>
      <x:c r="K2490" s="2" t="n">
        <x:v>11</x:v>
      </x:c>
      <x:c r="L2490" s="12" t="n">
        <x:v>2869.44795</x:v>
      </x:c>
      <x:c r="M2490" s="13" t="n">
        <x:v>0.3269919375282387</x:v>
      </x:c>
      <x:c r="N2490" s="13" t="n">
        <x:f>H2490/G2490</x:f>
        <x:v>0.05806467205324646</x:v>
      </x:c>
      <x:c r="O2490" s="13" t="n">
        <x:f>F2490/E2490</x:f>
        <x:v>0</x:v>
      </x:c>
      <x:c r="P2490" s="2" t="str">
        <x:f>IF(AND(E2490&gt;='Итоги'!$F$5,N2490&lt;='Итоги'!$B$5,O2490&gt;='Итоги'!$D$5),"Да","Нет")</x:f>
        <x:v>Нет</x:v>
      </x:c>
    </x:row>
    <x:row r="2491" ht="60" customHeight="1">
      <x:c r="A2491" s="14" t="str">
        <x:v>Аксессуары для электроники</x:v>
      </x:c>
      <x:c r="B2491" s="14" t="str">
        <x:v>Аксессуары для МБТ (дом) Access</x:v>
      </x:c>
      <x:c r="C2491" s="14" t="str">
        <x:v>Аксессуары для пылесоса Access</x:v>
      </x:c>
      <x:c r="D2491" s="14" t="str">
        <x:v>Подставка для пылесоса</x:v>
      </x:c>
      <x:c r="E2491" s="2" t="n">
        <x:v>4</x:v>
      </x:c>
      <x:c r="F2491" s="2" t="n">
        <x:v>0</x:v>
      </x:c>
      <x:c r="G2491" s="12" t="n">
        <x:v>500986.7724</x:v>
      </x:c>
      <x:c r="H2491" s="12" t="n">
        <x:v>29094.81955211</x:v>
      </x:c>
      <x:c r="I2491" s="13" t="n">
        <x:v>0.052975</x:v>
      </x:c>
      <x:c r="J2491" s="2" t="n">
        <x:v>0</x:v>
      </x:c>
      <x:c r="K2491" s="2" t="n">
        <x:v>2</x:v>
      </x:c>
      <x:c r="L2491" s="12" t="n">
        <x:v>2967.55045</x:v>
      </x:c>
      <x:c r="M2491" s="13" t="n">
        <x:v>0.8287928895026451</x:v>
      </x:c>
      <x:c r="N2491" s="13" t="n">
        <x:f>H2491/G2491</x:f>
        <x:v>0.0580750254397535</x:v>
      </x:c>
      <x:c r="O2491" s="13" t="n">
        <x:f>F2491/E2491</x:f>
        <x:v>0</x:v>
      </x:c>
      <x:c r="P2491" s="2" t="str">
        <x:f>IF(AND(E2491&gt;='Итоги'!$F$5,N2491&lt;='Итоги'!$B$5,O2491&gt;='Итоги'!$D$5),"Да","Нет")</x:f>
        <x:v>Нет</x:v>
      </x:c>
    </x:row>
    <x:row r="2492" ht="60" customHeight="1">
      <x:c r="A2492" s="14" t="str">
        <x:v>Мебель</x:v>
      </x:c>
      <x:c r="B2492" s="14" t="str">
        <x:v>Столы и стулья</x:v>
      </x:c>
      <x:c r="C2492" s="14" t="str">
        <x:v>Аксессуары и комплектующие для столов и стульев</x:v>
      </x:c>
      <x:c r="D2492" s="14" t="str">
        <x:v>Подстолье, опоры для стола</x:v>
      </x:c>
      <x:c r="E2492" s="2" t="n">
        <x:v>71</x:v>
      </x:c>
      <x:c r="F2492" s="2" t="n">
        <x:v>0</x:v>
      </x:c>
      <x:c r="G2492" s="12" t="n">
        <x:v>15237743.0172</x:v>
      </x:c>
      <x:c r="H2492" s="12" t="n">
        <x:v>886469.6950734201</x:v>
      </x:c>
      <x:c r="I2492" s="13" t="n">
        <x:v>0.0584507042253521</x:v>
      </x:c>
      <x:c r="J2492" s="2" t="n">
        <x:v>23</x:v>
      </x:c>
      <x:c r="K2492" s="2" t="n">
        <x:v>20</x:v>
      </x:c>
      <x:c r="L2492" s="12" t="n">
        <x:v>3718.9615</x:v>
      </x:c>
      <x:c r="M2492" s="13" t="n">
        <x:v>0.5086785189152179</x:v>
      </x:c>
      <x:c r="N2492" s="13" t="n">
        <x:f>H2492/G2492</x:f>
        <x:v>0.05817591844624195</x:v>
      </x:c>
      <x:c r="O2492" s="13" t="n">
        <x:f>F2492/E2492</x:f>
        <x:v>0</x:v>
      </x:c>
      <x:c r="P2492" s="2" t="str">
        <x:f>IF(AND(E2492&gt;='Итоги'!$F$5,N2492&lt;='Итоги'!$B$5,O2492&gt;='Итоги'!$D$5),"Да","Нет")</x:f>
        <x:v>Нет</x:v>
      </x:c>
    </x:row>
    <x:row r="2493" ht="60" customHeight="1">
      <x:c r="A2493" s="14" t="str">
        <x:v>Напитки</x:v>
      </x:c>
      <x:c r="B2493" s="14" t="str">
        <x:v>Напитки холодные</x:v>
      </x:c>
      <x:c r="C2493" s="14" t="str">
        <x:v>Газированные напитки</x:v>
      </x:c>
      <x:c r="D2493" s="14" t="str">
        <x:v>Квас</x:v>
      </x:c>
      <x:c r="E2493" s="2" t="n">
        <x:v>9</x:v>
      </x:c>
      <x:c r="F2493" s="2" t="n">
        <x:v>0</x:v>
      </x:c>
      <x:c r="G2493" s="12" t="n">
        <x:v>974224.5791</x:v>
      </x:c>
      <x:c r="H2493" s="12" t="n">
        <x:v>56710.364742</x:v>
      </x:c>
      <x:c r="I2493" s="13" t="n">
        <x:v>0.0518</x:v>
      </x:c>
      <x:c r="J2493" s="2" t="n">
        <x:v>6</x:v>
      </x:c>
      <x:c r="K2493" s="2" t="n">
        <x:v>5</x:v>
      </x:c>
      <x:c r="L2493" s="12" t="n">
        <x:v>974.3704</x:v>
      </x:c>
      <x:c r="M2493" s="13" t="n">
        <x:v>0.2916459059804068</x:v>
      </x:c>
      <x:c r="N2493" s="13" t="n">
        <x:f>H2493/G2493</x:f>
        <x:v>0.05821077188833574</x:v>
      </x:c>
      <x:c r="O2493" s="13" t="n">
        <x:f>F2493/E2493</x:f>
        <x:v>0</x:v>
      </x:c>
      <x:c r="P2493" s="2" t="str">
        <x:f>IF(AND(E2493&gt;='Итоги'!$F$5,N2493&lt;='Итоги'!$B$5,O2493&gt;='Итоги'!$D$5),"Да","Нет")</x:f>
        <x:v>Нет</x:v>
      </x:c>
    </x:row>
    <x:row r="2494" ht="60" customHeight="1">
      <x:c r="A2494" s="14" t="str">
        <x:v>Одежда</x:v>
      </x:c>
      <x:c r="B2494" s="14" t="str">
        <x:v>Основная одежда женская</x:v>
      </x:c>
      <x:c r="C2494" s="14" t="str">
        <x:v>Спортивная основная одежда женская верха</x:v>
      </x:c>
      <x:c r="D2494" s="14" t="str">
        <x:v>Спортивный свитшот женский</x:v>
      </x:c>
      <x:c r="E2494" s="2" t="n">
        <x:v>40</x:v>
      </x:c>
      <x:c r="F2494" s="2" t="n">
        <x:v>0</x:v>
      </x:c>
      <x:c r="G2494" s="12" t="n">
        <x:v>3029251.7233</x:v>
      </x:c>
      <x:c r="H2494" s="12" t="n">
        <x:v>176406.8450128</x:v>
      </x:c>
      <x:c r="I2494" s="13" t="n">
        <x:v>0.0414825</x:v>
      </x:c>
      <x:c r="J2494" s="2" t="n">
        <x:v>19</x:v>
      </x:c>
      <x:c r="K2494" s="2" t="n">
        <x:v>11</x:v>
      </x:c>
      <x:c r="L2494" s="12" t="n">
        <x:v>1500.3085999999998</x:v>
      </x:c>
      <x:c r="M2494" s="13" t="n">
        <x:v>0.4843041804732544</x:v>
      </x:c>
      <x:c r="N2494" s="13" t="n">
        <x:f>H2494/G2494</x:f>
        <x:v>0.05823446221254478</x:v>
      </x:c>
      <x:c r="O2494" s="13" t="n">
        <x:f>F2494/E2494</x:f>
        <x:v>0</x:v>
      </x:c>
      <x:c r="P2494" s="2" t="str">
        <x:f>IF(AND(E2494&gt;='Итоги'!$F$5,N2494&lt;='Итоги'!$B$5,O2494&gt;='Итоги'!$D$5),"Да","Нет")</x:f>
        <x:v>Нет</x:v>
      </x:c>
    </x:row>
    <x:row r="2495" ht="60" customHeight="1">
      <x:c r="A2495" s="14" t="str">
        <x:v>Товары для дома</x:v>
      </x:c>
      <x:c r="B2495" s="14" t="str">
        <x:v>Домашний текстиль</x:v>
      </x:c>
      <x:c r="C2495" s="14" t="str">
        <x:v>Шторы</x:v>
      </x:c>
      <x:c r="D2495" s="14" t="str">
        <x:v>Пленка для окон</x:v>
      </x:c>
      <x:c r="E2495" s="2" t="n">
        <x:v>12</x:v>
      </x:c>
      <x:c r="F2495" s="2" t="n">
        <x:v>0</x:v>
      </x:c>
      <x:c r="G2495" s="12" t="n">
        <x:v>978375.3797</x:v>
      </x:c>
      <x:c r="H2495" s="12" t="n">
        <x:v>56999.70368426</x:v>
      </x:c>
      <x:c r="I2495" s="13" t="n">
        <x:v>0.0431333333333333</x:v>
      </x:c>
      <x:c r="J2495" s="2" t="n">
        <x:v>5</x:v>
      </x:c>
      <x:c r="K2495" s="2" t="n">
        <x:v>3</x:v>
      </x:c>
      <x:c r="L2495" s="12" t="n">
        <x:v>943.8726</x:v>
      </x:c>
      <x:c r="M2495" s="13" t="n">
        <x:v>0.4708744309788972</x:v>
      </x:c>
      <x:c r="N2495" s="13" t="n">
        <x:f>H2495/G2495</x:f>
        <x:v>0.05825954420657832</x:v>
      </x:c>
      <x:c r="O2495" s="13" t="n">
        <x:f>F2495/E2495</x:f>
        <x:v>0</x:v>
      </x:c>
      <x:c r="P2495" s="2" t="str">
        <x:f>IF(AND(E2495&gt;='Итоги'!$F$5,N2495&lt;='Итоги'!$B$5,O2495&gt;='Итоги'!$D$5),"Да","Нет")</x:f>
        <x:v>Нет</x:v>
      </x:c>
    </x:row>
    <x:row r="2496" ht="60" customHeight="1">
      <x:c r="A2496" s="14" t="str">
        <x:v>Строительство и ремонт (DIY)</x:v>
      </x:c>
      <x:c r="B2496" s="14" t="str">
        <x:v>Инструменты</x:v>
      </x:c>
      <x:c r="C2496" s="14" t="str">
        <x:v>Инструмент ручной для строительства, ремонта</x:v>
      </x:c>
      <x:c r="D2496" s="14" t="str">
        <x:v>Столярный инструмент</x:v>
      </x:c>
      <x:c r="E2496" s="2" t="n">
        <x:v>15</x:v>
      </x:c>
      <x:c r="F2496" s="2" t="n">
        <x:v>0</x:v>
      </x:c>
      <x:c r="G2496" s="12" t="n">
        <x:v>3134471.6668</x:v>
      </x:c>
      <x:c r="H2496" s="12" t="n">
        <x:v>183079.62503304</x:v>
      </x:c>
      <x:c r="I2496" s="13" t="n">
        <x:v>0.0391533333333333</x:v>
      </x:c>
      <x:c r="J2496" s="2" t="n">
        <x:v>9</x:v>
      </x:c>
      <x:c r="K2496" s="2" t="n">
        <x:v>6</x:v>
      </x:c>
      <x:c r="L2496" s="12" t="n">
        <x:v>1717.3347</x:v>
      </x:c>
      <x:c r="M2496" s="13" t="n">
        <x:v>0.6520573208073001</x:v>
      </x:c>
      <x:c r="N2496" s="13" t="n">
        <x:f>H2496/G2496</x:f>
        <x:v>0.05840844789640324</x:v>
      </x:c>
      <x:c r="O2496" s="13" t="n">
        <x:f>F2496/E2496</x:f>
        <x:v>0</x:v>
      </x:c>
      <x:c r="P2496" s="2" t="str">
        <x:f>IF(AND(E2496&gt;='Итоги'!$F$5,N2496&lt;='Итоги'!$B$5,O2496&gt;='Итоги'!$D$5),"Да","Нет")</x:f>
        <x:v>Нет</x:v>
      </x:c>
    </x:row>
    <x:row r="2497" ht="60" customHeight="1">
      <x:c r="A2497" s="14" t="str">
        <x:v>Одежда</x:v>
      </x:c>
      <x:c r="B2497" s="14" t="str">
        <x:v>Основная одежда мужская</x:v>
      </x:c>
      <x:c r="C2497" s="14" t="str">
        <x:v>Спортивная основная одежда мужская верха</x:v>
      </x:c>
      <x:c r="D2497" s="14" t="str">
        <x:v>Спортивная рубашка мужская</x:v>
      </x:c>
      <x:c r="E2497" s="2" t="n">
        <x:v>60</x:v>
      </x:c>
      <x:c r="F2497" s="2" t="n">
        <x:v>0</x:v>
      </x:c>
      <x:c r="G2497" s="12" t="n">
        <x:v>7945241.7631</x:v>
      </x:c>
      <x:c r="H2497" s="12" t="n">
        <x:v>464191.14582344</x:v>
      </x:c>
      <x:c r="I2497" s="13" t="n">
        <x:v>0.052575</x:v>
      </x:c>
      <x:c r="J2497" s="2" t="n">
        <x:v>20</x:v>
      </x:c>
      <x:c r="K2497" s="2" t="n">
        <x:v>12</x:v>
      </x:c>
      <x:c r="L2497" s="12" t="n">
        <x:v>1771.64655</x:v>
      </x:c>
      <x:c r="M2497" s="13" t="n">
        <x:v>0.1982696147040041</x:v>
      </x:c>
      <x:c r="N2497" s="13" t="n">
        <x:f>H2497/G2497</x:f>
        <x:v>0.05842379120284016</x:v>
      </x:c>
      <x:c r="O2497" s="13" t="n">
        <x:f>F2497/E2497</x:f>
        <x:v>0</x:v>
      </x:c>
      <x:c r="P2497" s="2" t="str">
        <x:f>IF(AND(E2497&gt;='Итоги'!$F$5,N2497&lt;='Итоги'!$B$5,O2497&gt;='Итоги'!$D$5),"Да","Нет")</x:f>
        <x:v>Нет</x:v>
      </x:c>
    </x:row>
    <x:row r="2498" ht="60" customHeight="1">
      <x:c r="A2498" s="14" t="str">
        <x:v>Детская одежда</x:v>
      </x:c>
      <x:c r="B2498" s="14" t="str">
        <x:v>Детская обувь</x:v>
      </x:c>
      <x:c r="C2498" s="14" t="str">
        <x:v>Обувь для девочки</x:v>
      </x:c>
      <x:c r="D2498" s="14" t="str">
        <x:v>Биркенштоки для девочки</x:v>
      </x:c>
      <x:c r="E2498" s="2" t="n">
        <x:v>18</x:v>
      </x:c>
      <x:c r="F2498" s="2" t="n">
        <x:v>0</x:v>
      </x:c>
      <x:c r="G2498" s="12" t="n">
        <x:v>1295217.9</x:v>
      </x:c>
      <x:c r="H2498" s="12" t="n">
        <x:v>75786.420789</x:v>
      </x:c>
      <x:c r="I2498" s="13" t="n">
        <x:v>0.04815</x:v>
      </x:c>
      <x:c r="J2498" s="2" t="n">
        <x:v>5</x:v>
      </x:c>
      <x:c r="K2498" s="2" t="n">
        <x:v>6</x:v>
      </x:c>
      <x:c r="L2498" s="12" t="n">
        <x:v>2028.66855</x:v>
      </x:c>
      <x:c r="M2498" s="13" t="n">
        <x:v>0.4113055803197284</x:v>
      </x:c>
      <x:c r="N2498" s="13" t="n">
        <x:f>H2498/G2498</x:f>
        <x:v>0.058512487195397776</x:v>
      </x:c>
      <x:c r="O2498" s="13" t="n">
        <x:f>F2498/E2498</x:f>
        <x:v>0</x:v>
      </x:c>
      <x:c r="P2498" s="2" t="str">
        <x:f>IF(AND(E2498&gt;='Итоги'!$F$5,N2498&lt;='Итоги'!$B$5,O2498&gt;='Итоги'!$D$5),"Да","Нет")</x:f>
        <x:v>Нет</x:v>
      </x:c>
    </x:row>
    <x:row r="2499" ht="60" customHeight="1">
      <x:c r="A2499" s="14" t="str">
        <x:v>Спорт и отдых</x:v>
      </x:c>
      <x:c r="B2499" s="14" t="str">
        <x:v>Тренажеры и фитнес</x:v>
      </x:c>
      <x:c r="C2499" s="14" t="str">
        <x:v>Фитнес</x:v>
      </x:c>
      <x:c r="D2499" s="14" t="str">
        <x:v>Диск балансировочный</x:v>
      </x:c>
      <x:c r="E2499" s="2" t="n">
        <x:v>3</x:v>
      </x:c>
      <x:c r="F2499" s="2" t="n">
        <x:v>0</x:v>
      </x:c>
      <x:c r="G2499" s="12" t="n">
        <x:v>445509.7721</x:v>
      </x:c>
      <x:c r="H2499" s="12" t="n">
        <x:v>26094.31438615</x:v>
      </x:c>
      <x:c r="I2499" s="13" t="n">
        <x:v>0.0594666666666666</x:v>
      </x:c>
      <x:c r="J2499" s="2" t="n">
        <x:v>0</x:v>
      </x:c>
      <x:c r="K2499" s="2" t="n">
        <x:v>1</x:v>
      </x:c>
      <x:c r="L2499" s="12" t="n">
        <x:v>1222.2895</x:v>
      </x:c>
      <x:c r="M2499" s="13" t="n">
        <x:v>1</x:v>
      </x:c>
      <x:c r="N2499" s="13" t="n">
        <x:f>H2499/G2499</x:f>
        <x:v>0.05857181148496293</x:v>
      </x:c>
      <x:c r="O2499" s="13" t="n">
        <x:f>F2499/E2499</x:f>
        <x:v>0</x:v>
      </x:c>
      <x:c r="P2499" s="2" t="str">
        <x:f>IF(AND(E2499&gt;='Итоги'!$F$5,N2499&lt;='Итоги'!$B$5,O2499&gt;='Итоги'!$D$5),"Да","Нет")</x:f>
        <x:v>Нет</x:v>
      </x:c>
    </x:row>
    <x:row r="2500" ht="60" customHeight="1">
      <x:c r="A2500" s="14" t="str">
        <x:v>Спорт и отдых</x:v>
      </x:c>
      <x:c r="B2500" s="14" t="str">
        <x:v>Туризм</x:v>
      </x:c>
      <x:c r="C2500" s="14" t="str">
        <x:v>Фонарь, лампа туристические</x:v>
      </x:c>
      <x:c r="D2500" s="14" t="str">
        <x:v>Солнечная панель, аксессуары к ней</x:v>
      </x:c>
      <x:c r="E2500" s="2" t="n">
        <x:v>38</x:v>
      </x:c>
      <x:c r="F2500" s="2" t="n">
        <x:v>0</x:v>
      </x:c>
      <x:c r="G2500" s="12" t="n">
        <x:v>8467136.812</x:v>
      </x:c>
      <x:c r="H2500" s="12" t="n">
        <x:v>496190.67822271</x:v>
      </x:c>
      <x:c r="I2500" s="13" t="n">
        <x:v>0.0621921052631579</x:v>
      </x:c>
      <x:c r="J2500" s="2" t="n">
        <x:v>6</x:v>
      </x:c>
      <x:c r="K2500" s="2" t="n">
        <x:v>10</x:v>
      </x:c>
      <x:c r="L2500" s="12" t="n">
        <x:v>9011.81465</x:v>
      </x:c>
      <x:c r="M2500" s="13" t="n">
        <x:v>0.5097978889726248</x:v>
      </x:c>
      <x:c r="N2500" s="13" t="n">
        <x:f>H2500/G2500</x:f>
        <x:v>0.05860194410931055</x:v>
      </x:c>
      <x:c r="O2500" s="13" t="n">
        <x:f>F2500/E2500</x:f>
        <x:v>0</x:v>
      </x:c>
      <x:c r="P2500" s="2" t="str">
        <x:f>IF(AND(E2500&gt;='Итоги'!$F$5,N2500&lt;='Итоги'!$B$5,O2500&gt;='Итоги'!$D$5),"Да","Нет")</x:f>
        <x:v>Нет</x:v>
      </x:c>
    </x:row>
    <x:row r="2501" ht="60" customHeight="1">
      <x:c r="A2501" s="14" t="str">
        <x:v>Обувь</x:v>
      </x:c>
      <x:c r="B2501" s="14" t="str">
        <x:v>Специальная обувь</x:v>
      </x:c>
      <x:c r="C2501" s="14" t="str">
        <x:v>Спецобувь женская</x:v>
      </x:c>
      <x:c r="D2501" s="14" t="str">
        <x:v>Рабочие кроссовки женские</x:v>
      </x:c>
      <x:c r="E2501" s="2" t="n">
        <x:v>41</x:v>
      </x:c>
      <x:c r="F2501" s="2" t="n">
        <x:v>0</x:v>
      </x:c>
      <x:c r="G2501" s="12" t="n">
        <x:v>3738820.2339</x:v>
      </x:c>
      <x:c r="H2501" s="12" t="n">
        <x:v>219110.65506643</x:v>
      </x:c>
      <x:c r="I2501" s="13" t="n">
        <x:v>0.056980487804878</x:v>
      </x:c>
      <x:c r="J2501" s="2" t="n">
        <x:v>8</x:v>
      </x:c>
      <x:c r="K2501" s="2" t="n">
        <x:v>6</x:v>
      </x:c>
      <x:c r="L2501" s="12" t="n">
        <x:v>2951.1375</x:v>
      </x:c>
      <x:c r="M2501" s="13" t="n">
        <x:v>0.2956570253571506</x:v>
      </x:c>
      <x:c r="N2501" s="13" t="n">
        <x:f>H2501/G2501</x:f>
        <x:v>0.05860422308613472</x:v>
      </x:c>
      <x:c r="O2501" s="13" t="n">
        <x:f>F2501/E2501</x:f>
        <x:v>0</x:v>
      </x:c>
      <x:c r="P2501" s="2" t="str">
        <x:f>IF(AND(E2501&gt;='Итоги'!$F$5,N2501&lt;='Итоги'!$B$5,O2501&gt;='Итоги'!$D$5),"Да","Нет")</x:f>
        <x:v>Нет</x:v>
      </x:c>
    </x:row>
    <x:row r="2502" ht="60" customHeight="1">
      <x:c r="A2502" s="14" t="str">
        <x:v>Напитки</x:v>
      </x:c>
      <x:c r="B2502" s="14" t="str">
        <x:v>Напитки горячие</x:v>
      </x:c>
      <x:c r="C2502" s="14" t="str">
        <x:v>Кофе</x:v>
      </x:c>
      <x:c r="D2502" s="14" t="str">
        <x:v>Кофе в зернах</x:v>
      </x:c>
      <x:c r="E2502" s="2" t="n">
        <x:v>645</x:v>
      </x:c>
      <x:c r="F2502" s="2" t="n">
        <x:v>0</x:v>
      </x:c>
      <x:c r="G2502" s="12" t="n">
        <x:v>112037152.441</x:v>
      </x:c>
      <x:c r="H2502" s="12" t="n">
        <x:v>6569137.88764943</x:v>
      </x:c>
      <x:c r="I2502" s="13" t="n">
        <x:v>0.0596446511627906</x:v>
      </x:c>
      <x:c r="J2502" s="2" t="n">
        <x:v>207</x:v>
      </x:c>
      <x:c r="K2502" s="2" t="n">
        <x:v>124</x:v>
      </x:c>
      <x:c r="L2502" s="12" t="n">
        <x:v>1301.1094</x:v>
      </x:c>
      <x:c r="M2502" s="13" t="n">
        <x:v>0.6190676654418275</x:v>
      </x:c>
      <x:c r="N2502" s="13" t="n">
        <x:f>H2502/G2502</x:f>
        <x:v>0.05863356703133642</x:v>
      </x:c>
      <x:c r="O2502" s="13" t="n">
        <x:f>F2502/E2502</x:f>
        <x:v>0</x:v>
      </x:c>
      <x:c r="P2502" s="2" t="str">
        <x:f>IF(AND(E2502&gt;='Итоги'!$F$5,N2502&lt;='Итоги'!$B$5,O2502&gt;='Итоги'!$D$5),"Да","Нет")</x:f>
        <x:v>Нет</x:v>
      </x:c>
    </x:row>
    <x:row r="2503" ht="60" customHeight="1">
      <x:c r="A2503" s="14" t="str">
        <x:v>Товары для животных</x:v>
      </x:c>
      <x:c r="B2503" s="14" t="str">
        <x:v>Спальное место животного</x:v>
      </x:c>
      <x:c r="C2503" s="14" t="str">
        <x:v>Домик, игровой комплекс для животных</x:v>
      </x:c>
      <x:c r="D2503" s="14" t="str">
        <x:v>Домик для животных</x:v>
      </x:c>
      <x:c r="E2503" s="2" t="n">
        <x:v>38</x:v>
      </x:c>
      <x:c r="F2503" s="2" t="n">
        <x:v>0</x:v>
      </x:c>
      <x:c r="G2503" s="12" t="n">
        <x:v>6863143.1581</x:v>
      </x:c>
      <x:c r="H2503" s="12" t="n">
        <x:v>402542.77497145</x:v>
      </x:c>
      <x:c r="I2503" s="13" t="n">
        <x:v>0.0699447368421052</x:v>
      </x:c>
      <x:c r="J2503" s="2" t="n">
        <x:v>9</x:v>
      </x:c>
      <x:c r="K2503" s="2" t="n">
        <x:v>17</x:v>
      </x:c>
      <x:c r="L2503" s="12" t="n">
        <x:v>2463.97995</x:v>
      </x:c>
      <x:c r="M2503" s="13" t="n">
        <x:v>0.2381754553918606</x:v>
      </x:c>
      <x:c r="N2503" s="13" t="n">
        <x:f>H2503/G2503</x:f>
        <x:v>0.05865283088206634</x:v>
      </x:c>
      <x:c r="O2503" s="13" t="n">
        <x:f>F2503/E2503</x:f>
        <x:v>0</x:v>
      </x:c>
      <x:c r="P2503" s="2" t="str">
        <x:f>IF(AND(E2503&gt;='Итоги'!$F$5,N2503&lt;='Итоги'!$B$5,O2503&gt;='Итоги'!$D$5),"Да","Нет")</x:f>
        <x:v>Нет</x:v>
      </x:c>
    </x:row>
    <x:row r="2504" ht="60" customHeight="1">
      <x:c r="A2504" s="14" t="str">
        <x:v>Строительство и ремонт (DIY)</x:v>
      </x:c>
      <x:c r="B2504" s="14" t="str">
        <x:v>Инструменты</x:v>
      </x:c>
      <x:c r="C2504" s="14" t="str">
        <x:v>Оснастка для инструмента</x:v>
      </x:c>
      <x:c r="D2504" s="14" t="str">
        <x:v>Запчасти для ручного инструмента</x:v>
      </x:c>
      <x:c r="E2504" s="2" t="n">
        <x:v>3</x:v>
      </x:c>
      <x:c r="F2504" s="2" t="n">
        <x:v>0</x:v>
      </x:c>
      <x:c r="G2504" s="12" t="n">
        <x:v>307233</x:v>
      </x:c>
      <x:c r="H2504" s="12" t="n">
        <x:v>18036.942000000003</x:v>
      </x:c>
      <x:c r="I2504" s="13" t="n">
        <x:v>0.0614333333333333</x:v>
      </x:c>
      <x:c r="J2504" s="2" t="n">
        <x:v>0</x:v>
      </x:c>
      <x:c r="K2504" s="2" t="n">
        <x:v>3</x:v>
      </x:c>
      <x:c r="L2504" s="12" t="n">
        <x:v>3273.6923</x:v>
      </x:c>
      <x:c r="M2504" s="13" t="n">
        <x:v>0.4155608284266338</x:v>
      </x:c>
      <x:c r="N2504" s="13" t="n">
        <x:f>H2504/G2504</x:f>
        <x:v>0.05870769741531672</x:v>
      </x:c>
      <x:c r="O2504" s="13" t="n">
        <x:f>F2504/E2504</x:f>
        <x:v>0</x:v>
      </x:c>
      <x:c r="P2504" s="2" t="str">
        <x:f>IF(AND(E2504&gt;='Итоги'!$F$5,N2504&lt;='Итоги'!$B$5,O2504&gt;='Итоги'!$D$5),"Да","Нет")</x:f>
        <x:v>Нет</x:v>
      </x:c>
    </x:row>
    <x:row r="2505" ht="60" customHeight="1">
      <x:c r="A2505" s="14" t="str">
        <x:v>Аудио и видеотехника</x:v>
      </x:c>
      <x:c r="B2505" s="14" t="str">
        <x:v>Домашняя Аудио и Видеотехника TV&amp;Audio</x:v>
      </x:c>
      <x:c r="C2505" s="14" t="str">
        <x:v>Hi-Fi TV&amp;Audio</x:v>
      </x:c>
      <x:c r="D2505" s="14" t="str">
        <x:v>HiFi усилитель</x:v>
      </x:c>
      <x:c r="E2505" s="2" t="n">
        <x:v>41</x:v>
      </x:c>
      <x:c r="F2505" s="2" t="n">
        <x:v>0</x:v>
      </x:c>
      <x:c r="G2505" s="12" t="n">
        <x:v>7568301.2551</x:v>
      </x:c>
      <x:c r="H2505" s="12" t="n">
        <x:v>444975.67455822</x:v>
      </x:c>
      <x:c r="I2505" s="13" t="n">
        <x:v>0.0637121951219512</x:v>
      </x:c>
      <x:c r="J2505" s="2" t="n">
        <x:v>11</x:v>
      </x:c>
      <x:c r="K2505" s="2" t="n">
        <x:v>14</x:v>
      </x:c>
      <x:c r="L2505" s="12" t="n">
        <x:v>3853.5032</x:v>
      </x:c>
      <x:c r="M2505" s="13" t="n">
        <x:v>0.3188383777500828</x:v>
      </x:c>
      <x:c r="N2505" s="13" t="n">
        <x:f>H2505/G2505</x:f>
        <x:v>0.058794656761101745</x:v>
      </x:c>
      <x:c r="O2505" s="13" t="n">
        <x:f>F2505/E2505</x:f>
        <x:v>0</x:v>
      </x:c>
      <x:c r="P2505" s="2" t="str">
        <x:f>IF(AND(E2505&gt;='Итоги'!$F$5,N2505&lt;='Итоги'!$B$5,O2505&gt;='Итоги'!$D$5),"Да","Нет")</x:f>
        <x:v>Нет</x:v>
      </x:c>
    </x:row>
    <x:row r="2506" ht="60" customHeight="1">
      <x:c r="A2506" s="14" t="str">
        <x:v>Товары для красоты и здоровья</x:v>
      </x:c>
      <x:c r="B2506" s="14" t="str">
        <x:v>Косметика для ухода за волосами</x:v>
      </x:c>
      <x:c r="C2506" s="14" t="str">
        <x:v>Уход за волосами для женщин</x:v>
      </x:c>
      <x:c r="D2506" s="14" t="str">
        <x:v>Маска для волос женская</x:v>
      </x:c>
      <x:c r="E2506" s="2" t="n">
        <x:v>177</x:v>
      </x:c>
      <x:c r="F2506" s="2" t="n">
        <x:v>0</x:v>
      </x:c>
      <x:c r="G2506" s="12" t="n">
        <x:v>26122487.562</x:v>
      </x:c>
      <x:c r="H2506" s="12" t="n">
        <x:v>1536121.96262435</x:v>
      </x:c>
      <x:c r="I2506" s="13" t="n">
        <x:v>0.0551553672316384</x:v>
      </x:c>
      <x:c r="J2506" s="2" t="n">
        <x:v>57</x:v>
      </x:c>
      <x:c r="K2506" s="2" t="n">
        <x:v>46</x:v>
      </x:c>
      <x:c r="L2506" s="12" t="n">
        <x:v>1463.9683</x:v>
      </x:c>
      <x:c r="M2506" s="13" t="n">
        <x:v>0.4631939369205163</x:v>
      </x:c>
      <x:c r="N2506" s="13" t="n">
        <x:f>H2506/G2506</x:f>
        <x:v>0.05880458202835645</x:v>
      </x:c>
      <x:c r="O2506" s="13" t="n">
        <x:f>F2506/E2506</x:f>
        <x:v>0</x:v>
      </x:c>
      <x:c r="P2506" s="2" t="str">
        <x:f>IF(AND(E2506&gt;='Итоги'!$F$5,N2506&lt;='Итоги'!$B$5,O2506&gt;='Итоги'!$D$5),"Да","Нет")</x:f>
        <x:v>Нет</x:v>
      </x:c>
    </x:row>
    <x:row r="2507" ht="60" customHeight="1">
      <x:c r="A2507" s="14" t="str">
        <x:v>Автотовары</x:v>
      </x:c>
      <x:c r="B2507" s="14" t="str">
        <x:v>Электронные устройства для авто</x:v>
      </x:c>
      <x:c r="C2507" s="14" t="str">
        <x:v>Автоэлектроника</x:v>
      </x:c>
      <x:c r="D2507" s="14" t="str">
        <x:v>Радар-детектор</x:v>
      </x:c>
      <x:c r="E2507" s="2" t="n">
        <x:v>36</x:v>
      </x:c>
      <x:c r="F2507" s="2" t="n">
        <x:v>0</x:v>
      </x:c>
      <x:c r="G2507" s="12" t="n">
        <x:v>8782274.7849</x:v>
      </x:c>
      <x:c r="H2507" s="12" t="n">
        <x:v>516851.35593096</x:v>
      </x:c>
      <x:c r="I2507" s="13" t="n">
        <x:v>0.0614777777777777</x:v>
      </x:c>
      <x:c r="J2507" s="2" t="n">
        <x:v>10</x:v>
      </x:c>
      <x:c r="K2507" s="2" t="n">
        <x:v>3</x:v>
      </x:c>
      <x:c r="L2507" s="12" t="n">
        <x:v>7848.2227</x:v>
      </x:c>
      <x:c r="M2507" s="13" t="n">
        <x:v>0.7699204500553546</x:v>
      </x:c>
      <x:c r="N2507" s="13" t="n">
        <x:f>H2507/G2507</x:f>
        <x:v>0.05885164932662092</x:v>
      </x:c>
      <x:c r="O2507" s="13" t="n">
        <x:f>F2507/E2507</x:f>
        <x:v>0</x:v>
      </x:c>
      <x:c r="P2507" s="2" t="str">
        <x:f>IF(AND(E2507&gt;='Итоги'!$F$5,N2507&lt;='Итоги'!$B$5,O2507&gt;='Итоги'!$D$5),"Да","Нет")</x:f>
        <x:v>Нет</x:v>
      </x:c>
    </x:row>
    <x:row r="2508" ht="60" customHeight="1">
      <x:c r="A2508" s="14" t="str">
        <x:v>Аптека</x:v>
      </x:c>
      <x:c r="B2508" s="14" t="str">
        <x:v>Ортопедия и компрессионный трикотаж</x:v>
      </x:c>
      <x:c r="C2508" s="14" t="str">
        <x:v>Компрессионный трикотаж</x:v>
      </x:c>
      <x:c r="D2508" s="14" t="str">
        <x:v>Компрессионные гольфы</x:v>
      </x:c>
      <x:c r="E2508" s="2" t="n">
        <x:v>8</x:v>
      </x:c>
      <x:c r="F2508" s="2" t="n">
        <x:v>0</x:v>
      </x:c>
      <x:c r="G2508" s="12" t="n">
        <x:v>813612.591</x:v>
      </x:c>
      <x:c r="H2508" s="12" t="n">
        <x:v>47929.239465000006</x:v>
      </x:c>
      <x:c r="I2508" s="13" t="n">
        <x:v>0.0521875</x:v>
      </x:c>
      <x:c r="J2508" s="2" t="n">
        <x:v>3</x:v>
      </x:c>
      <x:c r="K2508" s="2" t="n">
        <x:v>3</x:v>
      </x:c>
      <x:c r="L2508" s="12" t="n">
        <x:v>1032.8692</x:v>
      </x:c>
      <x:c r="M2508" s="13" t="n">
        <x:v>0.5618362368730845</x:v>
      </x:c>
      <x:c r="N2508" s="13" t="n">
        <x:f>H2508/G2508</x:f>
        <x:v>0.05890916634671403</x:v>
      </x:c>
      <x:c r="O2508" s="13" t="n">
        <x:f>F2508/E2508</x:f>
        <x:v>0</x:v>
      </x:c>
      <x:c r="P2508" s="2" t="str">
        <x:f>IF(AND(E2508&gt;='Итоги'!$F$5,N2508&lt;='Итоги'!$B$5,O2508&gt;='Итоги'!$D$5),"Да","Нет")</x:f>
        <x:v>Нет</x:v>
      </x:c>
    </x:row>
    <x:row r="2509" ht="60" customHeight="1">
      <x:c r="A2509" s="14" t="str">
        <x:v>Аксессуары</x:v>
      </x:c>
      <x:c r="B2509" s="14" t="str">
        <x:v>Ювелирные изделия</x:v>
      </x:c>
      <x:c r="C2509" s="14" t="str">
        <x:v>Брошь ювелирная</x:v>
      </x:c>
      <x:c r="D2509" s="14" t="str">
        <x:v>Серебро брошь</x:v>
      </x:c>
      <x:c r="E2509" s="2" t="n">
        <x:v>10</x:v>
      </x:c>
      <x:c r="F2509" s="2" t="n">
        <x:v>0</x:v>
      </x:c>
      <x:c r="G2509" s="12" t="n">
        <x:v>694875.9299999999</x:v>
      </x:c>
      <x:c r="H2509" s="12" t="n">
        <x:v>41019.558964</x:v>
      </x:c>
      <x:c r="I2509" s="13" t="n">
        <x:v>0.03411</x:v>
      </x:c>
      <x:c r="J2509" s="2" t="n">
        <x:v>8</x:v>
      </x:c>
      <x:c r="K2509" s="2" t="n">
        <x:v>2</x:v>
      </x:c>
      <x:c r="L2509" s="12" t="n">
        <x:v>3106.0782</x:v>
      </x:c>
      <x:c r="M2509" s="13" t="n">
        <x:v>0.9942838716546132</x:v>
      </x:c>
      <x:c r="N2509" s="13" t="n">
        <x:f>H2509/G2509</x:f>
        <x:v>0.05903148633166788</x:v>
      </x:c>
      <x:c r="O2509" s="13" t="n">
        <x:f>F2509/E2509</x:f>
        <x:v>0</x:v>
      </x:c>
      <x:c r="P2509" s="2" t="str">
        <x:f>IF(AND(E2509&gt;='Итоги'!$F$5,N2509&lt;='Итоги'!$B$5,O2509&gt;='Итоги'!$D$5),"Да","Нет")</x:f>
        <x:v>Нет</x:v>
      </x:c>
    </x:row>
    <x:row r="2510" ht="60" customHeight="1">
      <x:c r="A2510" s="14" t="str">
        <x:v>Товары для дома</x:v>
      </x:c>
      <x:c r="B2510" s="14" t="str">
        <x:v>Аксессуары для уборки и стирки</x:v>
      </x:c>
      <x:c r="C2510" s="14" t="str">
        <x:v>Аксессуар для уборки</x:v>
      </x:c>
      <x:c r="D2510" s="14" t="str">
        <x:v>Перчатки хозяйственные</x:v>
      </x:c>
      <x:c r="E2510" s="2" t="n">
        <x:v>11</x:v>
      </x:c>
      <x:c r="F2510" s="2" t="n">
        <x:v>0</x:v>
      </x:c>
      <x:c r="G2510" s="12" t="n">
        <x:v>1480636.2241</x:v>
      </x:c>
      <x:c r="H2510" s="12" t="n">
        <x:v>87573.99791339</x:v>
      </x:c>
      <x:c r="I2510" s="13" t="n">
        <x:v>0.0693454545454545</x:v>
      </x:c>
      <x:c r="J2510" s="2" t="n">
        <x:v>3</x:v>
      </x:c>
      <x:c r="K2510" s="2" t="n">
        <x:v>5</x:v>
      </x:c>
      <x:c r="L2510" s="12" t="n">
        <x:v>1526.9821</x:v>
      </x:c>
      <x:c r="M2510" s="13" t="n">
        <x:v>0.513305549080413</x:v>
      </x:c>
      <x:c r="N2510" s="13" t="n">
        <x:f>H2510/G2510</x:f>
        <x:v>0.05914619437777269</x:v>
      </x:c>
      <x:c r="O2510" s="13" t="n">
        <x:f>F2510/E2510</x:f>
        <x:v>0</x:v>
      </x:c>
      <x:c r="P2510" s="2" t="str">
        <x:f>IF(AND(E2510&gt;='Итоги'!$F$5,N2510&lt;='Итоги'!$B$5,O2510&gt;='Итоги'!$D$5),"Да","Нет")</x:f>
        <x:v>Нет</x:v>
      </x:c>
    </x:row>
    <x:row r="2511" ht="60" customHeight="1">
      <x:c r="A2511" s="14" t="str">
        <x:v>Товары для животных</x:v>
      </x:c>
      <x:c r="B2511" s="14" t="str">
        <x:v>Спальное место животного</x:v>
      </x:c>
      <x:c r="C2511" s="14" t="str">
        <x:v>Аквариум Оборудование</x:v>
      </x:c>
      <x:c r="D2511" s="14" t="str">
        <x:v>Фильтр для аквариума</x:v>
      </x:c>
      <x:c r="E2511" s="2" t="n">
        <x:v>57</x:v>
      </x:c>
      <x:c r="F2511" s="2" t="n">
        <x:v>0</x:v>
      </x:c>
      <x:c r="G2511" s="12" t="n">
        <x:v>9248271.2678</x:v>
      </x:c>
      <x:c r="H2511" s="12" t="n">
        <x:v>547685.47955122</x:v>
      </x:c>
      <x:c r="I2511" s="13" t="n">
        <x:v>0.0548877192982456</x:v>
      </x:c>
      <x:c r="J2511" s="2" t="n">
        <x:v>22</x:v>
      </x:c>
      <x:c r="K2511" s="2" t="n">
        <x:v>12</x:v>
      </x:c>
      <x:c r="L2511" s="12" t="n">
        <x:v>2604.5313</x:v>
      </x:c>
      <x:c r="M2511" s="13" t="n">
        <x:v>0.7428635861731487</x:v>
      </x:c>
      <x:c r="N2511" s="13" t="n">
        <x:f>H2511/G2511</x:f>
        <x:v>0.05922030871413925</x:v>
      </x:c>
      <x:c r="O2511" s="13" t="n">
        <x:f>F2511/E2511</x:f>
        <x:v>0</x:v>
      </x:c>
      <x:c r="P2511" s="2" t="str">
        <x:f>IF(AND(E2511&gt;='Итоги'!$F$5,N2511&lt;='Итоги'!$B$5,O2511&gt;='Итоги'!$D$5),"Да","Нет")</x:f>
        <x:v>Нет</x:v>
      </x:c>
    </x:row>
    <x:row r="2512" ht="60" customHeight="1">
      <x:c r="A2512" s="14" t="str">
        <x:v>Автотовары</x:v>
      </x:c>
      <x:c r="B2512" s="14" t="str">
        <x:v>Автоинструменты и гаражное оборудование</x:v>
      </x:c>
      <x:c r="C2512" s="14" t="str">
        <x:v>Инструменты для авто</x:v>
      </x:c>
      <x:c r="D2512" s="14" t="str">
        <x:v>Автомобильная лебедка</x:v>
      </x:c>
      <x:c r="E2512" s="2" t="n">
        <x:v>51</x:v>
      </x:c>
      <x:c r="F2512" s="2" t="n">
        <x:v>0</x:v>
      </x:c>
      <x:c r="G2512" s="12" t="n">
        <x:v>7898771.9286</x:v>
      </x:c>
      <x:c r="H2512" s="12" t="n">
        <x:v>467797.87112901</x:v>
      </x:c>
      <x:c r="I2512" s="13" t="n">
        <x:v>0.0493647058823529</x:v>
      </x:c>
      <x:c r="J2512" s="2" t="n">
        <x:v>23</x:v>
      </x:c>
      <x:c r="K2512" s="2" t="n">
        <x:v>9</x:v>
      </x:c>
      <x:c r="L2512" s="12" t="n">
        <x:v>5221.7692</x:v>
      </x:c>
      <x:c r="M2512" s="13" t="n">
        <x:v>0.8614921129778828</x:v>
      </x:c>
      <x:c r="N2512" s="13" t="n">
        <x:f>H2512/G2512</x:f>
        <x:v>0.05922412690955159</x:v>
      </x:c>
      <x:c r="O2512" s="13" t="n">
        <x:f>F2512/E2512</x:f>
        <x:v>0</x:v>
      </x:c>
      <x:c r="P2512" s="2" t="str">
        <x:f>IF(AND(E2512&gt;='Итоги'!$F$5,N2512&lt;='Итоги'!$B$5,O2512&gt;='Итоги'!$D$5),"Да","Нет")</x:f>
        <x:v>Нет</x:v>
      </x:c>
    </x:row>
    <x:row r="2513" ht="60" customHeight="1">
      <x:c r="A2513" s="14" t="str">
        <x:v>Мелкая бытовая техника</x:v>
      </x:c>
      <x:c r="B2513" s="14" t="str">
        <x:v>Мелкая бытовая техника SDA</x:v>
      </x:c>
      <x:c r="C2513" s="14" t="str">
        <x:v>Электронная кухонная техника SDA</x:v>
      </x:c>
      <x:c r="D2513" s="14" t="str">
        <x:v>Миксер ручной электрический</x:v>
      </x:c>
      <x:c r="E2513" s="2" t="n">
        <x:v>45</x:v>
      </x:c>
      <x:c r="F2513" s="2" t="n">
        <x:v>0</x:v>
      </x:c>
      <x:c r="G2513" s="12" t="n">
        <x:v>8825551.6347</x:v>
      </x:c>
      <x:c r="H2513" s="12" t="n">
        <x:v>523014.712349</x:v>
      </x:c>
      <x:c r="I2513" s="13" t="n">
        <x:v>0.05206</x:v>
      </x:c>
      <x:c r="J2513" s="2" t="n">
        <x:v>16</x:v>
      </x:c>
      <x:c r="K2513" s="2" t="n">
        <x:v>6</x:v>
      </x:c>
      <x:c r="L2513" s="12" t="n">
        <x:v>2202.8792</x:v>
      </x:c>
      <x:c r="M2513" s="13" t="n">
        <x:v>0.6232775015413508</x:v>
      </x:c>
      <x:c r="N2513" s="13" t="n">
        <x:f>H2513/G2513</x:f>
        <x:v>0.059261418888835085</x:v>
      </x:c>
      <x:c r="O2513" s="13" t="n">
        <x:f>F2513/E2513</x:f>
        <x:v>0</x:v>
      </x:c>
      <x:c r="P2513" s="2" t="str">
        <x:f>IF(AND(E2513&gt;='Итоги'!$F$5,N2513&lt;='Итоги'!$B$5,O2513&gt;='Итоги'!$D$5),"Да","Нет")</x:f>
        <x:v>Нет</x:v>
      </x:c>
    </x:row>
    <x:row r="2514" ht="60" customHeight="1">
      <x:c r="A2514" s="14" t="str">
        <x:v>Строительство и ремонт (DIY)</x:v>
      </x:c>
      <x:c r="B2514" s="14" t="str">
        <x:v>Инструменты</x:v>
      </x:c>
      <x:c r="C2514" s="14" t="str">
        <x:v>Оснастка для инструмента</x:v>
      </x:c>
      <x:c r="D2514" s="14" t="str">
        <x:v>Прочая оснастка</x:v>
      </x:c>
      <x:c r="E2514" s="2" t="n">
        <x:v>60</x:v>
      </x:c>
      <x:c r="F2514" s="2" t="n">
        <x:v>0</x:v>
      </x:c>
      <x:c r="G2514" s="12" t="n">
        <x:v>10848503.2272</x:v>
      </x:c>
      <x:c r="H2514" s="12" t="n">
        <x:v>643042.52959819</x:v>
      </x:c>
      <x:c r="I2514" s="13" t="n">
        <x:v>0.0572416666666666</x:v>
      </x:c>
      <x:c r="J2514" s="2" t="n">
        <x:v>22</x:v>
      </x:c>
      <x:c r="K2514" s="2" t="n">
        <x:v>22</x:v>
      </x:c>
      <x:c r="L2514" s="12" t="n">
        <x:v>1543.87265</x:v>
      </x:c>
      <x:c r="M2514" s="13" t="n">
        <x:v>0.7526167976821746</x:v>
      </x:c>
      <x:c r="N2514" s="13" t="n">
        <x:f>H2514/G2514</x:f>
        <x:v>0.0592747696277507</x:v>
      </x:c>
      <x:c r="O2514" s="13" t="n">
        <x:f>F2514/E2514</x:f>
        <x:v>0</x:v>
      </x:c>
      <x:c r="P2514" s="2" t="str">
        <x:f>IF(AND(E2514&gt;='Итоги'!$F$5,N2514&lt;='Итоги'!$B$5,O2514&gt;='Итоги'!$D$5),"Да","Нет")</x:f>
        <x:v>Нет</x:v>
      </x:c>
    </x:row>
    <x:row r="2515" ht="60" customHeight="1">
      <x:c r="A2515" s="14" t="str">
        <x:v>Спорт и отдых</x:v>
      </x:c>
      <x:c r="B2515" s="14" t="str">
        <x:v>Колесный транспорт</x:v>
      </x:c>
      <x:c r="C2515" s="14" t="str">
        <x:v>Велосипед</x:v>
      </x:c>
      <x:c r="D2515" s="14" t="str">
        <x:v>Велосипед ВМХ</x:v>
      </x:c>
      <x:c r="E2515" s="2" t="n">
        <x:v>26</x:v>
      </x:c>
      <x:c r="F2515" s="2" t="n">
        <x:v>0</x:v>
      </x:c>
      <x:c r="G2515" s="12" t="n">
        <x:v>4823175.95</x:v>
      </x:c>
      <x:c r="H2515" s="12" t="n">
        <x:v>285946.4865</x:v>
      </x:c>
      <x:c r="I2515" s="13" t="n">
        <x:v>0.0433846153846153</x:v>
      </x:c>
      <x:c r="J2515" s="2" t="n">
        <x:v>13</x:v>
      </x:c>
      <x:c r="K2515" s="2" t="n">
        <x:v>8</x:v>
      </x:c>
      <x:c r="L2515" s="12" t="n">
        <x:v>15092.5833</x:v>
      </x:c>
      <x:c r="M2515" s="13" t="n">
        <x:v>0.3043805565500881</x:v>
      </x:c>
      <x:c r="N2515" s="13" t="n">
        <x:f>H2515/G2515</x:f>
        <x:v>0.05928593305827874</x:v>
      </x:c>
      <x:c r="O2515" s="13" t="n">
        <x:f>F2515/E2515</x:f>
        <x:v>0</x:v>
      </x:c>
      <x:c r="P2515" s="2" t="str">
        <x:f>IF(AND(E2515&gt;='Итоги'!$F$5,N2515&lt;='Итоги'!$B$5,O2515&gt;='Итоги'!$D$5),"Да","Нет")</x:f>
        <x:v>Нет</x:v>
      </x:c>
    </x:row>
    <x:row r="2516" ht="60" customHeight="1">
      <x:c r="A2516" s="14" t="str">
        <x:v>Строительство и ремонт (DIY)</x:v>
      </x:c>
      <x:c r="B2516" s="14" t="str">
        <x:v>Сад и огород</x:v>
      </x:c>
      <x:c r="C2516" s="14" t="str">
        <x:v>Ландшафт и садовый декор</x:v>
      </x:c>
      <x:c r="D2516" s="14" t="str">
        <x:v>Аксессуары для садовых ворот, забора, ограждения</x:v>
      </x:c>
      <x:c r="E2516" s="2" t="n">
        <x:v>11</x:v>
      </x:c>
      <x:c r="F2516" s="2" t="n">
        <x:v>0</x:v>
      </x:c>
      <x:c r="G2516" s="12" t="n">
        <x:v>1212055.7151</x:v>
      </x:c>
      <x:c r="H2516" s="12" t="n">
        <x:v>71886.14649764</x:v>
      </x:c>
      <x:c r="I2516" s="13" t="n">
        <x:v>0.0495090909090909</x:v>
      </x:c>
      <x:c r="J2516" s="2" t="n">
        <x:v>5</x:v>
      </x:c>
      <x:c r="K2516" s="2" t="n">
        <x:v>5</x:v>
      </x:c>
      <x:c r="L2516" s="12" t="n">
        <x:v>2089.9783</x:v>
      </x:c>
      <x:c r="M2516" s="13" t="n">
        <x:v>0.3492339458711076</x:v>
      </x:c>
      <x:c r="N2516" s="13" t="n">
        <x:f>H2516/G2516</x:f>
        <x:v>0.059309275639782846</x:v>
      </x:c>
      <x:c r="O2516" s="13" t="n">
        <x:f>F2516/E2516</x:f>
        <x:v>0</x:v>
      </x:c>
      <x:c r="P2516" s="2" t="str">
        <x:f>IF(AND(E2516&gt;='Итоги'!$F$5,N2516&lt;='Итоги'!$B$5,O2516&gt;='Итоги'!$D$5),"Да","Нет")</x:f>
        <x:v>Нет</x:v>
      </x:c>
    </x:row>
    <x:row r="2517" ht="60" customHeight="1">
      <x:c r="A2517" s="14" t="str">
        <x:v>Товары для дома</x:v>
      </x:c>
      <x:c r="B2517" s="14" t="str">
        <x:v>Домашний текстиль</x:v>
      </x:c>
      <x:c r="C2517" s="14" t="str">
        <x:v>Постельное белье</x:v>
      </x:c>
      <x:c r="D2517" s="14" t="str">
        <x:v>КПБ 1,5-спальный</x:v>
      </x:c>
      <x:c r="E2517" s="2" t="n">
        <x:v>464</x:v>
      </x:c>
      <x:c r="F2517" s="2" t="n">
        <x:v>0</x:v>
      </x:c>
      <x:c r="G2517" s="12" t="n">
        <x:v>70932958.5753</x:v>
      </x:c>
      <x:c r="H2517" s="12" t="n">
        <x:v>4211358.66019855</x:v>
      </x:c>
      <x:c r="I2517" s="13" t="n">
        <x:v>0.0619290948275862</x:v>
      </x:c>
      <x:c r="J2517" s="2" t="n">
        <x:v>127</x:v>
      </x:c>
      <x:c r="K2517" s="2" t="n">
        <x:v>28</x:v>
      </x:c>
      <x:c r="L2517" s="12" t="n">
        <x:v>1338.12725</x:v>
      </x:c>
      <x:c r="M2517" s="13" t="n">
        <x:v>0.8762208332678042</x:v>
      </x:c>
      <x:c r="N2517" s="13" t="n">
        <x:f>H2517/G2517</x:f>
        <x:v>0.059370971474817534</x:v>
      </x:c>
      <x:c r="O2517" s="13" t="n">
        <x:f>F2517/E2517</x:f>
        <x:v>0</x:v>
      </x:c>
      <x:c r="P2517" s="2" t="str">
        <x:f>IF(AND(E2517&gt;='Итоги'!$F$5,N2517&lt;='Итоги'!$B$5,O2517&gt;='Итоги'!$D$5),"Да","Нет")</x:f>
        <x:v>Нет</x:v>
      </x:c>
    </x:row>
    <x:row r="2518" ht="60" customHeight="1">
      <x:c r="A2518" s="14" t="str">
        <x:v>Школьные принадлежности и канцелярия</x:v>
      </x:c>
      <x:c r="B2518" s="14" t="str">
        <x:v>Товары для школы, канцелярия, оборудование</x:v>
      </x:c>
      <x:c r="C2518" s="14" t="str">
        <x:v>Письменные принадлежности</x:v>
      </x:c>
      <x:c r="D2518" s="14" t="str">
        <x:v>Ручка шариковая</x:v>
      </x:c>
      <x:c r="E2518" s="2" t="n">
        <x:v>23</x:v>
      </x:c>
      <x:c r="F2518" s="2" t="n">
        <x:v>0</x:v>
      </x:c>
      <x:c r="G2518" s="12" t="n">
        <x:v>2102553.0796</x:v>
      </x:c>
      <x:c r="H2518" s="12" t="n">
        <x:v>124832.03375035</x:v>
      </x:c>
      <x:c r="I2518" s="13" t="n">
        <x:v>0.0572304347826087</x:v>
      </x:c>
      <x:c r="J2518" s="2" t="n">
        <x:v>7</x:v>
      </x:c>
      <x:c r="K2518" s="2" t="n">
        <x:v>8</x:v>
      </x:c>
      <x:c r="L2518" s="12" t="n">
        <x:v>1576.7619</x:v>
      </x:c>
      <x:c r="M2518" s="13" t="n">
        <x:v>0.5445502221127375</x:v>
      </x:c>
      <x:c r="N2518" s="13" t="n">
        <x:f>H2518/G2518</x:f>
        <x:v>0.05937164438868705</x:v>
      </x:c>
      <x:c r="O2518" s="13" t="n">
        <x:f>F2518/E2518</x:f>
        <x:v>0</x:v>
      </x:c>
      <x:c r="P2518" s="2" t="str">
        <x:f>IF(AND(E2518&gt;='Итоги'!$F$5,N2518&lt;='Итоги'!$B$5,O2518&gt;='Итоги'!$D$5),"Да","Нет")</x:f>
        <x:v>Нет</x:v>
      </x:c>
    </x:row>
    <x:row r="2519" ht="60" customHeight="1">
      <x:c r="A2519" s="14" t="str">
        <x:v>Аксессуары для электроники</x:v>
      </x:c>
      <x:c r="B2519" s="14" t="str">
        <x:v>Компьютеры Access</x:v>
      </x:c>
      <x:c r="C2519" s="14" t="str">
        <x:v>Аксессуар к компьютерной технике Access</x:v>
      </x:c>
      <x:c r="D2519" s="14" t="str">
        <x:v>Док станция, переходник для жесткого диска</x:v>
      </x:c>
      <x:c r="E2519" s="2" t="n">
        <x:v>6</x:v>
      </x:c>
      <x:c r="F2519" s="2" t="n">
        <x:v>0</x:v>
      </x:c>
      <x:c r="G2519" s="12" t="n">
        <x:v>482916.7496</x:v>
      </x:c>
      <x:c r="H2519" s="12" t="n">
        <x:v>28680.60298917</x:v>
      </x:c>
      <x:c r="I2519" s="13" t="n">
        <x:v>0.06245</x:v>
      </x:c>
      <x:c r="J2519" s="2" t="n">
        <x:v>3</x:v>
      </x:c>
      <x:c r="K2519" s="2" t="n">
        <x:v>6</x:v>
      </x:c>
      <x:c r="L2519" s="12" t="n">
        <x:v>1608.24915</x:v>
      </x:c>
      <x:c r="M2519" s="13" t="n">
        <x:v>0.4718981366638438</x:v>
      </x:c>
      <x:c r="N2519" s="13" t="n">
        <x:f>H2519/G2519</x:f>
        <x:v>0.0593903669999563</x:v>
      </x:c>
      <x:c r="O2519" s="13" t="n">
        <x:f>F2519/E2519</x:f>
        <x:v>0</x:v>
      </x:c>
      <x:c r="P2519" s="2" t="str">
        <x:f>IF(AND(E2519&gt;='Итоги'!$F$5,N2519&lt;='Итоги'!$B$5,O2519&gt;='Итоги'!$D$5),"Да","Нет")</x:f>
        <x:v>Нет</x:v>
      </x:c>
    </x:row>
    <x:row r="2520" ht="60" customHeight="1">
      <x:c r="A2520" s="14" t="str">
        <x:v>Игрушки</x:v>
      </x:c>
      <x:c r="B2520" s="14" t="str">
        <x:v>Игрушки</x:v>
      </x:c>
      <x:c r="C2520" s="14" t="str">
        <x:v>Куклы и аксессуары</x:v>
      </x:c>
      <x:c r="D2520" s="14" t="str">
        <x:v>Аксессуары для кукол</x:v>
      </x:c>
      <x:c r="E2520" s="2" t="n">
        <x:v>5</x:v>
      </x:c>
      <x:c r="F2520" s="2" t="n">
        <x:v>0</x:v>
      </x:c>
      <x:c r="G2520" s="12" t="n">
        <x:v>528869.1693</x:v>
      </x:c>
      <x:c r="H2520" s="12" t="n">
        <x:v>31410.33565165</x:v>
      </x:c>
      <x:c r="I2520" s="13" t="n">
        <x:v>0.06588</x:v>
      </x:c>
      <x:c r="J2520" s="2" t="n">
        <x:v>0</x:v>
      </x:c>
      <x:c r="K2520" s="2" t="n">
        <x:v>4</x:v>
      </x:c>
      <x:c r="L2520" s="12" t="n">
        <x:v>1297</x:v>
      </x:c>
      <x:c r="M2520" s="13" t="n">
        <x:v>0.3442907846963429</x:v>
      </x:c>
      <x:c r="N2520" s="13" t="n">
        <x:f>H2520/G2520</x:f>
        <x:v>0.05939150450615992</x:v>
      </x:c>
      <x:c r="O2520" s="13" t="n">
        <x:f>F2520/E2520</x:f>
        <x:v>0</x:v>
      </x:c>
      <x:c r="P2520" s="2" t="str">
        <x:f>IF(AND(E2520&gt;='Итоги'!$F$5,N2520&lt;='Итоги'!$B$5,O2520&gt;='Итоги'!$D$5),"Да","Нет")</x:f>
        <x:v>Нет</x:v>
      </x:c>
    </x:row>
    <x:row r="2521" ht="60" customHeight="1">
      <x:c r="A2521" s="14" t="str">
        <x:v>Одежда</x:v>
      </x:c>
      <x:c r="B2521" s="14" t="str">
        <x:v>Основная одежда женская</x:v>
      </x:c>
      <x:c r="C2521" s="14" t="str">
        <x:v>Основная одежда для беременных и кормящих</x:v>
      </x:c>
      <x:c r="D2521" s="14" t="str">
        <x:v>Халат для беременных и кормящих</x:v>
      </x:c>
      <x:c r="E2521" s="2" t="n">
        <x:v>88</x:v>
      </x:c>
      <x:c r="F2521" s="2" t="n">
        <x:v>0</x:v>
      </x:c>
      <x:c r="G2521" s="12" t="n">
        <x:v>6681915.7197</x:v>
      </x:c>
      <x:c r="H2521" s="12" t="n">
        <x:v>396900.59832919</x:v>
      </x:c>
      <x:c r="I2521" s="13" t="n">
        <x:v>0.0480056818181818</x:v>
      </x:c>
      <x:c r="J2521" s="2" t="n">
        <x:v>35</x:v>
      </x:c>
      <x:c r="K2521" s="2" t="n">
        <x:v>20</x:v>
      </x:c>
      <x:c r="L2521" s="12" t="n">
        <x:v>1030.98545</x:v>
      </x:c>
      <x:c r="M2521" s="13" t="n">
        <x:v>0.2473757515119051</x:v>
      </x:c>
      <x:c r="N2521" s="13" t="n">
        <x:f>H2521/G2521</x:f>
        <x:v>0.05939922246535156</x:v>
      </x:c>
      <x:c r="O2521" s="13" t="n">
        <x:f>F2521/E2521</x:f>
        <x:v>0</x:v>
      </x:c>
      <x:c r="P2521" s="2" t="str">
        <x:f>IF(AND(E2521&gt;='Итоги'!$F$5,N2521&lt;='Итоги'!$B$5,O2521&gt;='Итоги'!$D$5),"Да","Нет")</x:f>
        <x:v>Нет</x:v>
      </x:c>
    </x:row>
    <x:row r="2522" ht="60" customHeight="1">
      <x:c r="A2522" s="14" t="str">
        <x:v>Спорт и отдых</x:v>
      </x:c>
      <x:c r="B2522" s="14" t="str">
        <x:v>Товары для охоты</x:v>
      </x:c>
      <x:c r="C2522" s="14" t="str">
        <x:v>Средства связи для охоты, рыбалки</x:v>
      </x:c>
      <x:c r="D2522" s="14" t="str">
        <x:v>Аккумуляторы для рации, радиостанции</x:v>
      </x:c>
      <x:c r="E2522" s="2" t="n">
        <x:v>9</x:v>
      </x:c>
      <x:c r="F2522" s="2" t="n">
        <x:v>0</x:v>
      </x:c>
      <x:c r="G2522" s="12" t="n">
        <x:v>1393209.75</x:v>
      </x:c>
      <x:c r="H2522" s="12" t="n">
        <x:v>82764.5705</x:v>
      </x:c>
      <x:c r="I2522" s="13" t="n">
        <x:v>0.0604555555555555</x:v>
      </x:c>
      <x:c r="J2522" s="2" t="n">
        <x:v>3</x:v>
      </x:c>
      <x:c r="K2522" s="2" t="n">
        <x:v>4</x:v>
      </x:c>
      <x:c r="L2522" s="12" t="n">
        <x:v>897.7274</x:v>
      </x:c>
      <x:c r="M2522" s="13" t="n">
        <x:v>0.450199261094749</x:v>
      </x:c>
      <x:c r="N2522" s="13" t="n">
        <x:f>H2522/G2522</x:f>
        <x:v>0.0594056785060541</x:v>
      </x:c>
      <x:c r="O2522" s="13" t="n">
        <x:f>F2522/E2522</x:f>
        <x:v>0</x:v>
      </x:c>
      <x:c r="P2522" s="2" t="str">
        <x:f>IF(AND(E2522&gt;='Итоги'!$F$5,N2522&lt;='Итоги'!$B$5,O2522&gt;='Итоги'!$D$5),"Да","Нет")</x:f>
        <x:v>Нет</x:v>
      </x:c>
    </x:row>
    <x:row r="2523" ht="60" customHeight="1">
      <x:c r="A2523" s="14" t="str">
        <x:v>Автотовары</x:v>
      </x:c>
      <x:c r="B2523" s="14" t="str">
        <x:v>Авто и мото запчасти</x:v>
      </x:c>
      <x:c r="C2523" s="14" t="str">
        <x:v>Система зажигания</x:v>
      </x:c>
      <x:c r="D2523" s="14" t="str">
        <x:v>Катушки и провода зажигания</x:v>
      </x:c>
      <x:c r="E2523" s="2" t="n">
        <x:v>110</x:v>
      </x:c>
      <x:c r="F2523" s="2" t="n">
        <x:v>0</x:v>
      </x:c>
      <x:c r="G2523" s="12" t="n">
        <x:v>14769131.2438</x:v>
      </x:c>
      <x:c r="H2523" s="12" t="n">
        <x:v>877437.45803915</x:v>
      </x:c>
      <x:c r="I2523" s="13" t="n">
        <x:v>0.0550036363636363</x:v>
      </x:c>
      <x:c r="J2523" s="2" t="n">
        <x:v>42</x:v>
      </x:c>
      <x:c r="K2523" s="2" t="n">
        <x:v>34</x:v>
      </x:c>
      <x:c r="L2523" s="12" t="n">
        <x:v>1502.9531000000002</x:v>
      </x:c>
      <x:c r="M2523" s="13" t="n">
        <x:v>0.5193669030884992</x:v>
      </x:c>
      <x:c r="N2523" s="13" t="n">
        <x:f>H2523/G2523</x:f>
        <x:v>0.05941022823583435</x:v>
      </x:c>
      <x:c r="O2523" s="13" t="n">
        <x:f>F2523/E2523</x:f>
        <x:v>0</x:v>
      </x:c>
      <x:c r="P2523" s="2" t="str">
        <x:f>IF(AND(E2523&gt;='Итоги'!$F$5,N2523&lt;='Итоги'!$B$5,O2523&gt;='Итоги'!$D$5),"Да","Нет")</x:f>
        <x:v>Нет</x:v>
      </x:c>
    </x:row>
    <x:row r="2524" ht="60" customHeight="1">
      <x:c r="A2524" s="14" t="str">
        <x:v>Товары для животных</x:v>
      </x:c>
      <x:c r="B2524" s="14" t="str">
        <x:v>Гигиена и уход животных</x:v>
      </x:c>
      <x:c r="C2524" s="14" t="str">
        <x:v>Товары для груминга</x:v>
      </x:c>
      <x:c r="D2524" s="14" t="str">
        <x:v>Зубная щетка для животных</x:v>
      </x:c>
      <x:c r="E2524" s="2" t="n">
        <x:v>2</x:v>
      </x:c>
      <x:c r="F2524" s="2" t="n">
        <x:v>0</x:v>
      </x:c>
      <x:c r="G2524" s="12" t="n">
        <x:v>326562.7533</x:v>
      </x:c>
      <x:c r="H2524" s="12" t="n">
        <x:v>19403.34023564</x:v>
      </x:c>
      <x:c r="I2524" s="13" t="n">
        <x:v>0.0926</x:v>
      </x:c>
      <x:c r="J2524" s="2" t="n">
        <x:v>1</x:v>
      </x:c>
      <x:c r="K2524" s="2" t="n">
        <x:v>2</x:v>
      </x:c>
      <x:c r="L2524" s="12" t="n">
        <x:v>1646.28785</x:v>
      </x:c>
      <x:c r="M2524" s="13" t="n">
        <x:v>0.6791745089074738</x:v>
      </x:c>
      <x:c r="N2524" s="13" t="n">
        <x:f>H2524/G2524</x:f>
        <x:v>0.059416880950335864</x:v>
      </x:c>
      <x:c r="O2524" s="13" t="n">
        <x:f>F2524/E2524</x:f>
        <x:v>0</x:v>
      </x:c>
      <x:c r="P2524" s="2" t="str">
        <x:f>IF(AND(E2524&gt;='Итоги'!$F$5,N2524&lt;='Итоги'!$B$5,O2524&gt;='Итоги'!$D$5),"Да","Нет")</x:f>
        <x:v>Нет</x:v>
      </x:c>
    </x:row>
    <x:row r="2525" ht="60" customHeight="1">
      <x:c r="A2525" s="14" t="str">
        <x:v>Аксессуары</x:v>
      </x:c>
      <x:c r="B2525" s="14" t="str">
        <x:v>Сумки и рюкзаки</x:v>
      </x:c>
      <x:c r="C2525" s="14" t="str">
        <x:v>Сумка женская</x:v>
      </x:c>
      <x:c r="D2525" s="14" t="str">
        <x:v>Женская Сумка-шоппер</x:v>
      </x:c>
      <x:c r="E2525" s="2" t="n">
        <x:v>170</x:v>
      </x:c>
      <x:c r="F2525" s="2" t="n">
        <x:v>0</x:v>
      </x:c>
      <x:c r="G2525" s="12" t="n">
        <x:v>19759023.5309</x:v>
      </x:c>
      <x:c r="H2525" s="12" t="n">
        <x:v>1177300.37604554</x:v>
      </x:c>
      <x:c r="I2525" s="13" t="n">
        <x:v>0.05148</x:v>
      </x:c>
      <x:c r="J2525" s="2" t="n">
        <x:v>79</x:v>
      </x:c>
      <x:c r="K2525" s="2" t="n">
        <x:v>46</x:v>
      </x:c>
      <x:c r="L2525" s="12" t="n">
        <x:v>5163.84585</x:v>
      </x:c>
      <x:c r="M2525" s="13" t="n">
        <x:v>0.3537932311820869</x:v>
      </x:c>
      <x:c r="N2525" s="13" t="n">
        <x:f>H2525/G2525</x:f>
        <x:v>0.05958292292149091</x:v>
      </x:c>
      <x:c r="O2525" s="13" t="n">
        <x:f>F2525/E2525</x:f>
        <x:v>0</x:v>
      </x:c>
      <x:c r="P2525" s="2" t="str">
        <x:f>IF(AND(E2525&gt;='Итоги'!$F$5,N2525&lt;='Итоги'!$B$5,O2525&gt;='Итоги'!$D$5),"Да","Нет")</x:f>
        <x:v>Нет</x:v>
      </x:c>
    </x:row>
    <x:row r="2526" ht="60" customHeight="1">
      <x:c r="A2526" s="14" t="str">
        <x:v>Бакалея и кондитерские изделия</x:v>
      </x:c>
      <x:c r="B2526" s="14" t="str">
        <x:v>Бакалея</x:v>
      </x:c>
      <x:c r="C2526" s="14" t="str">
        <x:v>Приправы, специи, травы</x:v>
      </x:c>
      <x:c r="D2526" s="14" t="str">
        <x:v>Сусло</x:v>
      </x:c>
      <x:c r="E2526" s="2" t="n">
        <x:v>1</x:v>
      </x:c>
      <x:c r="F2526" s="2" t="n">
        <x:v>0</x:v>
      </x:c>
      <x:c r="G2526" s="12" t="n">
        <x:v>112308</x:v>
      </x:c>
      <x:c r="H2526" s="12" t="n">
        <x:v>6693.5568</x:v>
      </x:c>
      <x:c r="I2526" s="13" t="n">
        <x:v>0.0596</x:v>
      </x:c>
      <x:c r="J2526" s="2" t="n">
        <x:v>0</x:v>
      </x:c>
      <x:c r="K2526" s="2" t="n">
        <x:v>1</x:v>
      </x:c>
      <x:c r="L2526" s="12" t="n">
        <x:v>863.9077</x:v>
      </x:c>
      <x:c r="M2526" s="13" t="n">
        <x:v>1</x:v>
      </x:c>
      <x:c r="N2526" s="13" t="n">
        <x:f>H2526/G2526</x:f>
        <x:v>0.0596</x:v>
      </x:c>
      <x:c r="O2526" s="13" t="n">
        <x:f>F2526/E2526</x:f>
        <x:v>0</x:v>
      </x:c>
      <x:c r="P2526" s="2" t="str">
        <x:f>IF(AND(E2526&gt;='Итоги'!$F$5,N2526&lt;='Итоги'!$B$5,O2526&gt;='Итоги'!$D$5),"Да","Нет")</x:f>
        <x:v>Нет</x:v>
      </x:c>
    </x:row>
    <x:row r="2527" ht="60" customHeight="1">
      <x:c r="A2527" s="14" t="str">
        <x:v>Аксессуары</x:v>
      </x:c>
      <x:c r="B2527" s="14" t="str">
        <x:v>Сумки и рюкзаки</x:v>
      </x:c>
      <x:c r="C2527" s="14" t="str">
        <x:v>Спортивные сумки</x:v>
      </x:c>
      <x:c r="D2527" s="14" t="str">
        <x:v>Рюкзак спортивный</x:v>
      </x:c>
      <x:c r="E2527" s="2" t="n">
        <x:v>242</x:v>
      </x:c>
      <x:c r="F2527" s="2" t="n">
        <x:v>0</x:v>
      </x:c>
      <x:c r="G2527" s="12" t="n">
        <x:v>32210573.8621</x:v>
      </x:c>
      <x:c r="H2527" s="12" t="n">
        <x:v>1921037.41972559</x:v>
      </x:c>
      <x:c r="I2527" s="13" t="n">
        <x:v>0.0549256198347107</x:v>
      </x:c>
      <x:c r="J2527" s="2" t="n">
        <x:v>105</x:v>
      </x:c>
      <x:c r="K2527" s="2" t="n">
        <x:v>51</x:v>
      </x:c>
      <x:c r="L2527" s="12" t="n">
        <x:v>2145.89915</x:v>
      </x:c>
      <x:c r="M2527" s="13" t="n">
        <x:v>0.3340322025140886</x:v>
      </x:c>
      <x:c r="N2527" s="13" t="n">
        <x:f>H2527/G2527</x:f>
        <x:v>0.05963996257719408</x:v>
      </x:c>
      <x:c r="O2527" s="13" t="n">
        <x:f>F2527/E2527</x:f>
        <x:v>0</x:v>
      </x:c>
      <x:c r="P2527" s="2" t="str">
        <x:f>IF(AND(E2527&gt;='Итоги'!$F$5,N2527&lt;='Итоги'!$B$5,O2527&gt;='Итоги'!$D$5),"Да","Нет")</x:f>
        <x:v>Нет</x:v>
      </x:c>
    </x:row>
    <x:row r="2528" ht="60" customHeight="1">
      <x:c r="A2528" s="14" t="str">
        <x:v>Спорт и отдых</x:v>
      </x:c>
      <x:c r="B2528" s="14" t="str">
        <x:v>Туризм</x:v>
      </x:c>
      <x:c r="C2528" s="14" t="str">
        <x:v>Фонарь, лампа туристические</x:v>
      </x:c>
      <x:c r="D2528" s="14" t="str">
        <x:v>Тактический, подствольный фонарь</x:v>
      </x:c>
      <x:c r="E2528" s="2" t="n">
        <x:v>8</x:v>
      </x:c>
      <x:c r="F2528" s="2" t="n">
        <x:v>0</x:v>
      </x:c>
      <x:c r="G2528" s="12" t="n">
        <x:v>1184452.4179</x:v>
      </x:c>
      <x:c r="H2528" s="12" t="n">
        <x:v>70656.62223684</x:v>
      </x:c>
      <x:c r="I2528" s="13" t="n">
        <x:v>0.1016875</x:v>
      </x:c>
      <x:c r="J2528" s="2" t="n">
        <x:v>1</x:v>
      </x:c>
      <x:c r="K2528" s="2" t="n">
        <x:v>4</x:v>
      </x:c>
      <x:c r="L2528" s="12" t="n">
        <x:v>1685.0764</x:v>
      </x:c>
      <x:c r="M2528" s="13" t="n">
        <x:v>0.4335701840268918</x:v>
      </x:c>
      <x:c r="N2528" s="13" t="n">
        <x:f>H2528/G2528</x:f>
        <x:v>0.059653407067303016</x:v>
      </x:c>
      <x:c r="O2528" s="13" t="n">
        <x:f>F2528/E2528</x:f>
        <x:v>0</x:v>
      </x:c>
      <x:c r="P2528" s="2" t="str">
        <x:f>IF(AND(E2528&gt;='Итоги'!$F$5,N2528&lt;='Итоги'!$B$5,O2528&gt;='Итоги'!$D$5),"Да","Нет")</x:f>
        <x:v>Нет</x:v>
      </x:c>
    </x:row>
    <x:row r="2529" ht="60" customHeight="1">
      <x:c r="A2529" s="14" t="str">
        <x:v>Спорт и отдых</x:v>
      </x:c>
      <x:c r="B2529" s="14" t="str">
        <x:v>Товары для охоты</x:v>
      </x:c>
      <x:c r="C2529" s="14" t="str">
        <x:v>Аксессуары для охотничьего оружия</x:v>
      </x:c>
      <x:c r="D2529" s="14" t="str">
        <x:v>Кронштейн, база оружейные</x:v>
      </x:c>
      <x:c r="E2529" s="2" t="n">
        <x:v>9</x:v>
      </x:c>
      <x:c r="F2529" s="2" t="n">
        <x:v>0</x:v>
      </x:c>
      <x:c r="G2529" s="12" t="n">
        <x:v>1054861.85</x:v>
      </x:c>
      <x:c r="H2529" s="12" t="n">
        <x:v>62938.782640000005</x:v>
      </x:c>
      <x:c r="I2529" s="13" t="n">
        <x:v>0.0680111111111111</x:v>
      </x:c>
      <x:c r="J2529" s="2" t="n">
        <x:v>1</x:v>
      </x:c>
      <x:c r="K2529" s="2" t="n">
        <x:v>5</x:v>
      </x:c>
      <x:c r="L2529" s="12" t="n">
        <x:v>3704.26</x:v>
      </x:c>
      <x:c r="M2529" s="13" t="n">
        <x:v>0.58754532643303</x:v>
      </x:c>
      <x:c r="N2529" s="13" t="n">
        <x:f>H2529/G2529</x:f>
        <x:v>0.059665426937186135</x:v>
      </x:c>
      <x:c r="O2529" s="13" t="n">
        <x:f>F2529/E2529</x:f>
        <x:v>0</x:v>
      </x:c>
      <x:c r="P2529" s="2" t="str">
        <x:f>IF(AND(E2529&gt;='Итоги'!$F$5,N2529&lt;='Итоги'!$B$5,O2529&gt;='Итоги'!$D$5),"Да","Нет")</x:f>
        <x:v>Нет</x:v>
      </x:c>
    </x:row>
    <x:row r="2530" ht="60" customHeight="1">
      <x:c r="A2530" s="14" t="str">
        <x:v>Товары для красоты и здоровья</x:v>
      </x:c>
      <x:c r="B2530" s="14" t="str">
        <x:v>Косметическая техника</x:v>
      </x:c>
      <x:c r="C2530" s="14" t="str">
        <x:v>Оборудование для салона красоты</x:v>
      </x:c>
      <x:c r="D2530" s="14" t="str">
        <x:v>Массажный стол, кушетка</x:v>
      </x:c>
      <x:c r="E2530" s="2" t="n">
        <x:v>69</x:v>
      </x:c>
      <x:c r="F2530" s="2" t="n">
        <x:v>0</x:v>
      </x:c>
      <x:c r="G2530" s="12" t="n">
        <x:v>9786477.5121</x:v>
      </x:c>
      <x:c r="H2530" s="12" t="n">
        <x:v>584936.03669698</x:v>
      </x:c>
      <x:c r="I2530" s="13" t="n">
        <x:v>0.0488768115942029</x:v>
      </x:c>
      <x:c r="J2530" s="2" t="n">
        <x:v>24</x:v>
      </x:c>
      <x:c r="K2530" s="2" t="n">
        <x:v>4</x:v>
      </x:c>
      <x:c r="L2530" s="12" t="n">
        <x:v>10451.3333</x:v>
      </x:c>
      <x:c r="M2530" s="13" t="n">
        <x:v>0.8503609174200455</x:v>
      </x:c>
      <x:c r="N2530" s="13" t="n">
        <x:f>H2530/G2530</x:f>
        <x:v>0.05976982381799428</x:v>
      </x:c>
      <x:c r="O2530" s="13" t="n">
        <x:f>F2530/E2530</x:f>
        <x:v>0</x:v>
      </x:c>
      <x:c r="P2530" s="2" t="str">
        <x:f>IF(AND(E2530&gt;='Итоги'!$F$5,N2530&lt;='Итоги'!$B$5,O2530&gt;='Итоги'!$D$5),"Да","Нет")</x:f>
        <x:v>Нет</x:v>
      </x:c>
    </x:row>
    <x:row r="2531" ht="60" customHeight="1">
      <x:c r="A2531" s="14" t="str">
        <x:v>Строительство и ремонт (DIY)</x:v>
      </x:c>
      <x:c r="B2531" s="14" t="str">
        <x:v>Инструменты</x:v>
      </x:c>
      <x:c r="C2531" s="14" t="str">
        <x:v>Оснастка для инструмента</x:v>
      </x:c>
      <x:c r="D2531" s="14" t="str">
        <x:v>Клеевой стержень для строительного клеевого пистолета</x:v>
      </x:c>
      <x:c r="E2531" s="2" t="n">
        <x:v>4</x:v>
      </x:c>
      <x:c r="F2531" s="2" t="n">
        <x:v>0</x:v>
      </x:c>
      <x:c r="G2531" s="12" t="n">
        <x:v>797402.35</x:v>
      </x:c>
      <x:c r="H2531" s="12" t="n">
        <x:v>47678.853185</x:v>
      </x:c>
      <x:c r="I2531" s="13" t="n">
        <x:v>0.0816</x:v>
      </x:c>
      <x:c r="J2531" s="2" t="n">
        <x:v>1</x:v>
      </x:c>
      <x:c r="K2531" s="2" t="n">
        <x:v>2</x:v>
      </x:c>
      <x:c r="L2531" s="12" t="n">
        <x:v>983.44845</x:v>
      </x:c>
      <x:c r="M2531" s="13" t="n">
        <x:v>0.9112856890878236</x:v>
      </x:c>
      <x:c r="N2531" s="13" t="n">
        <x:f>H2531/G2531</x:f>
        <x:v>0.059792717170948896</x:v>
      </x:c>
      <x:c r="O2531" s="13" t="n">
        <x:f>F2531/E2531</x:f>
        <x:v>0</x:v>
      </x:c>
      <x:c r="P2531" s="2" t="str">
        <x:f>IF(AND(E2531&gt;='Итоги'!$F$5,N2531&lt;='Итоги'!$B$5,O2531&gt;='Итоги'!$D$5),"Да","Нет")</x:f>
        <x:v>Нет</x:v>
      </x:c>
    </x:row>
    <x:row r="2532" ht="60" customHeight="1">
      <x:c r="A2532" s="14" t="str">
        <x:v>Строительство и ремонт (DIY)</x:v>
      </x:c>
      <x:c r="B2532" s="14" t="str">
        <x:v>Инструменты</x:v>
      </x:c>
      <x:c r="C2532" s="14" t="str">
        <x:v>Оснастка для инструмента</x:v>
      </x:c>
      <x:c r="D2532" s="14" t="str">
        <x:v>Набор оснастки</x:v>
      </x:c>
      <x:c r="E2532" s="2" t="n">
        <x:v>25</x:v>
      </x:c>
      <x:c r="F2532" s="2" t="n">
        <x:v>0</x:v>
      </x:c>
      <x:c r="G2532" s="12" t="n">
        <x:v>3525616.4748</x:v>
      </x:c>
      <x:c r="H2532" s="12" t="n">
        <x:v>210936.19856511</x:v>
      </x:c>
      <x:c r="I2532" s="13" t="n">
        <x:v>0.069496</x:v>
      </x:c>
      <x:c r="J2532" s="2" t="n">
        <x:v>7</x:v>
      </x:c>
      <x:c r="K2532" s="2" t="n">
        <x:v>16</x:v>
      </x:c>
      <x:c r="L2532" s="12" t="n">
        <x:v>2003.9403</x:v>
      </x:c>
      <x:c r="M2532" s="13" t="n">
        <x:v>0.1926098004288801</x:v>
      </x:c>
      <x:c r="N2532" s="13" t="n">
        <x:f>H2532/G2532</x:f>
        <x:v>0.05982959294433066</x:v>
      </x:c>
      <x:c r="O2532" s="13" t="n">
        <x:f>F2532/E2532</x:f>
        <x:v>0</x:v>
      </x:c>
      <x:c r="P2532" s="2" t="str">
        <x:f>IF(AND(E2532&gt;='Итоги'!$F$5,N2532&lt;='Итоги'!$B$5,O2532&gt;='Итоги'!$D$5),"Да","Нет")</x:f>
        <x:v>Нет</x:v>
      </x:c>
    </x:row>
    <x:row r="2533" ht="60" customHeight="1">
      <x:c r="A2533" s="14" t="str">
        <x:v>Автотовары</x:v>
      </x:c>
      <x:c r="B2533" s="14" t="str">
        <x:v>Масла и автохимия</x:v>
      </x:c>
      <x:c r="C2533" s="14" t="str">
        <x:v>Товары для детейлинга</x:v>
      </x:c>
      <x:c r="D2533" s="14" t="str">
        <x:v>Автохимия - Шампунь</x:v>
      </x:c>
      <x:c r="E2533" s="2" t="n">
        <x:v>40</x:v>
      </x:c>
      <x:c r="F2533" s="2" t="n">
        <x:v>0</x:v>
      </x:c>
      <x:c r="G2533" s="12" t="n">
        <x:v>7020794.0913</x:v>
      </x:c>
      <x:c r="H2533" s="12" t="n">
        <x:v>420141.81814405</x:v>
      </x:c>
      <x:c r="I2533" s="13" t="n">
        <x:v>0.06351</x:v>
      </x:c>
      <x:c r="J2533" s="2" t="n">
        <x:v>12</x:v>
      </x:c>
      <x:c r="K2533" s="2" t="n">
        <x:v>13</x:v>
      </x:c>
      <x:c r="L2533" s="12" t="n">
        <x:v>1400.1027</x:v>
      </x:c>
      <x:c r="M2533" s="13" t="n">
        <x:v>0.6374723241842414</x:v>
      </x:c>
      <x:c r="N2533" s="13" t="n">
        <x:f>H2533/G2533</x:f>
        <x:v>0.059842492555746606</x:v>
      </x:c>
      <x:c r="O2533" s="13" t="n">
        <x:f>F2533/E2533</x:f>
        <x:v>0</x:v>
      </x:c>
      <x:c r="P2533" s="2" t="str">
        <x:f>IF(AND(E2533&gt;='Итоги'!$F$5,N2533&lt;='Итоги'!$B$5,O2533&gt;='Итоги'!$D$5),"Да","Нет")</x:f>
        <x:v>Нет</x:v>
      </x:c>
    </x:row>
    <x:row r="2534" ht="60" customHeight="1">
      <x:c r="A2534" s="14" t="str">
        <x:v>Товары для красоты и здоровья</x:v>
      </x:c>
      <x:c r="B2534" s="14" t="str">
        <x:v>Косметика для ухода за кожей</x:v>
      </x:c>
      <x:c r="C2534" s="14" t="str">
        <x:v>Лицо</x:v>
      </x:c>
      <x:c r="D2534" s="14" t="str">
        <x:v>Средство для снятия макияжа</x:v>
      </x:c>
      <x:c r="E2534" s="2" t="n">
        <x:v>27</x:v>
      </x:c>
      <x:c r="F2534" s="2" t="n">
        <x:v>0</x:v>
      </x:c>
      <x:c r="G2534" s="12" t="n">
        <x:v>3981636.8311</x:v>
      </x:c>
      <x:c r="H2534" s="12" t="n">
        <x:v>238283.94968352</x:v>
      </x:c>
      <x:c r="I2534" s="13" t="n">
        <x:v>0.0527518518518518</x:v>
      </x:c>
      <x:c r="J2534" s="2" t="n">
        <x:v>14</x:v>
      </x:c>
      <x:c r="K2534" s="2" t="n">
        <x:v>11</x:v>
      </x:c>
      <x:c r="L2534" s="12" t="n">
        <x:v>1204.7783</x:v>
      </x:c>
      <x:c r="M2534" s="13" t="n">
        <x:v>0.633327295976248</x:v>
      </x:c>
      <x:c r="N2534" s="13" t="n">
        <x:f>H2534/G2534</x:f>
        <x:v>0.05984572671779553</x:v>
      </x:c>
      <x:c r="O2534" s="13" t="n">
        <x:f>F2534/E2534</x:f>
        <x:v>0</x:v>
      </x:c>
      <x:c r="P2534" s="2" t="str">
        <x:f>IF(AND(E2534&gt;='Итоги'!$F$5,N2534&lt;='Итоги'!$B$5,O2534&gt;='Итоги'!$D$5),"Да","Нет")</x:f>
        <x:v>Нет</x:v>
      </x:c>
    </x:row>
    <x:row r="2535" ht="60" customHeight="1">
      <x:c r="A2535" s="14" t="str">
        <x:v>Товары для детей и спорта</x:v>
      </x:c>
      <x:c r="B2535" s="14" t="str">
        <x:v>КГТ и аксессуары для детей</x:v>
      </x:c>
      <x:c r="C2535" s="14" t="str">
        <x:v>Детская мебель и аксессуары в дом</x:v>
      </x:c>
      <x:c r="D2535" s="14" t="str">
        <x:v>Ворота безопасности, защитный барьер</x:v>
      </x:c>
      <x:c r="E2535" s="2" t="n">
        <x:v>78</x:v>
      </x:c>
      <x:c r="F2535" s="2" t="n">
        <x:v>0</x:v>
      </x:c>
      <x:c r="G2535" s="12" t="n">
        <x:v>9164942.612</x:v>
      </x:c>
      <x:c r="H2535" s="12" t="n">
        <x:v>548937.15934596</x:v>
      </x:c>
      <x:c r="I2535" s="13" t="n">
        <x:v>0.0586782051282051</x:v>
      </x:c>
      <x:c r="J2535" s="2" t="n">
        <x:v>14</x:v>
      </x:c>
      <x:c r="K2535" s="2" t="n">
        <x:v>12</x:v>
      </x:c>
      <x:c r="L2535" s="12" t="n">
        <x:v>2500.50585</x:v>
      </x:c>
      <x:c r="M2535" s="13" t="n">
        <x:v>0.6795984200539149</x:v>
      </x:c>
      <x:c r="N2535" s="13" t="n">
        <x:f>H2535/G2535</x:f>
        <x:v>0.05989531877997972</x:v>
      </x:c>
      <x:c r="O2535" s="13" t="n">
        <x:f>F2535/E2535</x:f>
        <x:v>0</x:v>
      </x:c>
      <x:c r="P2535" s="2" t="str">
        <x:f>IF(AND(E2535&gt;='Итоги'!$F$5,N2535&lt;='Итоги'!$B$5,O2535&gt;='Итоги'!$D$5),"Да","Нет")</x:f>
        <x:v>Нет</x:v>
      </x:c>
    </x:row>
    <x:row r="2536" ht="60" customHeight="1">
      <x:c r="A2536" s="14" t="str">
        <x:v>Аксессуары</x:v>
      </x:c>
      <x:c r="B2536" s="14" t="str">
        <x:v>Сумки и рюкзаки</x:v>
      </x:c>
      <x:c r="C2536" s="14" t="str">
        <x:v>Сумка мужская</x:v>
      </x:c>
      <x:c r="D2536" s="14" t="str">
        <x:v>Мужская Сумка кросс-боди</x:v>
      </x:c>
      <x:c r="E2536" s="2" t="n">
        <x:v>115</x:v>
      </x:c>
      <x:c r="F2536" s="2" t="n">
        <x:v>0</x:v>
      </x:c>
      <x:c r="G2536" s="12" t="n">
        <x:v>13227264.7675</x:v>
      </x:c>
      <x:c r="H2536" s="12" t="n">
        <x:v>792500.78682471</x:v>
      </x:c>
      <x:c r="I2536" s="13" t="n">
        <x:v>0.0548930434782608</x:v>
      </x:c>
      <x:c r="J2536" s="2" t="n">
        <x:v>68</x:v>
      </x:c>
      <x:c r="K2536" s="2" t="n">
        <x:v>30</x:v>
      </x:c>
      <x:c r="L2536" s="12" t="n">
        <x:v>5242</x:v>
      </x:c>
      <x:c r="M2536" s="13" t="n">
        <x:v>0.4618727249424131</x:v>
      </x:c>
      <x:c r="N2536" s="13" t="n">
        <x:f>H2536/G2536</x:f>
        <x:v>0.05991418488665328</x:v>
      </x:c>
      <x:c r="O2536" s="13" t="n">
        <x:f>F2536/E2536</x:f>
        <x:v>0</x:v>
      </x:c>
      <x:c r="P2536" s="2" t="str">
        <x:f>IF(AND(E2536&gt;='Итоги'!$F$5,N2536&lt;='Итоги'!$B$5,O2536&gt;='Итоги'!$D$5),"Да","Нет")</x:f>
        <x:v>Нет</x:v>
      </x:c>
    </x:row>
    <x:row r="2537" ht="60" customHeight="1">
      <x:c r="A2537" s="14" t="str">
        <x:v>Спорт и отдых</x:v>
      </x:c>
      <x:c r="B2537" s="14" t="str">
        <x:v>Туризм</x:v>
      </x:c>
      <x:c r="C2537" s="14" t="str">
        <x:v>Аксессуары для туризма</x:v>
      </x:c>
      <x:c r="D2537" s="14" t="str">
        <x:v>Футболка туристическая</x:v>
      </x:c>
      <x:c r="E2537" s="2" t="n">
        <x:v>5</x:v>
      </x:c>
      <x:c r="F2537" s="2" t="n">
        <x:v>0</x:v>
      </x:c>
      <x:c r="G2537" s="12" t="n">
        <x:v>280790.92350000003</x:v>
      </x:c>
      <x:c r="H2537" s="12" t="n">
        <x:v>16825.411886</x:v>
      </x:c>
      <x:c r="I2537" s="13" t="n">
        <x:v>0.0408</x:v>
      </x:c>
      <x:c r="J2537" s="2" t="n">
        <x:v>3</x:v>
      </x:c>
      <x:c r="K2537" s="2" t="n">
        <x:v>2</x:v>
      </x:c>
      <x:c r="L2537" s="12" t="n">
        <x:v>932.9026</x:v>
      </x:c>
      <x:c r="M2537" s="13" t="n">
        <x:v>0.5178660983320567</x:v>
      </x:c>
      <x:c r="N2537" s="13" t="n">
        <x:f>H2537/G2537</x:f>
        <x:v>0.059921494884075194</x:v>
      </x:c>
      <x:c r="O2537" s="13" t="n">
        <x:f>F2537/E2537</x:f>
        <x:v>0</x:v>
      </x:c>
      <x:c r="P2537" s="2" t="str">
        <x:f>IF(AND(E2537&gt;='Итоги'!$F$5,N2537&lt;='Итоги'!$B$5,O2537&gt;='Итоги'!$D$5),"Да","Нет")</x:f>
        <x:v>Нет</x:v>
      </x:c>
    </x:row>
    <x:row r="2538" ht="60" customHeight="1">
      <x:c r="A2538" s="14" t="str">
        <x:v>Автотовары</x:v>
      </x:c>
      <x:c r="B2538" s="14" t="str">
        <x:v>Универсальные авто и мото аксессуары</x:v>
      </x:c>
      <x:c r="C2538" s="14" t="str">
        <x:v>Автотовары в дорогу</x:v>
      </x:c>
      <x:c r="D2538" s="14" t="str">
        <x:v>Разное автопринадлежности</x:v>
      </x:c>
      <x:c r="E2538" s="2" t="n">
        <x:v>55</x:v>
      </x:c>
      <x:c r="F2538" s="2" t="n">
        <x:v>0</x:v>
      </x:c>
      <x:c r="G2538" s="12" t="n">
        <x:v>6701166.1932</x:v>
      </x:c>
      <x:c r="H2538" s="12" t="n">
        <x:v>401567.78501204</x:v>
      </x:c>
      <x:c r="I2538" s="13" t="n">
        <x:v>0.0665163636363636</x:v>
      </x:c>
      <x:c r="J2538" s="2" t="n">
        <x:v>19</x:v>
      </x:c>
      <x:c r="K2538" s="2" t="n">
        <x:v>35</x:v>
      </x:c>
      <x:c r="L2538" s="12" t="n">
        <x:v>1407.1656</x:v>
      </x:c>
      <x:c r="M2538" s="13" t="n">
        <x:v>0.2902656666796007</x:v>
      </x:c>
      <x:c r="N2538" s="13" t="n">
        <x:f>H2538/G2538</x:f>
        <x:v>0.05992505982309921</x:v>
      </x:c>
      <x:c r="O2538" s="13" t="n">
        <x:f>F2538/E2538</x:f>
        <x:v>0</x:v>
      </x:c>
      <x:c r="P2538" s="2" t="str">
        <x:f>IF(AND(E2538&gt;='Итоги'!$F$5,N2538&lt;='Итоги'!$B$5,O2538&gt;='Итоги'!$D$5),"Да","Нет")</x:f>
        <x:v>Нет</x:v>
      </x:c>
    </x:row>
    <x:row r="2539" ht="60" customHeight="1">
      <x:c r="A2539" s="14" t="str">
        <x:v>Мебель</x:v>
      </x:c>
      <x:c r="B2539" s="14" t="str">
        <x:v>Столы и стулья</x:v>
      </x:c>
      <x:c r="C2539" s="14" t="str">
        <x:v>Обеденный стол</x:v>
      </x:c>
      <x:c r="D2539" s="14" t="str">
        <x:v>Стол, обеденный стол</x:v>
      </x:c>
      <x:c r="E2539" s="2" t="n">
        <x:v>576</x:v>
      </x:c>
      <x:c r="F2539" s="2" t="n">
        <x:v>0</x:v>
      </x:c>
      <x:c r="G2539" s="12" t="n">
        <x:v>114117066.501</x:v>
      </x:c>
      <x:c r="H2539" s="12" t="n">
        <x:v>6838989.64060102</x:v>
      </x:c>
      <x:c r="I2539" s="13" t="n">
        <x:v>0.0632644097222222</x:v>
      </x:c>
      <x:c r="J2539" s="2" t="n">
        <x:v>143</x:v>
      </x:c>
      <x:c r="K2539" s="2" t="n">
        <x:v>72</x:v>
      </x:c>
      <x:c r="L2539" s="12" t="n">
        <x:v>6708.9299</x:v>
      </x:c>
      <x:c r="M2539" s="13" t="n">
        <x:v>0.6790911879032652</x:v>
      </x:c>
      <x:c r="N2539" s="13" t="n">
        <x:f>H2539/G2539</x:f>
        <x:v>0.0599295955486298</x:v>
      </x:c>
      <x:c r="O2539" s="13" t="n">
        <x:f>F2539/E2539</x:f>
        <x:v>0</x:v>
      </x:c>
      <x:c r="P2539" s="2" t="str">
        <x:f>IF(AND(E2539&gt;='Итоги'!$F$5,N2539&lt;='Итоги'!$B$5,O2539&gt;='Итоги'!$D$5),"Да","Нет")</x:f>
        <x:v>Нет</x:v>
      </x:c>
    </x:row>
    <x:row r="2540" ht="60" customHeight="1">
      <x:c r="A2540" s="14" t="str">
        <x:v>Автотовары</x:v>
      </x:c>
      <x:c r="B2540" s="14" t="str">
        <x:v>Авто и мото запчасти</x:v>
      </x:c>
      <x:c r="C2540" s="14" t="str">
        <x:v>Электрооборудование автомобиля</x:v>
      </x:c>
      <x:c r="D2540" s="14" t="str">
        <x:v>Проводка для авто</x:v>
      </x:c>
      <x:c r="E2540" s="2" t="n">
        <x:v>27</x:v>
      </x:c>
      <x:c r="F2540" s="2" t="n">
        <x:v>0</x:v>
      </x:c>
      <x:c r="G2540" s="12" t="n">
        <x:v>3608277.478</x:v>
      </x:c>
      <x:c r="H2540" s="12" t="n">
        <x:v>216356.60442153</x:v>
      </x:c>
      <x:c r="I2540" s="13" t="n">
        <x:v>0.0665666666666666</x:v>
      </x:c>
      <x:c r="J2540" s="2" t="n">
        <x:v>11</x:v>
      </x:c>
      <x:c r="K2540" s="2" t="n">
        <x:v>13</x:v>
      </x:c>
      <x:c r="L2540" s="12" t="n">
        <x:v>1018.9406</x:v>
      </x:c>
      <x:c r="M2540" s="13" t="n">
        <x:v>0.250667452936944</x:v>
      </x:c>
      <x:c r="N2540" s="13" t="n">
        <x:f>H2540/G2540</x:f>
        <x:v>0.059961188057369795</x:v>
      </x:c>
      <x:c r="O2540" s="13" t="n">
        <x:f>F2540/E2540</x:f>
        <x:v>0</x:v>
      </x:c>
      <x:c r="P2540" s="2" t="str">
        <x:f>IF(AND(E2540&gt;='Итоги'!$F$5,N2540&lt;='Итоги'!$B$5,O2540&gt;='Итоги'!$D$5),"Да","Нет")</x:f>
        <x:v>Нет</x:v>
      </x:c>
    </x:row>
    <x:row r="2541" ht="60" customHeight="1">
      <x:c r="A2541" s="14" t="str">
        <x:v>Ноутбуки и компьютеры</x:v>
      </x:c>
      <x:c r="B2541" s="14" t="str">
        <x:v>Компьютерная офисная техника Lap&amp;Comp</x:v>
      </x:c>
      <x:c r="C2541" s="14" t="str">
        <x:v>Компьютерная офисная техника Lap&amp;Comp</x:v>
      </x:c>
      <x:c r="D2541" s="14" t="str">
        <x:v>Резак</x:v>
      </x:c>
      <x:c r="E2541" s="2" t="n">
        <x:v>7</x:v>
      </x:c>
      <x:c r="F2541" s="2" t="n">
        <x:v>0</x:v>
      </x:c>
      <x:c r="G2541" s="12" t="n">
        <x:v>1109279.604</x:v>
      </x:c>
      <x:c r="H2541" s="12" t="n">
        <x:v>66516.4024136</x:v>
      </x:c>
      <x:c r="I2541" s="13" t="n">
        <x:v>0.0352714285714285</x:v>
      </x:c>
      <x:c r="J2541" s="2" t="n">
        <x:v>4</x:v>
      </x:c>
      <x:c r="K2541" s="2" t="n">
        <x:v>3</x:v>
      </x:c>
      <x:c r="L2541" s="12" t="n">
        <x:v>2001.8696</x:v>
      </x:c>
      <x:c r="M2541" s="13" t="n">
        <x:v>0.4789331484003378</x:v>
      </x:c>
      <x:c r="N2541" s="13" t="n">
        <x:f>H2541/G2541</x:f>
        <x:v>0.059963603561938375</x:v>
      </x:c>
      <x:c r="O2541" s="13" t="n">
        <x:f>F2541/E2541</x:f>
        <x:v>0</x:v>
      </x:c>
      <x:c r="P2541" s="2" t="str">
        <x:f>IF(AND(E2541&gt;='Итоги'!$F$5,N2541&lt;='Итоги'!$B$5,O2541&gt;='Итоги'!$D$5),"Да","Нет")</x:f>
        <x:v>Нет</x:v>
      </x:c>
    </x:row>
    <x:row r="2542" ht="60" customHeight="1">
      <x:c r="A2542" s="14" t="str">
        <x:v>Строительство и ремонт (DIY)</x:v>
      </x:c>
      <x:c r="B2542" s="14" t="str">
        <x:v>Сад и огород</x:v>
      </x:c>
      <x:c r="C2542" s="14" t="str">
        <x:v>Полив</x:v>
      </x:c>
      <x:c r="D2542" s="14" t="str">
        <x:v>Катушка, тележка для шланга</x:v>
      </x:c>
      <x:c r="E2542" s="2" t="n">
        <x:v>33</x:v>
      </x:c>
      <x:c r="F2542" s="2" t="n">
        <x:v>0</x:v>
      </x:c>
      <x:c r="G2542" s="12" t="n">
        <x:v>7835484.4717</x:v>
      </x:c>
      <x:c r="H2542" s="12" t="n">
        <x:v>470492.7259329</x:v>
      </x:c>
      <x:c r="I2542" s="13" t="n">
        <x:v>0.043560606060606</x:v>
      </x:c>
      <x:c r="J2542" s="2" t="n">
        <x:v>15</x:v>
      </x:c>
      <x:c r="K2542" s="2" t="n">
        <x:v>9</x:v>
      </x:c>
      <x:c r="L2542" s="12" t="n">
        <x:v>5786.0667</x:v>
      </x:c>
      <x:c r="M2542" s="13" t="n">
        <x:v>0.439603749167111</x:v>
      </x:c>
      <x:c r="N2542" s="13" t="n">
        <x:f>H2542/G2542</x:f>
        <x:v>0.060046411633155994</x:v>
      </x:c>
      <x:c r="O2542" s="13" t="n">
        <x:f>F2542/E2542</x:f>
        <x:v>0</x:v>
      </x:c>
      <x:c r="P2542" s="2" t="str">
        <x:f>IF(AND(E2542&gt;='Итоги'!$F$5,N2542&lt;='Итоги'!$B$5,O2542&gt;='Итоги'!$D$5),"Да","Нет")</x:f>
        <x:v>Нет</x:v>
      </x:c>
    </x:row>
    <x:row r="2543" ht="60" customHeight="1">
      <x:c r="A2543" s="14" t="str">
        <x:v>Спорт и отдых</x:v>
      </x:c>
      <x:c r="B2543" s="14" t="str">
        <x:v>Туризм</x:v>
      </x:c>
      <x:c r="C2543" s="14" t="str">
        <x:v>Коврик туристический</x:v>
      </x:c>
      <x:c r="D2543" s="14" t="str">
        <x:v>Коврик туристический</x:v>
      </x:c>
      <x:c r="E2543" s="2" t="n">
        <x:v>78</x:v>
      </x:c>
      <x:c r="F2543" s="2" t="n">
        <x:v>0</x:v>
      </x:c>
      <x:c r="G2543" s="12" t="n">
        <x:v>14499004.367</x:v>
      </x:c>
      <x:c r="H2543" s="12" t="n">
        <x:v>870733.80827932</x:v>
      </x:c>
      <x:c r="I2543" s="13" t="n">
        <x:v>0.0625782051282051</x:v>
      </x:c>
      <x:c r="J2543" s="2" t="n">
        <x:v>14</x:v>
      </x:c>
      <x:c r="K2543" s="2" t="n">
        <x:v>19</x:v>
      </x:c>
      <x:c r="L2543" s="12" t="n">
        <x:v>1749.96875</x:v>
      </x:c>
      <x:c r="M2543" s="13" t="n">
        <x:v>0.4922715138871852</x:v>
      </x:c>
      <x:c r="N2543" s="13" t="n">
        <x:f>H2543/G2543</x:f>
        <x:v>0.060054731086303145</x:v>
      </x:c>
      <x:c r="O2543" s="13" t="n">
        <x:f>F2543/E2543</x:f>
        <x:v>0</x:v>
      </x:c>
      <x:c r="P2543" s="2" t="str">
        <x:f>IF(AND(E2543&gt;='Итоги'!$F$5,N2543&lt;='Итоги'!$B$5,O2543&gt;='Итоги'!$D$5),"Да","Нет")</x:f>
        <x:v>Нет</x:v>
      </x:c>
    </x:row>
    <x:row r="2544" ht="60" customHeight="1">
      <x:c r="A2544" s="14" t="str">
        <x:v>Одежда</x:v>
      </x:c>
      <x:c r="B2544" s="14" t="str">
        <x:v>Основная одежда мужская</x:v>
      </x:c>
      <x:c r="C2544" s="14" t="str">
        <x:v>Основная одежда мужская верха</x:v>
      </x:c>
      <x:c r="D2544" s="14" t="str">
        <x:v>Поло мужское</x:v>
      </x:c>
      <x:c r="E2544" s="2" t="n">
        <x:v>810</x:v>
      </x:c>
      <x:c r="F2544" s="2" t="n">
        <x:v>0</x:v>
      </x:c>
      <x:c r="G2544" s="12" t="n">
        <x:v>75282113.9855</x:v>
      </x:c>
      <x:c r="H2544" s="12" t="n">
        <x:v>4522559.78484322</x:v>
      </x:c>
      <x:c r="I2544" s="13" t="n">
        <x:v>0.0497897530864197</x:v>
      </x:c>
      <x:c r="J2544" s="2" t="n">
        <x:v>363</x:v>
      </x:c>
      <x:c r="K2544" s="2" t="n">
        <x:v>41</x:v>
      </x:c>
      <x:c r="L2544" s="12" t="n">
        <x:v>1559.5109</x:v>
      </x:c>
      <x:c r="M2544" s="13" t="n">
        <x:v>0.5875018918493545</x:v>
      </x:c>
      <x:c r="N2544" s="13" t="n">
        <x:f>H2544/G2544</x:f>
        <x:v>0.06007482448904538</x:v>
      </x:c>
      <x:c r="O2544" s="13" t="n">
        <x:f>F2544/E2544</x:f>
        <x:v>0</x:v>
      </x:c>
      <x:c r="P2544" s="2" t="str">
        <x:f>IF(AND(E2544&gt;='Итоги'!$F$5,N2544&lt;='Итоги'!$B$5,O2544&gt;='Итоги'!$D$5),"Да","Нет")</x:f>
        <x:v>Нет</x:v>
      </x:c>
    </x:row>
    <x:row r="2545" ht="60" customHeight="1">
      <x:c r="A2545" s="14" t="str">
        <x:v>Товары для детей и спорта</x:v>
      </x:c>
      <x:c r="B2545" s="14" t="str">
        <x:v>Спорт детский</x:v>
      </x:c>
      <x:c r="C2545" s="14" t="str">
        <x:v>Игровой комплекс для детей</x:v>
      </x:c>
      <x:c r="D2545" s="14" t="str">
        <x:v>Оборудование и аксессуары для игрового, спортивного детских комплексов</x:v>
      </x:c>
      <x:c r="E2545" s="2" t="n">
        <x:v>4</x:v>
      </x:c>
      <x:c r="F2545" s="2" t="n">
        <x:v>0</x:v>
      </x:c>
      <x:c r="G2545" s="12" t="n">
        <x:v>474746.781</x:v>
      </x:c>
      <x:c r="H2545" s="12" t="n">
        <x:v>28524.5647</x:v>
      </x:c>
      <x:c r="I2545" s="13" t="n">
        <x:v>0.071175</x:v>
      </x:c>
      <x:c r="J2545" s="2" t="n">
        <x:v>2</x:v>
      </x:c>
      <x:c r="K2545" s="2" t="n">
        <x:v>3</x:v>
      </x:c>
      <x:c r="L2545" s="12" t="n">
        <x:v>3554.0822</x:v>
      </x:c>
      <x:c r="M2545" s="13" t="n">
        <x:v>0.4218269781169932</x:v>
      </x:c>
      <x:c r="N2545" s="13" t="n">
        <x:f>H2545/G2545</x:f>
        <x:v>0.06008374535982372</x:v>
      </x:c>
      <x:c r="O2545" s="13" t="n">
        <x:f>F2545/E2545</x:f>
        <x:v>0</x:v>
      </x:c>
      <x:c r="P2545" s="2" t="str">
        <x:f>IF(AND(E2545&gt;='Итоги'!$F$5,N2545&lt;='Итоги'!$B$5,O2545&gt;='Итоги'!$D$5),"Да","Нет")</x:f>
        <x:v>Нет</x:v>
      </x:c>
    </x:row>
    <x:row r="2546" ht="60" customHeight="1">
      <x:c r="A2546" s="14" t="str">
        <x:v>Товары для детей и спорта</x:v>
      </x:c>
      <x:c r="B2546" s="14" t="str">
        <x:v>Спорт детский</x:v>
      </x:c>
      <x:c r="C2546" s="14" t="str">
        <x:v>Детский транспорт и аксессуары</x:v>
      </x:c>
      <x:c r="D2546" s="14" t="str">
        <x:v>Веломобиль каталка</x:v>
      </x:c>
      <x:c r="E2546" s="2" t="n">
        <x:v>53</x:v>
      </x:c>
      <x:c r="F2546" s="2" t="n">
        <x:v>0</x:v>
      </x:c>
      <x:c r="G2546" s="12" t="n">
        <x:v>5629238.8458</x:v>
      </x:c>
      <x:c r="H2546" s="12" t="n">
        <x:v>338418.8061</x:v>
      </x:c>
      <x:c r="I2546" s="13" t="n">
        <x:v>0.0552018867924528</x:v>
      </x:c>
      <x:c r="J2546" s="2" t="n">
        <x:v>35</x:v>
      </x:c>
      <x:c r="K2546" s="2" t="n">
        <x:v>6</x:v>
      </x:c>
      <x:c r="L2546" s="12" t="n">
        <x:v>6907.8889</x:v>
      </x:c>
      <x:c r="M2546" s="13" t="n">
        <x:v>0.7808696639474896</x:v>
      </x:c>
      <x:c r="N2546" s="13" t="n">
        <x:f>H2546/G2546</x:f>
        <x:v>0.06011803999975871</x:v>
      </x:c>
      <x:c r="O2546" s="13" t="n">
        <x:f>F2546/E2546</x:f>
        <x:v>0</x:v>
      </x:c>
      <x:c r="P2546" s="2" t="str">
        <x:f>IF(AND(E2546&gt;='Итоги'!$F$5,N2546&lt;='Итоги'!$B$5,O2546&gt;='Итоги'!$D$5),"Да","Нет")</x:f>
        <x:v>Нет</x:v>
      </x:c>
    </x:row>
    <x:row r="2547" ht="60" customHeight="1">
      <x:c r="A2547" s="14" t="str">
        <x:v>Товары для животных</x:v>
      </x:c>
      <x:c r="B2547" s="14" t="str">
        <x:v>Зоокорм, витамины</x:v>
      </x:c>
      <x:c r="C2547" s="14" t="str">
        <x:v>Зоокорм, витамины для кошек и собак</x:v>
      </x:c>
      <x:c r="D2547" s="14" t="str">
        <x:v>Сухое молоко для животных</x:v>
      </x:c>
      <x:c r="E2547" s="2" t="n">
        <x:v>4</x:v>
      </x:c>
      <x:c r="F2547" s="2" t="n">
        <x:v>0</x:v>
      </x:c>
      <x:c r="G2547" s="12" t="n">
        <x:v>709857.87</x:v>
      </x:c>
      <x:c r="H2547" s="12" t="n">
        <x:v>42736.87498099999</x:v>
      </x:c>
      <x:c r="I2547" s="13" t="n">
        <x:v>0.0388</x:v>
      </x:c>
      <x:c r="J2547" s="2" t="n">
        <x:v>2</x:v>
      </x:c>
      <x:c r="K2547" s="2" t="n">
        <x:v>4</x:v>
      </x:c>
      <x:c r="L2547" s="12" t="n">
        <x:v>1575.25415</x:v>
      </x:c>
      <x:c r="M2547" s="13" t="n">
        <x:v>0.388934097469399</x:v>
      </x:c>
      <x:c r="N2547" s="13" t="n">
        <x:f>H2547/G2547</x:f>
        <x:v>0.06020483365353123</x:v>
      </x:c>
      <x:c r="O2547" s="13" t="n">
        <x:f>F2547/E2547</x:f>
        <x:v>0</x:v>
      </x:c>
      <x:c r="P2547" s="2" t="str">
        <x:f>IF(AND(E2547&gt;='Итоги'!$F$5,N2547&lt;='Итоги'!$B$5,O2547&gt;='Итоги'!$D$5),"Да","Нет")</x:f>
        <x:v>Нет</x:v>
      </x:c>
    </x:row>
    <x:row r="2548" ht="60" customHeight="1">
      <x:c r="A2548" s="14" t="str">
        <x:v>Спорт и отдых</x:v>
      </x:c>
      <x:c r="B2548" s="14" t="str">
        <x:v>Товары для рыбалки</x:v>
      </x:c>
      <x:c r="C2548" s="14" t="str">
        <x:v>Одежда для рыбалки</x:v>
      </x:c>
      <x:c r="D2548" s="14" t="str">
        <x:v>Костюм рыболовный</x:v>
      </x:c>
      <x:c r="E2548" s="2" t="n">
        <x:v>37</x:v>
      </x:c>
      <x:c r="F2548" s="2" t="n">
        <x:v>0</x:v>
      </x:c>
      <x:c r="G2548" s="12" t="n">
        <x:v>2603178.5403</x:v>
      </x:c>
      <x:c r="H2548" s="12" t="n">
        <x:v>156942.65372755998</x:v>
      </x:c>
      <x:c r="I2548" s="13" t="n">
        <x:v>0.0398756756756756</x:v>
      </x:c>
      <x:c r="J2548" s="2" t="n">
        <x:v>23</x:v>
      </x:c>
      <x:c r="K2548" s="2" t="n">
        <x:v>13</x:v>
      </x:c>
      <x:c r="L2548" s="12" t="n">
        <x:v>2086.2529</x:v>
      </x:c>
      <x:c r="M2548" s="13" t="n">
        <x:v>0.4682544968504248</x:v>
      </x:c>
      <x:c r="N2548" s="13" t="n">
        <x:f>H2548/G2548</x:f>
        <x:v>0.06028885506618894</x:v>
      </x:c>
      <x:c r="O2548" s="13" t="n">
        <x:f>F2548/E2548</x:f>
        <x:v>0</x:v>
      </x:c>
      <x:c r="P2548" s="2" t="str">
        <x:f>IF(AND(E2548&gt;='Итоги'!$F$5,N2548&lt;='Итоги'!$B$5,O2548&gt;='Итоги'!$D$5),"Да","Нет")</x:f>
        <x:v>Нет</x:v>
      </x:c>
    </x:row>
    <x:row r="2549" ht="60" customHeight="1">
      <x:c r="A2549" s="14" t="str">
        <x:v>Одежда</x:v>
      </x:c>
      <x:c r="B2549" s="14" t="str">
        <x:v>Белье, домашняя одежда и ЧНИ</x:v>
      </x:c>
      <x:c r="C2549" s="14" t="str">
        <x:v>Белье для беременных и кормящих</x:v>
      </x:c>
      <x:c r="D2549" s="14" t="str">
        <x:v>Бюстгальтер для беременных и кормящих</x:v>
      </x:c>
      <x:c r="E2549" s="2" t="n">
        <x:v>110</x:v>
      </x:c>
      <x:c r="F2549" s="2" t="n">
        <x:v>0</x:v>
      </x:c>
      <x:c r="G2549" s="12" t="n">
        <x:v>14175902.589</x:v>
      </x:c>
      <x:c r="H2549" s="12" t="n">
        <x:v>854780.60337021</x:v>
      </x:c>
      <x:c r="I2549" s="13" t="n">
        <x:v>0.0644018181818181</x:v>
      </x:c>
      <x:c r="J2549" s="2" t="n">
        <x:v>7</x:v>
      </x:c>
      <x:c r="K2549" s="2" t="n">
        <x:v>20</x:v>
      </x:c>
      <x:c r="L2549" s="12" t="n">
        <x:v>1162.6395</x:v>
      </x:c>
      <x:c r="M2549" s="13" t="n">
        <x:v>0.5327724311791263</x:v>
      </x:c>
      <x:c r="N2549" s="13" t="n">
        <x:f>H2549/G2549</x:f>
        <x:v>0.06029814313435602</x:v>
      </x:c>
      <x:c r="O2549" s="13" t="n">
        <x:f>F2549/E2549</x:f>
        <x:v>0</x:v>
      </x:c>
      <x:c r="P2549" s="2" t="str">
        <x:f>IF(AND(E2549&gt;='Итоги'!$F$5,N2549&lt;='Итоги'!$B$5,O2549&gt;='Итоги'!$D$5),"Да","Нет")</x:f>
        <x:v>Нет</x:v>
      </x:c>
    </x:row>
    <x:row r="2550" ht="60" customHeight="1">
      <x:c r="A2550" s="14" t="str">
        <x:v>Товары для дома</x:v>
      </x:c>
      <x:c r="B2550" s="14" t="str">
        <x:v>Домашний текстиль</x:v>
      </x:c>
      <x:c r="C2550" s="14" t="str">
        <x:v>Чехол</x:v>
      </x:c>
      <x:c r="D2550" s="14" t="str">
        <x:v>Чехол для мебели</x:v>
      </x:c>
      <x:c r="E2550" s="2" t="n">
        <x:v>221</x:v>
      </x:c>
      <x:c r="F2550" s="2" t="n">
        <x:v>0</x:v>
      </x:c>
      <x:c r="G2550" s="12" t="n">
        <x:v>26264752.6156</x:v>
      </x:c>
      <x:c r="H2550" s="12" t="n">
        <x:v>1583853.12121801</x:v>
      </x:c>
      <x:c r="I2550" s="13" t="n">
        <x:v>0.0599257918552036</x:v>
      </x:c>
      <x:c r="J2550" s="2" t="n">
        <x:v>66</x:v>
      </x:c>
      <x:c r="K2550" s="2" t="n">
        <x:v>28</x:v>
      </x:c>
      <x:c r="L2550" s="12" t="n">
        <x:v>1667.3203</x:v>
      </x:c>
      <x:c r="M2550" s="13" t="n">
        <x:v>0.6936766844961123</x:v>
      </x:c>
      <x:c r="N2550" s="13" t="n">
        <x:f>H2550/G2550</x:f>
        <x:v>0.06030337100061919</x:v>
      </x:c>
      <x:c r="O2550" s="13" t="n">
        <x:f>F2550/E2550</x:f>
        <x:v>0</x:v>
      </x:c>
      <x:c r="P2550" s="2" t="str">
        <x:f>IF(AND(E2550&gt;='Итоги'!$F$5,N2550&lt;='Итоги'!$B$5,O2550&gt;='Итоги'!$D$5),"Да","Нет")</x:f>
        <x:v>Нет</x:v>
      </x:c>
    </x:row>
    <x:row r="2551" ht="60" customHeight="1">
      <x:c r="A2551" s="14" t="str">
        <x:v>Игрушки</x:v>
      </x:c>
      <x:c r="B2551" s="14" t="str">
        <x:v>Игрушки</x:v>
      </x:c>
      <x:c r="C2551" s="14" t="str">
        <x:v>Интерактивные игрушки</x:v>
      </x:c>
      <x:c r="D2551" s="14" t="str">
        <x:v>Музыкальная игрушка</x:v>
      </x:c>
      <x:c r="E2551" s="2" t="n">
        <x:v>14</x:v>
      </x:c>
      <x:c r="F2551" s="2" t="n">
        <x:v>0</x:v>
      </x:c>
      <x:c r="G2551" s="12" t="n">
        <x:v>1961967.1592</x:v>
      </x:c>
      <x:c r="H2551" s="12" t="n">
        <x:v>118360.93658272</x:v>
      </x:c>
      <x:c r="I2551" s="13" t="n">
        <x:v>0.0560142857142857</x:v>
      </x:c>
      <x:c r="J2551" s="2" t="n">
        <x:v>7</x:v>
      </x:c>
      <x:c r="K2551" s="2" t="n">
        <x:v>4</x:v>
      </x:c>
      <x:c r="L2551" s="12" t="n">
        <x:v>1772.8897499999998</x:v>
      </x:c>
      <x:c r="M2551" s="13" t="n">
        <x:v>0.8292623024145878</x:v>
      </x:c>
      <x:c r="N2551" s="13" t="n">
        <x:f>H2551/G2551</x:f>
        <x:v>0.06032768490935503</x:v>
      </x:c>
      <x:c r="O2551" s="13" t="n">
        <x:f>F2551/E2551</x:f>
        <x:v>0</x:v>
      </x:c>
      <x:c r="P2551" s="2" t="str">
        <x:f>IF(AND(E2551&gt;='Итоги'!$F$5,N2551&lt;='Итоги'!$B$5,O2551&gt;='Итоги'!$D$5),"Да","Нет")</x:f>
        <x:v>Нет</x:v>
      </x:c>
    </x:row>
    <x:row r="2552" ht="60" customHeight="1">
      <x:c r="A2552" s="14" t="str">
        <x:v>Бытовая химия и гигиена рта</x:v>
      </x:c>
      <x:c r="B2552" s="14" t="str">
        <x:v>Бытовая химия</x:v>
      </x:c>
      <x:c r="C2552" s="14" t="str">
        <x:v>Чистящее и моющее средство</x:v>
      </x:c>
      <x:c r="D2552" s="14" t="str">
        <x:v>Средство для стиральных машин</x:v>
      </x:c>
      <x:c r="E2552" s="2" t="n">
        <x:v>4</x:v>
      </x:c>
      <x:c r="F2552" s="2" t="n">
        <x:v>0</x:v>
      </x:c>
      <x:c r="G2552" s="12" t="n">
        <x:v>396796</x:v>
      </x:c>
      <x:c r="H2552" s="12" t="n">
        <x:v>23942.5037</x:v>
      </x:c>
      <x:c r="I2552" s="13" t="n">
        <x:v>0.0311</x:v>
      </x:c>
      <x:c r="J2552" s="2" t="n">
        <x:v>2</x:v>
      </x:c>
      <x:c r="K2552" s="2" t="n">
        <x:v>3</x:v>
      </x:c>
      <x:c r="L2552" s="12" t="n">
        <x:v>3103.9734</x:v>
      </x:c>
      <x:c r="M2552" s="13" t="n">
        <x:v>0.5261040937912681</x:v>
      </x:c>
      <x:c r="N2552" s="13" t="n">
        <x:f>H2552/G2552</x:f>
        <x:v>0.06033957928003307</x:v>
      </x:c>
      <x:c r="O2552" s="13" t="n">
        <x:f>F2552/E2552</x:f>
        <x:v>0</x:v>
      </x:c>
      <x:c r="P2552" s="2" t="str">
        <x:f>IF(AND(E2552&gt;='Итоги'!$F$5,N2552&lt;='Итоги'!$B$5,O2552&gt;='Итоги'!$D$5),"Да","Нет")</x:f>
        <x:v>Нет</x:v>
      </x:c>
    </x:row>
    <x:row r="2553" ht="60" customHeight="1">
      <x:c r="A2553" s="14" t="str">
        <x:v>Одежда</x:v>
      </x:c>
      <x:c r="B2553" s="14" t="str">
        <x:v>Основная одежда женская</x:v>
      </x:c>
      <x:c r="C2553" s="14" t="str">
        <x:v>Основная одежда женская верха</x:v>
      </x:c>
      <x:c r="D2553" s="14" t="str">
        <x:v>Кардиган женский</x:v>
      </x:c>
      <x:c r="E2553" s="2" t="n">
        <x:v>368</x:v>
      </x:c>
      <x:c r="F2553" s="2" t="n">
        <x:v>0</x:v>
      </x:c>
      <x:c r="G2553" s="12" t="n">
        <x:v>29510004.7729</x:v>
      </x:c>
      <x:c r="H2553" s="12" t="n">
        <x:v>1781786.20300151</x:v>
      </x:c>
      <x:c r="I2553" s="13" t="n">
        <x:v>0.0392304347826086</x:v>
      </x:c>
      <x:c r="J2553" s="2" t="n">
        <x:v>200</x:v>
      </x:c>
      <x:c r="K2553" s="2" t="n">
        <x:v>68</x:v>
      </x:c>
      <x:c r="L2553" s="12" t="n">
        <x:v>1833.9411</x:v>
      </x:c>
      <x:c r="M2553" s="13" t="n">
        <x:v>0.2789227889098414</x:v>
      </x:c>
      <x:c r="N2553" s="13" t="n">
        <x:f>H2553/G2553</x:f>
        <x:v>0.06037905505992267</x:v>
      </x:c>
      <x:c r="O2553" s="13" t="n">
        <x:f>F2553/E2553</x:f>
        <x:v>0</x:v>
      </x:c>
      <x:c r="P2553" s="2" t="str">
        <x:f>IF(AND(E2553&gt;='Итоги'!$F$5,N2553&lt;='Итоги'!$B$5,O2553&gt;='Итоги'!$D$5),"Да","Нет")</x:f>
        <x:v>Нет</x:v>
      </x:c>
    </x:row>
    <x:row r="2554" ht="60" customHeight="1">
      <x:c r="A2554" s="14" t="str">
        <x:v>Спорт и отдых</x:v>
      </x:c>
      <x:c r="B2554" s="14" t="str">
        <x:v>Товары для рыбалки</x:v>
      </x:c>
      <x:c r="C2554" s="14" t="str">
        <x:v>Лодки</x:v>
      </x:c>
      <x:c r="D2554" s="14" t="str">
        <x:v>Звуковое оборудование для судна</x:v>
      </x:c>
      <x:c r="E2554" s="2" t="n">
        <x:v>1</x:v>
      </x:c>
      <x:c r="F2554" s="2" t="n">
        <x:v>0</x:v>
      </x:c>
      <x:c r="G2554" s="12" t="n">
        <x:v>102102</x:v>
      </x:c>
      <x:c r="H2554" s="12" t="n">
        <x:v>6166.9608</x:v>
      </x:c>
      <x:c r="I2554" s="13" t="n">
        <x:v>0.0604</x:v>
      </x:c>
      <x:c r="J2554" s="2" t="n">
        <x:v>0</x:v>
      </x:c>
      <x:c r="K2554" s="2" t="n">
        <x:v>1</x:v>
      </x:c>
      <x:c r="L2554" s="12" t="n">
        <x:v>8508.5</x:v>
      </x:c>
      <x:c r="M2554" s="13" t="n">
        <x:v>1</x:v>
      </x:c>
      <x:c r="N2554" s="13" t="n">
        <x:f>H2554/G2554</x:f>
        <x:v>0.060399999999999995</x:v>
      </x:c>
      <x:c r="O2554" s="13" t="n">
        <x:f>F2554/E2554</x:f>
        <x:v>0</x:v>
      </x:c>
      <x:c r="P2554" s="2" t="str">
        <x:f>IF(AND(E2554&gt;='Итоги'!$F$5,N2554&lt;='Итоги'!$B$5,O2554&gt;='Итоги'!$D$5),"Да","Нет")</x:f>
        <x:v>Нет</x:v>
      </x:c>
    </x:row>
    <x:row r="2555" ht="60" customHeight="1">
      <x:c r="A2555" s="14" t="str">
        <x:v>Детская одежда</x:v>
      </x:c>
      <x:c r="B2555" s="14" t="str">
        <x:v>Детская одежда</x:v>
      </x:c>
      <x:c r="C2555" s="14" t="str">
        <x:v>Верхняя одежда для девочки</x:v>
      </x:c>
      <x:c r="D2555" s="14" t="str">
        <x:v>Дождевик для девочки</x:v>
      </x:c>
      <x:c r="E2555" s="2" t="n">
        <x:v>4</x:v>
      </x:c>
      <x:c r="F2555" s="2" t="n">
        <x:v>0</x:v>
      </x:c>
      <x:c r="G2555" s="12" t="n">
        <x:v>317469.36</x:v>
      </x:c>
      <x:c r="H2555" s="12" t="n">
        <x:v>19178.237515</x:v>
      </x:c>
      <x:c r="I2555" s="13" t="n">
        <x:v>0.05155</x:v>
      </x:c>
      <x:c r="J2555" s="2" t="n">
        <x:v>1</x:v>
      </x:c>
      <x:c r="K2555" s="2" t="n">
        <x:v>2</x:v>
      </x:c>
      <x:c r="L2555" s="12" t="n">
        <x:v>1302.9160499999998</x:v>
      </x:c>
      <x:c r="M2555" s="13" t="n">
        <x:v>0.6388543133737379</x:v>
      </x:c>
      <x:c r="N2555" s="13" t="n">
        <x:f>H2555/G2555</x:f>
        <x:v>0.06040972746157299</x:v>
      </x:c>
      <x:c r="O2555" s="13" t="n">
        <x:f>F2555/E2555</x:f>
        <x:v>0</x:v>
      </x:c>
      <x:c r="P2555" s="2" t="str">
        <x:f>IF(AND(E2555&gt;='Итоги'!$F$5,N2555&lt;='Итоги'!$B$5,O2555&gt;='Итоги'!$D$5),"Да","Нет")</x:f>
        <x:v>Нет</x:v>
      </x:c>
    </x:row>
    <x:row r="2556" ht="60" customHeight="1">
      <x:c r="A2556" s="14" t="str">
        <x:v>Товары для детей и спорта</x:v>
      </x:c>
      <x:c r="B2556" s="14" t="str">
        <x:v>КГТ и аксессуары для детей</x:v>
      </x:c>
      <x:c r="C2556" s="14" t="str">
        <x:v>Детская мебель и аксессуары в дом</x:v>
      </x:c>
      <x:c r="D2556" s="14" t="str">
        <x:v>Стульчик для кормления</x:v>
      </x:c>
      <x:c r="E2556" s="2" t="n">
        <x:v>144</x:v>
      </x:c>
      <x:c r="F2556" s="2" t="n">
        <x:v>0</x:v>
      </x:c>
      <x:c r="G2556" s="12" t="n">
        <x:v>18296642.6612</x:v>
      </x:c>
      <x:c r="H2556" s="12" t="n">
        <x:v>1106095.07976554</x:v>
      </x:c>
      <x:c r="I2556" s="13" t="n">
        <x:v>0.0563937499999999</x:v>
      </x:c>
      <x:c r="J2556" s="2" t="n">
        <x:v>55</x:v>
      </x:c>
      <x:c r="K2556" s="2" t="n">
        <x:v>27</x:v>
      </x:c>
      <x:c r="L2556" s="12" t="n">
        <x:v>5472.5684</x:v>
      </x:c>
      <x:c r="M2556" s="13" t="n">
        <x:v>0.5213761321375857</x:v>
      </x:c>
      <x:c r="N2556" s="13" t="n">
        <x:f>H2556/G2556</x:f>
        <x:v>0.060453444943270034</x:v>
      </x:c>
      <x:c r="O2556" s="13" t="n">
        <x:f>F2556/E2556</x:f>
        <x:v>0</x:v>
      </x:c>
      <x:c r="P2556" s="2" t="str">
        <x:f>IF(AND(E2556&gt;='Итоги'!$F$5,N2556&lt;='Итоги'!$B$5,O2556&gt;='Итоги'!$D$5),"Да","Нет")</x:f>
        <x:v>Нет</x:v>
      </x:c>
    </x:row>
    <x:row r="2557" ht="60" customHeight="1">
      <x:c r="A2557" s="14" t="str">
        <x:v>Товары для животных</x:v>
      </x:c>
      <x:c r="B2557" s="14" t="str">
        <x:v>Фермерское хозяйство - Корма и кормовые добавки для птицеводства и животноводства</x:v>
      </x:c>
      <x:c r="C2557" s="14" t="str">
        <x:v>Кормовые комплексы и витамины для сельскохозяйственных животных и птиц</x:v>
      </x:c>
      <x:c r="D2557" s="14" t="str">
        <x:v>Рыбий жир для сельхозживотных и птиц</x:v>
      </x:c>
      <x:c r="E2557" s="2" t="n">
        <x:v>1</x:v>
      </x:c>
      <x:c r="F2557" s="2" t="n">
        <x:v>0</x:v>
      </x:c>
      <x:c r="G2557" s="12" t="n">
        <x:v>37405</x:v>
      </x:c>
      <x:c r="H2557" s="12" t="n">
        <x:v>2263.0025</x:v>
      </x:c>
      <x:c r="I2557" s="13" t="n">
        <x:v>0.0605</x:v>
      </x:c>
      <x:c r="J2557" s="2" t="n">
        <x:v>0</x:v>
      </x:c>
      <x:c r="K2557" s="2" t="n">
        <x:v>1</x:v>
      </x:c>
      <x:c r="L2557" s="12" t="n">
        <x:v>1496.2</x:v>
      </x:c>
      <x:c r="M2557" s="13" t="n">
        <x:v>1</x:v>
      </x:c>
      <x:c r="N2557" s="13" t="n">
        <x:f>H2557/G2557</x:f>
        <x:v>0.0605</x:v>
      </x:c>
      <x:c r="O2557" s="13" t="n">
        <x:f>F2557/E2557</x:f>
        <x:v>0</x:v>
      </x:c>
      <x:c r="P2557" s="2" t="str">
        <x:f>IF(AND(E2557&gt;='Итоги'!$F$5,N2557&lt;='Итоги'!$B$5,O2557&gt;='Итоги'!$D$5),"Да","Нет")</x:f>
        <x:v>Нет</x:v>
      </x:c>
    </x:row>
    <x:row r="2558" ht="60" customHeight="1">
      <x:c r="A2558" s="14" t="str">
        <x:v>Аптека</x:v>
      </x:c>
      <x:c r="B2558" s="14" t="str">
        <x:v>Ортопедия и компрессионный трикотаж</x:v>
      </x:c>
      <x:c r="C2558" s="14" t="str">
        <x:v>Компрессионный трикотаж</x:v>
      </x:c>
      <x:c r="D2558" s="14" t="str">
        <x:v>Компрессионные чулки</x:v>
      </x:c>
      <x:c r="E2558" s="2" t="n">
        <x:v>71</x:v>
      </x:c>
      <x:c r="F2558" s="2" t="n">
        <x:v>0</x:v>
      </x:c>
      <x:c r="G2558" s="12" t="n">
        <x:v>9034245.8734</x:v>
      </x:c>
      <x:c r="H2558" s="12" t="n">
        <x:v>547087.32116079</x:v>
      </x:c>
      <x:c r="I2558" s="13" t="n">
        <x:v>0.0573281690140845</x:v>
      </x:c>
      <x:c r="J2558" s="2" t="n">
        <x:v>21</x:v>
      </x:c>
      <x:c r="K2558" s="2" t="n">
        <x:v>11</x:v>
      </x:c>
      <x:c r="L2558" s="12" t="n">
        <x:v>1391.7175</x:v>
      </x:c>
      <x:c r="M2558" s="13" t="n">
        <x:v>0.6832717647938971</x:v>
      </x:c>
      <x:c r="N2558" s="13" t="n">
        <x:f>H2558/G2558</x:f>
        <x:v>0.06055705465927241</x:v>
      </x:c>
      <x:c r="O2558" s="13" t="n">
        <x:f>F2558/E2558</x:f>
        <x:v>0</x:v>
      </x:c>
      <x:c r="P2558" s="2" t="str">
        <x:f>IF(AND(E2558&gt;='Итоги'!$F$5,N2558&lt;='Итоги'!$B$5,O2558&gt;='Итоги'!$D$5),"Да","Нет")</x:f>
        <x:v>Нет</x:v>
      </x:c>
    </x:row>
    <x:row r="2559" ht="60" customHeight="1">
      <x:c r="A2559" s="14" t="str">
        <x:v>Школьные принадлежности и канцелярия</x:v>
      </x:c>
      <x:c r="B2559" s="14" t="str">
        <x:v>Товары для школы, канцелярия, оборудование</x:v>
      </x:c>
      <x:c r="C2559" s="14" t="str">
        <x:v>Оборудование для магазина</x:v>
      </x:c>
      <x:c r="D2559" s="14" t="str">
        <x:v>Ящик для хранения денег (не кассовый)</x:v>
      </x:c>
      <x:c r="E2559" s="2" t="n">
        <x:v>2</x:v>
      </x:c>
      <x:c r="F2559" s="2" t="n">
        <x:v>0</x:v>
      </x:c>
      <x:c r="G2559" s="12" t="n">
        <x:v>195263.24</x:v>
      </x:c>
      <x:c r="H2559" s="12" t="n">
        <x:v>11827.765352</x:v>
      </x:c>
      <x:c r="I2559" s="13" t="n">
        <x:v>0.06205</x:v>
      </x:c>
      <x:c r="J2559" s="2" t="n">
        <x:v>0</x:v>
      </x:c>
      <x:c r="K2559" s="2" t="n">
        <x:v>1</x:v>
      </x:c>
      <x:c r="L2559" s="12" t="n">
        <x:v>1096.4623</x:v>
      </x:c>
      <x:c r="M2559" s="13" t="n">
        <x:v>1</x:v>
      </x:c>
      <x:c r="N2559" s="13" t="n">
        <x:f>H2559/G2559</x:f>
        <x:v>0.06057343590119677</x:v>
      </x:c>
      <x:c r="O2559" s="13" t="n">
        <x:f>F2559/E2559</x:f>
        <x:v>0</x:v>
      </x:c>
      <x:c r="P2559" s="2" t="str">
        <x:f>IF(AND(E2559&gt;='Итоги'!$F$5,N2559&lt;='Итоги'!$B$5,O2559&gt;='Итоги'!$D$5),"Да","Нет")</x:f>
        <x:v>Нет</x:v>
      </x:c>
    </x:row>
    <x:row r="2560" ht="60" customHeight="1">
      <x:c r="A2560" s="14" t="str">
        <x:v>Аксессуары для электроники</x:v>
      </x:c>
      <x:c r="B2560" s="14" t="str">
        <x:v>Аксессуары для мобильных устройств Access</x:v>
      </x:c>
      <x:c r="C2560" s="14" t="str">
        <x:v>Наушники и аксессуары для наушников Access</x:v>
      </x:c>
      <x:c r="D2560" s="14" t="str">
        <x:v>Наушники проводные</x:v>
      </x:c>
      <x:c r="E2560" s="2" t="n">
        <x:v>122</x:v>
      </x:c>
      <x:c r="F2560" s="2" t="n">
        <x:v>0</x:v>
      </x:c>
      <x:c r="G2560" s="12" t="n">
        <x:v>14331797.4005</x:v>
      </x:c>
      <x:c r="H2560" s="12" t="n">
        <x:v>868348.6610304901</x:v>
      </x:c>
      <x:c r="I2560" s="13" t="n">
        <x:v>0.0466450819672131</x:v>
      </x:c>
      <x:c r="J2560" s="2" t="n">
        <x:v>67</x:v>
      </x:c>
      <x:c r="K2560" s="2" t="n">
        <x:v>26</x:v>
      </x:c>
      <x:c r="L2560" s="12" t="n">
        <x:v>3262.8990000000003</x:v>
      </x:c>
      <x:c r="M2560" s="13" t="n">
        <x:v>0.4135138333586297</x:v>
      </x:c>
      <x:c r="N2560" s="13" t="n">
        <x:f>H2560/G2560</x:f>
        <x:v>0.06058895732088675</x:v>
      </x:c>
      <x:c r="O2560" s="13" t="n">
        <x:f>F2560/E2560</x:f>
        <x:v>0</x:v>
      </x:c>
      <x:c r="P2560" s="2" t="str">
        <x:f>IF(AND(E2560&gt;='Итоги'!$F$5,N2560&lt;='Итоги'!$B$5,O2560&gt;='Итоги'!$D$5),"Да","Нет")</x:f>
        <x:v>Нет</x:v>
      </x:c>
    </x:row>
    <x:row r="2561" ht="60" customHeight="1">
      <x:c r="A2561" s="14" t="str">
        <x:v>Строительство и ремонт (DIY)</x:v>
      </x:c>
      <x:c r="B2561" s="14" t="str">
        <x:v>Инструменты</x:v>
      </x:c>
      <x:c r="C2561" s="14" t="str">
        <x:v>Оснастка для инструмента</x:v>
      </x:c>
      <x:c r="D2561" s="14" t="str">
        <x:v>Пильное полотно</x:v>
      </x:c>
      <x:c r="E2561" s="2" t="n">
        <x:v>42</x:v>
      </x:c>
      <x:c r="F2561" s="2" t="n">
        <x:v>0</x:v>
      </x:c>
      <x:c r="G2561" s="12" t="n">
        <x:v>5174820.0012</x:v>
      </x:c>
      <x:c r="H2561" s="12" t="n">
        <x:v>313623.97128768</x:v>
      </x:c>
      <x:c r="I2561" s="13" t="n">
        <x:v>0.0548119047619047</x:v>
      </x:c>
      <x:c r="J2561" s="2" t="n">
        <x:v>16</x:v>
      </x:c>
      <x:c r="K2561" s="2" t="n">
        <x:v>11</x:v>
      </x:c>
      <x:c r="L2561" s="12" t="n">
        <x:v>1285.1727999999998</x:v>
      </x:c>
      <x:c r="M2561" s="13" t="n">
        <x:v>0.7312191039538646</x:v>
      </x:c>
      <x:c r="N2561" s="13" t="n">
        <x:f>H2561/G2561</x:f>
        <x:v>0.060605773962177055</x:v>
      </x:c>
      <x:c r="O2561" s="13" t="n">
        <x:f>F2561/E2561</x:f>
        <x:v>0</x:v>
      </x:c>
      <x:c r="P2561" s="2" t="str">
        <x:f>IF(AND(E2561&gt;='Итоги'!$F$5,N2561&lt;='Итоги'!$B$5,O2561&gt;='Итоги'!$D$5),"Да","Нет")</x:f>
        <x:v>Нет</x:v>
      </x:c>
    </x:row>
    <x:row r="2562" ht="60" customHeight="1">
      <x:c r="A2562" s="14" t="str">
        <x:v>Обувь</x:v>
      </x:c>
      <x:c r="B2562" s="14" t="str">
        <x:v>Специальная обувь</x:v>
      </x:c>
      <x:c r="C2562" s="14" t="str">
        <x:v>Спецобувь мужская</x:v>
      </x:c>
      <x:c r="D2562" s="14" t="str">
        <x:v>Спецобувь для сварщика мужская</x:v>
      </x:c>
      <x:c r="E2562" s="2" t="n">
        <x:v>10</x:v>
      </x:c>
      <x:c r="F2562" s="2" t="n">
        <x:v>0</x:v>
      </x:c>
      <x:c r="G2562" s="12" t="n">
        <x:v>1074829.9407</x:v>
      </x:c>
      <x:c r="H2562" s="12" t="n">
        <x:v>65157.05735074</x:v>
      </x:c>
      <x:c r="I2562" s="13" t="n">
        <x:v>0.0625</x:v>
      </x:c>
      <x:c r="J2562" s="2" t="n">
        <x:v>1</x:v>
      </x:c>
      <x:c r="K2562" s="2" t="n">
        <x:v>2</x:v>
      </x:c>
      <x:c r="L2562" s="12" t="n">
        <x:v>2770.6866</x:v>
      </x:c>
      <x:c r="M2562" s="13" t="n">
        <x:v>0.9246390085232952</x:v>
      </x:c>
      <x:c r="N2562" s="13" t="n">
        <x:f>H2562/G2562</x:f>
        <x:v>0.060620806030306</x:v>
      </x:c>
      <x:c r="O2562" s="13" t="n">
        <x:f>F2562/E2562</x:f>
        <x:v>0</x:v>
      </x:c>
      <x:c r="P2562" s="2" t="str">
        <x:f>IF(AND(E2562&gt;='Итоги'!$F$5,N2562&lt;='Итоги'!$B$5,O2562&gt;='Итоги'!$D$5),"Да","Нет")</x:f>
        <x:v>Нет</x:v>
      </x:c>
    </x:row>
    <x:row r="2563" ht="60" customHeight="1">
      <x:c r="A2563" s="14" t="str">
        <x:v>Игрушки</x:v>
      </x:c>
      <x:c r="B2563" s="14" t="str">
        <x:v>Игрушки</x:v>
      </x:c>
      <x:c r="C2563" s="14" t="str">
        <x:v>Игрушки для самых маленьких</x:v>
      </x:c>
      <x:c r="D2563" s="14" t="str">
        <x:v>Развивающий центр</x:v>
      </x:c>
      <x:c r="E2563" s="2" t="n">
        <x:v>7</x:v>
      </x:c>
      <x:c r="F2563" s="2" t="n">
        <x:v>0</x:v>
      </x:c>
      <x:c r="G2563" s="12" t="n">
        <x:v>440852.5544</x:v>
      </x:c>
      <x:c r="H2563" s="12" t="n">
        <x:v>26725.79776189</x:v>
      </x:c>
      <x:c r="I2563" s="13" t="n">
        <x:v>0.0510428571428571</x:v>
      </x:c>
      <x:c r="J2563" s="2" t="n">
        <x:v>4</x:v>
      </x:c>
      <x:c r="K2563" s="2" t="n">
        <x:v>6</x:v>
      </x:c>
      <x:c r="L2563" s="12" t="n">
        <x:v>2247.7609</x:v>
      </x:c>
      <x:c r="M2563" s="13" t="n">
        <x:v>0.3180388780798227</x:v>
      </x:c>
      <x:c r="N2563" s="13" t="n">
        <x:f>H2563/G2563</x:f>
        <x:v>0.060622984930332975</x:v>
      </x:c>
      <x:c r="O2563" s="13" t="n">
        <x:f>F2563/E2563</x:f>
        <x:v>0</x:v>
      </x:c>
      <x:c r="P2563" s="2" t="str">
        <x:f>IF(AND(E2563&gt;='Итоги'!$F$5,N2563&lt;='Итоги'!$B$5,O2563&gt;='Итоги'!$D$5),"Да","Нет")</x:f>
        <x:v>Нет</x:v>
      </x:c>
    </x:row>
    <x:row r="2564" ht="60" customHeight="1">
      <x:c r="A2564" s="14" t="str">
        <x:v>Товары для дома</x:v>
      </x:c>
      <x:c r="B2564" s="14" t="str">
        <x:v>Кухня</x:v>
      </x:c>
      <x:c r="C2564" s="14" t="str">
        <x:v>Столовые приборы</x:v>
      </x:c>
      <x:c r="D2564" s="14" t="str">
        <x:v>Столовое серебро</x:v>
      </x:c>
      <x:c r="E2564" s="2" t="n">
        <x:v>3</x:v>
      </x:c>
      <x:c r="F2564" s="2" t="n">
        <x:v>0</x:v>
      </x:c>
      <x:c r="G2564" s="12" t="n">
        <x:v>156552.56</x:v>
      </x:c>
      <x:c r="H2564" s="12" t="n">
        <x:v>9494.610092</x:v>
      </x:c>
      <x:c r="I2564" s="13" t="n">
        <x:v>0.0685666666666666</x:v>
      </x:c>
      <x:c r="J2564" s="2" t="n">
        <x:v>2</x:v>
      </x:c>
      <x:c r="K2564" s="2" t="n">
        <x:v>2</x:v>
      </x:c>
      <x:c r="L2564" s="12" t="n">
        <x:v>3470</x:v>
      </x:c>
      <x:c r="M2564" s="13" t="n">
        <x:v>0.9778349201060652</x:v>
      </x:c>
      <x:c r="N2564" s="13" t="n">
        <x:f>H2564/G2564</x:f>
        <x:v>0.060648066642921716</x:v>
      </x:c>
      <x:c r="O2564" s="13" t="n">
        <x:f>F2564/E2564</x:f>
        <x:v>0</x:v>
      </x:c>
      <x:c r="P2564" s="2" t="str">
        <x:f>IF(AND(E2564&gt;='Итоги'!$F$5,N2564&lt;='Итоги'!$B$5,O2564&gt;='Итоги'!$D$5),"Да","Нет")</x:f>
        <x:v>Нет</x:v>
      </x:c>
    </x:row>
    <x:row r="2565" ht="60" customHeight="1">
      <x:c r="A2565" s="14" t="str">
        <x:v>Строительство и ремонт (DIY)</x:v>
      </x:c>
      <x:c r="B2565" s="14" t="str">
        <x:v>Ремонт и строительство</x:v>
      </x:c>
      <x:c r="C2565" s="14" t="str">
        <x:v>Строительная химия</x:v>
      </x:c>
      <x:c r="D2565" s="14" t="str">
        <x:v>Герметик строительный</x:v>
      </x:c>
      <x:c r="E2565" s="2" t="n">
        <x:v>69</x:v>
      </x:c>
      <x:c r="F2565" s="2" t="n">
        <x:v>0</x:v>
      </x:c>
      <x:c r="G2565" s="12" t="n">
        <x:v>10219601.3064</x:v>
      </x:c>
      <x:c r="H2565" s="12" t="n">
        <x:v>619937.10607907</x:v>
      </x:c>
      <x:c r="I2565" s="13" t="n">
        <x:v>0.0510420289855072</x:v>
      </x:c>
      <x:c r="J2565" s="2" t="n">
        <x:v>22</x:v>
      </x:c>
      <x:c r="K2565" s="2" t="n">
        <x:v>20</x:v>
      </x:c>
      <x:c r="L2565" s="12" t="n">
        <x:v>1433.414</x:v>
      </x:c>
      <x:c r="M2565" s="13" t="n">
        <x:v>0.2041468036129218</x:v>
      </x:c>
      <x:c r="N2565" s="13" t="n">
        <x:f>H2565/G2565</x:f>
        <x:v>0.06066157450690723</x:v>
      </x:c>
      <x:c r="O2565" s="13" t="n">
        <x:f>F2565/E2565</x:f>
        <x:v>0</x:v>
      </x:c>
      <x:c r="P2565" s="2" t="str">
        <x:f>IF(AND(E2565&gt;='Итоги'!$F$5,N2565&lt;='Итоги'!$B$5,O2565&gt;='Итоги'!$D$5),"Да","Нет")</x:f>
        <x:v>Нет</x:v>
      </x:c>
    </x:row>
    <x:row r="2566" ht="60" customHeight="1">
      <x:c r="A2566" s="14" t="str">
        <x:v>Товары для дома</x:v>
      </x:c>
      <x:c r="B2566" s="14" t="str">
        <x:v>Антиквариат Хоум Декор</x:v>
      </x:c>
      <x:c r="C2566" s="14" t="str">
        <x:v>Коллекционирование Хоум Декор</x:v>
      </x:c>
      <x:c r="D2566" s="14" t="str">
        <x:v>Альбом для марок</x:v>
      </x:c>
      <x:c r="E2566" s="2" t="n">
        <x:v>2</x:v>
      </x:c>
      <x:c r="F2566" s="2" t="n">
        <x:v>0</x:v>
      </x:c>
      <x:c r="G2566" s="12" t="n">
        <x:v>102595</x:v>
      </x:c>
      <x:c r="H2566" s="12" t="n">
        <x:v>6223.59</x:v>
      </x:c>
      <x:c r="I2566" s="13" t="n">
        <x:v>0.0616499999999999</x:v>
      </x:c>
      <x:c r="J2566" s="2" t="n">
        <x:v>0</x:v>
      </x:c>
      <x:c r="K2566" s="2" t="n">
        <x:v>1</x:v>
      </x:c>
      <x:c r="L2566" s="12" t="n">
        <x:v>4105.519850000001</x:v>
      </x:c>
      <x:c r="M2566" s="13" t="n">
        <x:v>1</x:v>
      </x:c>
      <x:c r="N2566" s="13" t="n">
        <x:f>H2566/G2566</x:f>
        <x:v>0.06066172815439349</x:v>
      </x:c>
      <x:c r="O2566" s="13" t="n">
        <x:f>F2566/E2566</x:f>
        <x:v>0</x:v>
      </x:c>
      <x:c r="P2566" s="2" t="str">
        <x:f>IF(AND(E2566&gt;='Итоги'!$F$5,N2566&lt;='Итоги'!$B$5,O2566&gt;='Итоги'!$D$5),"Да","Нет")</x:f>
        <x:v>Нет</x:v>
      </x:c>
    </x:row>
    <x:row r="2567" ht="60" customHeight="1">
      <x:c r="A2567" s="14" t="str">
        <x:v>Товары для красоты и здоровья</x:v>
      </x:c>
      <x:c r="B2567" s="14" t="str">
        <x:v>Косметика для ухода за кожей</x:v>
      </x:c>
      <x:c r="C2567" s="14" t="str">
        <x:v>Уход за лицом и телом для мужчин</x:v>
      </x:c>
      <x:c r="D2567" s="14" t="str">
        <x:v>Средства для ухода за лицом и телом мужские</x:v>
      </x:c>
      <x:c r="E2567" s="2" t="n">
        <x:v>13</x:v>
      </x:c>
      <x:c r="F2567" s="2" t="n">
        <x:v>0</x:v>
      </x:c>
      <x:c r="G2567" s="12" t="n">
        <x:v>2553437.082</x:v>
      </x:c>
      <x:c r="H2567" s="12" t="n">
        <x:v>154896.76969926</x:v>
      </x:c>
      <x:c r="I2567" s="13" t="n">
        <x:v>0.0659076923076923</x:v>
      </x:c>
      <x:c r="J2567" s="2" t="n">
        <x:v>1</x:v>
      </x:c>
      <x:c r="K2567" s="2" t="n">
        <x:v>3</x:v>
      </x:c>
      <x:c r="L2567" s="12" t="n">
        <x:v>2385.0925</x:v>
      </x:c>
      <x:c r="M2567" s="13" t="n">
        <x:v>0.535781518269656</x:v>
      </x:c>
      <x:c r="N2567" s="13" t="n">
        <x:f>H2567/G2567</x:f>
        <x:v>0.06066206635408298</x:v>
      </x:c>
      <x:c r="O2567" s="13" t="n">
        <x:f>F2567/E2567</x:f>
        <x:v>0</x:v>
      </x:c>
      <x:c r="P2567" s="2" t="str">
        <x:f>IF(AND(E2567&gt;='Итоги'!$F$5,N2567&lt;='Итоги'!$B$5,O2567&gt;='Итоги'!$D$5),"Да","Нет")</x:f>
        <x:v>Нет</x:v>
      </x:c>
    </x:row>
    <x:row r="2568" ht="60" customHeight="1">
      <x:c r="A2568" s="14" t="str">
        <x:v>Спорт и отдых</x:v>
      </x:c>
      <x:c r="B2568" s="14" t="str">
        <x:v>Колесный транспорт</x:v>
      </x:c>
      <x:c r="C2568" s="14" t="str">
        <x:v>Велохимия, велокосметика</x:v>
      </x:c>
      <x:c r="D2568" s="14" t="str">
        <x:v>Смазка велосипедная</x:v>
      </x:c>
      <x:c r="E2568" s="2" t="n">
        <x:v>4</x:v>
      </x:c>
      <x:c r="F2568" s="2" t="n">
        <x:v>0</x:v>
      </x:c>
      <x:c r="G2568" s="12" t="n">
        <x:v>594691.0702</x:v>
      </x:c>
      <x:c r="H2568" s="12" t="n">
        <x:v>36087.48384047</x:v>
      </x:c>
      <x:c r="I2568" s="13" t="n">
        <x:v>0.04765</x:v>
      </x:c>
      <x:c r="J2568" s="2" t="n">
        <x:v>2</x:v>
      </x:c>
      <x:c r="K2568" s="2" t="n">
        <x:v>4</x:v>
      </x:c>
      <x:c r="L2568" s="12" t="n">
        <x:v>1593.7478</x:v>
      </x:c>
      <x:c r="M2568" s="13" t="n">
        <x:v>0.3236971265353969</x:v>
      </x:c>
      <x:c r="N2568" s="13" t="n">
        <x:f>H2568/G2568</x:f>
        <x:v>0.06068274041568079</x:v>
      </x:c>
      <x:c r="O2568" s="13" t="n">
        <x:f>F2568/E2568</x:f>
        <x:v>0</x:v>
      </x:c>
      <x:c r="P2568" s="2" t="str">
        <x:f>IF(AND(E2568&gt;='Итоги'!$F$5,N2568&lt;='Итоги'!$B$5,O2568&gt;='Итоги'!$D$5),"Да","Нет")</x:f>
        <x:v>Нет</x:v>
      </x:c>
    </x:row>
    <x:row r="2569" ht="60" customHeight="1">
      <x:c r="A2569" s="14" t="str">
        <x:v>Товары для дома</x:v>
      </x:c>
      <x:c r="B2569" s="14" t="str">
        <x:v>Интерьер и декор</x:v>
      </x:c>
      <x:c r="C2569" s="14" t="str">
        <x:v>Камин</x:v>
      </x:c>
      <x:c r="D2569" s="14" t="str">
        <x:v>Набор принадлежностей для камина</x:v>
      </x:c>
      <x:c r="E2569" s="2" t="n">
        <x:v>7</x:v>
      </x:c>
      <x:c r="F2569" s="2" t="n">
        <x:v>0</x:v>
      </x:c>
      <x:c r="G2569" s="12" t="n">
        <x:v>1125474.073</x:v>
      </x:c>
      <x:c r="H2569" s="12" t="n">
        <x:v>68340.24171233</x:v>
      </x:c>
      <x:c r="I2569" s="13" t="n">
        <x:v>0.0557285714285714</x:v>
      </x:c>
      <x:c r="J2569" s="2" t="n">
        <x:v>3</x:v>
      </x:c>
      <x:c r="K2569" s="2" t="n">
        <x:v>5</x:v>
      </x:c>
      <x:c r="L2569" s="12" t="n">
        <x:v>1674.6758</x:v>
      </x:c>
      <x:c r="M2569" s="13" t="n">
        <x:v>0.3561756759366948</x:v>
      </x:c>
      <x:c r="N2569" s="13" t="n">
        <x:f>H2569/G2569</x:f>
        <x:v>0.060721293676864636</x:v>
      </x:c>
      <x:c r="O2569" s="13" t="n">
        <x:f>F2569/E2569</x:f>
        <x:v>0</x:v>
      </x:c>
      <x:c r="P2569" s="2" t="str">
        <x:f>IF(AND(E2569&gt;='Итоги'!$F$5,N2569&lt;='Итоги'!$B$5,O2569&gt;='Итоги'!$D$5),"Да","Нет")</x:f>
        <x:v>Нет</x:v>
      </x:c>
    </x:row>
    <x:row r="2570" ht="60" customHeight="1">
      <x:c r="A2570" s="14" t="str">
        <x:v>Аптека</x:v>
      </x:c>
      <x:c r="B2570" s="14" t="str">
        <x:v>Витамины и БАДы</x:v>
      </x:c>
      <x:c r="C2570" s="14" t="str">
        <x:v>Мужское здоровье</x:v>
      </x:c>
      <x:c r="D2570" s="14" t="str">
        <x:v>БАД для поддержания сперматогенеза</x:v>
      </x:c>
      <x:c r="E2570" s="2" t="n">
        <x:v>12</x:v>
      </x:c>
      <x:c r="F2570" s="2" t="n">
        <x:v>0</x:v>
      </x:c>
      <x:c r="G2570" s="12" t="n">
        <x:v>2370250.1453</x:v>
      </x:c>
      <x:c r="H2570" s="12" t="n">
        <x:v>144196.36667489</x:v>
      </x:c>
      <x:c r="I2570" s="13" t="n">
        <x:v>0.0609583333333333</x:v>
      </x:c>
      <x:c r="J2570" s="2" t="n">
        <x:v>3</x:v>
      </x:c>
      <x:c r="K2570" s="2" t="n">
        <x:v>4</x:v>
      </x:c>
      <x:c r="L2570" s="12" t="n">
        <x:v>2369.99975</x:v>
      </x:c>
      <x:c r="M2570" s="13" t="n">
        <x:v>0.4335946701819194</x:v>
      </x:c>
      <x:c r="N2570" s="13" t="n">
        <x:f>H2570/G2570</x:f>
        <x:v>0.0608359277862798</x:v>
      </x:c>
      <x:c r="O2570" s="13" t="n">
        <x:f>F2570/E2570</x:f>
        <x:v>0</x:v>
      </x:c>
      <x:c r="P2570" s="2" t="str">
        <x:f>IF(AND(E2570&gt;='Итоги'!$F$5,N2570&lt;='Итоги'!$B$5,O2570&gt;='Итоги'!$D$5),"Да","Нет")</x:f>
        <x:v>Нет</x:v>
      </x:c>
    </x:row>
    <x:row r="2571" ht="60" customHeight="1">
      <x:c r="A2571" s="14" t="str">
        <x:v>Аптека</x:v>
      </x:c>
      <x:c r="B2571" s="14" t="str">
        <x:v>Витамины и БАДы</x:v>
      </x:c>
      <x:c r="C2571" s="14" t="str">
        <x:v>Витамины и минеральные вещества</x:v>
      </x:c>
      <x:c r="D2571" s="14" t="str">
        <x:v>Витамины, антиоксиданты</x:v>
      </x:c>
      <x:c r="E2571" s="2" t="n">
        <x:v>196</x:v>
      </x:c>
      <x:c r="F2571" s="2" t="n">
        <x:v>0</x:v>
      </x:c>
      <x:c r="G2571" s="12" t="n">
        <x:v>35966616.2961</x:v>
      </x:c>
      <x:c r="H2571" s="12" t="n">
        <x:v>2189239.07457866</x:v>
      </x:c>
      <x:c r="I2571" s="13" t="n">
        <x:v>0.0625433673469387</x:v>
      </x:c>
      <x:c r="J2571" s="2" t="n">
        <x:v>75</x:v>
      </x:c>
      <x:c r="K2571" s="2" t="n">
        <x:v>44</x:v>
      </x:c>
      <x:c r="L2571" s="12" t="n">
        <x:v>1498.11905</x:v>
      </x:c>
      <x:c r="M2571" s="13" t="n">
        <x:v>0.5848326796335537</x:v>
      </x:c>
      <x:c r="N2571" s="13" t="n">
        <x:f>H2571/G2571</x:f>
        <x:v>0.06086864153568007</x:v>
      </x:c>
      <x:c r="O2571" s="13" t="n">
        <x:f>F2571/E2571</x:f>
        <x:v>0</x:v>
      </x:c>
      <x:c r="P2571" s="2" t="str">
        <x:f>IF(AND(E2571&gt;='Итоги'!$F$5,N2571&lt;='Итоги'!$B$5,O2571&gt;='Итоги'!$D$5),"Да","Нет")</x:f>
        <x:v>Нет</x:v>
      </x:c>
    </x:row>
    <x:row r="2572" ht="60" customHeight="1">
      <x:c r="A2572" s="14" t="str">
        <x:v>Аудио и видеотехника</x:v>
      </x:c>
      <x:c r="B2572" s="14" t="str">
        <x:v>Система безопасности TV&amp;Audio</x:v>
      </x:c>
      <x:c r="C2572" s="14" t="str">
        <x:v>Умный дом TV&amp;Audio</x:v>
      </x:c>
      <x:c r="D2572" s="14" t="str">
        <x:v>Комплект Умный дом</x:v>
      </x:c>
      <x:c r="E2572" s="2" t="n">
        <x:v>9</x:v>
      </x:c>
      <x:c r="F2572" s="2" t="n">
        <x:v>0</x:v>
      </x:c>
      <x:c r="G2572" s="12" t="n">
        <x:v>1865361.5761</x:v>
      </x:c>
      <x:c r="H2572" s="12" t="n">
        <x:v>113562.51675054002</x:v>
      </x:c>
      <x:c r="I2572" s="13" t="n">
        <x:v>0.0202888888888888</x:v>
      </x:c>
      <x:c r="J2572" s="2" t="n">
        <x:v>8</x:v>
      </x:c>
      <x:c r="K2572" s="2" t="n">
        <x:v>4</x:v>
      </x:c>
      <x:c r="L2572" s="12" t="n">
        <x:v>6808.7143</x:v>
      </x:c>
      <x:c r="M2572" s="13" t="n">
        <x:v>0.5022155607807901</x:v>
      </x:c>
      <x:c r="N2572" s="13" t="n">
        <x:f>H2572/G2572</x:f>
        <x:v>0.06087962688068796</x:v>
      </x:c>
      <x:c r="O2572" s="13" t="n">
        <x:f>F2572/E2572</x:f>
        <x:v>0</x:v>
      </x:c>
      <x:c r="P2572" s="2" t="str">
        <x:f>IF(AND(E2572&gt;='Итоги'!$F$5,N2572&lt;='Итоги'!$B$5,O2572&gt;='Итоги'!$D$5),"Да","Нет")</x:f>
        <x:v>Нет</x:v>
      </x:c>
    </x:row>
    <x:row r="2573" ht="60" customHeight="1">
      <x:c r="A2573" s="14" t="str">
        <x:v>Аксессуары для электроники</x:v>
      </x:c>
      <x:c r="B2573" s="14" t="str">
        <x:v>Аксессуары для МБТ (красота и здоровье) Access</x:v>
      </x:c>
      <x:c r="C2573" s="14" t="str">
        <x:v>Аксессуары для электрической зубной щетки Access</x:v>
      </x:c>
      <x:c r="D2573" s="14" t="str">
        <x:v>Аксессуары для электрических зубных щеток</x:v>
      </x:c>
      <x:c r="E2573" s="2" t="n">
        <x:v>42</x:v>
      </x:c>
      <x:c r="F2573" s="2" t="n">
        <x:v>0</x:v>
      </x:c>
      <x:c r="G2573" s="12" t="n">
        <x:v>5728898.3603</x:v>
      </x:c>
      <x:c r="H2573" s="12" t="n">
        <x:v>348787.59407182</x:v>
      </x:c>
      <x:c r="I2573" s="13" t="n">
        <x:v>0.0532166666666666</x:v>
      </x:c>
      <x:c r="J2573" s="2" t="n">
        <x:v>24</x:v>
      </x:c>
      <x:c r="K2573" s="2" t="n">
        <x:v>7</x:v>
      </x:c>
      <x:c r="L2573" s="12" t="n">
        <x:v>1405.54065</x:v>
      </x:c>
      <x:c r="M2573" s="13" t="n">
        <x:v>0.4455715511012014</x:v>
      </x:c>
      <x:c r="N2573" s="13" t="n">
        <x:f>H2573/G2573</x:f>
        <x:v>0.06088214035857941</x:v>
      </x:c>
      <x:c r="O2573" s="13" t="n">
        <x:f>F2573/E2573</x:f>
        <x:v>0</x:v>
      </x:c>
      <x:c r="P2573" s="2" t="str">
        <x:f>IF(AND(E2573&gt;='Итоги'!$F$5,N2573&lt;='Итоги'!$B$5,O2573&gt;='Итоги'!$D$5),"Да","Нет")</x:f>
        <x:v>Нет</x:v>
      </x:c>
    </x:row>
    <x:row r="2574" ht="60" customHeight="1">
      <x:c r="A2574" s="14" t="str">
        <x:v>Товары для красоты и здоровья</x:v>
      </x:c>
      <x:c r="B2574" s="14" t="str">
        <x:v>Косметика для ухода за волосами</x:v>
      </x:c>
      <x:c r="C2574" s="14" t="str">
        <x:v>Стайлинг для мужчин</x:v>
      </x:c>
      <x:c r="D2574" s="14" t="str">
        <x:v>Глина для укладки мужская</x:v>
      </x:c>
      <x:c r="E2574" s="2" t="n">
        <x:v>11</x:v>
      </x:c>
      <x:c r="F2574" s="2" t="n">
        <x:v>0</x:v>
      </x:c>
      <x:c r="G2574" s="12" t="n">
        <x:v>1790351.6931</x:v>
      </x:c>
      <x:c r="H2574" s="12" t="n">
        <x:v>109029.38572514</x:v>
      </x:c>
      <x:c r="I2574" s="13" t="n">
        <x:v>0.0685545454545454</x:v>
      </x:c>
      <x:c r="J2574" s="2" t="n">
        <x:v>4</x:v>
      </x:c>
      <x:c r="K2574" s="2" t="n">
        <x:v>4</x:v>
      </x:c>
      <x:c r="L2574" s="12" t="n">
        <x:v>1129.5252</x:v>
      </x:c>
      <x:c r="M2574" s="13" t="n">
        <x:v>0.7139613325841695</x:v>
      </x:c>
      <x:c r="N2574" s="13" t="n">
        <x:f>H2574/G2574</x:f>
        <x:v>0.06089830626314278</x:v>
      </x:c>
      <x:c r="O2574" s="13" t="n">
        <x:f>F2574/E2574</x:f>
        <x:v>0</x:v>
      </x:c>
      <x:c r="P2574" s="2" t="str">
        <x:f>IF(AND(E2574&gt;='Итоги'!$F$5,N2574&lt;='Итоги'!$B$5,O2574&gt;='Итоги'!$D$5),"Да","Нет")</x:f>
        <x:v>Нет</x:v>
      </x:c>
    </x:row>
    <x:row r="2575" ht="60" customHeight="1">
      <x:c r="A2575" s="14" t="str">
        <x:v>Спорт и отдых</x:v>
      </x:c>
      <x:c r="B2575" s="14" t="str">
        <x:v>Тренажеры и фитнес</x:v>
      </x:c>
      <x:c r="C2575" s="14" t="str">
        <x:v>Кросстренинг и тяжёлая атлетика</x:v>
      </x:c>
      <x:c r="D2575" s="14" t="str">
        <x:v>Гантели</x:v>
      </x:c>
      <x:c r="E2575" s="2" t="n">
        <x:v>224</x:v>
      </x:c>
      <x:c r="F2575" s="2" t="n">
        <x:v>0</x:v>
      </x:c>
      <x:c r="G2575" s="12" t="n">
        <x:v>46911174.2626</x:v>
      </x:c>
      <x:c r="H2575" s="12" t="n">
        <x:v>2858057.71289641</x:v>
      </x:c>
      <x:c r="I2575" s="13" t="n">
        <x:v>0.0569683035714285</x:v>
      </x:c>
      <x:c r="J2575" s="2" t="n">
        <x:v>40</x:v>
      </x:c>
      <x:c r="K2575" s="2" t="n">
        <x:v>21</x:v>
      </x:c>
      <x:c r="L2575" s="12" t="n">
        <x:v>2598.77305</x:v>
      </x:c>
      <x:c r="M2575" s="13" t="n">
        <x:v>0.6373205214953612</x:v>
      </x:c>
      <x:c r="N2575" s="13" t="n">
        <x:f>H2575/G2575</x:f>
        <x:v>0.06092488107199228</x:v>
      </x:c>
      <x:c r="O2575" s="13" t="n">
        <x:f>F2575/E2575</x:f>
        <x:v>0</x:v>
      </x:c>
      <x:c r="P2575" s="2" t="str">
        <x:f>IF(AND(E2575&gt;='Итоги'!$F$5,N2575&lt;='Итоги'!$B$5,O2575&gt;='Итоги'!$D$5),"Да","Нет")</x:f>
        <x:v>Нет</x:v>
      </x:c>
    </x:row>
    <x:row r="2576" ht="60" customHeight="1">
      <x:c r="A2576" s="14" t="str">
        <x:v>Спорт и отдых</x:v>
      </x:c>
      <x:c r="B2576" s="14" t="str">
        <x:v>Активный отдых</x:v>
      </x:c>
      <x:c r="C2576" s="14" t="str">
        <x:v>Спортивные игры на воздухе</x:v>
      </x:c>
      <x:c r="D2576" s="14" t="str">
        <x:v>Спортивные игры на воздухе</x:v>
      </x:c>
      <x:c r="E2576" s="2" t="n">
        <x:v>2</x:v>
      </x:c>
      <x:c r="F2576" s="2" t="n">
        <x:v>0</x:v>
      </x:c>
      <x:c r="G2576" s="12" t="n">
        <x:v>324221.2108</x:v>
      </x:c>
      <x:c r="H2576" s="12" t="n">
        <x:v>19755.9972972</x:v>
      </x:c>
      <x:c r="I2576" s="13" t="n">
        <x:v>0.0876</x:v>
      </x:c>
      <x:c r="J2576" s="2" t="n">
        <x:v>0</x:v>
      </x:c>
      <x:c r="K2576" s="2" t="n">
        <x:v>2</x:v>
      </x:c>
      <x:c r="L2576" s="12" t="n">
        <x:v>1946.58085</x:v>
      </x:c>
      <x:c r="M2576" s="13" t="n">
        <x:v>0.669632965296421</x:v>
      </x:c>
      <x:c r="N2576" s="13" t="n">
        <x:f>H2576/G2576</x:f>
        <x:v>0.06093369785540262</x:v>
      </x:c>
      <x:c r="O2576" s="13" t="n">
        <x:f>F2576/E2576</x:f>
        <x:v>0</x:v>
      </x:c>
      <x:c r="P2576" s="2" t="str">
        <x:f>IF(AND(E2576&gt;='Итоги'!$F$5,N2576&lt;='Итоги'!$B$5,O2576&gt;='Итоги'!$D$5),"Да","Нет")</x:f>
        <x:v>Нет</x:v>
      </x:c>
    </x:row>
    <x:row r="2577" ht="60" customHeight="1">
      <x:c r="A2577" s="14" t="str">
        <x:v>Строительство и ремонт (DIY)</x:v>
      </x:c>
      <x:c r="B2577" s="14" t="str">
        <x:v>Ремонт и строительство</x:v>
      </x:c>
      <x:c r="C2577" s="14" t="str">
        <x:v>Отделка пола</x:v>
      </x:c>
      <x:c r="D2577" s="14" t="str">
        <x:v>Порожек для напольного покрытия</x:v>
      </x:c>
      <x:c r="E2577" s="2" t="n">
        <x:v>3</x:v>
      </x:c>
      <x:c r="F2577" s="2" t="n">
        <x:v>0</x:v>
      </x:c>
      <x:c r="G2577" s="12" t="n">
        <x:v>324973.9197</x:v>
      </x:c>
      <x:c r="H2577" s="12" t="n">
        <x:v>19805.72614238</x:v>
      </x:c>
      <x:c r="I2577" s="13" t="n">
        <x:v>0.0585666666666666</x:v>
      </x:c>
      <x:c r="J2577" s="2" t="n">
        <x:v>0</x:v>
      </x:c>
      <x:c r="K2577" s="2" t="n">
        <x:v>2</x:v>
      </x:c>
      <x:c r="L2577" s="12" t="n">
        <x:v>3252.4737</x:v>
      </x:c>
      <x:c r="M2577" s="13" t="n">
        <x:v>0.9158978664342338</x:v>
      </x:c>
      <x:c r="N2577" s="13" t="n">
        <x:f>H2577/G2577</x:f>
        <x:v>0.06094558652787792</x:v>
      </x:c>
      <x:c r="O2577" s="13" t="n">
        <x:f>F2577/E2577</x:f>
        <x:v>0</x:v>
      </x:c>
      <x:c r="P2577" s="2" t="str">
        <x:f>IF(AND(E2577&gt;='Итоги'!$F$5,N2577&lt;='Итоги'!$B$5,O2577&gt;='Итоги'!$D$5),"Да","Нет")</x:f>
        <x:v>Нет</x:v>
      </x:c>
    </x:row>
    <x:row r="2578" ht="60" customHeight="1">
      <x:c r="A2578" s="14" t="str">
        <x:v>Товары для животных</x:v>
      </x:c>
      <x:c r="B2578" s="14" t="str">
        <x:v>Фермерское хозяйство - Корма и кормовые добавки для птицеводства и животноводства</x:v>
      </x:c>
      <x:c r="C2578" s="14" t="str">
        <x:v>Кормовые комплексы и витамины для сельскохозяйственных животных и птиц</x:v>
      </x:c>
      <x:c r="D2578" s="14" t="str">
        <x:v>Заменитель цельного молока для сельхозживотных и птиц</x:v>
      </x:c>
      <x:c r="E2578" s="2" t="n">
        <x:v>1</x:v>
      </x:c>
      <x:c r="F2578" s="2" t="n">
        <x:v>0</x:v>
      </x:c>
      <x:c r="G2578" s="12" t="n">
        <x:v>141435</x:v>
      </x:c>
      <x:c r="H2578" s="12" t="n">
        <x:v>8627.535</x:v>
      </x:c>
      <x:c r="I2578" s="13" t="n">
        <x:v>0.061</x:v>
      </x:c>
      <x:c r="J2578" s="2" t="n">
        <x:v>0</x:v>
      </x:c>
      <x:c r="K2578" s="2" t="n">
        <x:v>1</x:v>
      </x:c>
      <x:c r="L2578" s="12" t="n">
        <x:v>3449.6341</x:v>
      </x:c>
      <x:c r="M2578" s="13" t="n">
        <x:v>1</x:v>
      </x:c>
      <x:c r="N2578" s="13" t="n">
        <x:f>H2578/G2578</x:f>
        <x:v>0.061</x:v>
      </x:c>
      <x:c r="O2578" s="13" t="n">
        <x:f>F2578/E2578</x:f>
        <x:v>0</x:v>
      </x:c>
      <x:c r="P2578" s="2" t="str">
        <x:f>IF(AND(E2578&gt;='Итоги'!$F$5,N2578&lt;='Итоги'!$B$5,O2578&gt;='Итоги'!$D$5),"Да","Нет")</x:f>
        <x:v>Нет</x:v>
      </x:c>
    </x:row>
    <x:row r="2579" ht="60" customHeight="1">
      <x:c r="A2579" s="14" t="str">
        <x:v>Спорт и отдых</x:v>
      </x:c>
      <x:c r="B2579" s="14" t="str">
        <x:v>Туризм</x:v>
      </x:c>
      <x:c r="C2579" s="14" t="str">
        <x:v>Мультитул, нож туристический</x:v>
      </x:c>
      <x:c r="D2579" s="14" t="str">
        <x:v>Мультитул</x:v>
      </x:c>
      <x:c r="E2579" s="2" t="n">
        <x:v>77</x:v>
      </x:c>
      <x:c r="F2579" s="2" t="n">
        <x:v>0</x:v>
      </x:c>
      <x:c r="G2579" s="12" t="n">
        <x:v>15883931.1173</x:v>
      </x:c>
      <x:c r="H2579" s="12" t="n">
        <x:v>969060.20705037</x:v>
      </x:c>
      <x:c r="I2579" s="13" t="n">
        <x:v>0.0706883116883116</x:v>
      </x:c>
      <x:c r="J2579" s="2" t="n">
        <x:v>24</x:v>
      </x:c>
      <x:c r="K2579" s="2" t="n">
        <x:v>21</x:v>
      </x:c>
      <x:c r="L2579" s="12" t="n">
        <x:v>3961.7222</x:v>
      </x:c>
      <x:c r="M2579" s="13" t="n">
        <x:v>0.7484670398281645</x:v>
      </x:c>
      <x:c r="N2579" s="13" t="n">
        <x:f>H2579/G2579</x:f>
        <x:v>0.061008839681690456</x:v>
      </x:c>
      <x:c r="O2579" s="13" t="n">
        <x:f>F2579/E2579</x:f>
        <x:v>0</x:v>
      </x:c>
      <x:c r="P2579" s="2" t="str">
        <x:f>IF(AND(E2579&gt;='Итоги'!$F$5,N2579&lt;='Итоги'!$B$5,O2579&gt;='Итоги'!$D$5),"Да","Нет")</x:f>
        <x:v>Нет</x:v>
      </x:c>
    </x:row>
    <x:row r="2580" ht="60" customHeight="1">
      <x:c r="A2580" s="14" t="str">
        <x:v>Автотовары</x:v>
      </x:c>
      <x:c r="B2580" s="14" t="str">
        <x:v>Авто и мото запчасти</x:v>
      </x:c>
      <x:c r="C2580" s="14" t="str">
        <x:v>Электрооборудование автомобиля</x:v>
      </x:c>
      <x:c r="D2580" s="14" t="str">
        <x:v>Переключатели автомобильные</x:v>
      </x:c>
      <x:c r="E2580" s="2" t="n">
        <x:v>3</x:v>
      </x:c>
      <x:c r="F2580" s="2" t="n">
        <x:v>0</x:v>
      </x:c>
      <x:c r="G2580" s="12" t="n">
        <x:v>312039.835</x:v>
      </x:c>
      <x:c r="H2580" s="12" t="n">
        <x:v>19051.086384</x:v>
      </x:c>
      <x:c r="I2580" s="13" t="n">
        <x:v>0.0689333333333333</x:v>
      </x:c>
      <x:c r="J2580" s="2" t="n">
        <x:v>1</x:v>
      </x:c>
      <x:c r="K2580" s="2" t="n">
        <x:v>3</x:v>
      </x:c>
      <x:c r="L2580" s="12" t="n">
        <x:v>1101.4226</x:v>
      </x:c>
      <x:c r="M2580" s="13" t="n">
        <x:v>0.3887039454433758</x:v>
      </x:c>
      <x:c r="N2580" s="13" t="n">
        <x:f>H2580/G2580</x:f>
        <x:v>0.06105337923922437</x:v>
      </x:c>
      <x:c r="O2580" s="13" t="n">
        <x:f>F2580/E2580</x:f>
        <x:v>0</x:v>
      </x:c>
      <x:c r="P2580" s="2" t="str">
        <x:f>IF(AND(E2580&gt;='Итоги'!$F$5,N2580&lt;='Итоги'!$B$5,O2580&gt;='Итоги'!$D$5),"Да","Нет")</x:f>
        <x:v>Нет</x:v>
      </x:c>
    </x:row>
    <x:row r="2581" ht="60" customHeight="1">
      <x:c r="A2581" s="14" t="str">
        <x:v>Ноутбуки и компьютеры</x:v>
      </x:c>
      <x:c r="B2581" s="14" t="str">
        <x:v>Игровые приставки и аксессуары Lap&amp;Comp</x:v>
      </x:c>
      <x:c r="C2581" s="14" t="str">
        <x:v>Игровая приставка Lap&amp;Comp</x:v>
      </x:c>
      <x:c r="D2581" s="14" t="str">
        <x:v>Игровая приставка</x:v>
      </x:c>
      <x:c r="E2581" s="2" t="n">
        <x:v>122</x:v>
      </x:c>
      <x:c r="F2581" s="2" t="n">
        <x:v>0</x:v>
      </x:c>
      <x:c r="G2581" s="12" t="n">
        <x:v>28635209.7699</x:v>
      </x:c>
      <x:c r="H2581" s="12" t="n">
        <x:v>1748872.79399301</x:v>
      </x:c>
      <x:c r="I2581" s="13" t="n">
        <x:v>0.0719598360655737</x:v>
      </x:c>
      <x:c r="J2581" s="2" t="n">
        <x:v>34</x:v>
      </x:c>
      <x:c r="K2581" s="2" t="n">
        <x:v>48</x:v>
      </x:c>
      <x:c r="L2581" s="12" t="n">
        <x:v>3251.79025</x:v>
      </x:c>
      <x:c r="M2581" s="13" t="n">
        <x:v>0.3817003814649606</x:v>
      </x:c>
      <x:c r="N2581" s="13" t="n">
        <x:f>H2581/G2581</x:f>
        <x:v>0.06107420927055138</x:v>
      </x:c>
      <x:c r="O2581" s="13" t="n">
        <x:f>F2581/E2581</x:f>
        <x:v>0</x:v>
      </x:c>
      <x:c r="P2581" s="2" t="str">
        <x:f>IF(AND(E2581&gt;='Итоги'!$F$5,N2581&lt;='Итоги'!$B$5,O2581&gt;='Итоги'!$D$5),"Да","Нет")</x:f>
        <x:v>Нет</x:v>
      </x:c>
    </x:row>
    <x:row r="2582" ht="60" customHeight="1">
      <x:c r="A2582" s="14" t="str">
        <x:v>Автотовары</x:v>
      </x:c>
      <x:c r="B2582" s="14" t="str">
        <x:v>Электронные устройства для авто</x:v>
      </x:c>
      <x:c r="C2582" s="14" t="str">
        <x:v>Автоакустика</x:v>
      </x:c>
      <x:c r="D2582" s="14" t="str">
        <x:v>Автомобильные колонки и сабуферы</x:v>
      </x:c>
      <x:c r="E2582" s="2" t="n">
        <x:v>262</x:v>
      </x:c>
      <x:c r="F2582" s="2" t="n">
        <x:v>0</x:v>
      </x:c>
      <x:c r="G2582" s="12" t="n">
        <x:v>38977291.3624</x:v>
      </x:c>
      <x:c r="H2582" s="12" t="n">
        <x:v>2380781.45574678</x:v>
      </x:c>
      <x:c r="I2582" s="13" t="n">
        <x:v>0.0500507633587786</x:v>
      </x:c>
      <x:c r="J2582" s="2" t="n">
        <x:v>110</x:v>
      </x:c>
      <x:c r="K2582" s="2" t="n">
        <x:v>37</x:v>
      </x:c>
      <x:c r="L2582" s="12" t="n">
        <x:v>2412.23155</x:v>
      </x:c>
      <x:c r="M2582" s="13" t="n">
        <x:v>0.576252546824408</x:v>
      </x:c>
      <x:c r="N2582" s="13" t="n">
        <x:f>H2582/G2582</x:f>
        <x:v>0.06108124429712001</x:v>
      </x:c>
      <x:c r="O2582" s="13" t="n">
        <x:f>F2582/E2582</x:f>
        <x:v>0</x:v>
      </x:c>
      <x:c r="P2582" s="2" t="str">
        <x:f>IF(AND(E2582&gt;='Итоги'!$F$5,N2582&lt;='Итоги'!$B$5,O2582&gt;='Итоги'!$D$5),"Да","Нет")</x:f>
        <x:v>Нет</x:v>
      </x:c>
    </x:row>
    <x:row r="2583" ht="60" customHeight="1">
      <x:c r="A2583" s="14" t="str">
        <x:v>Спорт и отдых</x:v>
      </x:c>
      <x:c r="B2583" s="14" t="str">
        <x:v>Товары для рыбалки</x:v>
      </x:c>
      <x:c r="C2583" s="14" t="str">
        <x:v>Аксесcуары для рыбалки</x:v>
      </x:c>
      <x:c r="D2583" s="14" t="str">
        <x:v>Подсачек рыболовный</x:v>
      </x:c>
      <x:c r="E2583" s="2" t="n">
        <x:v>14</x:v>
      </x:c>
      <x:c r="F2583" s="2" t="n">
        <x:v>0</x:v>
      </x:c>
      <x:c r="G2583" s="12" t="n">
        <x:v>1008609.6963</x:v>
      </x:c>
      <x:c r="H2583" s="12" t="n">
        <x:v>61670.99348073</x:v>
      </x:c>
      <x:c r="I2583" s="13" t="n">
        <x:v>0.0453142857142857</x:v>
      </x:c>
      <x:c r="J2583" s="2" t="n">
        <x:v>9</x:v>
      </x:c>
      <x:c r="K2583" s="2" t="n">
        <x:v>8</x:v>
      </x:c>
      <x:c r="L2583" s="12" t="n">
        <x:v>1727.5555</x:v>
      </x:c>
      <x:c r="M2583" s="13" t="n">
        <x:v>0.3587131074857187</x:v>
      </x:c>
      <x:c r="N2583" s="13" t="n">
        <x:f>H2583/G2583</x:f>
        <x:v>0.06114455741102318</x:v>
      </x:c>
      <x:c r="O2583" s="13" t="n">
        <x:f>F2583/E2583</x:f>
        <x:v>0</x:v>
      </x:c>
      <x:c r="P2583" s="2" t="str">
        <x:f>IF(AND(E2583&gt;='Итоги'!$F$5,N2583&lt;='Итоги'!$B$5,O2583&gt;='Итоги'!$D$5),"Да","Нет")</x:f>
        <x:v>Нет</x:v>
      </x:c>
    </x:row>
    <x:row r="2584" ht="60" customHeight="1">
      <x:c r="A2584" s="14" t="str">
        <x:v>Аудио и видеотехника</x:v>
      </x:c>
      <x:c r="B2584" s="14" t="str">
        <x:v>Домашняя Аудио и Видеотехника TV&amp;Audio</x:v>
      </x:c>
      <x:c r="C2584" s="14" t="str">
        <x:v>Аудиотехника TV&amp;Audio</x:v>
      </x:c>
      <x:c r="D2584" s="14" t="str">
        <x:v>Магнитола</x:v>
      </x:c>
      <x:c r="E2584" s="2" t="n">
        <x:v>5</x:v>
      </x:c>
      <x:c r="F2584" s="2" t="n">
        <x:v>0</x:v>
      </x:c>
      <x:c r="G2584" s="12" t="n">
        <x:v>929787.7398</x:v>
      </x:c>
      <x:c r="H2584" s="12" t="n">
        <x:v>56893.544256</x:v>
      </x:c>
      <x:c r="I2584" s="13" t="n">
        <x:v>0.0375599999999999</x:v>
      </x:c>
      <x:c r="J2584" s="2" t="n">
        <x:v>4</x:v>
      </x:c>
      <x:c r="K2584" s="2" t="n">
        <x:v>2</x:v>
      </x:c>
      <x:c r="L2584" s="12" t="n">
        <x:v>2320.9322</x:v>
      </x:c>
      <x:c r="M2584" s="13" t="n">
        <x:v>0.816153502049006</x:v>
      </x:c>
      <x:c r="N2584" s="13" t="n">
        <x:f>H2584/G2584</x:f>
        <x:v>0.06118981980579564</x:v>
      </x:c>
      <x:c r="O2584" s="13" t="n">
        <x:f>F2584/E2584</x:f>
        <x:v>0</x:v>
      </x:c>
      <x:c r="P2584" s="2" t="str">
        <x:f>IF(AND(E2584&gt;='Итоги'!$F$5,N2584&lt;='Итоги'!$B$5,O2584&gt;='Итоги'!$D$5),"Да","Нет")</x:f>
        <x:v>Нет</x:v>
      </x:c>
    </x:row>
    <x:row r="2585" ht="60" customHeight="1">
      <x:c r="A2585" s="14" t="str">
        <x:v>Строительство и ремонт (DIY)</x:v>
      </x:c>
      <x:c r="B2585" s="14" t="str">
        <x:v>Инструменты</x:v>
      </x:c>
      <x:c r="C2585" s="14" t="str">
        <x:v>Электроинструмент для строительства, ремонта</x:v>
      </x:c>
      <x:c r="D2585" s="14" t="str">
        <x:v>Клеевой пистолет для строительства, ремонта</x:v>
      </x:c>
      <x:c r="E2585" s="2" t="n">
        <x:v>10</x:v>
      </x:c>
      <x:c r="F2585" s="2" t="n">
        <x:v>0</x:v>
      </x:c>
      <x:c r="G2585" s="12" t="n">
        <x:v>1112835.9392</x:v>
      </x:c>
      <x:c r="H2585" s="12" t="n">
        <x:v>68095.0768896</x:v>
      </x:c>
      <x:c r="I2585" s="13" t="n">
        <x:v>0.04566</x:v>
      </x:c>
      <x:c r="J2585" s="2" t="n">
        <x:v>3</x:v>
      </x:c>
      <x:c r="K2585" s="2" t="n">
        <x:v>7</x:v>
      </x:c>
      <x:c r="L2585" s="12" t="n">
        <x:v>2465.12255</x:v>
      </x:c>
      <x:c r="M2585" s="13" t="n">
        <x:v>0.2687383103523694</x:v>
      </x:c>
      <x:c r="N2585" s="13" t="n">
        <x:f>H2585/G2585</x:f>
        <x:v>0.06119058029214303</x:v>
      </x:c>
      <x:c r="O2585" s="13" t="n">
        <x:f>F2585/E2585</x:f>
        <x:v>0</x:v>
      </x:c>
      <x:c r="P2585" s="2" t="str">
        <x:f>IF(AND(E2585&gt;='Итоги'!$F$5,N2585&lt;='Итоги'!$B$5,O2585&gt;='Итоги'!$D$5),"Да","Нет")</x:f>
        <x:v>Нет</x:v>
      </x:c>
    </x:row>
    <x:row r="2586" ht="60" customHeight="1">
      <x:c r="A2586" s="14" t="str">
        <x:v>Бакалея и кондитерские изделия</x:v>
      </x:c>
      <x:c r="B2586" s="14" t="str">
        <x:v>Кондитерские изделия</x:v>
      </x:c>
      <x:c r="C2586" s="14" t="str">
        <x:v>Шоколадные изделия</x:v>
      </x:c>
      <x:c r="D2586" s="14" t="str">
        <x:v>Фигурный шоколад</x:v>
      </x:c>
      <x:c r="E2586" s="2" t="n">
        <x:v>45</x:v>
      </x:c>
      <x:c r="F2586" s="2" t="n">
        <x:v>0</x:v>
      </x:c>
      <x:c r="G2586" s="12" t="n">
        <x:v>5846886.9949</x:v>
      </x:c>
      <x:c r="H2586" s="12" t="n">
        <x:v>357965.76834063</x:v>
      </x:c>
      <x:c r="I2586" s="13" t="n">
        <x:v>0.0627022222222222</x:v>
      </x:c>
      <x:c r="J2586" s="2" t="n">
        <x:v>14</x:v>
      </x:c>
      <x:c r="K2586" s="2" t="n">
        <x:v>13</x:v>
      </x:c>
      <x:c r="L2586" s="12" t="n">
        <x:v>1810.7498</x:v>
      </x:c>
      <x:c r="M2586" s="13" t="n">
        <x:v>0.5067014485801038</x:v>
      </x:c>
      <x:c r="N2586" s="13" t="n">
        <x:f>H2586/G2586</x:f>
        <x:v>0.0612233088569813</x:v>
      </x:c>
      <x:c r="O2586" s="13" t="n">
        <x:f>F2586/E2586</x:f>
        <x:v>0</x:v>
      </x:c>
      <x:c r="P2586" s="2" t="str">
        <x:f>IF(AND(E2586&gt;='Итоги'!$F$5,N2586&lt;='Итоги'!$B$5,O2586&gt;='Итоги'!$D$5),"Да","Нет")</x:f>
        <x:v>Нет</x:v>
      </x:c>
    </x:row>
    <x:row r="2587" ht="60" customHeight="1">
      <x:c r="A2587" s="14" t="str">
        <x:v>Спорт и отдых</x:v>
      </x:c>
      <x:c r="B2587" s="14" t="str">
        <x:v>Колесный транспорт</x:v>
      </x:c>
      <x:c r="C2587" s="14" t="str">
        <x:v>Запчасти для велосипеда</x:v>
      </x:c>
      <x:c r="D2587" s="14" t="str">
        <x:v>Привод для велосипеда</x:v>
      </x:c>
      <x:c r="E2587" s="2" t="n">
        <x:v>96</x:v>
      </x:c>
      <x:c r="F2587" s="2" t="n">
        <x:v>0</x:v>
      </x:c>
      <x:c r="G2587" s="12" t="n">
        <x:v>14750912.8592</x:v>
      </x:c>
      <x:c r="H2587" s="12" t="n">
        <x:v>903255.11902506</x:v>
      </x:c>
      <x:c r="I2587" s="13" t="n">
        <x:v>0.05663125</x:v>
      </x:c>
      <x:c r="J2587" s="2" t="n">
        <x:v>33</x:v>
      </x:c>
      <x:c r="K2587" s="2" t="n">
        <x:v>27</x:v>
      </x:c>
      <x:c r="L2587" s="12" t="n">
        <x:v>1579.0956</x:v>
      </x:c>
      <x:c r="M2587" s="13" t="n">
        <x:v>0.4899023899794037</x:v>
      </x:c>
      <x:c r="N2587" s="13" t="n">
        <x:f>H2587/G2587</x:f>
        <x:v>0.06123384550141306</x:v>
      </x:c>
      <x:c r="O2587" s="13" t="n">
        <x:f>F2587/E2587</x:f>
        <x:v>0</x:v>
      </x:c>
      <x:c r="P2587" s="2" t="str">
        <x:f>IF(AND(E2587&gt;='Итоги'!$F$5,N2587&lt;='Итоги'!$B$5,O2587&gt;='Итоги'!$D$5),"Да","Нет")</x:f>
        <x:v>Нет</x:v>
      </x:c>
    </x:row>
    <x:row r="2588" ht="60" customHeight="1">
      <x:c r="A2588" s="14" t="str">
        <x:v>Спорт и отдых</x:v>
      </x:c>
      <x:c r="B2588" s="14" t="str">
        <x:v>Товары для охоты</x:v>
      </x:c>
      <x:c r="C2588" s="14" t="str">
        <x:v>Уход за охотничьим оружием</x:v>
      </x:c>
      <x:c r="D2588" s="14" t="str">
        <x:v>Набор для чистки оружия</x:v>
      </x:c>
      <x:c r="E2588" s="2" t="n">
        <x:v>18</x:v>
      </x:c>
      <x:c r="F2588" s="2" t="n">
        <x:v>0</x:v>
      </x:c>
      <x:c r="G2588" s="12" t="n">
        <x:v>1931411.3958</x:v>
      </x:c>
      <x:c r="H2588" s="12" t="n">
        <x:v>118277.37972818</x:v>
      </x:c>
      <x:c r="I2588" s="13" t="n">
        <x:v>0.0566111111111111</x:v>
      </x:c>
      <x:c r="J2588" s="2" t="n">
        <x:v>2</x:v>
      </x:c>
      <x:c r="K2588" s="2" t="n">
        <x:v>7</x:v>
      </x:c>
      <x:c r="L2588" s="12" t="n">
        <x:v>963.42255</x:v>
      </x:c>
      <x:c r="M2588" s="13" t="n">
        <x:v>0.380851537740523</x:v>
      </x:c>
      <x:c r="N2588" s="13" t="n">
        <x:f>H2588/G2588</x:f>
        <x:v>0.061238832899807416</x:v>
      </x:c>
      <x:c r="O2588" s="13" t="n">
        <x:f>F2588/E2588</x:f>
        <x:v>0</x:v>
      </x:c>
      <x:c r="P2588" s="2" t="str">
        <x:f>IF(AND(E2588&gt;='Итоги'!$F$5,N2588&lt;='Итоги'!$B$5,O2588&gt;='Итоги'!$D$5),"Да","Нет")</x:f>
        <x:v>Нет</x:v>
      </x:c>
    </x:row>
    <x:row r="2589" ht="60" customHeight="1">
      <x:c r="A2589" s="14" t="str">
        <x:v>Аудио и видеотехника</x:v>
      </x:c>
      <x:c r="B2589" s="14" t="str">
        <x:v>Система безопасности TV&amp;Audio</x:v>
      </x:c>
      <x:c r="C2589" s="14" t="str">
        <x:v>Умный дом TV&amp;Audio</x:v>
      </x:c>
      <x:c r="D2589" s="14" t="str">
        <x:v>Умный дверной замок для умного дома</x:v>
      </x:c>
      <x:c r="E2589" s="2" t="n">
        <x:v>14</x:v>
      </x:c>
      <x:c r="F2589" s="2" t="n">
        <x:v>0</x:v>
      </x:c>
      <x:c r="G2589" s="12" t="n">
        <x:v>2104816.7</x:v>
      </x:c>
      <x:c r="H2589" s="12" t="n">
        <x:v>128954.26127</x:v>
      </x:c>
      <x:c r="I2589" s="13" t="n">
        <x:v>0.0694285714285714</x:v>
      </x:c>
      <x:c r="J2589" s="2" t="n">
        <x:v>4</x:v>
      </x:c>
      <x:c r="K2589" s="2" t="n">
        <x:v>6</x:v>
      </x:c>
      <x:c r="L2589" s="12" t="n">
        <x:v>9410.76095</x:v>
      </x:c>
      <x:c r="M2589" s="13" t="n">
        <x:v>0.4586636926626437</x:v>
      </x:c>
      <x:c r="N2589" s="13" t="n">
        <x:f>H2589/G2589</x:f>
        <x:v>0.0612662666872607</x:v>
      </x:c>
      <x:c r="O2589" s="13" t="n">
        <x:f>F2589/E2589</x:f>
        <x:v>0</x:v>
      </x:c>
      <x:c r="P2589" s="2" t="str">
        <x:f>IF(AND(E2589&gt;='Итоги'!$F$5,N2589&lt;='Итоги'!$B$5,O2589&gt;='Итоги'!$D$5),"Да","Нет")</x:f>
        <x:v>Нет</x:v>
      </x:c>
    </x:row>
    <x:row r="2590" ht="60" customHeight="1">
      <x:c r="A2590" s="14" t="str">
        <x:v>Товары для животных</x:v>
      </x:c>
      <x:c r="B2590" s="14" t="str">
        <x:v>Зоокорм, витамины</x:v>
      </x:c>
      <x:c r="C2590" s="14" t="str">
        <x:v>Зоокорм, витамины для кошек и собак</x:v>
      </x:c>
      <x:c r="D2590" s="14" t="str">
        <x:v>Каши и хлопья для животных</x:v>
      </x:c>
      <x:c r="E2590" s="2" t="n">
        <x:v>7</x:v>
      </x:c>
      <x:c r="F2590" s="2" t="n">
        <x:v>0</x:v>
      </x:c>
      <x:c r="G2590" s="12" t="n">
        <x:v>825982.06</x:v>
      </x:c>
      <x:c r="H2590" s="12" t="n">
        <x:v>50607.179422</x:v>
      </x:c>
      <x:c r="I2590" s="13" t="n">
        <x:v>0.0591857142857142</x:v>
      </x:c>
      <x:c r="J2590" s="2" t="n">
        <x:v>0</x:v>
      </x:c>
      <x:c r="K2590" s="2" t="n">
        <x:v>2</x:v>
      </x:c>
      <x:c r="L2590" s="12" t="n">
        <x:v>980.5041</x:v>
      </x:c>
      <x:c r="M2590" s="13" t="n">
        <x:v>0.5190939013857032</x:v>
      </x:c>
      <x:c r="N2590" s="13" t="n">
        <x:f>H2590/G2590</x:f>
        <x:v>0.061269102408834396</x:v>
      </x:c>
      <x:c r="O2590" s="13" t="n">
        <x:f>F2590/E2590</x:f>
        <x:v>0</x:v>
      </x:c>
      <x:c r="P2590" s="2" t="str">
        <x:f>IF(AND(E2590&gt;='Итоги'!$F$5,N2590&lt;='Итоги'!$B$5,O2590&gt;='Итоги'!$D$5),"Да","Нет")</x:f>
        <x:v>Нет</x:v>
      </x:c>
    </x:row>
    <x:row r="2591" ht="60" customHeight="1">
      <x:c r="A2591" s="14" t="str">
        <x:v>Товары для дома</x:v>
      </x:c>
      <x:c r="B2591" s="14" t="str">
        <x:v>Кухня</x:v>
      </x:c>
      <x:c r="C2591" s="14" t="str">
        <x:v>Питьевое стекло, аксессуар для бара, сосуд для жидкости</x:v>
      </x:c>
      <x:c r="D2591" s="14" t="str">
        <x:v>Бутылка</x:v>
      </x:c>
      <x:c r="E2591" s="2" t="n">
        <x:v>43</x:v>
      </x:c>
      <x:c r="F2591" s="2" t="n">
        <x:v>0</x:v>
      </x:c>
      <x:c r="G2591" s="12" t="n">
        <x:v>6690078.4927</x:v>
      </x:c>
      <x:c r="H2591" s="12" t="n">
        <x:v>410578.02559199</x:v>
      </x:c>
      <x:c r="I2591" s="13" t="n">
        <x:v>0.0668674418604651</x:v>
      </x:c>
      <x:c r="J2591" s="2" t="n">
        <x:v>13</x:v>
      </x:c>
      <x:c r="K2591" s="2" t="n">
        <x:v>12</x:v>
      </x:c>
      <x:c r="L2591" s="12" t="n">
        <x:v>1078.0156</x:v>
      </x:c>
      <x:c r="M2591" s="13" t="n">
        <x:v>0.5271577999642683</x:v>
      </x:c>
      <x:c r="N2591" s="13" t="n">
        <x:f>H2591/G2591</x:f>
        <x:v>0.06137118212290029</x:v>
      </x:c>
      <x:c r="O2591" s="13" t="n">
        <x:f>F2591/E2591</x:f>
        <x:v>0</x:v>
      </x:c>
      <x:c r="P2591" s="2" t="str">
        <x:f>IF(AND(E2591&gt;='Итоги'!$F$5,N2591&lt;='Итоги'!$B$5,O2591&gt;='Итоги'!$D$5),"Да","Нет")</x:f>
        <x:v>Нет</x:v>
      </x:c>
    </x:row>
    <x:row r="2592" ht="60" customHeight="1">
      <x:c r="A2592" s="14" t="str">
        <x:v>Школьные принадлежности и канцелярия</x:v>
      </x:c>
      <x:c r="B2592" s="14" t="str">
        <x:v>Товары для школы, канцелярия, оборудование</x:v>
      </x:c>
      <x:c r="C2592" s="14" t="str">
        <x:v>Школьные принадлежности</x:v>
      </x:c>
      <x:c r="D2592" s="14" t="str">
        <x:v>Пластилин</x:v>
      </x:c>
      <x:c r="E2592" s="2" t="n">
        <x:v>1</x:v>
      </x:c>
      <x:c r="F2592" s="2" t="n">
        <x:v>0</x:v>
      </x:c>
      <x:c r="G2592" s="12" t="n">
        <x:v>157444.03</x:v>
      </x:c>
      <x:c r="H2592" s="12" t="n">
        <x:v>9667.063442</x:v>
      </x:c>
      <x:c r="I2592" s="13" t="n">
        <x:v>0.0614</x:v>
      </x:c>
      <x:c r="J2592" s="2" t="n">
        <x:v>0</x:v>
      </x:c>
      <x:c r="K2592" s="2" t="n">
        <x:v>1</x:v>
      </x:c>
      <x:c r="L2592" s="12" t="n">
        <x:v>1590.3437</x:v>
      </x:c>
      <x:c r="M2592" s="13" t="n">
        <x:v>1</x:v>
      </x:c>
      <x:c r="N2592" s="13" t="n">
        <x:f>H2592/G2592</x:f>
        <x:v>0.0614</x:v>
      </x:c>
      <x:c r="O2592" s="13" t="n">
        <x:f>F2592/E2592</x:f>
        <x:v>0</x:v>
      </x:c>
      <x:c r="P2592" s="2" t="str">
        <x:f>IF(AND(E2592&gt;='Итоги'!$F$5,N2592&lt;='Итоги'!$B$5,O2592&gt;='Итоги'!$D$5),"Да","Нет")</x:f>
        <x:v>Нет</x:v>
      </x:c>
    </x:row>
    <x:row r="2593" ht="60" customHeight="1">
      <x:c r="A2593" s="14" t="str">
        <x:v>Товары для дома</x:v>
      </x:c>
      <x:c r="B2593" s="14" t="str">
        <x:v>Домашний текстиль</x:v>
      </x:c>
      <x:c r="C2593" s="14" t="str">
        <x:v>Шторы</x:v>
      </x:c>
      <x:c r="D2593" s="14" t="str">
        <x:v>Карниз для штор</x:v>
      </x:c>
      <x:c r="E2593" s="2" t="n">
        <x:v>101</x:v>
      </x:c>
      <x:c r="F2593" s="2" t="n">
        <x:v>0</x:v>
      </x:c>
      <x:c r="G2593" s="12" t="n">
        <x:v>15622790.7968</x:v>
      </x:c>
      <x:c r="H2593" s="12" t="n">
        <x:v>961097.97765114</x:v>
      </x:c>
      <x:c r="I2593" s="13" t="n">
        <x:v>0.0677386138613861</x:v>
      </x:c>
      <x:c r="J2593" s="2" t="n">
        <x:v>37</x:v>
      </x:c>
      <x:c r="K2593" s="2" t="n">
        <x:v>10</x:v>
      </x:c>
      <x:c r="L2593" s="12" t="n">
        <x:v>1531.9364</x:v>
      </x:c>
      <x:c r="M2593" s="13" t="n">
        <x:v>0.5897497000463706</x:v>
      </x:c>
      <x:c r="N2593" s="13" t="n">
        <x:f>H2593/G2593</x:f>
        <x:v>0.061518968675430295</x:v>
      </x:c>
      <x:c r="O2593" s="13" t="n">
        <x:f>F2593/E2593</x:f>
        <x:v>0</x:v>
      </x:c>
      <x:c r="P2593" s="2" t="str">
        <x:f>IF(AND(E2593&gt;='Итоги'!$F$5,N2593&lt;='Итоги'!$B$5,O2593&gt;='Итоги'!$D$5),"Да","Нет")</x:f>
        <x:v>Нет</x:v>
      </x:c>
    </x:row>
    <x:row r="2594" ht="60" customHeight="1">
      <x:c r="A2594" s="14" t="str">
        <x:v>Мебель</x:v>
      </x:c>
      <x:c r="B2594" s="14" t="str">
        <x:v>Столы и стулья</x:v>
      </x:c>
      <x:c r="C2594" s="14" t="str">
        <x:v>Табурет</x:v>
      </x:c>
      <x:c r="D2594" s="14" t="str">
        <x:v>Табуреты</x:v>
      </x:c>
      <x:c r="E2594" s="2" t="n">
        <x:v>145</x:v>
      </x:c>
      <x:c r="F2594" s="2" t="n">
        <x:v>0</x:v>
      </x:c>
      <x:c r="G2594" s="12" t="n">
        <x:v>26761000.6545</x:v>
      </x:c>
      <x:c r="H2594" s="12" t="n">
        <x:v>1647181.67139844</x:v>
      </x:c>
      <x:c r="I2594" s="13" t="n">
        <x:v>0.0624737931034482</x:v>
      </x:c>
      <x:c r="J2594" s="2" t="n">
        <x:v>31</x:v>
      </x:c>
      <x:c r="K2594" s="2" t="n">
        <x:v>29</x:v>
      </x:c>
      <x:c r="L2594" s="12" t="n">
        <x:v>2356.3333</x:v>
      </x:c>
      <x:c r="M2594" s="13" t="n">
        <x:v>0.7318251966189756</x:v>
      </x:c>
      <x:c r="N2594" s="13" t="n">
        <x:f>H2594/G2594</x:f>
        <x:v>0.06155157247909031</x:v>
      </x:c>
      <x:c r="O2594" s="13" t="n">
        <x:f>F2594/E2594</x:f>
        <x:v>0</x:v>
      </x:c>
      <x:c r="P2594" s="2" t="str">
        <x:f>IF(AND(E2594&gt;='Итоги'!$F$5,N2594&lt;='Итоги'!$B$5,O2594&gt;='Итоги'!$D$5),"Да","Нет")</x:f>
        <x:v>Нет</x:v>
      </x:c>
    </x:row>
    <x:row r="2595" ht="60" customHeight="1">
      <x:c r="A2595" s="14" t="str">
        <x:v>Аксессуары</x:v>
      </x:c>
      <x:c r="B2595" s="14" t="str">
        <x:v>Сумки и рюкзаки</x:v>
      </x:c>
      <x:c r="C2595" s="14" t="str">
        <x:v>Сумка мужская</x:v>
      </x:c>
      <x:c r="D2595" s="14" t="str">
        <x:v>Мужская Сумка с ручками</x:v>
      </x:c>
      <x:c r="E2595" s="2" t="n">
        <x:v>23</x:v>
      </x:c>
      <x:c r="F2595" s="2" t="n">
        <x:v>0</x:v>
      </x:c>
      <x:c r="G2595" s="12" t="n">
        <x:v>2652321.91</x:v>
      </x:c>
      <x:c r="H2595" s="12" t="n">
        <x:v>163260.888964</x:v>
      </x:c>
      <x:c r="I2595" s="13" t="n">
        <x:v>0.0466086956521739</x:v>
      </x:c>
      <x:c r="J2595" s="2" t="n">
        <x:v>9</x:v>
      </x:c>
      <x:c r="K2595" s="2" t="n">
        <x:v>5</x:v>
      </x:c>
      <x:c r="L2595" s="12" t="n">
        <x:v>5658</x:v>
      </x:c>
      <x:c r="M2595" s="13" t="n">
        <x:v>0.7176692628535425</x:v>
      </x:c>
      <x:c r="N2595" s="13" t="n">
        <x:f>H2595/G2595</x:f>
        <x:v>0.06155394952191154</x:v>
      </x:c>
      <x:c r="O2595" s="13" t="n">
        <x:f>F2595/E2595</x:f>
        <x:v>0</x:v>
      </x:c>
      <x:c r="P2595" s="2" t="str">
        <x:f>IF(AND(E2595&gt;='Итоги'!$F$5,N2595&lt;='Итоги'!$B$5,O2595&gt;='Итоги'!$D$5),"Да","Нет")</x:f>
        <x:v>Нет</x:v>
      </x:c>
    </x:row>
    <x:row r="2596" ht="60" customHeight="1">
      <x:c r="A2596" s="14" t="str">
        <x:v>Аксессуары для электроники</x:v>
      </x:c>
      <x:c r="B2596" s="14" t="str">
        <x:v>Аксессуары для МБТ (дом) Access</x:v>
      </x:c>
      <x:c r="C2596" s="14" t="str">
        <x:v>Аксессуары для пылесоса Access</x:v>
      </x:c>
      <x:c r="D2596" s="14" t="str">
        <x:v>Аккумулятор для пылесоса</x:v>
      </x:c>
      <x:c r="E2596" s="2" t="n">
        <x:v>78</x:v>
      </x:c>
      <x:c r="F2596" s="2" t="n">
        <x:v>0</x:v>
      </x:c>
      <x:c r="G2596" s="12" t="n">
        <x:v>11288276.2747</x:v>
      </x:c>
      <x:c r="H2596" s="12" t="n">
        <x:v>695252.68439448</x:v>
      </x:c>
      <x:c r="I2596" s="13" t="n">
        <x:v>0.0609807692307692</x:v>
      </x:c>
      <x:c r="J2596" s="2" t="n">
        <x:v>16</x:v>
      </x:c>
      <x:c r="K2596" s="2" t="n">
        <x:v>14</x:v>
      </x:c>
      <x:c r="L2596" s="12" t="n">
        <x:v>2009.0309</x:v>
      </x:c>
      <x:c r="M2596" s="13" t="n">
        <x:v>0.69916867335972</x:v>
      </x:c>
      <x:c r="N2596" s="13" t="n">
        <x:f>H2596/G2596</x:f>
        <x:v>0.061590686432145915</x:v>
      </x:c>
      <x:c r="O2596" s="13" t="n">
        <x:f>F2596/E2596</x:f>
        <x:v>0</x:v>
      </x:c>
      <x:c r="P2596" s="2" t="str">
        <x:f>IF(AND(E2596&gt;='Итоги'!$F$5,N2596&lt;='Итоги'!$B$5,O2596&gt;='Итоги'!$D$5),"Да","Нет")</x:f>
        <x:v>Нет</x:v>
      </x:c>
    </x:row>
    <x:row r="2597" ht="60" customHeight="1">
      <x:c r="A2597" s="14" t="str">
        <x:v>Товары для дома</x:v>
      </x:c>
      <x:c r="B2597" s="14" t="str">
        <x:v>Ванная комната</x:v>
      </x:c>
      <x:c r="C2597" s="14" t="str">
        <x:v>Коврик для ванной</x:v>
      </x:c>
      <x:c r="D2597" s="14" t="str">
        <x:v>Коврик нескользящий в ванну</x:v>
      </x:c>
      <x:c r="E2597" s="2" t="n">
        <x:v>12</x:v>
      </x:c>
      <x:c r="F2597" s="2" t="n">
        <x:v>0</x:v>
      </x:c>
      <x:c r="G2597" s="12" t="n">
        <x:v>2002685.7041</x:v>
      </x:c>
      <x:c r="H2597" s="12" t="n">
        <x:v>123483.26473543</x:v>
      </x:c>
      <x:c r="I2597" s="13" t="n">
        <x:v>0.0571166666666666</x:v>
      </x:c>
      <x:c r="J2597" s="2" t="n">
        <x:v>4</x:v>
      </x:c>
      <x:c r="K2597" s="2" t="n">
        <x:v>6</x:v>
      </x:c>
      <x:c r="L2597" s="12" t="n">
        <x:v>1000.5319</x:v>
      </x:c>
      <x:c r="M2597" s="13" t="n">
        <x:v>0.2375257495602752</x:v>
      </x:c>
      <x:c r="N2597" s="13" t="n">
        <x:f>H2597/G2597</x:f>
        <x:v>0.061658833676511884</x:v>
      </x:c>
      <x:c r="O2597" s="13" t="n">
        <x:f>F2597/E2597</x:f>
        <x:v>0</x:v>
      </x:c>
      <x:c r="P2597" s="2" t="str">
        <x:f>IF(AND(E2597&gt;='Итоги'!$F$5,N2597&lt;='Итоги'!$B$5,O2597&gt;='Итоги'!$D$5),"Да","Нет")</x:f>
        <x:v>Нет</x:v>
      </x:c>
    </x:row>
    <x:row r="2598" ht="60" customHeight="1">
      <x:c r="A2598" s="14" t="str">
        <x:v>Аксессуары для электроники</x:v>
      </x:c>
      <x:c r="B2598" s="14" t="str">
        <x:v>Аксессуары для мобильных устройств Access</x:v>
      </x:c>
      <x:c r="C2598" s="14" t="str">
        <x:v>Аксессуары для смартфонов Access</x:v>
      </x:c>
      <x:c r="D2598" s="14" t="str">
        <x:v>Защитное стекло для смартфона</x:v>
      </x:c>
      <x:c r="E2598" s="2" t="n">
        <x:v>3</x:v>
      </x:c>
      <x:c r="F2598" s="2" t="n">
        <x:v>0</x:v>
      </x:c>
      <x:c r="G2598" s="12" t="n">
        <x:v>250202.5301</x:v>
      </x:c>
      <x:c r="H2598" s="12" t="n">
        <x:v>15428.67198763</x:v>
      </x:c>
      <x:c r="I2598" s="13" t="n">
        <x:v>0.0665</x:v>
      </x:c>
      <x:c r="J2598" s="2" t="n">
        <x:v>0</x:v>
      </x:c>
      <x:c r="K2598" s="2" t="n">
        <x:v>2</x:v>
      </x:c>
      <x:c r="L2598" s="12" t="n">
        <x:v>906.9027</x:v>
      </x:c>
      <x:c r="M2598" s="13" t="n">
        <x:v>0.6788544065965862</x:v>
      </x:c>
      <x:c r="N2598" s="13" t="n">
        <x:f>H2598/G2598</x:f>
        <x:v>0.06166473209309085</x:v>
      </x:c>
      <x:c r="O2598" s="13" t="n">
        <x:f>F2598/E2598</x:f>
        <x:v>0</x:v>
      </x:c>
      <x:c r="P2598" s="2" t="str">
        <x:f>IF(AND(E2598&gt;='Итоги'!$F$5,N2598&lt;='Итоги'!$B$5,O2598&gt;='Итоги'!$D$5),"Да","Нет")</x:f>
        <x:v>Нет</x:v>
      </x:c>
    </x:row>
    <x:row r="2599" ht="60" customHeight="1">
      <x:c r="A2599" s="14" t="str">
        <x:v>Строительство и ремонт (DIY)</x:v>
      </x:c>
      <x:c r="B2599" s="14" t="str">
        <x:v>Инструменты</x:v>
      </x:c>
      <x:c r="C2599" s="14" t="str">
        <x:v>Инструмент ручной для строительства, ремонта</x:v>
      </x:c>
      <x:c r="D2599" s="14" t="str">
        <x:v>Ключи инструментальные</x:v>
      </x:c>
      <x:c r="E2599" s="2" t="n">
        <x:v>207</x:v>
      </x:c>
      <x:c r="F2599" s="2" t="n">
        <x:v>0</x:v>
      </x:c>
      <x:c r="G2599" s="12" t="n">
        <x:v>43266245.3745</x:v>
      </x:c>
      <x:c r="H2599" s="12" t="n">
        <x:v>2668320.86269863</x:v>
      </x:c>
      <x:c r="I2599" s="13" t="n">
        <x:v>0.0739661835748792</x:v>
      </x:c>
      <x:c r="J2599" s="2" t="n">
        <x:v>36</x:v>
      </x:c>
      <x:c r="K2599" s="2" t="n">
        <x:v>53</x:v>
      </x:c>
      <x:c r="L2599" s="12" t="n">
        <x:v>1914.4982</x:v>
      </x:c>
      <x:c r="M2599" s="13" t="n">
        <x:v>0.7413581061670915</x:v>
      </x:c>
      <x:c r="N2599" s="13" t="n">
        <x:f>H2599/G2599</x:f>
        <x:v>0.061672115054181915</x:v>
      </x:c>
      <x:c r="O2599" s="13" t="n">
        <x:f>F2599/E2599</x:f>
        <x:v>0</x:v>
      </x:c>
      <x:c r="P2599" s="2" t="str">
        <x:f>IF(AND(E2599&gt;='Итоги'!$F$5,N2599&lt;='Итоги'!$B$5,O2599&gt;='Итоги'!$D$5),"Да","Нет")</x:f>
        <x:v>Нет</x:v>
      </x:c>
    </x:row>
    <x:row r="2600" ht="60" customHeight="1">
      <x:c r="A2600" s="14" t="str">
        <x:v>Бакалея и кондитерские изделия</x:v>
      </x:c>
      <x:c r="B2600" s="14" t="str">
        <x:v>Бакалея</x:v>
      </x:c>
      <x:c r="C2600" s="14" t="str">
        <x:v>Снэки, чипсы, готовые завтраки</x:v>
      </x:c>
      <x:c r="D2600" s="14" t="str">
        <x:v>Готовый завтрак</x:v>
      </x:c>
      <x:c r="E2600" s="2" t="n">
        <x:v>7</x:v>
      </x:c>
      <x:c r="F2600" s="2" t="n">
        <x:v>0</x:v>
      </x:c>
      <x:c r="G2600" s="12" t="n">
        <x:v>628881.8229</x:v>
      </x:c>
      <x:c r="H2600" s="12" t="n">
        <x:v>38853.11013847</x:v>
      </x:c>
      <x:c r="I2600" s="13" t="n">
        <x:v>0.0512285714285714</x:v>
      </x:c>
      <x:c r="J2600" s="2" t="n">
        <x:v>2</x:v>
      </x:c>
      <x:c r="K2600" s="2" t="n">
        <x:v>3</x:v>
      </x:c>
      <x:c r="L2600" s="12" t="n">
        <x:v>1259.6517</x:v>
      </x:c>
      <x:c r="M2600" s="13" t="n">
        <x:v>0.6915871298273455</x:v>
      </x:c>
      <x:c r="N2600" s="13" t="n">
        <x:f>H2600/G2600</x:f>
        <x:v>0.06178125797833423</x:v>
      </x:c>
      <x:c r="O2600" s="13" t="n">
        <x:f>F2600/E2600</x:f>
        <x:v>0</x:v>
      </x:c>
      <x:c r="P2600" s="2" t="str">
        <x:f>IF(AND(E2600&gt;='Итоги'!$F$5,N2600&lt;='Итоги'!$B$5,O2600&gt;='Итоги'!$D$5),"Да","Нет")</x:f>
        <x:v>Нет</x:v>
      </x:c>
    </x:row>
    <x:row r="2601" ht="60" customHeight="1">
      <x:c r="A2601" s="14" t="str">
        <x:v>Товары для дома</x:v>
      </x:c>
      <x:c r="B2601" s="14" t="str">
        <x:v>Кухня</x:v>
      </x:c>
      <x:c r="C2601" s="14" t="str">
        <x:v>Питьевое стекло, аксессуар для бара, сосуд для жидкости</x:v>
      </x:c>
      <x:c r="D2601" s="14" t="str">
        <x:v>Бокал</x:v>
      </x:c>
      <x:c r="E2601" s="2" t="n">
        <x:v>34</x:v>
      </x:c>
      <x:c r="F2601" s="2" t="n">
        <x:v>0</x:v>
      </x:c>
      <x:c r="G2601" s="12" t="n">
        <x:v>3939147.1635</x:v>
      </x:c>
      <x:c r="H2601" s="12" t="n">
        <x:v>243518.22743082</x:v>
      </x:c>
      <x:c r="I2601" s="13" t="n">
        <x:v>0.0686470588235294</x:v>
      </x:c>
      <x:c r="J2601" s="2" t="n">
        <x:v>8</x:v>
      </x:c>
      <x:c r="K2601" s="2" t="n">
        <x:v>17</x:v>
      </x:c>
      <x:c r="L2601" s="12" t="n">
        <x:v>1360.98675</x:v>
      </x:c>
      <x:c r="M2601" s="13" t="n">
        <x:v>0.3997197728964715</x:v>
      </x:c>
      <x:c r="N2601" s="13" t="n">
        <x:f>H2601/G2601</x:f>
        <x:v>0.06182003802428389</x:v>
      </x:c>
      <x:c r="O2601" s="13" t="n">
        <x:f>F2601/E2601</x:f>
        <x:v>0</x:v>
      </x:c>
      <x:c r="P2601" s="2" t="str">
        <x:f>IF(AND(E2601&gt;='Итоги'!$F$5,N2601&lt;='Итоги'!$B$5,O2601&gt;='Итоги'!$D$5),"Да","Нет")</x:f>
        <x:v>Нет</x:v>
      </x:c>
    </x:row>
    <x:row r="2602" ht="60" customHeight="1">
      <x:c r="A2602" s="14" t="str">
        <x:v>Товары для красоты и здоровья</x:v>
      </x:c>
      <x:c r="B2602" s="14" t="str">
        <x:v>Косметическая техника</x:v>
      </x:c>
      <x:c r="C2602" s="14" t="str">
        <x:v>Оборудование для салона красоты</x:v>
      </x:c>
      <x:c r="D2602" s="14" t="str">
        <x:v>Косметологическая лупа для мастера</x:v>
      </x:c>
      <x:c r="E2602" s="2" t="n">
        <x:v>6</x:v>
      </x:c>
      <x:c r="F2602" s="2" t="n">
        <x:v>0</x:v>
      </x:c>
      <x:c r="G2602" s="12" t="n">
        <x:v>718978.63</x:v>
      </x:c>
      <x:c r="H2602" s="12" t="n">
        <x:v>44472.093058</x:v>
      </x:c>
      <x:c r="I2602" s="13" t="n">
        <x:v>0.0709666666666666</x:v>
      </x:c>
      <x:c r="J2602" s="2" t="n">
        <x:v>0</x:v>
      </x:c>
      <x:c r="K2602" s="2" t="n">
        <x:v>5</x:v>
      </x:c>
      <x:c r="L2602" s="12" t="n">
        <x:v>2981.1844</x:v>
      </x:c>
      <x:c r="M2602" s="13" t="n">
        <x:v>0.3570808773551447</x:v>
      </x:c>
      <x:c r="N2602" s="13" t="n">
        <x:f>H2602/G2602</x:f>
        <x:v>0.06185454087557512</x:v>
      </x:c>
      <x:c r="O2602" s="13" t="n">
        <x:f>F2602/E2602</x:f>
        <x:v>0</x:v>
      </x:c>
      <x:c r="P2602" s="2" t="str">
        <x:f>IF(AND(E2602&gt;='Итоги'!$F$5,N2602&lt;='Итоги'!$B$5,O2602&gt;='Итоги'!$D$5),"Да","Нет")</x:f>
        <x:v>Нет</x:v>
      </x:c>
    </x:row>
    <x:row r="2603" ht="60" customHeight="1">
      <x:c r="A2603" s="14" t="str">
        <x:v>Аптека</x:v>
      </x:c>
      <x:c r="B2603" s="14" t="str">
        <x:v>Медицинская техника</x:v>
      </x:c>
      <x:c r="C2603" s="14" t="str">
        <x:v>Приборы и средства диагностики</x:v>
      </x:c>
      <x:c r="D2603" s="14" t="str">
        <x:v>Экспресс-тест</x:v>
      </x:c>
      <x:c r="E2603" s="2" t="n">
        <x:v>12</x:v>
      </x:c>
      <x:c r="F2603" s="2" t="n">
        <x:v>0</x:v>
      </x:c>
      <x:c r="G2603" s="12" t="n">
        <x:v>2651284.79</x:v>
      </x:c>
      <x:c r="H2603" s="12" t="n">
        <x:v>164091.39979700002</x:v>
      </x:c>
      <x:c r="I2603" s="13" t="n">
        <x:v>0.0424833333333333</x:v>
      </x:c>
      <x:c r="J2603" s="2" t="n">
        <x:v>7</x:v>
      </x:c>
      <x:c r="K2603" s="2" t="n">
        <x:v>5</x:v>
      </x:c>
      <x:c r="L2603" s="12" t="n">
        <x:v>1110.9273</x:v>
      </x:c>
      <x:c r="M2603" s="13" t="n">
        <x:v>0.6292209747863412</x:v>
      </x:c>
      <x:c r="N2603" s="13" t="n">
        <x:f>H2603/G2603</x:f>
        <x:v>0.06189127641659349</x:v>
      </x:c>
      <x:c r="O2603" s="13" t="n">
        <x:f>F2603/E2603</x:f>
        <x:v>0</x:v>
      </x:c>
      <x:c r="P2603" s="2" t="str">
        <x:f>IF(AND(E2603&gt;='Итоги'!$F$5,N2603&lt;='Итоги'!$B$5,O2603&gt;='Итоги'!$D$5),"Да","Нет")</x:f>
        <x:v>Нет</x:v>
      </x:c>
    </x:row>
    <x:row r="2604" ht="60" customHeight="1">
      <x:c r="A2604" s="14" t="str">
        <x:v>Спорт и отдых</x:v>
      </x:c>
      <x:c r="B2604" s="14" t="str">
        <x:v>Колесный транспорт</x:v>
      </x:c>
      <x:c r="C2604" s="14" t="str">
        <x:v>Велоаксессуары</x:v>
      </x:c>
      <x:c r="D2604" s="14" t="str">
        <x:v>Сумка для перевозки велосипеда</x:v>
      </x:c>
      <x:c r="E2604" s="2" t="n">
        <x:v>14</x:v>
      </x:c>
      <x:c r="F2604" s="2" t="n">
        <x:v>0</x:v>
      </x:c>
      <x:c r="G2604" s="12" t="n">
        <x:v>2463931.0164</x:v>
      </x:c>
      <x:c r="H2604" s="12" t="n">
        <x:v>152642.8254875</x:v>
      </x:c>
      <x:c r="I2604" s="13" t="n">
        <x:v>0.0382142857142857</x:v>
      </x:c>
      <x:c r="J2604" s="2" t="n">
        <x:v>8</x:v>
      </x:c>
      <x:c r="K2604" s="2" t="n">
        <x:v>7</x:v>
      </x:c>
      <x:c r="L2604" s="12" t="n">
        <x:v>1160.4899</x:v>
      </x:c>
      <x:c r="M2604" s="13" t="n">
        <x:v>0.2993825659444708</x:v>
      </x:c>
      <x:c r="N2604" s="13" t="n">
        <x:f>H2604/G2604</x:f>
        <x:v>0.06195093307057085</x:v>
      </x:c>
      <x:c r="O2604" s="13" t="n">
        <x:f>F2604/E2604</x:f>
        <x:v>0</x:v>
      </x:c>
      <x:c r="P2604" s="2" t="str">
        <x:f>IF(AND(E2604&gt;='Итоги'!$F$5,N2604&lt;='Итоги'!$B$5,O2604&gt;='Итоги'!$D$5),"Да","Нет")</x:f>
        <x:v>Нет</x:v>
      </x:c>
    </x:row>
    <x:row r="2605" ht="60" customHeight="1">
      <x:c r="A2605" s="14" t="str">
        <x:v>Хобби и творчество</x:v>
      </x:c>
      <x:c r="B2605" s="14" t="str">
        <x:v>Взрослое творчество и хобби</x:v>
      </x:c>
      <x:c r="C2605" s="14" t="str">
        <x:v>Настольные игры для взрослых</x:v>
      </x:c>
      <x:c r="D2605" s="14" t="str">
        <x:v>Набор для покера</x:v>
      </x:c>
      <x:c r="E2605" s="2" t="n">
        <x:v>12</x:v>
      </x:c>
      <x:c r="F2605" s="2" t="n">
        <x:v>0</x:v>
      </x:c>
      <x:c r="G2605" s="12" t="n">
        <x:v>969514.0866</x:v>
      </x:c>
      <x:c r="H2605" s="12" t="n">
        <x:v>60074.91758676</x:v>
      </x:c>
      <x:c r="I2605" s="13" t="n">
        <x:v>0.0620916666666666</x:v>
      </x:c>
      <x:c r="J2605" s="2" t="n">
        <x:v>3</x:v>
      </x:c>
      <x:c r="K2605" s="2" t="n">
        <x:v>6</x:v>
      </x:c>
      <x:c r="L2605" s="12" t="n">
        <x:v>3304.08435</x:v>
      </x:c>
      <x:c r="M2605" s="13" t="n">
        <x:v>0.3667104275367627</x:v>
      </x:c>
      <x:c r="N2605" s="13" t="n">
        <x:f>H2605/G2605</x:f>
        <x:v>0.0619639450494602</x:v>
      </x:c>
      <x:c r="O2605" s="13" t="n">
        <x:f>F2605/E2605</x:f>
        <x:v>0</x:v>
      </x:c>
      <x:c r="P2605" s="2" t="str">
        <x:f>IF(AND(E2605&gt;='Итоги'!$F$5,N2605&lt;='Итоги'!$B$5,O2605&gt;='Итоги'!$D$5),"Да","Нет")</x:f>
        <x:v>Нет</x:v>
      </x:c>
    </x:row>
    <x:row r="2606" ht="60" customHeight="1">
      <x:c r="A2606" s="14" t="str">
        <x:v>Спорт и отдых</x:v>
      </x:c>
      <x:c r="B2606" s="14" t="str">
        <x:v>Товары для рыбалки</x:v>
      </x:c>
      <x:c r="C2606" s="14" t="str">
        <x:v>Одежда для рыбалки</x:v>
      </x:c>
      <x:c r="D2606" s="14" t="str">
        <x:v>Жилет для рыбалки</x:v>
      </x:c>
      <x:c r="E2606" s="2" t="n">
        <x:v>2</x:v>
      </x:c>
      <x:c r="F2606" s="2" t="n">
        <x:v>0</x:v>
      </x:c>
      <x:c r="G2606" s="12" t="n">
        <x:v>173113.7437</x:v>
      </x:c>
      <x:c r="H2606" s="12" t="n">
        <x:v>10727.50906619</x:v>
      </x:c>
      <x:c r="I2606" s="13" t="n">
        <x:v>0.0515</x:v>
      </x:c>
      <x:c r="J2606" s="2" t="n">
        <x:v>0</x:v>
      </x:c>
      <x:c r="K2606" s="2" t="n">
        <x:v>1</x:v>
      </x:c>
      <x:c r="L2606" s="12" t="n">
        <x:v>964.92535</x:v>
      </x:c>
      <x:c r="M2606" s="13" t="n">
        <x:v>1</x:v>
      </x:c>
      <x:c r="N2606" s="13" t="n">
        <x:f>H2606/G2606</x:f>
        <x:v>0.061967980340026575</x:v>
      </x:c>
      <x:c r="O2606" s="13" t="n">
        <x:f>F2606/E2606</x:f>
        <x:v>0</x:v>
      </x:c>
      <x:c r="P2606" s="2" t="str">
        <x:f>IF(AND(E2606&gt;='Итоги'!$F$5,N2606&lt;='Итоги'!$B$5,O2606&gt;='Итоги'!$D$5),"Да","Нет")</x:f>
        <x:v>Нет</x:v>
      </x:c>
    </x:row>
    <x:row r="2607" ht="60" customHeight="1">
      <x:c r="A2607" s="14" t="str">
        <x:v>Одежда</x:v>
      </x:c>
      <x:c r="B2607" s="14" t="str">
        <x:v>Основная одежда женская</x:v>
      </x:c>
      <x:c r="C2607" s="14" t="str">
        <x:v>Основная одежда для беременных и кормящих</x:v>
      </x:c>
      <x:c r="D2607" s="14" t="str">
        <x:v>Комплект одежды для беременных и кормящих</x:v>
      </x:c>
      <x:c r="E2607" s="2" t="n">
        <x:v>323</x:v>
      </x:c>
      <x:c r="F2607" s="2" t="n">
        <x:v>0</x:v>
      </x:c>
      <x:c r="G2607" s="12" t="n">
        <x:v>38780323.6294</x:v>
      </x:c>
      <x:c r="H2607" s="12" t="n">
        <x:v>2406581.14052744</x:v>
      </x:c>
      <x:c r="I2607" s="13" t="n">
        <x:v>0.0461532507739938</x:v>
      </x:c>
      <x:c r="J2607" s="2" t="n">
        <x:v>133</x:v>
      </x:c>
      <x:c r="K2607" s="2" t="n">
        <x:v>41</x:v>
      </x:c>
      <x:c r="L2607" s="12" t="n">
        <x:v>2327.9997</x:v>
      </x:c>
      <x:c r="M2607" s="13" t="n">
        <x:v>0.4305794672621288</x:v>
      </x:c>
      <x:c r="N2607" s="13" t="n">
        <x:f>H2607/G2607</x:f>
        <x:v>0.06205675753316744</x:v>
      </x:c>
      <x:c r="O2607" s="13" t="n">
        <x:f>F2607/E2607</x:f>
        <x:v>0</x:v>
      </x:c>
      <x:c r="P2607" s="2" t="str">
        <x:f>IF(AND(E2607&gt;='Итоги'!$F$5,N2607&lt;='Итоги'!$B$5,O2607&gt;='Итоги'!$D$5),"Да","Нет")</x:f>
        <x:v>Нет</x:v>
      </x:c>
    </x:row>
    <x:row r="2608" ht="60" customHeight="1">
      <x:c r="A2608" s="14" t="str">
        <x:v>Аптека</x:v>
      </x:c>
      <x:c r="B2608" s="14" t="str">
        <x:v>Спортивное питание</x:v>
      </x:c>
      <x:c r="C2608" s="14" t="str">
        <x:v>Витаминно-минеральные комплексы спортивные</x:v>
      </x:c>
      <x:c r="D2608" s="14" t="str">
        <x:v>Витамины спортивные</x:v>
      </x:c>
      <x:c r="E2608" s="2" t="n">
        <x:v>145</x:v>
      </x:c>
      <x:c r="F2608" s="2" t="n">
        <x:v>0</x:v>
      </x:c>
      <x:c r="G2608" s="12" t="n">
        <x:v>27923196.2168</x:v>
      </x:c>
      <x:c r="H2608" s="12" t="n">
        <x:v>1734095.86780729</x:v>
      </x:c>
      <x:c r="I2608" s="13" t="n">
        <x:v>0.0500586206896551</x:v>
      </x:c>
      <x:c r="J2608" s="2" t="n">
        <x:v>50</x:v>
      </x:c>
      <x:c r="K2608" s="2" t="n">
        <x:v>30</x:v>
      </x:c>
      <x:c r="L2608" s="12" t="n">
        <x:v>1937.0729</x:v>
      </x:c>
      <x:c r="M2608" s="13" t="n">
        <x:v>0.5895917603836075</x:v>
      </x:c>
      <x:c r="N2608" s="13" t="n">
        <x:f>H2608/G2608</x:f>
        <x:v>0.06210234152077371</x:v>
      </x:c>
      <x:c r="O2608" s="13" t="n">
        <x:f>F2608/E2608</x:f>
        <x:v>0</x:v>
      </x:c>
      <x:c r="P2608" s="2" t="str">
        <x:f>IF(AND(E2608&gt;='Итоги'!$F$5,N2608&lt;='Итоги'!$B$5,O2608&gt;='Итоги'!$D$5),"Да","Нет")</x:f>
        <x:v>Нет</x:v>
      </x:c>
    </x:row>
    <x:row r="2609" ht="60" customHeight="1">
      <x:c r="A2609" s="14" t="str">
        <x:v>Бытовая химия и гигиена рта</x:v>
      </x:c>
      <x:c r="B2609" s="14" t="str">
        <x:v>Бытовая химия</x:v>
      </x:c>
      <x:c r="C2609" s="14" t="str">
        <x:v>Чистящее и моющее средство</x:v>
      </x:c>
      <x:c r="D2609" s="14" t="str">
        <x:v>Специальное чистящее средство</x:v>
      </x:c>
      <x:c r="E2609" s="2" t="n">
        <x:v>37</x:v>
      </x:c>
      <x:c r="F2609" s="2" t="n">
        <x:v>0</x:v>
      </x:c>
      <x:c r="G2609" s="12" t="n">
        <x:v>7891839.4883</x:v>
      </x:c>
      <x:c r="H2609" s="12" t="n">
        <x:v>490238.71564426</x:v>
      </x:c>
      <x:c r="I2609" s="13" t="n">
        <x:v>0.0419162162162162</x:v>
      </x:c>
      <x:c r="J2609" s="2" t="n">
        <x:v>16</x:v>
      </x:c>
      <x:c r="K2609" s="2" t="n">
        <x:v>17</x:v>
      </x:c>
      <x:c r="L2609" s="12" t="n">
        <x:v>1323.1344</x:v>
      </x:c>
      <x:c r="M2609" s="13" t="n">
        <x:v>0.5088325873268635</x:v>
      </x:c>
      <x:c r="N2609" s="13" t="n">
        <x:f>H2609/G2609</x:f>
        <x:v>0.062119701797161544</x:v>
      </x:c>
      <x:c r="O2609" s="13" t="n">
        <x:f>F2609/E2609</x:f>
        <x:v>0</x:v>
      </x:c>
      <x:c r="P2609" s="2" t="str">
        <x:f>IF(AND(E2609&gt;='Итоги'!$F$5,N2609&lt;='Итоги'!$B$5,O2609&gt;='Итоги'!$D$5),"Да","Нет")</x:f>
        <x:v>Нет</x:v>
      </x:c>
    </x:row>
    <x:row r="2610" ht="60" customHeight="1">
      <x:c r="A2610" s="14" t="str">
        <x:v>Мебель</x:v>
      </x:c>
      <x:c r="B2610" s="14" t="str">
        <x:v>Корпусная мебель и мебель для хранения</x:v>
      </x:c>
      <x:c r="C2610" s="14" t="str">
        <x:v>Комплект мебели для прихожей</x:v>
      </x:c>
      <x:c r="D2610" s="14" t="str">
        <x:v>Комплект мебели для прихожей</x:v>
      </x:c>
      <x:c r="E2610" s="2" t="n">
        <x:v>32</x:v>
      </x:c>
      <x:c r="F2610" s="2" t="n">
        <x:v>0</x:v>
      </x:c>
      <x:c r="G2610" s="12" t="n">
        <x:v>6384583.2072</x:v>
      </x:c>
      <x:c r="H2610" s="12" t="n">
        <x:v>396728.41343757</x:v>
      </x:c>
      <x:c r="I2610" s="13" t="n">
        <x:v>0.0643</x:v>
      </x:c>
      <x:c r="J2610" s="2" t="n">
        <x:v>8</x:v>
      </x:c>
      <x:c r="K2610" s="2" t="n">
        <x:v>10</x:v>
      </x:c>
      <x:c r="L2610" s="12" t="n">
        <x:v>4583.59865</x:v>
      </x:c>
      <x:c r="M2610" s="13" t="n">
        <x:v>0.2483801155276139</x:v>
      </x:c>
      <x:c r="N2610" s="13" t="n">
        <x:f>H2610/G2610</x:f>
        <x:v>0.062138498405059986</x:v>
      </x:c>
      <x:c r="O2610" s="13" t="n">
        <x:f>F2610/E2610</x:f>
        <x:v>0</x:v>
      </x:c>
      <x:c r="P2610" s="2" t="str">
        <x:f>IF(AND(E2610&gt;='Итоги'!$F$5,N2610&lt;='Итоги'!$B$5,O2610&gt;='Итоги'!$D$5),"Да","Нет")</x:f>
        <x:v>Нет</x:v>
      </x:c>
    </x:row>
    <x:row r="2611" ht="60" customHeight="1">
      <x:c r="A2611" s="14" t="str">
        <x:v>Игрушки</x:v>
      </x:c>
      <x:c r="B2611" s="14" t="str">
        <x:v>Игрушки</x:v>
      </x:c>
      <x:c r="C2611" s="14" t="str">
        <x:v>Игровой набор детский</x:v>
      </x:c>
      <x:c r="D2611" s="14" t="str">
        <x:v>Игровой набор детский</x:v>
      </x:c>
      <x:c r="E2611" s="2" t="n">
        <x:v>4</x:v>
      </x:c>
      <x:c r="F2611" s="2" t="n">
        <x:v>0</x:v>
      </x:c>
      <x:c r="G2611" s="12" t="n">
        <x:v>493187.7186</x:v>
      </x:c>
      <x:c r="H2611" s="12" t="n">
        <x:v>30662.337777080003</x:v>
      </x:c>
      <x:c r="I2611" s="13" t="n">
        <x:v>0.05695</x:v>
      </x:c>
      <x:c r="J2611" s="2" t="n">
        <x:v>1</x:v>
      </x:c>
      <x:c r="K2611" s="2" t="n">
        <x:v>1</x:v>
      </x:c>
      <x:c r="L2611" s="12" t="n">
        <x:v>1735.0996</x:v>
      </x:c>
      <x:c r="M2611" s="13" t="n">
        <x:v>1</x:v>
      </x:c>
      <x:c r="N2611" s="13" t="n">
        <x:f>H2611/G2611</x:f>
        <x:v>0.0621717383071104</x:v>
      </x:c>
      <x:c r="O2611" s="13" t="n">
        <x:f>F2611/E2611</x:f>
        <x:v>0</x:v>
      </x:c>
      <x:c r="P2611" s="2" t="str">
        <x:f>IF(AND(E2611&gt;='Итоги'!$F$5,N2611&lt;='Итоги'!$B$5,O2611&gt;='Итоги'!$D$5),"Да","Нет")</x:f>
        <x:v>Нет</x:v>
      </x:c>
    </x:row>
    <x:row r="2612" ht="60" customHeight="1">
      <x:c r="A2612" s="14" t="str">
        <x:v>Аудио и видеотехника</x:v>
      </x:c>
      <x:c r="B2612" s="14" t="str">
        <x:v>Домашняя Аудио и Видеотехника TV&amp;Audio</x:v>
      </x:c>
      <x:c r="C2612" s="14" t="str">
        <x:v>Аудиотехника TV&amp;Audio</x:v>
      </x:c>
      <x:c r="D2612" s="14" t="str">
        <x:v>Радиоприемник</x:v>
      </x:c>
      <x:c r="E2612" s="2" t="n">
        <x:v>69</x:v>
      </x:c>
      <x:c r="F2612" s="2" t="n">
        <x:v>0</x:v>
      </x:c>
      <x:c r="G2612" s="12" t="n">
        <x:v>12403815.061</x:v>
      </x:c>
      <x:c r="H2612" s="12" t="n">
        <x:v>771981.85049219</x:v>
      </x:c>
      <x:c r="I2612" s="13" t="n">
        <x:v>0.0631231884057971</x:v>
      </x:c>
      <x:c r="J2612" s="2" t="n">
        <x:v>25</x:v>
      </x:c>
      <x:c r="K2612" s="2" t="n">
        <x:v>18</x:v>
      </x:c>
      <x:c r="L2612" s="12" t="n">
        <x:v>1620.133</x:v>
      </x:c>
      <x:c r="M2612" s="13" t="n">
        <x:v>0.7673419252457523</x:v>
      </x:c>
      <x:c r="N2612" s="13" t="n">
        <x:f>H2612/G2612</x:f>
        <x:v>0.0622374524850383</x:v>
      </x:c>
      <x:c r="O2612" s="13" t="n">
        <x:f>F2612/E2612</x:f>
        <x:v>0</x:v>
      </x:c>
      <x:c r="P2612" s="2" t="str">
        <x:f>IF(AND(E2612&gt;='Итоги'!$F$5,N2612&lt;='Итоги'!$B$5,O2612&gt;='Итоги'!$D$5),"Да","Нет")</x:f>
        <x:v>Нет</x:v>
      </x:c>
    </x:row>
    <x:row r="2613" ht="60" customHeight="1">
      <x:c r="A2613" s="14" t="str">
        <x:v>Аптека</x:v>
      </x:c>
      <x:c r="B2613" s="14" t="str">
        <x:v>Медицинские изделия</x:v>
      </x:c>
      <x:c r="C2613" s="14" t="str">
        <x:v>Гинекология</x:v>
      </x:c>
      <x:c r="D2613" s="14" t="str">
        <x:v>Спираль внутриматочная</x:v>
      </x:c>
      <x:c r="E2613" s="2" t="n">
        <x:v>4</x:v>
      </x:c>
      <x:c r="F2613" s="2" t="n">
        <x:v>0</x:v>
      </x:c>
      <x:c r="G2613" s="12" t="n">
        <x:v>544245</x:v>
      </x:c>
      <x:c r="H2613" s="12" t="n">
        <x:v>33893.788499999995</x:v>
      </x:c>
      <x:c r="I2613" s="13" t="n">
        <x:v>0.037125</x:v>
      </x:c>
      <x:c r="J2613" s="2" t="n">
        <x:v>3</x:v>
      </x:c>
      <x:c r="K2613" s="2" t="n">
        <x:v>3</x:v>
      </x:c>
      <x:c r="L2613" s="12" t="n">
        <x:v>8779.57</x:v>
      </x:c>
      <x:c r="M2613" s="13" t="n">
        <x:v>0.4193717902782754</x:v>
      </x:c>
      <x:c r="N2613" s="13" t="n">
        <x:f>H2613/G2613</x:f>
        <x:v>0.062276710856323886</x:v>
      </x:c>
      <x:c r="O2613" s="13" t="n">
        <x:f>F2613/E2613</x:f>
        <x:v>0</x:v>
      </x:c>
      <x:c r="P2613" s="2" t="str">
        <x:f>IF(AND(E2613&gt;='Итоги'!$F$5,N2613&lt;='Итоги'!$B$5,O2613&gt;='Итоги'!$D$5),"Да","Нет")</x:f>
        <x:v>Нет</x:v>
      </x:c>
    </x:row>
    <x:row r="2614" ht="60" customHeight="1">
      <x:c r="A2614" s="14" t="str">
        <x:v>Ноутбуки и компьютеры</x:v>
      </x:c>
      <x:c r="B2614" s="14" t="str">
        <x:v>Компьютерная периферия Lap&amp;Comp</x:v>
      </x:c>
      <x:c r="C2614" s="14" t="str">
        <x:v>Сетевое оборудование Lap&amp;Comp</x:v>
      </x:c>
      <x:c r="D2614" s="14" t="str">
        <x:v>Повторитель беспроводного сигнала</x:v>
      </x:c>
      <x:c r="E2614" s="2" t="n">
        <x:v>47</x:v>
      </x:c>
      <x:c r="F2614" s="2" t="n">
        <x:v>0</x:v>
      </x:c>
      <x:c r="G2614" s="12" t="n">
        <x:v>11028320.01</x:v>
      </x:c>
      <x:c r="H2614" s="12" t="n">
        <x:v>687313.949615</x:v>
      </x:c>
      <x:c r="I2614" s="13" t="n">
        <x:v>0.0657702127659574</x:v>
      </x:c>
      <x:c r="J2614" s="2" t="n">
        <x:v>17</x:v>
      </x:c>
      <x:c r="K2614" s="2" t="n">
        <x:v>16</x:v>
      </x:c>
      <x:c r="L2614" s="12" t="n">
        <x:v>1669.5152</x:v>
      </x:c>
      <x:c r="M2614" s="13" t="n">
        <x:v>0.3902612534000997</x:v>
      </x:c>
      <x:c r="N2614" s="13" t="n">
        <x:f>H2614/G2614</x:f>
        <x:v>0.06232263381836705</x:v>
      </x:c>
      <x:c r="O2614" s="13" t="n">
        <x:f>F2614/E2614</x:f>
        <x:v>0</x:v>
      </x:c>
      <x:c r="P2614" s="2" t="str">
        <x:f>IF(AND(E2614&gt;='Итоги'!$F$5,N2614&lt;='Итоги'!$B$5,O2614&gt;='Итоги'!$D$5),"Да","Нет")</x:f>
        <x:v>Нет</x:v>
      </x:c>
    </x:row>
    <x:row r="2615" ht="60" customHeight="1">
      <x:c r="A2615" s="14" t="str">
        <x:v>Аксессуары</x:v>
      </x:c>
      <x:c r="B2615" s="14" t="str">
        <x:v>Чемоданы, дорожные сумки</x:v>
      </x:c>
      <x:c r="C2615" s="14" t="str">
        <x:v>Чемодан</x:v>
      </x:c>
      <x:c r="D2615" s="14" t="str">
        <x:v>Чемодан детский</x:v>
      </x:c>
      <x:c r="E2615" s="2" t="n">
        <x:v>40</x:v>
      </x:c>
      <x:c r="F2615" s="2" t="n">
        <x:v>0</x:v>
      </x:c>
      <x:c r="G2615" s="12" t="n">
        <x:v>4656161.083</x:v>
      </x:c>
      <x:c r="H2615" s="12" t="n">
        <x:v>290423.68109029</x:v>
      </x:c>
      <x:c r="I2615" s="13" t="n">
        <x:v>0.0498925</x:v>
      </x:c>
      <x:c r="J2615" s="2" t="n">
        <x:v>13</x:v>
      </x:c>
      <x:c r="K2615" s="2" t="n">
        <x:v>10</x:v>
      </x:c>
      <x:c r="L2615" s="12" t="n">
        <x:v>3647.6485</x:v>
      </x:c>
      <x:c r="M2615" s="13" t="n">
        <x:v>0.3479418359074842</x:v>
      </x:c>
      <x:c r="N2615" s="13" t="n">
        <x:f>H2615/G2615</x:f>
        <x:v>0.06237406221847631</x:v>
      </x:c>
      <x:c r="O2615" s="13" t="n">
        <x:f>F2615/E2615</x:f>
        <x:v>0</x:v>
      </x:c>
      <x:c r="P2615" s="2" t="str">
        <x:f>IF(AND(E2615&gt;='Итоги'!$F$5,N2615&lt;='Итоги'!$B$5,O2615&gt;='Итоги'!$D$5),"Да","Нет")</x:f>
        <x:v>Нет</x:v>
      </x:c>
    </x:row>
    <x:row r="2616" ht="60" customHeight="1">
      <x:c r="A2616" s="14" t="str">
        <x:v>Бакалея и кондитерские изделия</x:v>
      </x:c>
      <x:c r="B2616" s="14" t="str">
        <x:v>Бакалея</x:v>
      </x:c>
      <x:c r="C2616" s="14" t="str">
        <x:v>Приправы, специи, травы</x:v>
      </x:c>
      <x:c r="D2616" s="14" t="str">
        <x:v>Загуститель пищевой</x:v>
      </x:c>
      <x:c r="E2616" s="2" t="n">
        <x:v>15</x:v>
      </x:c>
      <x:c r="F2616" s="2" t="n">
        <x:v>0</x:v>
      </x:c>
      <x:c r="G2616" s="12" t="n">
        <x:v>1699353.3078</x:v>
      </x:c>
      <x:c r="H2616" s="12" t="n">
        <x:v>106023.08732796</x:v>
      </x:c>
      <x:c r="I2616" s="13" t="n">
        <x:v>0.0580666666666666</x:v>
      </x:c>
      <x:c r="J2616" s="2" t="n">
        <x:v>3</x:v>
      </x:c>
      <x:c r="K2616" s="2" t="n">
        <x:v>7</x:v>
      </x:c>
      <x:c r="L2616" s="12" t="n">
        <x:v>1226.023</x:v>
      </x:c>
      <x:c r="M2616" s="13" t="n">
        <x:v>0.3755352038748066</x:v>
      </x:c>
      <x:c r="N2616" s="13" t="n">
        <x:f>H2616/G2616</x:f>
        <x:v>0.0623902556586179</x:v>
      </x:c>
      <x:c r="O2616" s="13" t="n">
        <x:f>F2616/E2616</x:f>
        <x:v>0</x:v>
      </x:c>
      <x:c r="P2616" s="2" t="str">
        <x:f>IF(AND(E2616&gt;='Итоги'!$F$5,N2616&lt;='Итоги'!$B$5,O2616&gt;='Итоги'!$D$5),"Да","Нет")</x:f>
        <x:v>Нет</x:v>
      </x:c>
    </x:row>
    <x:row r="2617" ht="60" customHeight="1">
      <x:c r="A2617" s="14" t="str">
        <x:v>Спорт и отдых</x:v>
      </x:c>
      <x:c r="B2617" s="14" t="str">
        <x:v>Товары для рыбалки</x:v>
      </x:c>
      <x:c r="C2617" s="14" t="str">
        <x:v>Эхолоты</x:v>
      </x:c>
      <x:c r="D2617" s="14" t="str">
        <x:v>Аксессуары для эхолота</x:v>
      </x:c>
      <x:c r="E2617" s="2" t="n">
        <x:v>19</x:v>
      </x:c>
      <x:c r="F2617" s="2" t="n">
        <x:v>0</x:v>
      </x:c>
      <x:c r="G2617" s="12" t="n">
        <x:v>3257830.6848</x:v>
      </x:c>
      <x:c r="H2617" s="12" t="n">
        <x:v>203290.60550154</x:v>
      </x:c>
      <x:c r="I2617" s="13" t="n">
        <x:v>0.0465</x:v>
      </x:c>
      <x:c r="J2617" s="2" t="n">
        <x:v>10</x:v>
      </x:c>
      <x:c r="K2617" s="2" t="n">
        <x:v>7</x:v>
      </x:c>
      <x:c r="L2617" s="12" t="n">
        <x:v>1752.8106</x:v>
      </x:c>
      <x:c r="M2617" s="13" t="n">
        <x:v>0.6850853230075146</x:v>
      </x:c>
      <x:c r="N2617" s="13" t="n">
        <x:f>H2617/G2617</x:f>
        <x:v>0.062400604933224184</x:v>
      </x:c>
      <x:c r="O2617" s="13" t="n">
        <x:f>F2617/E2617</x:f>
        <x:v>0</x:v>
      </x:c>
      <x:c r="P2617" s="2" t="str">
        <x:f>IF(AND(E2617&gt;='Итоги'!$F$5,N2617&lt;='Итоги'!$B$5,O2617&gt;='Итоги'!$D$5),"Да","Нет")</x:f>
        <x:v>Нет</x:v>
      </x:c>
    </x:row>
    <x:row r="2618" ht="60" customHeight="1">
      <x:c r="A2618" s="14" t="str">
        <x:v>Аксессуары для электроники</x:v>
      </x:c>
      <x:c r="B2618" s="14" t="str">
        <x:v>Аксессуары для мобильных устройств Access</x:v>
      </x:c>
      <x:c r="C2618" s="14" t="str">
        <x:v>Аксессуары для зарядки и передачи информации Access</x:v>
      </x:c>
      <x:c r="D2618" s="14" t="str">
        <x:v>Зарядное устройство сетевое Apple</x:v>
      </x:c>
      <x:c r="E2618" s="2" t="n">
        <x:v>5</x:v>
      </x:c>
      <x:c r="F2618" s="2" t="n">
        <x:v>0</x:v>
      </x:c>
      <x:c r="G2618" s="12" t="n">
        <x:v>950404.6451</x:v>
      </x:c>
      <x:c r="H2618" s="12" t="n">
        <x:v>59314.596365000005</x:v>
      </x:c>
      <x:c r="I2618" s="13" t="n">
        <x:v>0.0673</x:v>
      </x:c>
      <x:c r="J2618" s="2" t="n">
        <x:v>3</x:v>
      </x:c>
      <x:c r="K2618" s="2" t="n">
        <x:v>3</x:v>
      </x:c>
      <x:c r="L2618" s="12" t="n">
        <x:v>1109.0133</x:v>
      </x:c>
      <x:c r="M2618" s="13" t="n">
        <x:v>0.5773909805988594</x:v>
      </x:c>
      <x:c r="N2618" s="13" t="n">
        <x:f>H2618/G2618</x:f>
        <x:v>0.06240983424355952</x:v>
      </x:c>
      <x:c r="O2618" s="13" t="n">
        <x:f>F2618/E2618</x:f>
        <x:v>0</x:v>
      </x:c>
      <x:c r="P2618" s="2" t="str">
        <x:f>IF(AND(E2618&gt;='Итоги'!$F$5,N2618&lt;='Итоги'!$B$5,O2618&gt;='Итоги'!$D$5),"Да","Нет")</x:f>
        <x:v>Нет</x:v>
      </x:c>
    </x:row>
    <x:row r="2619" ht="60" customHeight="1">
      <x:c r="A2619" s="14" t="str">
        <x:v>Автотовары</x:v>
      </x:c>
      <x:c r="B2619" s="14" t="str">
        <x:v>Электронные устройства для авто</x:v>
      </x:c>
      <x:c r="C2619" s="14" t="str">
        <x:v>Бытовая техника для авто</x:v>
      </x:c>
      <x:c r="D2619" s="14" t="str">
        <x:v>Бытовая техника для авто</x:v>
      </x:c>
      <x:c r="E2619" s="2" t="n">
        <x:v>20</x:v>
      </x:c>
      <x:c r="F2619" s="2" t="n">
        <x:v>0</x:v>
      </x:c>
      <x:c r="G2619" s="12" t="n">
        <x:v>2119020.6467</x:v>
      </x:c>
      <x:c r="H2619" s="12" t="n">
        <x:v>132296.89138167</x:v>
      </x:c>
      <x:c r="I2619" s="13" t="n">
        <x:v>0.0609249999999999</x:v>
      </x:c>
      <x:c r="J2619" s="2" t="n">
        <x:v>10</x:v>
      </x:c>
      <x:c r="K2619" s="2" t="n">
        <x:v>12</x:v>
      </x:c>
      <x:c r="L2619" s="12" t="n">
        <x:v>2183.98805</x:v>
      </x:c>
      <x:c r="M2619" s="13" t="n">
        <x:v>0.449270067416564</x:v>
      </x:c>
      <x:c r="N2619" s="13" t="n">
        <x:f>H2619/G2619</x:f>
        <x:v>0.06243303555710937</x:v>
      </x:c>
      <x:c r="O2619" s="13" t="n">
        <x:f>F2619/E2619</x:f>
        <x:v>0</x:v>
      </x:c>
      <x:c r="P2619" s="2" t="str">
        <x:f>IF(AND(E2619&gt;='Итоги'!$F$5,N2619&lt;='Итоги'!$B$5,O2619&gt;='Итоги'!$D$5),"Да","Нет")</x:f>
        <x:v>Нет</x:v>
      </x:c>
    </x:row>
    <x:row r="2620" ht="60" customHeight="1">
      <x:c r="A2620" s="14" t="str">
        <x:v>Товары для животных</x:v>
      </x:c>
      <x:c r="B2620" s="14" t="str">
        <x:v>Спальное место животного</x:v>
      </x:c>
      <x:c r="C2620" s="14" t="str">
        <x:v>Аквариум Оборудование</x:v>
      </x:c>
      <x:c r="D2620" s="14" t="str">
        <x:v>Светильник, лампа для аквариума</x:v>
      </x:c>
      <x:c r="E2620" s="2" t="n">
        <x:v>12</x:v>
      </x:c>
      <x:c r="F2620" s="2" t="n">
        <x:v>0</x:v>
      </x:c>
      <x:c r="G2620" s="12" t="n">
        <x:v>1377133.1758</x:v>
      </x:c>
      <x:c r="H2620" s="12" t="n">
        <x:v>85988.13488112</x:v>
      </x:c>
      <x:c r="I2620" s="13" t="n">
        <x:v>0.052875</x:v>
      </x:c>
      <x:c r="J2620" s="2" t="n">
        <x:v>2</x:v>
      </x:c>
      <x:c r="K2620" s="2" t="n">
        <x:v>4</x:v>
      </x:c>
      <x:c r="L2620" s="12" t="n">
        <x:v>1950.52265</x:v>
      </x:c>
      <x:c r="M2620" s="13" t="n">
        <x:v>0.7082119885997448</x:v>
      </x:c>
      <x:c r="N2620" s="13" t="n">
        <x:f>H2620/G2620</x:f>
        <x:v>0.06243995598404492</x:v>
      </x:c>
      <x:c r="O2620" s="13" t="n">
        <x:f>F2620/E2620</x:f>
        <x:v>0</x:v>
      </x:c>
      <x:c r="P2620" s="2" t="str">
        <x:f>IF(AND(E2620&gt;='Итоги'!$F$5,N2620&lt;='Итоги'!$B$5,O2620&gt;='Итоги'!$D$5),"Да","Нет")</x:f>
        <x:v>Нет</x:v>
      </x:c>
    </x:row>
    <x:row r="2621" ht="60" customHeight="1">
      <x:c r="A2621" s="14" t="str">
        <x:v>Товары для дома</x:v>
      </x:c>
      <x:c r="B2621" s="14" t="str">
        <x:v>Кухня</x:v>
      </x:c>
      <x:c r="C2621" s="14" t="str">
        <x:v>Питьевое стекло, аксессуар для бара, сосуд для жидкости</x:v>
      </x:c>
      <x:c r="D2621" s="14" t="str">
        <x:v>Стакан, бокал, кружка для пива</x:v>
      </x:c>
      <x:c r="E2621" s="2" t="n">
        <x:v>15</x:v>
      </x:c>
      <x:c r="F2621" s="2" t="n">
        <x:v>0</x:v>
      </x:c>
      <x:c r="G2621" s="12" t="n">
        <x:v>1805932.3083</x:v>
      </x:c>
      <x:c r="H2621" s="12" t="n">
        <x:v>112840.89454396</x:v>
      </x:c>
      <x:c r="I2621" s="13" t="n">
        <x:v>0.0658</x:v>
      </x:c>
      <x:c r="J2621" s="2" t="n">
        <x:v>5</x:v>
      </x:c>
      <x:c r="K2621" s="2" t="n">
        <x:v>9</x:v>
      </x:c>
      <x:c r="L2621" s="12" t="n">
        <x:v>1123.5</x:v>
      </x:c>
      <x:c r="M2621" s="13" t="n">
        <x:v>0.2630324545481747</x:v>
      </x:c>
      <x:c r="N2621" s="13" t="n">
        <x:f>H2621/G2621</x:f>
        <x:v>0.06248345745039685</x:v>
      </x:c>
      <x:c r="O2621" s="13" t="n">
        <x:f>F2621/E2621</x:f>
        <x:v>0</x:v>
      </x:c>
      <x:c r="P2621" s="2" t="str">
        <x:f>IF(AND(E2621&gt;='Итоги'!$F$5,N2621&lt;='Итоги'!$B$5,O2621&gt;='Итоги'!$D$5),"Да","Нет")</x:f>
        <x:v>Нет</x:v>
      </x:c>
    </x:row>
    <x:row r="2622" ht="60" customHeight="1">
      <x:c r="A2622" s="14" t="str">
        <x:v>Напитки</x:v>
      </x:c>
      <x:c r="B2622" s="14" t="str">
        <x:v>Напитки горячие</x:v>
      </x:c>
      <x:c r="C2622" s="14" t="str">
        <x:v>Какао, горячий шоколад</x:v>
      </x:c>
      <x:c r="D2622" s="14" t="str">
        <x:v>Какао</x:v>
      </x:c>
      <x:c r="E2622" s="2" t="n">
        <x:v>31</x:v>
      </x:c>
      <x:c r="F2622" s="2" t="n">
        <x:v>0</x:v>
      </x:c>
      <x:c r="G2622" s="12" t="n">
        <x:v>4261849.9865</x:v>
      </x:c>
      <x:c r="H2622" s="12" t="n">
        <x:v>266313.69115242</x:v>
      </x:c>
      <x:c r="I2622" s="13" t="n">
        <x:v>0.067116129032258</x:v>
      </x:c>
      <x:c r="J2622" s="2" t="n">
        <x:v>7</x:v>
      </x:c>
      <x:c r="K2622" s="2" t="n">
        <x:v>11</x:v>
      </x:c>
      <x:c r="L2622" s="12" t="n">
        <x:v>1060.4286</x:v>
      </x:c>
      <x:c r="M2622" s="13" t="n">
        <x:v>0.7047805145921459</x:v>
      </x:c>
      <x:c r="N2622" s="13" t="n">
        <x:f>H2622/G2622</x:f>
        <x:v>0.06248781444584055</x:v>
      </x:c>
      <x:c r="O2622" s="13" t="n">
        <x:f>F2622/E2622</x:f>
        <x:v>0</x:v>
      </x:c>
      <x:c r="P2622" s="2" t="str">
        <x:f>IF(AND(E2622&gt;='Итоги'!$F$5,N2622&lt;='Итоги'!$B$5,O2622&gt;='Итоги'!$D$5),"Да","Нет")</x:f>
        <x:v>Нет</x:v>
      </x:c>
    </x:row>
    <x:row r="2623" ht="60" customHeight="1">
      <x:c r="A2623" s="14" t="str">
        <x:v>Личная гигиена и детская продукция</x:v>
      </x:c>
      <x:c r="B2623" s="14" t="str">
        <x:v>Личная гигиена</x:v>
      </x:c>
      <x:c r="C2623" s="14" t="str">
        <x:v>Женская гигиена</x:v>
      </x:c>
      <x:c r="D2623" s="14" t="str">
        <x:v>Менструальные трусы</x:v>
      </x:c>
      <x:c r="E2623" s="2" t="n">
        <x:v>3</x:v>
      </x:c>
      <x:c r="F2623" s="2" t="n">
        <x:v>0</x:v>
      </x:c>
      <x:c r="G2623" s="12" t="n">
        <x:v>74276</x:v>
      </x:c>
      <x:c r="H2623" s="12" t="n">
        <x:v>4642.9824</x:v>
      </x:c>
      <x:c r="I2623" s="13" t="n">
        <x:v>0.0490666666666666</x:v>
      </x:c>
      <x:c r="J2623" s="2" t="n">
        <x:v>2</x:v>
      </x:c>
      <x:c r="K2623" s="2" t="n">
        <x:v>2</x:v>
      </x:c>
      <x:c r="L2623" s="12" t="n">
        <x:v>2499.1667</x:v>
      </x:c>
      <x:c r="M2623" s="13" t="n">
        <x:v>0.575340621465884</x:v>
      </x:c>
      <x:c r="N2623" s="13" t="n">
        <x:f>H2623/G2623</x:f>
        <x:v>0.06250986052022188</x:v>
      </x:c>
      <x:c r="O2623" s="13" t="n">
        <x:f>F2623/E2623</x:f>
        <x:v>0</x:v>
      </x:c>
      <x:c r="P2623" s="2" t="str">
        <x:f>IF(AND(E2623&gt;='Итоги'!$F$5,N2623&lt;='Итоги'!$B$5,O2623&gt;='Итоги'!$D$5),"Да","Нет")</x:f>
        <x:v>Нет</x:v>
      </x:c>
    </x:row>
    <x:row r="2624" ht="60" customHeight="1">
      <x:c r="A2624" s="14" t="str">
        <x:v>Автотовары</x:v>
      </x:c>
      <x:c r="B2624" s="14" t="str">
        <x:v>Авто и мото запчасти</x:v>
      </x:c>
      <x:c r="C2624" s="14" t="str">
        <x:v>Тормозная система</x:v>
      </x:c>
      <x:c r="D2624" s="14" t="str">
        <x:v>Тормозной цилиндр и составляющие</x:v>
      </x:c>
      <x:c r="E2624" s="2" t="n">
        <x:v>17</x:v>
      </x:c>
      <x:c r="F2624" s="2" t="n">
        <x:v>0</x:v>
      </x:c>
      <x:c r="G2624" s="12" t="n">
        <x:v>2643179.5554</x:v>
      </x:c>
      <x:c r="H2624" s="12" t="n">
        <x:v>165392.27697479998</x:v>
      </x:c>
      <x:c r="I2624" s="13" t="n">
        <x:v>0.0669823529411764</x:v>
      </x:c>
      <x:c r="J2624" s="2" t="n">
        <x:v>7</x:v>
      </x:c>
      <x:c r="K2624" s="2" t="n">
        <x:v>8</x:v>
      </x:c>
      <x:c r="L2624" s="12" t="n">
        <x:v>1628.4024</x:v>
      </x:c>
      <x:c r="M2624" s="13" t="n">
        <x:v>0.4169654994676341</x:v>
      </x:c>
      <x:c r="N2624" s="13" t="n">
        <x:f>H2624/G2624</x:f>
        <x:v>0.06257322800371415</x:v>
      </x:c>
      <x:c r="O2624" s="13" t="n">
        <x:f>F2624/E2624</x:f>
        <x:v>0</x:v>
      </x:c>
      <x:c r="P2624" s="2" t="str">
        <x:f>IF(AND(E2624&gt;='Итоги'!$F$5,N2624&lt;='Итоги'!$B$5,O2624&gt;='Итоги'!$D$5),"Да","Нет")</x:f>
        <x:v>Нет</x:v>
      </x:c>
    </x:row>
    <x:row r="2625" ht="60" customHeight="1">
      <x:c r="A2625" s="14" t="str">
        <x:v>Строительство и ремонт (DIY)</x:v>
      </x:c>
      <x:c r="B2625" s="14" t="str">
        <x:v>Инструменты</x:v>
      </x:c>
      <x:c r="C2625" s="14" t="str">
        <x:v>Оснастка для инструмента</x:v>
      </x:c>
      <x:c r="D2625" s="14" t="str">
        <x:v>Сумка для инструментов</x:v>
      </x:c>
      <x:c r="E2625" s="2" t="n">
        <x:v>64</x:v>
      </x:c>
      <x:c r="F2625" s="2" t="n">
        <x:v>0</x:v>
      </x:c>
      <x:c r="G2625" s="12" t="n">
        <x:v>9754859.4934</x:v>
      </x:c>
      <x:c r="H2625" s="12" t="n">
        <x:v>610541.39015624</x:v>
      </x:c>
      <x:c r="I2625" s="13" t="n">
        <x:v>0.0504140625</x:v>
      </x:c>
      <x:c r="J2625" s="2" t="n">
        <x:v>23</x:v>
      </x:c>
      <x:c r="K2625" s="2" t="n">
        <x:v>23</x:v>
      </x:c>
      <x:c r="L2625" s="12" t="n">
        <x:v>1852.5108</x:v>
      </x:c>
      <x:c r="M2625" s="13" t="n">
        <x:v>0.3262548946351593</x:v>
      </x:c>
      <x:c r="N2625" s="13" t="n">
        <x:f>H2625/G2625</x:f>
        <x:v>0.06258843508400337</x:v>
      </x:c>
      <x:c r="O2625" s="13" t="n">
        <x:f>F2625/E2625</x:f>
        <x:v>0</x:v>
      </x:c>
      <x:c r="P2625" s="2" t="str">
        <x:f>IF(AND(E2625&gt;='Итоги'!$F$5,N2625&lt;='Итоги'!$B$5,O2625&gt;='Итоги'!$D$5),"Да","Нет")</x:f>
        <x:v>Нет</x:v>
      </x:c>
    </x:row>
    <x:row r="2626" ht="60" customHeight="1">
      <x:c r="A2626" s="14" t="str">
        <x:v>Детская одежда</x:v>
      </x:c>
      <x:c r="B2626" s="14" t="str">
        <x:v>Одежда для новорожденных</x:v>
      </x:c>
      <x:c r="C2626" s="14" t="str">
        <x:v>Одежда для новорожденных</x:v>
      </x:c>
      <x:c r="D2626" s="14" t="str">
        <x:v>Платье для новорожденных</x:v>
      </x:c>
      <x:c r="E2626" s="2" t="n">
        <x:v>4</x:v>
      </x:c>
      <x:c r="F2626" s="2" t="n">
        <x:v>0</x:v>
      </x:c>
      <x:c r="G2626" s="12" t="n">
        <x:v>123641.23</x:v>
      </x:c>
      <x:c r="H2626" s="12" t="n">
        <x:v>7749.541291</x:v>
      </x:c>
      <x:c r="I2626" s="13" t="n">
        <x:v>0.05045</x:v>
      </x:c>
      <x:c r="J2626" s="2" t="n">
        <x:v>2</x:v>
      </x:c>
      <x:c r="K2626" s="2" t="n">
        <x:v>4</x:v>
      </x:c>
      <x:c r="L2626" s="12" t="n">
        <x:v>1578.5</x:v>
      </x:c>
      <x:c r="M2626" s="13" t="n">
        <x:v>0.6481517532622411</x:v>
      </x:c>
      <x:c r="N2626" s="13" t="n">
        <x:f>H2626/G2626</x:f>
        <x:v>0.06267764637249242</x:v>
      </x:c>
      <x:c r="O2626" s="13" t="n">
        <x:f>F2626/E2626</x:f>
        <x:v>0</x:v>
      </x:c>
      <x:c r="P2626" s="2" t="str">
        <x:f>IF(AND(E2626&gt;='Итоги'!$F$5,N2626&lt;='Итоги'!$B$5,O2626&gt;='Итоги'!$D$5),"Да","Нет")</x:f>
        <x:v>Нет</x:v>
      </x:c>
    </x:row>
    <x:row r="2627" ht="60" customHeight="1">
      <x:c r="A2627" s="14" t="str">
        <x:v>Аксессуары для электроники</x:v>
      </x:c>
      <x:c r="B2627" s="14" t="str">
        <x:v>Компьютеры Access</x:v>
      </x:c>
      <x:c r="C2627" s="14" t="str">
        <x:v>Аксессуар к компьютерной технике Access</x:v>
      </x:c>
      <x:c r="D2627" s="14" t="str">
        <x:v>Картридер</x:v>
      </x:c>
      <x:c r="E2627" s="2" t="n">
        <x:v>8</x:v>
      </x:c>
      <x:c r="F2627" s="2" t="n">
        <x:v>0</x:v>
      </x:c>
      <x:c r="G2627" s="12" t="n">
        <x:v>631634.6632</x:v>
      </x:c>
      <x:c r="H2627" s="12" t="n">
        <x:v>39593.275091200005</x:v>
      </x:c>
      <x:c r="I2627" s="13" t="n">
        <x:v>0.077625</x:v>
      </x:c>
      <x:c r="J2627" s="2" t="n">
        <x:v>3</x:v>
      </x:c>
      <x:c r="K2627" s="2" t="n">
        <x:v>5</x:v>
      </x:c>
      <x:c r="L2627" s="12" t="n">
        <x:v>1424.7605</x:v>
      </x:c>
      <x:c r="M2627" s="13" t="n">
        <x:v>0.4660305099607776</x:v>
      </x:c>
      <x:c r="N2627" s="13" t="n">
        <x:f>H2627/G2627</x:f>
        <x:v>0.06268382246568258</x:v>
      </x:c>
      <x:c r="O2627" s="13" t="n">
        <x:f>F2627/E2627</x:f>
        <x:v>0</x:v>
      </x:c>
      <x:c r="P2627" s="2" t="str">
        <x:f>IF(AND(E2627&gt;='Итоги'!$F$5,N2627&lt;='Итоги'!$B$5,O2627&gt;='Итоги'!$D$5),"Да","Нет")</x:f>
        <x:v>Нет</x:v>
      </x:c>
    </x:row>
    <x:row r="2628" ht="60" customHeight="1">
      <x:c r="A2628" s="14" t="str">
        <x:v>Обувь</x:v>
      </x:c>
      <x:c r="B2628" s="14" t="str">
        <x:v>Обувь мужская</x:v>
      </x:c>
      <x:c r="C2628" s="14" t="str">
        <x:v>Обувь мужская повседневная</x:v>
      </x:c>
      <x:c r="D2628" s="14" t="str">
        <x:v>Мужские Топсайдеры</x:v>
      </x:c>
      <x:c r="E2628" s="2" t="n">
        <x:v>36</x:v>
      </x:c>
      <x:c r="F2628" s="2" t="n">
        <x:v>0</x:v>
      </x:c>
      <x:c r="G2628" s="12" t="n">
        <x:v>1630126.19</x:v>
      </x:c>
      <x:c r="H2628" s="12" t="n">
        <x:v>102209.965379</x:v>
      </x:c>
      <x:c r="I2628" s="13" t="n">
        <x:v>0.0310916666666666</x:v>
      </x:c>
      <x:c r="J2628" s="2" t="n">
        <x:v>28</x:v>
      </x:c>
      <x:c r="K2628" s="2" t="n">
        <x:v>4</x:v>
      </x:c>
      <x:c r="L2628" s="12" t="n">
        <x:v>4549.625</x:v>
      </x:c>
      <x:c r="M2628" s="13" t="n">
        <x:v>0.6169419865587216</x:v>
      </x:c>
      <x:c r="N2628" s="13" t="n">
        <x:f>H2628/G2628</x:f>
        <x:v>0.06270064612543892</x:v>
      </x:c>
      <x:c r="O2628" s="13" t="n">
        <x:f>F2628/E2628</x:f>
        <x:v>0</x:v>
      </x:c>
      <x:c r="P2628" s="2" t="str">
        <x:f>IF(AND(E2628&gt;='Итоги'!$F$5,N2628&lt;='Итоги'!$B$5,O2628&gt;='Итоги'!$D$5),"Да","Нет")</x:f>
        <x:v>Нет</x:v>
      </x:c>
    </x:row>
    <x:row r="2629" ht="60" customHeight="1">
      <x:c r="A2629" s="14" t="str">
        <x:v>Мелкая бытовая техника</x:v>
      </x:c>
      <x:c r="B2629" s="14" t="str">
        <x:v>Мелкая бытовая техника SDA</x:v>
      </x:c>
      <x:c r="C2629" s="14" t="str">
        <x:v>Электронная кухонная техника SDA</x:v>
      </x:c>
      <x:c r="D2629" s="14" t="str">
        <x:v>Яйцеварка</x:v>
      </x:c>
      <x:c r="E2629" s="2" t="n">
        <x:v>6</x:v>
      </x:c>
      <x:c r="F2629" s="2" t="n">
        <x:v>0</x:v>
      </x:c>
      <x:c r="G2629" s="12" t="n">
        <x:v>1384407.2405</x:v>
      </x:c>
      <x:c r="H2629" s="12" t="n">
        <x:v>86825.96289678001</x:v>
      </x:c>
      <x:c r="I2629" s="13" t="n">
        <x:v>0.0634</x:v>
      </x:c>
      <x:c r="J2629" s="2" t="n">
        <x:v>1</x:v>
      </x:c>
      <x:c r="K2629" s="2" t="n">
        <x:v>3</x:v>
      </x:c>
      <x:c r="L2629" s="12" t="n">
        <x:v>2595.39525</x:v>
      </x:c>
      <x:c r="M2629" s="13" t="n">
        <x:v>0.8325377149022503</x:v>
      </x:c>
      <x:c r="N2629" s="13" t="n">
        <x:f>H2629/G2629</x:f>
        <x:v>0.06271706789500861</x:v>
      </x:c>
      <x:c r="O2629" s="13" t="n">
        <x:f>F2629/E2629</x:f>
        <x:v>0</x:v>
      </x:c>
      <x:c r="P2629" s="2" t="str">
        <x:f>IF(AND(E2629&gt;='Итоги'!$F$5,N2629&lt;='Итоги'!$B$5,O2629&gt;='Итоги'!$D$5),"Да","Нет")</x:f>
        <x:v>Нет</x:v>
      </x:c>
    </x:row>
    <x:row r="2630" ht="60" customHeight="1">
      <x:c r="A2630" s="14" t="str">
        <x:v>Аксессуары</x:v>
      </x:c>
      <x:c r="B2630" s="14" t="str">
        <x:v>Бижутерия и часы бижутерные</x:v>
      </x:c>
      <x:c r="C2630" s="14" t="str">
        <x:v>Часы бижу</x:v>
      </x:c>
      <x:c r="D2630" s="14" t="str">
        <x:v>Бижу часы наручные женские</x:v>
      </x:c>
      <x:c r="E2630" s="2" t="n">
        <x:v>91</x:v>
      </x:c>
      <x:c r="F2630" s="2" t="n">
        <x:v>0</x:v>
      </x:c>
      <x:c r="G2630" s="12" t="n">
        <x:v>9059287.9215</x:v>
      </x:c>
      <x:c r="H2630" s="12" t="n">
        <x:v>568236.75922809</x:v>
      </x:c>
      <x:c r="I2630" s="13" t="n">
        <x:v>0.0512901098901098</x:v>
      </x:c>
      <x:c r="J2630" s="2" t="n">
        <x:v>50</x:v>
      </x:c>
      <x:c r="K2630" s="2" t="n">
        <x:v>18</x:v>
      </x:c>
      <x:c r="L2630" s="12" t="n">
        <x:v>3636.8519</x:v>
      </x:c>
      <x:c r="M2630" s="13" t="n">
        <x:v>0.5471290753699003</x:v>
      </x:c>
      <x:c r="N2630" s="13" t="n">
        <x:f>H2630/G2630</x:f>
        <x:v>0.0627242189620135</x:v>
      </x:c>
      <x:c r="O2630" s="13" t="n">
        <x:f>F2630/E2630</x:f>
        <x:v>0</x:v>
      </x:c>
      <x:c r="P2630" s="2" t="str">
        <x:f>IF(AND(E2630&gt;='Итоги'!$F$5,N2630&lt;='Итоги'!$B$5,O2630&gt;='Итоги'!$D$5),"Да","Нет")</x:f>
        <x:v>Нет</x:v>
      </x:c>
    </x:row>
    <x:row r="2631" ht="60" customHeight="1">
      <x:c r="A2631" s="14" t="str">
        <x:v>Строительство и ремонт (DIY)</x:v>
      </x:c>
      <x:c r="B2631" s="14" t="str">
        <x:v>Сантехника</x:v>
      </x:c>
      <x:c r="C2631" s="14" t="str">
        <x:v>Смеситель</x:v>
      </x:c>
      <x:c r="D2631" s="14" t="str">
        <x:v>Смеситель для биде</x:v>
      </x:c>
      <x:c r="E2631" s="2" t="n">
        <x:v>86</x:v>
      </x:c>
      <x:c r="F2631" s="2" t="n">
        <x:v>0</x:v>
      </x:c>
      <x:c r="G2631" s="12" t="n">
        <x:v>14164561.411</x:v>
      </x:c>
      <x:c r="H2631" s="12" t="n">
        <x:v>888484.95612955</x:v>
      </x:c>
      <x:c r="I2631" s="13" t="n">
        <x:v>0.0566662790697674</x:v>
      </x:c>
      <x:c r="J2631" s="2" t="n">
        <x:v>16</x:v>
      </x:c>
      <x:c r="K2631" s="2" t="n">
        <x:v>16</x:v>
      </x:c>
      <x:c r="L2631" s="12" t="n">
        <x:v>3161.16005</x:v>
      </x:c>
      <x:c r="M2631" s="13" t="n">
        <x:v>0.663097032182439</x:v>
      </x:c>
      <x:c r="N2631" s="13" t="n">
        <x:f>H2631/G2631</x:f>
        <x:v>0.06272590660234387</x:v>
      </x:c>
      <x:c r="O2631" s="13" t="n">
        <x:f>F2631/E2631</x:f>
        <x:v>0</x:v>
      </x:c>
      <x:c r="P2631" s="2" t="str">
        <x:f>IF(AND(E2631&gt;='Итоги'!$F$5,N2631&lt;='Итоги'!$B$5,O2631&gt;='Итоги'!$D$5),"Да","Нет")</x:f>
        <x:v>Нет</x:v>
      </x:c>
    </x:row>
    <x:row r="2632" ht="60" customHeight="1">
      <x:c r="A2632" s="14" t="str">
        <x:v>Игрушки</x:v>
      </x:c>
      <x:c r="B2632" s="14" t="str">
        <x:v>Игрушки</x:v>
      </x:c>
      <x:c r="C2632" s="14" t="str">
        <x:v>Куклы и аксессуары</x:v>
      </x:c>
      <x:c r="D2632" s="14" t="str">
        <x:v>Кукла коллекционная детская</x:v>
      </x:c>
      <x:c r="E2632" s="2" t="n">
        <x:v>67</x:v>
      </x:c>
      <x:c r="F2632" s="2" t="n">
        <x:v>0</x:v>
      </x:c>
      <x:c r="G2632" s="12" t="n">
        <x:v>6280034.6106</x:v>
      </x:c>
      <x:c r="H2632" s="12" t="n">
        <x:v>394003.62044019</x:v>
      </x:c>
      <x:c r="I2632" s="13" t="n">
        <x:v>0.060376119402985</x:v>
      </x:c>
      <x:c r="J2632" s="2" t="n">
        <x:v>25</x:v>
      </x:c>
      <x:c r="K2632" s="2" t="n">
        <x:v>20</x:v>
      </x:c>
      <x:c r="L2632" s="12" t="n">
        <x:v>2951.3226</x:v>
      </x:c>
      <x:c r="M2632" s="13" t="n">
        <x:v>0.6743337879781843</x:v>
      </x:c>
      <x:c r="N2632" s="13" t="n">
        <x:f>H2632/G2632</x:f>
        <x:v>0.0627390842361212</x:v>
      </x:c>
      <x:c r="O2632" s="13" t="n">
        <x:f>F2632/E2632</x:f>
        <x:v>0</x:v>
      </x:c>
      <x:c r="P2632" s="2" t="str">
        <x:f>IF(AND(E2632&gt;='Итоги'!$F$5,N2632&lt;='Итоги'!$B$5,O2632&gt;='Итоги'!$D$5),"Да","Нет")</x:f>
        <x:v>Нет</x:v>
      </x:c>
    </x:row>
    <x:row r="2633" ht="60" customHeight="1">
      <x:c r="A2633" s="14" t="str">
        <x:v>Спорт и отдых</x:v>
      </x:c>
      <x:c r="B2633" s="14" t="str">
        <x:v>Тренажеры и фитнес</x:v>
      </x:c>
      <x:c r="C2633" s="14" t="str">
        <x:v>Кросстренинг и тяжёлая атлетика</x:v>
      </x:c>
      <x:c r="D2633" s="14" t="str">
        <x:v>Тренировочные петли</x:v>
      </x:c>
      <x:c r="E2633" s="2" t="n">
        <x:v>8</x:v>
      </x:c>
      <x:c r="F2633" s="2" t="n">
        <x:v>0</x:v>
      </x:c>
      <x:c r="G2633" s="12" t="n">
        <x:v>995376.4295</x:v>
      </x:c>
      <x:c r="H2633" s="12" t="n">
        <x:v>62505.72632934</x:v>
      </x:c>
      <x:c r="I2633" s="13" t="n">
        <x:v>0.093075</x:v>
      </x:c>
      <x:c r="J2633" s="2" t="n">
        <x:v>2</x:v>
      </x:c>
      <x:c r="K2633" s="2" t="n">
        <x:v>3</x:v>
      </x:c>
      <x:c r="L2633" s="12" t="n">
        <x:v>1965.11145</x:v>
      </x:c>
      <x:c r="M2633" s="13" t="n">
        <x:v>0.7881589077753021</x:v>
      </x:c>
      <x:c r="N2633" s="13" t="n">
        <x:f>H2633/G2633</x:f>
        <x:v>0.06279606837861133</x:v>
      </x:c>
      <x:c r="O2633" s="13" t="n">
        <x:f>F2633/E2633</x:f>
        <x:v>0</x:v>
      </x:c>
      <x:c r="P2633" s="2" t="str">
        <x:f>IF(AND(E2633&gt;='Итоги'!$F$5,N2633&lt;='Итоги'!$B$5,O2633&gt;='Итоги'!$D$5),"Да","Нет")</x:f>
        <x:v>Нет</x:v>
      </x:c>
    </x:row>
    <x:row r="2634" ht="60" customHeight="1">
      <x:c r="A2634" s="14" t="str">
        <x:v>Аптека</x:v>
      </x:c>
      <x:c r="B2634" s="14" t="str">
        <x:v>Спортивное питание</x:v>
      </x:c>
      <x:c r="C2634" s="14" t="str">
        <x:v>Аминокислоты</x:v>
      </x:c>
      <x:c r="D2634" s="14" t="str">
        <x:v>Комплекс аминокислот</x:v>
      </x:c>
      <x:c r="E2634" s="2" t="n">
        <x:v>83</x:v>
      </x:c>
      <x:c r="F2634" s="2" t="n">
        <x:v>0</x:v>
      </x:c>
      <x:c r="G2634" s="12" t="n">
        <x:v>13301485.0306</x:v>
      </x:c>
      <x:c r="H2634" s="12" t="n">
        <x:v>835960.10033057</x:v>
      </x:c>
      <x:c r="I2634" s="13" t="n">
        <x:v>0.0649168674698795</x:v>
      </x:c>
      <x:c r="J2634" s="2" t="n">
        <x:v>31</x:v>
      </x:c>
      <x:c r="K2634" s="2" t="n">
        <x:v>12</x:v>
      </x:c>
      <x:c r="L2634" s="12" t="n">
        <x:v>1924</x:v>
      </x:c>
      <x:c r="M2634" s="13" t="n">
        <x:v>0.8347041790189631</x:v>
      </x:c>
      <x:c r="N2634" s="13" t="n">
        <x:f>H2634/G2634</x:f>
        <x:v>0.0628471255959352</x:v>
      </x:c>
      <x:c r="O2634" s="13" t="n">
        <x:f>F2634/E2634</x:f>
        <x:v>0</x:v>
      </x:c>
      <x:c r="P2634" s="2" t="str">
        <x:f>IF(AND(E2634&gt;='Итоги'!$F$5,N2634&lt;='Итоги'!$B$5,O2634&gt;='Итоги'!$D$5),"Да","Нет")</x:f>
        <x:v>Нет</x:v>
      </x:c>
    </x:row>
    <x:row r="2635" ht="60" customHeight="1">
      <x:c r="A2635" s="14" t="str">
        <x:v>Школьные принадлежности и канцелярия</x:v>
      </x:c>
      <x:c r="B2635" s="14" t="str">
        <x:v>Товары для школы, канцелярия, оборудование</x:v>
      </x:c>
      <x:c r="C2635" s="14" t="str">
        <x:v>Бумага офисная и бумажная продукция</x:v>
      </x:c>
      <x:c r="D2635" s="14" t="str">
        <x:v>Бейдж</x:v>
      </x:c>
      <x:c r="E2635" s="2" t="n">
        <x:v>2</x:v>
      </x:c>
      <x:c r="F2635" s="2" t="n">
        <x:v>0</x:v>
      </x:c>
      <x:c r="G2635" s="12" t="n">
        <x:v>196512.5924</x:v>
      </x:c>
      <x:c r="H2635" s="12" t="n">
        <x:v>12353.13132392</x:v>
      </x:c>
      <x:c r="I2635" s="13" t="n">
        <x:v>0.0629</x:v>
      </x:c>
      <x:c r="J2635" s="2" t="n">
        <x:v>1</x:v>
      </x:c>
      <x:c r="K2635" s="2" t="n">
        <x:v>2</x:v>
      </x:c>
      <x:c r="L2635" s="12" t="n">
        <x:v>972.70375</x:v>
      </x:c>
      <x:c r="M2635" s="13" t="n">
        <x:v>0.5003038166626924</x:v>
      </x:c>
      <x:c r="N2635" s="13" t="n">
        <x:f>H2635/G2635</x:f>
        <x:v>0.0628617798638333</x:v>
      </x:c>
      <x:c r="O2635" s="13" t="n">
        <x:f>F2635/E2635</x:f>
        <x:v>0</x:v>
      </x:c>
      <x:c r="P2635" s="2" t="str">
        <x:f>IF(AND(E2635&gt;='Итоги'!$F$5,N2635&lt;='Итоги'!$B$5,O2635&gt;='Итоги'!$D$5),"Да","Нет")</x:f>
        <x:v>Нет</x:v>
      </x:c>
    </x:row>
    <x:row r="2636" ht="60" customHeight="1">
      <x:c r="A2636" s="14" t="str">
        <x:v>Спорт и отдых</x:v>
      </x:c>
      <x:c r="B2636" s="14" t="str">
        <x:v>Колесный транспорт</x:v>
      </x:c>
      <x:c r="C2636" s="14" t="str">
        <x:v>Самокат</x:v>
      </x:c>
      <x:c r="D2636" s="14" t="str">
        <x:v>Самокат электрический</x:v>
      </x:c>
      <x:c r="E2636" s="2" t="n">
        <x:v>42</x:v>
      </x:c>
      <x:c r="F2636" s="2" t="n">
        <x:v>0</x:v>
      </x:c>
      <x:c r="G2636" s="12" t="n">
        <x:v>7800455.29</x:v>
      </x:c>
      <x:c r="H2636" s="12" t="n">
        <x:v>490522.255663</x:v>
      </x:c>
      <x:c r="I2636" s="13" t="n">
        <x:v>0.0604738095238095</x:v>
      </x:c>
      <x:c r="J2636" s="2" t="n">
        <x:v>18</x:v>
      </x:c>
      <x:c r="K2636" s="2" t="n">
        <x:v>11</x:v>
      </x:c>
      <x:c r="L2636" s="12" t="n">
        <x:v>22043.07275</x:v>
      </x:c>
      <x:c r="M2636" s="13" t="n">
        <x:v>0.5537853598799359</x:v>
      </x:c>
      <x:c r="N2636" s="13" t="n">
        <x:f>H2636/G2636</x:f>
        <x:v>0.06288379811519951</x:v>
      </x:c>
      <x:c r="O2636" s="13" t="n">
        <x:f>F2636/E2636</x:f>
        <x:v>0</x:v>
      </x:c>
      <x:c r="P2636" s="2" t="str">
        <x:f>IF(AND(E2636&gt;='Итоги'!$F$5,N2636&lt;='Итоги'!$B$5,O2636&gt;='Итоги'!$D$5),"Да","Нет")</x:f>
        <x:v>Нет</x:v>
      </x:c>
    </x:row>
    <x:row r="2637" ht="60" customHeight="1">
      <x:c r="A2637" s="14" t="str">
        <x:v>Одежда</x:v>
      </x:c>
      <x:c r="B2637" s="14" t="str">
        <x:v>Основная одежда мужская</x:v>
      </x:c>
      <x:c r="C2637" s="14" t="str">
        <x:v>Головные уборы, перчатки, шарфы мужские</x:v>
      </x:c>
      <x:c r="D2637" s="14" t="str">
        <x:v>Мужская бейсболка</x:v>
      </x:c>
      <x:c r="E2637" s="2" t="n">
        <x:v>112</x:v>
      </x:c>
      <x:c r="F2637" s="2" t="n">
        <x:v>0</x:v>
      </x:c>
      <x:c r="G2637" s="12" t="n">
        <x:v>14708252.1762</x:v>
      </x:c>
      <x:c r="H2637" s="12" t="n">
        <x:v>925075.74107283</x:v>
      </x:c>
      <x:c r="I2637" s="13" t="n">
        <x:v>0.0565205357142857</x:v>
      </x:c>
      <x:c r="J2637" s="2" t="n">
        <x:v>58</x:v>
      </x:c>
      <x:c r="K2637" s="2" t="n">
        <x:v>12</x:v>
      </x:c>
      <x:c r="L2637" s="12" t="n">
        <x:v>1281.5432</x:v>
      </x:c>
      <x:c r="M2637" s="13" t="n">
        <x:v>0.4159133173687854</x:v>
      </x:c>
      <x:c r="N2637" s="13" t="n">
        <x:f>H2637/G2637</x:f>
        <x:v>0.06289501498823438</x:v>
      </x:c>
      <x:c r="O2637" s="13" t="n">
        <x:f>F2637/E2637</x:f>
        <x:v>0</x:v>
      </x:c>
      <x:c r="P2637" s="2" t="str">
        <x:f>IF(AND(E2637&gt;='Итоги'!$F$5,N2637&lt;='Итоги'!$B$5,O2637&gt;='Итоги'!$D$5),"Да","Нет")</x:f>
        <x:v>Нет</x:v>
      </x:c>
    </x:row>
    <x:row r="2638" ht="60" customHeight="1">
      <x:c r="A2638" s="14" t="str">
        <x:v>Спорт и отдых</x:v>
      </x:c>
      <x:c r="B2638" s="14" t="str">
        <x:v>Колесный транспорт</x:v>
      </x:c>
      <x:c r="C2638" s="14" t="str">
        <x:v>Самокат</x:v>
      </x:c>
      <x:c r="D2638" s="14" t="str">
        <x:v>Самокат</x:v>
      </x:c>
      <x:c r="E2638" s="2" t="n">
        <x:v>203</x:v>
      </x:c>
      <x:c r="F2638" s="2" t="n">
        <x:v>0</x:v>
      </x:c>
      <x:c r="G2638" s="12" t="n">
        <x:v>34948682.6394</x:v>
      </x:c>
      <x:c r="H2638" s="12" t="n">
        <x:v>2198695.49348093</x:v>
      </x:c>
      <x:c r="I2638" s="13" t="n">
        <x:v>0.0520576354679803</x:v>
      </x:c>
      <x:c r="J2638" s="2" t="n">
        <x:v>66</x:v>
      </x:c>
      <x:c r="K2638" s="2" t="n">
        <x:v>22</x:v>
      </x:c>
      <x:c r="L2638" s="12" t="n">
        <x:v>4430.5238</x:v>
      </x:c>
      <x:c r="M2638" s="13" t="n">
        <x:v>0.6489959705156257</x:v>
      </x:c>
      <x:c r="N2638" s="13" t="n">
        <x:f>H2638/G2638</x:f>
        <x:v>0.06291211363149331</x:v>
      </x:c>
      <x:c r="O2638" s="13" t="n">
        <x:f>F2638/E2638</x:f>
        <x:v>0</x:v>
      </x:c>
      <x:c r="P2638" s="2" t="str">
        <x:f>IF(AND(E2638&gt;='Итоги'!$F$5,N2638&lt;='Итоги'!$B$5,O2638&gt;='Итоги'!$D$5),"Да","Нет")</x:f>
        <x:v>Нет</x:v>
      </x:c>
    </x:row>
    <x:row r="2639" ht="60" customHeight="1">
      <x:c r="A2639" s="14" t="str">
        <x:v>Игрушки</x:v>
      </x:c>
      <x:c r="B2639" s="14" t="str">
        <x:v>Игрушки</x:v>
      </x:c>
      <x:c r="C2639" s="14" t="str">
        <x:v>Транспорт и радиоуправляемые игрушки</x:v>
      </x:c>
      <x:c r="D2639" s="14" t="str">
        <x:v>Водный транспорт р/у</x:v>
      </x:c>
      <x:c r="E2639" s="2" t="n">
        <x:v>35</x:v>
      </x:c>
      <x:c r="F2639" s="2" t="n">
        <x:v>0</x:v>
      </x:c>
      <x:c r="G2639" s="12" t="n">
        <x:v>3427455.19</x:v>
      </x:c>
      <x:c r="H2639" s="12" t="n">
        <x:v>215713.88476757</x:v>
      </x:c>
      <x:c r="I2639" s="13" t="n">
        <x:v>0.0663857142857142</x:v>
      </x:c>
      <x:c r="J2639" s="2" t="n">
        <x:v>15</x:v>
      </x:c>
      <x:c r="K2639" s="2" t="n">
        <x:v>15</x:v>
      </x:c>
      <x:c r="L2639" s="12" t="n">
        <x:v>1840.9038</x:v>
      </x:c>
      <x:c r="M2639" s="13" t="n">
        <x:v>0.194455063670723</x:v>
      </x:c>
      <x:c r="N2639" s="13" t="n">
        <x:f>H2639/G2639</x:f>
        <x:v>0.06293704010979936</x:v>
      </x:c>
      <x:c r="O2639" s="13" t="n">
        <x:f>F2639/E2639</x:f>
        <x:v>0</x:v>
      </x:c>
      <x:c r="P2639" s="2" t="str">
        <x:f>IF(AND(E2639&gt;='Итоги'!$F$5,N2639&lt;='Итоги'!$B$5,O2639&gt;='Итоги'!$D$5),"Да","Нет")</x:f>
        <x:v>Нет</x:v>
      </x:c>
    </x:row>
    <x:row r="2640" ht="60" customHeight="1">
      <x:c r="A2640" s="14" t="str">
        <x:v>Аптека</x:v>
      </x:c>
      <x:c r="B2640" s="14" t="str">
        <x:v>Витамины и БАДы</x:v>
      </x:c>
      <x:c r="C2640" s="14" t="str">
        <x:v>Противопростудные препараты</x:v>
      </x:c>
      <x:c r="D2640" s="14" t="str">
        <x:v>БАД для поддержания иммунитета</x:v>
      </x:c>
      <x:c r="E2640" s="2" t="n">
        <x:v>160</x:v>
      </x:c>
      <x:c r="F2640" s="2" t="n">
        <x:v>0</x:v>
      </x:c>
      <x:c r="G2640" s="12" t="n">
        <x:v>28769024.2294</x:v>
      </x:c>
      <x:c r="H2640" s="12" t="n">
        <x:v>1811006.85485657</x:v>
      </x:c>
      <x:c r="I2640" s="13" t="n">
        <x:v>0.06024125</x:v>
      </x:c>
      <x:c r="J2640" s="2" t="n">
        <x:v>65</x:v>
      </x:c>
      <x:c r="K2640" s="2" t="n">
        <x:v>51</x:v>
      </x:c>
      <x:c r="L2640" s="12" t="n">
        <x:v>1383.37445</x:v>
      </x:c>
      <x:c r="M2640" s="13" t="n">
        <x:v>0.5734276564458946</x:v>
      </x:c>
      <x:c r="N2640" s="13" t="n">
        <x:f>H2640/G2640</x:f>
        <x:v>0.06294988806070952</x:v>
      </x:c>
      <x:c r="O2640" s="13" t="n">
        <x:f>F2640/E2640</x:f>
        <x:v>0</x:v>
      </x:c>
      <x:c r="P2640" s="2" t="str">
        <x:f>IF(AND(E2640&gt;='Итоги'!$F$5,N2640&lt;='Итоги'!$B$5,O2640&gt;='Итоги'!$D$5),"Да","Нет")</x:f>
        <x:v>Нет</x:v>
      </x:c>
    </x:row>
    <x:row r="2641" ht="60" customHeight="1">
      <x:c r="A2641" s="14" t="str">
        <x:v>Мебель</x:v>
      </x:c>
      <x:c r="B2641" s="14" t="str">
        <x:v>Мебель для сна</x:v>
      </x:c>
      <x:c r="C2641" s="14" t="str">
        <x:v>Кровать</x:v>
      </x:c>
      <x:c r="D2641" s="14" t="str">
        <x:v>Кровати для детей от 3 лет</x:v>
      </x:c>
      <x:c r="E2641" s="2" t="n">
        <x:v>144</x:v>
      </x:c>
      <x:c r="F2641" s="2" t="n">
        <x:v>0</x:v>
      </x:c>
      <x:c r="G2641" s="12" t="n">
        <x:v>32687188.5439</x:v>
      </x:c>
      <x:c r="H2641" s="12" t="n">
        <x:v>2059227.50282272</x:v>
      </x:c>
      <x:c r="I2641" s="13" t="n">
        <x:v>0.0632041666666666</x:v>
      </x:c>
      <x:c r="J2641" s="2" t="n">
        <x:v>41</x:v>
      </x:c>
      <x:c r="K2641" s="2" t="n">
        <x:v>16</x:v>
      </x:c>
      <x:c r="L2641" s="12" t="n">
        <x:v>9748.19155</x:v>
      </x:c>
      <x:c r="M2641" s="13" t="n">
        <x:v>0.7272071903117517</x:v>
      </x:c>
      <x:c r="N2641" s="13" t="n">
        <x:f>H2641/G2641</x:f>
        <x:v>0.06299799996739112</x:v>
      </x:c>
      <x:c r="O2641" s="13" t="n">
        <x:f>F2641/E2641</x:f>
        <x:v>0</x:v>
      </x:c>
      <x:c r="P2641" s="2" t="str">
        <x:f>IF(AND(E2641&gt;='Итоги'!$F$5,N2641&lt;='Итоги'!$B$5,O2641&gt;='Итоги'!$D$5),"Да","Нет")</x:f>
        <x:v>Нет</x:v>
      </x:c>
    </x:row>
    <x:row r="2642" ht="60" customHeight="1">
      <x:c r="A2642" s="14" t="str">
        <x:v>Спорт и отдых</x:v>
      </x:c>
      <x:c r="B2642" s="14" t="str">
        <x:v>Туризм</x:v>
      </x:c>
      <x:c r="C2642" s="14" t="str">
        <x:v>Коврик туристический</x:v>
      </x:c>
      <x:c r="D2642" s="14" t="str">
        <x:v>Пляжные покрывало, плед</x:v>
      </x:c>
      <x:c r="E2642" s="2" t="n">
        <x:v>78</x:v>
      </x:c>
      <x:c r="F2642" s="2" t="n">
        <x:v>0</x:v>
      </x:c>
      <x:c r="G2642" s="12" t="n">
        <x:v>12696713.2036</x:v>
      </x:c>
      <x:c r="H2642" s="12" t="n">
        <x:v>799953.25004333</x:v>
      </x:c>
      <x:c r="I2642" s="13" t="n">
        <x:v>0.0696064102564102</x:v>
      </x:c>
      <x:c r="J2642" s="2" t="n">
        <x:v>21</x:v>
      </x:c>
      <x:c r="K2642" s="2" t="n">
        <x:v>25</x:v>
      </x:c>
      <x:c r="L2642" s="12" t="n">
        <x:v>1695.6776</x:v>
      </x:c>
      <x:c r="M2642" s="13" t="n">
        <x:v>0.2839561487123894</x:v>
      </x:c>
      <x:c r="N2642" s="13" t="n">
        <x:f>H2642/G2642</x:f>
        <x:v>0.06300475069536207</x:v>
      </x:c>
      <x:c r="O2642" s="13" t="n">
        <x:f>F2642/E2642</x:f>
        <x:v>0</x:v>
      </x:c>
      <x:c r="P2642" s="2" t="str">
        <x:f>IF(AND(E2642&gt;='Итоги'!$F$5,N2642&lt;='Итоги'!$B$5,O2642&gt;='Итоги'!$D$5),"Да","Нет")</x:f>
        <x:v>Нет</x:v>
      </x:c>
    </x:row>
    <x:row r="2643" ht="60" customHeight="1">
      <x:c r="A2643" s="14" t="str">
        <x:v>Аптека</x:v>
      </x:c>
      <x:c r="B2643" s="14" t="str">
        <x:v>Витамины и БАДы</x:v>
      </x:c>
      <x:c r="C2643" s="14" t="str">
        <x:v>Для желудочно-кишечного тракта и печени</x:v>
      </x:c>
      <x:c r="D2643" s="14" t="str">
        <x:v>БАД для профилактики заболеваний печени и желчевыводящих путей</x:v>
      </x:c>
      <x:c r="E2643" s="2" t="n">
        <x:v>37</x:v>
      </x:c>
      <x:c r="F2643" s="2" t="n">
        <x:v>0</x:v>
      </x:c>
      <x:c r="G2643" s="12" t="n">
        <x:v>7196390.3053</x:v>
      </x:c>
      <x:c r="H2643" s="12" t="n">
        <x:v>453798.21377689</x:v>
      </x:c>
      <x:c r="I2643" s="13" t="n">
        <x:v>0.0578702702702702</x:v>
      </x:c>
      <x:c r="J2643" s="2" t="n">
        <x:v>12</x:v>
      </x:c>
      <x:c r="K2643" s="2" t="n">
        <x:v>13</x:v>
      </x:c>
      <x:c r="L2643" s="12" t="n">
        <x:v>1483.2661</x:v>
      </x:c>
      <x:c r="M2643" s="13" t="n">
        <x:v>0.5843860709170755</x:v>
      </x:c>
      <x:c r="N2643" s="13" t="n">
        <x:f>H2643/G2643</x:f>
        <x:v>0.06305914417158232</x:v>
      </x:c>
      <x:c r="O2643" s="13" t="n">
        <x:f>F2643/E2643</x:f>
        <x:v>0</x:v>
      </x:c>
      <x:c r="P2643" s="2" t="str">
        <x:f>IF(AND(E2643&gt;='Итоги'!$F$5,N2643&lt;='Итоги'!$B$5,O2643&gt;='Итоги'!$D$5),"Да","Нет")</x:f>
        <x:v>Нет</x:v>
      </x:c>
    </x:row>
    <x:row r="2644" ht="60" customHeight="1">
      <x:c r="A2644" s="14" t="str">
        <x:v>Товары для красоты и здоровья</x:v>
      </x:c>
      <x:c r="B2644" s="14" t="str">
        <x:v>Парфюмерия, ароматерапия</x:v>
      </x:c>
      <x:c r="C2644" s="14" t="str">
        <x:v>Парфюмерия для женщин</x:v>
      </x:c>
      <x:c r="D2644" s="14" t="str">
        <x:v>Парфюмерная вода женская</x:v>
      </x:c>
      <x:c r="E2644" s="2" t="n">
        <x:v>99</x:v>
      </x:c>
      <x:c r="F2644" s="2" t="n">
        <x:v>0</x:v>
      </x:c>
      <x:c r="G2644" s="12" t="n">
        <x:v>12040314.9285</x:v>
      </x:c>
      <x:c r="H2644" s="12" t="n">
        <x:v>759380.69298743</x:v>
      </x:c>
      <x:c r="I2644" s="13" t="n">
        <x:v>0.0602272727272727</x:v>
      </x:c>
      <x:c r="J2644" s="2" t="n">
        <x:v>45</x:v>
      </x:c>
      <x:c r="K2644" s="2" t="n">
        <x:v>15</x:v>
      </x:c>
      <x:c r="L2644" s="12" t="n">
        <x:v>1676.0198</x:v>
      </x:c>
      <x:c r="M2644" s="13" t="n">
        <x:v>0.5548885403973675</x:v>
      </x:c>
      <x:c r="N2644" s="13" t="n">
        <x:f>H2644/G2644</x:f>
        <x:v>0.06306983642013712</x:v>
      </x:c>
      <x:c r="O2644" s="13" t="n">
        <x:f>F2644/E2644</x:f>
        <x:v>0</x:v>
      </x:c>
      <x:c r="P2644" s="2" t="str">
        <x:f>IF(AND(E2644&gt;='Итоги'!$F$5,N2644&lt;='Итоги'!$B$5,O2644&gt;='Итоги'!$D$5),"Да","Нет")</x:f>
        <x:v>Нет</x:v>
      </x:c>
    </x:row>
    <x:row r="2645" ht="60" customHeight="1">
      <x:c r="A2645" s="14" t="str">
        <x:v>Детская одежда</x:v>
      </x:c>
      <x:c r="B2645" s="14" t="str">
        <x:v>Детская одежда</x:v>
      </x:c>
      <x:c r="C2645" s="14" t="str">
        <x:v>Одежда для мальчика</x:v>
      </x:c>
      <x:c r="D2645" s="14" t="str">
        <x:v>Костюм трикотажный для мальчика</x:v>
      </x:c>
      <x:c r="E2645" s="2" t="n">
        <x:v>26</x:v>
      </x:c>
      <x:c r="F2645" s="2" t="n">
        <x:v>0</x:v>
      </x:c>
      <x:c r="G2645" s="12" t="n">
        <x:v>2606455.2459</x:v>
      </x:c>
      <x:c r="H2645" s="12" t="n">
        <x:v>164450.46283306</x:v>
      </x:c>
      <x:c r="I2645" s="13" t="n">
        <x:v>0.0604115384615384</x:v>
      </x:c>
      <x:c r="J2645" s="2" t="n">
        <x:v>7</x:v>
      </x:c>
      <x:c r="K2645" s="2" t="n">
        <x:v>4</x:v>
      </x:c>
      <x:c r="L2645" s="12" t="n">
        <x:v>1955.82495</x:v>
      </x:c>
      <x:c r="M2645" s="13" t="n">
        <x:v>0.4645252673739761</x:v>
      </x:c>
      <x:c r="N2645" s="13" t="n">
        <x:f>H2645/G2645</x:f>
        <x:v>0.06309353022337272</x:v>
      </x:c>
      <x:c r="O2645" s="13" t="n">
        <x:f>F2645/E2645</x:f>
        <x:v>0</x:v>
      </x:c>
      <x:c r="P2645" s="2" t="str">
        <x:f>IF(AND(E2645&gt;='Итоги'!$F$5,N2645&lt;='Итоги'!$B$5,O2645&gt;='Итоги'!$D$5),"Да","Нет")</x:f>
        <x:v>Нет</x:v>
      </x:c>
    </x:row>
    <x:row r="2646" ht="60" customHeight="1">
      <x:c r="A2646" s="14" t="str">
        <x:v>Товары для красоты и здоровья</x:v>
      </x:c>
      <x:c r="B2646" s="14" t="str">
        <x:v>Косметические средства для детей и беременных</x:v>
      </x:c>
      <x:c r="C2646" s="14" t="str">
        <x:v>Детские косметические средства</x:v>
      </x:c>
      <x:c r="D2646" s="14" t="str">
        <x:v>Крем, гель детский</x:v>
      </x:c>
      <x:c r="E2646" s="2" t="n">
        <x:v>13</x:v>
      </x:c>
      <x:c r="F2646" s="2" t="n">
        <x:v>0</x:v>
      </x:c>
      <x:c r="G2646" s="12" t="n">
        <x:v>2094619.4282</x:v>
      </x:c>
      <x:c r="H2646" s="12" t="n">
        <x:v>132196.27962409</x:v>
      </x:c>
      <x:c r="I2646" s="13" t="n">
        <x:v>0.0663923076923077</x:v>
      </x:c>
      <x:c r="J2646" s="2" t="n">
        <x:v>5</x:v>
      </x:c>
      <x:c r="K2646" s="2" t="n">
        <x:v>7</x:v>
      </x:c>
      <x:c r="L2646" s="12" t="n">
        <x:v>1185.5623</x:v>
      </x:c>
      <x:c r="M2646" s="13" t="n">
        <x:v>0.4953035103334004</x:v>
      </x:c>
      <x:c r="N2646" s="13" t="n">
        <x:f>H2646/G2646</x:f>
        <x:v>0.06311231426784396</x:v>
      </x:c>
      <x:c r="O2646" s="13" t="n">
        <x:f>F2646/E2646</x:f>
        <x:v>0</x:v>
      </x:c>
      <x:c r="P2646" s="2" t="str">
        <x:f>IF(AND(E2646&gt;='Итоги'!$F$5,N2646&lt;='Итоги'!$B$5,O2646&gt;='Итоги'!$D$5),"Да","Нет")</x:f>
        <x:v>Нет</x:v>
      </x:c>
    </x:row>
    <x:row r="2647" ht="60" customHeight="1">
      <x:c r="A2647" s="14" t="str">
        <x:v>Мебель</x:v>
      </x:c>
      <x:c r="B2647" s="14" t="str">
        <x:v>Корпусная мебель и мебель для хранения</x:v>
      </x:c>
      <x:c r="C2647" s="14" t="str">
        <x:v>Комод, тумба</x:v>
      </x:c>
      <x:c r="D2647" s="14" t="str">
        <x:v>Офисные тумбы</x:v>
      </x:c>
      <x:c r="E2647" s="2" t="n">
        <x:v>69</x:v>
      </x:c>
      <x:c r="F2647" s="2" t="n">
        <x:v>0</x:v>
      </x:c>
      <x:c r="G2647" s="12" t="n">
        <x:v>10447242.0556</x:v>
      </x:c>
      <x:c r="H2647" s="12" t="n">
        <x:v>659516.68384959</x:v>
      </x:c>
      <x:c r="I2647" s="13" t="n">
        <x:v>0.0764289855072463</x:v>
      </x:c>
      <x:c r="J2647" s="2" t="n">
        <x:v>14</x:v>
      </x:c>
      <x:c r="K2647" s="2" t="n">
        <x:v>17</x:v>
      </x:c>
      <x:c r="L2647" s="12" t="n">
        <x:v>3493.3206</x:v>
      </x:c>
      <x:c r="M2647" s="13" t="n">
        <x:v>0.5011741458209465</x:v>
      </x:c>
      <x:c r="N2647" s="13" t="n">
        <x:f>H2647/G2647</x:f>
        <x:v>0.06312830509139697</x:v>
      </x:c>
      <x:c r="O2647" s="13" t="n">
        <x:f>F2647/E2647</x:f>
        <x:v>0</x:v>
      </x:c>
      <x:c r="P2647" s="2" t="str">
        <x:f>IF(AND(E2647&gt;='Итоги'!$F$5,N2647&lt;='Итоги'!$B$5,O2647&gt;='Итоги'!$D$5),"Да","Нет")</x:f>
        <x:v>Нет</x:v>
      </x:c>
    </x:row>
    <x:row r="2648" ht="60" customHeight="1">
      <x:c r="A2648" s="14" t="str">
        <x:v>Автотовары</x:v>
      </x:c>
      <x:c r="B2648" s="14" t="str">
        <x:v>Авто и мото запчасти</x:v>
      </x:c>
      <x:c r="C2648" s="14" t="str">
        <x:v>Система охлаждения автомобиля</x:v>
      </x:c>
      <x:c r="D2648" s="14" t="str">
        <x:v>Термостат автомобильный</x:v>
      </x:c>
      <x:c r="E2648" s="2" t="n">
        <x:v>13</x:v>
      </x:c>
      <x:c r="F2648" s="2" t="n">
        <x:v>0</x:v>
      </x:c>
      <x:c r="G2648" s="12" t="n">
        <x:v>1355267.6843</x:v>
      </x:c>
      <x:c r="H2648" s="12" t="n">
        <x:v>85641.81671448999</x:v>
      </x:c>
      <x:c r="I2648" s="13" t="n">
        <x:v>0.0687384615384615</x:v>
      </x:c>
      <x:c r="J2648" s="2" t="n">
        <x:v>2</x:v>
      </x:c>
      <x:c r="K2648" s="2" t="n">
        <x:v>6</x:v>
      </x:c>
      <x:c r="L2648" s="12" t="n">
        <x:v>1927.1847</x:v>
      </x:c>
      <x:c r="M2648" s="13" t="n">
        <x:v>0.4314808210025582</x:v>
      </x:c>
      <x:c r="N2648" s="13" t="n">
        <x:f>H2648/G2648</x:f>
        <x:v>0.06319180904746818</x:v>
      </x:c>
      <x:c r="O2648" s="13" t="n">
        <x:f>F2648/E2648</x:f>
        <x:v>0</x:v>
      </x:c>
      <x:c r="P2648" s="2" t="str">
        <x:f>IF(AND(E2648&gt;='Итоги'!$F$5,N2648&lt;='Итоги'!$B$5,O2648&gt;='Итоги'!$D$5),"Да","Нет")</x:f>
        <x:v>Нет</x:v>
      </x:c>
    </x:row>
    <x:row r="2649" ht="60" customHeight="1">
      <x:c r="A2649" s="14" t="str">
        <x:v>Аптека</x:v>
      </x:c>
      <x:c r="B2649" s="14" t="str">
        <x:v>Медицинская техника</x:v>
      </x:c>
      <x:c r="C2649" s="14" t="str">
        <x:v>Медицинская техника</x:v>
      </x:c>
      <x:c r="D2649" s="14" t="str">
        <x:v>Облучатель ультрафиолетовый, синяя лампа</x:v>
      </x:c>
      <x:c r="E2649" s="2" t="n">
        <x:v>18</x:v>
      </x:c>
      <x:c r="F2649" s="2" t="n">
        <x:v>0</x:v>
      </x:c>
      <x:c r="G2649" s="12" t="n">
        <x:v>3250153.4</x:v>
      </x:c>
      <x:c r="H2649" s="12" t="n">
        <x:v>205510.277988</x:v>
      </x:c>
      <x:c r="I2649" s="13" t="n">
        <x:v>0.0718611111111111</x:v>
      </x:c>
      <x:c r="J2649" s="2" t="n">
        <x:v>2</x:v>
      </x:c>
      <x:c r="K2649" s="2" t="n">
        <x:v>8</x:v>
      </x:c>
      <x:c r="L2649" s="12" t="n">
        <x:v>2493.654</x:v>
      </x:c>
      <x:c r="M2649" s="13" t="n">
        <x:v>0.4885845111187675</x:v>
      </x:c>
      <x:c r="N2649" s="13" t="n">
        <x:f>H2649/G2649</x:f>
        <x:v>0.06323094718790812</x:v>
      </x:c>
      <x:c r="O2649" s="13" t="n">
        <x:f>F2649/E2649</x:f>
        <x:v>0</x:v>
      </x:c>
      <x:c r="P2649" s="2" t="str">
        <x:f>IF(AND(E2649&gt;='Итоги'!$F$5,N2649&lt;='Итоги'!$B$5,O2649&gt;='Итоги'!$D$5),"Да","Нет")</x:f>
        <x:v>Нет</x:v>
      </x:c>
    </x:row>
    <x:row r="2650" ht="60" customHeight="1">
      <x:c r="A2650" s="14" t="str">
        <x:v>Строительство и ремонт (DIY)</x:v>
      </x:c>
      <x:c r="B2650" s="14" t="str">
        <x:v>Фильтры для воды</x:v>
      </x:c>
      <x:c r="C2650" s="14" t="str">
        <x:v>Фильтры для воды</x:v>
      </x:c>
      <x:c r="D2650" s="14" t="str">
        <x:v>Тестер воды</x:v>
      </x:c>
      <x:c r="E2650" s="2" t="n">
        <x:v>18</x:v>
      </x:c>
      <x:c r="F2650" s="2" t="n">
        <x:v>0</x:v>
      </x:c>
      <x:c r="G2650" s="12" t="n">
        <x:v>2878742.209</x:v>
      </x:c>
      <x:c r="H2650" s="12" t="n">
        <x:v>182102.5803289</x:v>
      </x:c>
      <x:c r="I2650" s="13" t="n">
        <x:v>0.0671888888888889</x:v>
      </x:c>
      <x:c r="J2650" s="2" t="n">
        <x:v>7</x:v>
      </x:c>
      <x:c r="K2650" s="2" t="n">
        <x:v>10</x:v>
      </x:c>
      <x:c r="L2650" s="12" t="n">
        <x:v>1930.5485</x:v>
      </x:c>
      <x:c r="M2650" s="13" t="n">
        <x:v>0.2717845236554838</x:v>
      </x:c>
      <x:c r="N2650" s="13" t="n">
        <x:f>H2650/G2650</x:f>
        <x:v>0.06325768933375861</x:v>
      </x:c>
      <x:c r="O2650" s="13" t="n">
        <x:f>F2650/E2650</x:f>
        <x:v>0</x:v>
      </x:c>
      <x:c r="P2650" s="2" t="str">
        <x:f>IF(AND(E2650&gt;='Итоги'!$F$5,N2650&lt;='Итоги'!$B$5,O2650&gt;='Итоги'!$D$5),"Да","Нет")</x:f>
        <x:v>Нет</x:v>
      </x:c>
    </x:row>
    <x:row r="2651" ht="60" customHeight="1">
      <x:c r="A2651" s="14" t="str">
        <x:v>Строительство и ремонт (DIY)</x:v>
      </x:c>
      <x:c r="B2651" s="14" t="str">
        <x:v>Освещение</x:v>
      </x:c>
      <x:c r="C2651" s="14" t="str">
        <x:v>Аксессуары для светильников</x:v>
      </x:c>
      <x:c r="D2651" s="14" t="str">
        <x:v>Абажур, плафон</x:v>
      </x:c>
      <x:c r="E2651" s="2" t="n">
        <x:v>4</x:v>
      </x:c>
      <x:c r="F2651" s="2" t="n">
        <x:v>0</x:v>
      </x:c>
      <x:c r="G2651" s="12" t="n">
        <x:v>437299.93</x:v>
      </x:c>
      <x:c r="H2651" s="12" t="n">
        <x:v>27694.422919</x:v>
      </x:c>
      <x:c r="I2651" s="13" t="n">
        <x:v>0.059975</x:v>
      </x:c>
      <x:c r="J2651" s="2" t="n">
        <x:v>0</x:v>
      </x:c>
      <x:c r="K2651" s="2" t="n">
        <x:v>4</x:v>
      </x:c>
      <x:c r="L2651" s="12" t="n">
        <x:v>1999.73885</x:v>
      </x:c>
      <x:c r="M2651" s="13" t="n">
        <x:v>0.4346160082852059</x:v>
      </x:c>
      <x:c r="N2651" s="13" t="n">
        <x:f>H2651/G2651</x:f>
        <x:v>0.06333049931885423</x:v>
      </x:c>
      <x:c r="O2651" s="13" t="n">
        <x:f>F2651/E2651</x:f>
        <x:v>0</x:v>
      </x:c>
      <x:c r="P2651" s="2" t="str">
        <x:f>IF(AND(E2651&gt;='Итоги'!$F$5,N2651&lt;='Итоги'!$B$5,O2651&gt;='Итоги'!$D$5),"Да","Нет")</x:f>
        <x:v>Нет</x:v>
      </x:c>
    </x:row>
    <x:row r="2652" ht="60" customHeight="1">
      <x:c r="A2652" s="14" t="str">
        <x:v>Аксессуары для электроники</x:v>
      </x:c>
      <x:c r="B2652" s="14" t="str">
        <x:v>Оборудование Access</x:v>
      </x:c>
      <x:c r="C2652" s="14" t="str">
        <x:v>Оборудование для предприятий Access</x:v>
      </x:c>
      <x:c r="D2652" s="14" t="str">
        <x:v>Счетчик посетителей электронный</x:v>
      </x:c>
      <x:c r="E2652" s="2" t="n">
        <x:v>2</x:v>
      </x:c>
      <x:c r="F2652" s="2" t="n">
        <x:v>0</x:v>
      </x:c>
      <x:c r="G2652" s="12" t="n">
        <x:v>255590.5076</x:v>
      </x:c>
      <x:c r="H2652" s="12" t="n">
        <x:v>16191.10487856</x:v>
      </x:c>
      <x:c r="I2652" s="13" t="n">
        <x:v>0.06405</x:v>
      </x:c>
      <x:c r="J2652" s="2" t="n">
        <x:v>0</x:v>
      </x:c>
      <x:c r="K2652" s="2" t="n">
        <x:v>1</x:v>
      </x:c>
      <x:c r="L2652" s="12" t="n">
        <x:v>4444.2583</x:v>
      </x:c>
      <x:c r="M2652" s="13" t="n">
        <x:v>1</x:v>
      </x:c>
      <x:c r="N2652" s="13" t="n">
        <x:f>H2652/G2652</x:f>
        <x:v>0.06334783333933172</x:v>
      </x:c>
      <x:c r="O2652" s="13" t="n">
        <x:f>F2652/E2652</x:f>
        <x:v>0</x:v>
      </x:c>
      <x:c r="P2652" s="2" t="str">
        <x:f>IF(AND(E2652&gt;='Итоги'!$F$5,N2652&lt;='Итоги'!$B$5,O2652&gt;='Итоги'!$D$5),"Да","Нет")</x:f>
        <x:v>Нет</x:v>
      </x:c>
    </x:row>
    <x:row r="2653" ht="60" customHeight="1">
      <x:c r="A2653" s="14" t="str">
        <x:v>Автотовары</x:v>
      </x:c>
      <x:c r="B2653" s="14" t="str">
        <x:v>Авто и мото запчасти</x:v>
      </x:c>
      <x:c r="C2653" s="14" t="str">
        <x:v>Трансмиссия</x:v>
      </x:c>
      <x:c r="D2653" s="14" t="str">
        <x:v>Приводные валы и составляющие</x:v>
      </x:c>
      <x:c r="E2653" s="2" t="n">
        <x:v>50</x:v>
      </x:c>
      <x:c r="F2653" s="2" t="n">
        <x:v>0</x:v>
      </x:c>
      <x:c r="G2653" s="12" t="n">
        <x:v>5774509.2408</x:v>
      </x:c>
      <x:c r="H2653" s="12" t="n">
        <x:v>366342.83666268</x:v>
      </x:c>
      <x:c r="I2653" s="13" t="n">
        <x:v>0.06231</x:v>
      </x:c>
      <x:c r="J2653" s="2" t="n">
        <x:v>16</x:v>
      </x:c>
      <x:c r="K2653" s="2" t="n">
        <x:v>12</x:v>
      </x:c>
      <x:c r="L2653" s="12" t="n">
        <x:v>1710.5059</x:v>
      </x:c>
      <x:c r="M2653" s="13" t="n">
        <x:v>0.6645103257239556</x:v>
      </x:c>
      <x:c r="N2653" s="13" t="n">
        <x:f>H2653/G2653</x:f>
        <x:v>0.06344138027769905</x:v>
      </x:c>
      <x:c r="O2653" s="13" t="n">
        <x:f>F2653/E2653</x:f>
        <x:v>0</x:v>
      </x:c>
      <x:c r="P2653" s="2" t="str">
        <x:f>IF(AND(E2653&gt;='Итоги'!$F$5,N2653&lt;='Итоги'!$B$5,O2653&gt;='Итоги'!$D$5),"Да","Нет")</x:f>
        <x:v>Нет</x:v>
      </x:c>
    </x:row>
    <x:row r="2654" ht="60" customHeight="1">
      <x:c r="A2654" s="14" t="str">
        <x:v>Товары для дома</x:v>
      </x:c>
      <x:c r="B2654" s="14" t="str">
        <x:v>Кухня</x:v>
      </x:c>
      <x:c r="C2654" s="14" t="str">
        <x:v>Посуда для приготовления пищи</x:v>
      </x:c>
      <x:c r="D2654" s="14" t="str">
        <x:v>Набор посуды для приготовления пищи</x:v>
      </x:c>
      <x:c r="E2654" s="2" t="n">
        <x:v>139</x:v>
      </x:c>
      <x:c r="F2654" s="2" t="n">
        <x:v>0</x:v>
      </x:c>
      <x:c r="G2654" s="12" t="n">
        <x:v>24637816.8951</x:v>
      </x:c>
      <x:c r="H2654" s="12" t="n">
        <x:v>1563529.77894594</x:v>
      </x:c>
      <x:c r="I2654" s="13" t="n">
        <x:v>0.0680956834532374</x:v>
      </x:c>
      <x:c r="J2654" s="2" t="n">
        <x:v>56</x:v>
      </x:c>
      <x:c r="K2654" s="2" t="n">
        <x:v>16</x:v>
      </x:c>
      <x:c r="L2654" s="12" t="n">
        <x:v>6004.2432</x:v>
      </x:c>
      <x:c r="M2654" s="13" t="n">
        <x:v>0.6809258463495008</x:v>
      </x:c>
      <x:c r="N2654" s="13" t="n">
        <x:f>H2654/G2654</x:f>
        <x:v>0.06346056493572272</x:v>
      </x:c>
      <x:c r="O2654" s="13" t="n">
        <x:f>F2654/E2654</x:f>
        <x:v>0</x:v>
      </x:c>
      <x:c r="P2654" s="2" t="str">
        <x:f>IF(AND(E2654&gt;='Итоги'!$F$5,N2654&lt;='Итоги'!$B$5,O2654&gt;='Итоги'!$D$5),"Да","Нет")</x:f>
        <x:v>Нет</x:v>
      </x:c>
    </x:row>
    <x:row r="2655" ht="60" customHeight="1">
      <x:c r="A2655" s="14" t="str">
        <x:v>Ноутбуки и компьютеры</x:v>
      </x:c>
      <x:c r="B2655" s="14" t="str">
        <x:v>Компьютерная периферия Lap&amp;Comp</x:v>
      </x:c>
      <x:c r="C2655" s="14" t="str">
        <x:v>Периферийное оборудование Lap&amp;Comp</x:v>
      </x:c>
      <x:c r="D2655" s="14" t="str">
        <x:v>Микрофон компьютерный</x:v>
      </x:c>
      <x:c r="E2655" s="2" t="n">
        <x:v>79</x:v>
      </x:c>
      <x:c r="F2655" s="2" t="n">
        <x:v>0</x:v>
      </x:c>
      <x:c r="G2655" s="12" t="n">
        <x:v>20049171.2908</x:v>
      </x:c>
      <x:c r="H2655" s="12" t="n">
        <x:v>1272382.55163414</x:v>
      </x:c>
      <x:c r="I2655" s="13" t="n">
        <x:v>0.059179746835443</x:v>
      </x:c>
      <x:c r="J2655" s="2" t="n">
        <x:v>14</x:v>
      </x:c>
      <x:c r="K2655" s="2" t="n">
        <x:v>13</x:v>
      </x:c>
      <x:c r="L2655" s="12" t="n">
        <x:v>3193.9548</x:v>
      </x:c>
      <x:c r="M2655" s="13" t="n">
        <x:v>0.7688408800952953</x:v>
      </x:c>
      <x:c r="N2655" s="13" t="n">
        <x:f>H2655/G2655</x:f>
        <x:v>0.06346309945578651</x:v>
      </x:c>
      <x:c r="O2655" s="13" t="n">
        <x:f>F2655/E2655</x:f>
        <x:v>0</x:v>
      </x:c>
      <x:c r="P2655" s="2" t="str">
        <x:f>IF(AND(E2655&gt;='Итоги'!$F$5,N2655&lt;='Итоги'!$B$5,O2655&gt;='Итоги'!$D$5),"Да","Нет")</x:f>
        <x:v>Нет</x:v>
      </x:c>
    </x:row>
    <x:row r="2656" ht="60" customHeight="1">
      <x:c r="A2656" s="14" t="str">
        <x:v>Мелкая бытовая техника</x:v>
      </x:c>
      <x:c r="B2656" s="14" t="str">
        <x:v>Мелкая бытовая техника SDA</x:v>
      </x:c>
      <x:c r="C2656" s="14" t="str">
        <x:v>Электронная кухонная техника SDA</x:v>
      </x:c>
      <x:c r="D2656" s="14" t="str">
        <x:v>Дистиллятор</x:v>
      </x:c>
      <x:c r="E2656" s="2" t="n">
        <x:v>87</x:v>
      </x:c>
      <x:c r="F2656" s="2" t="n">
        <x:v>0</x:v>
      </x:c>
      <x:c r="G2656" s="12" t="n">
        <x:v>16852858.3394</x:v>
      </x:c>
      <x:c r="H2656" s="12" t="n">
        <x:v>1070203.5596415</x:v>
      </x:c>
      <x:c r="I2656" s="13" t="n">
        <x:v>0.0569666666666666</x:v>
      </x:c>
      <x:c r="J2656" s="2" t="n">
        <x:v>34</x:v>
      </x:c>
      <x:c r="K2656" s="2" t="n">
        <x:v>10</x:v>
      </x:c>
      <x:c r="L2656" s="12" t="n">
        <x:v>7908.6667</x:v>
      </x:c>
      <x:c r="M2656" s="13" t="n">
        <x:v>0.7140792853735247</x:v>
      </x:c>
      <x:c r="N2656" s="13" t="n">
        <x:f>H2656/G2656</x:f>
        <x:v>0.06350279211328146</x:v>
      </x:c>
      <x:c r="O2656" s="13" t="n">
        <x:f>F2656/E2656</x:f>
        <x:v>0</x:v>
      </x:c>
      <x:c r="P2656" s="2" t="str">
        <x:f>IF(AND(E2656&gt;='Итоги'!$F$5,N2656&lt;='Итоги'!$B$5,O2656&gt;='Итоги'!$D$5),"Да","Нет")</x:f>
        <x:v>Нет</x:v>
      </x:c>
    </x:row>
    <x:row r="2657" ht="60" customHeight="1">
      <x:c r="A2657" s="14" t="str">
        <x:v>Строительство и ремонт (DIY)</x:v>
      </x:c>
      <x:c r="B2657" s="14" t="str">
        <x:v>Инструменты</x:v>
      </x:c>
      <x:c r="C2657" s="14" t="str">
        <x:v>Инструмент ручной для строительства, ремонта</x:v>
      </x:c>
      <x:c r="D2657" s="14" t="str">
        <x:v>Режущий инструмент</x:v>
      </x:c>
      <x:c r="E2657" s="2" t="n">
        <x:v>22</x:v>
      </x:c>
      <x:c r="F2657" s="2" t="n">
        <x:v>0</x:v>
      </x:c>
      <x:c r="G2657" s="12" t="n">
        <x:v>2774167.9776</x:v>
      </x:c>
      <x:c r="H2657" s="12" t="n">
        <x:v>176275.34115179</x:v>
      </x:c>
      <x:c r="I2657" s="13" t="n">
        <x:v>0.04205</x:v>
      </x:c>
      <x:c r="J2657" s="2" t="n">
        <x:v>9</x:v>
      </x:c>
      <x:c r="K2657" s="2" t="n">
        <x:v>11</x:v>
      </x:c>
      <x:c r="L2657" s="12" t="n">
        <x:v>1461.8000000000002</x:v>
      </x:c>
      <x:c r="M2657" s="13" t="n">
        <x:v>0.4358478292817852</x:v>
      </x:c>
      <x:c r="N2657" s="13" t="n">
        <x:f>H2657/G2657</x:f>
        <x:v>0.0635416970331732</x:v>
      </x:c>
      <x:c r="O2657" s="13" t="n">
        <x:f>F2657/E2657</x:f>
        <x:v>0</x:v>
      </x:c>
      <x:c r="P2657" s="2" t="str">
        <x:f>IF(AND(E2657&gt;='Итоги'!$F$5,N2657&lt;='Итоги'!$B$5,O2657&gt;='Итоги'!$D$5),"Да","Нет")</x:f>
        <x:v>Нет</x:v>
      </x:c>
    </x:row>
    <x:row r="2658" ht="60" customHeight="1">
      <x:c r="A2658" s="14" t="str">
        <x:v>Одежда</x:v>
      </x:c>
      <x:c r="B2658" s="14" t="str">
        <x:v>Основная одежда женская</x:v>
      </x:c>
      <x:c r="C2658" s="14" t="str">
        <x:v>Основная одежда женская верха</x:v>
      </x:c>
      <x:c r="D2658" s="14" t="str">
        <x:v>Топ женский</x:v>
      </x:c>
      <x:c r="E2658" s="2" t="n">
        <x:v>938</x:v>
      </x:c>
      <x:c r="F2658" s="2" t="n">
        <x:v>0</x:v>
      </x:c>
      <x:c r="G2658" s="12" t="n">
        <x:v>111234779.6582</x:v>
      </x:c>
      <x:c r="H2658" s="12" t="n">
        <x:v>7070018.75350021</x:v>
      </x:c>
      <x:c r="I2658" s="13" t="n">
        <x:v>0.0524723880597014</x:v>
      </x:c>
      <x:c r="J2658" s="2" t="n">
        <x:v>423</x:v>
      </x:c>
      <x:c r="K2658" s="2" t="n">
        <x:v>118</x:v>
      </x:c>
      <x:c r="L2658" s="12" t="n">
        <x:v>1066.54695</x:v>
      </x:c>
      <x:c r="M2658" s="13" t="n">
        <x:v>0.2965596240435238</x:v>
      </x:c>
      <x:c r="N2658" s="13" t="n">
        <x:f>H2658/G2658</x:f>
        <x:v>0.06355942606462495</x:v>
      </x:c>
      <x:c r="O2658" s="13" t="n">
        <x:f>F2658/E2658</x:f>
        <x:v>0</x:v>
      </x:c>
      <x:c r="P2658" s="2" t="str">
        <x:f>IF(AND(E2658&gt;='Итоги'!$F$5,N2658&lt;='Итоги'!$B$5,O2658&gt;='Итоги'!$D$5),"Да","Нет")</x:f>
        <x:v>Нет</x:v>
      </x:c>
    </x:row>
    <x:row r="2659" ht="60" customHeight="1">
      <x:c r="A2659" s="14" t="str">
        <x:v>Спорт и отдых</x:v>
      </x:c>
      <x:c r="B2659" s="14" t="str">
        <x:v>Товары для охоты</x:v>
      </x:c>
      <x:c r="C2659" s="14" t="str">
        <x:v>Одежда для охоты</x:v>
      </x:c>
      <x:c r="D2659" s="14" t="str">
        <x:v>Плащ - дождевик для спорта/туризма</x:v>
      </x:c>
      <x:c r="E2659" s="2" t="n">
        <x:v>8</x:v>
      </x:c>
      <x:c r="F2659" s="2" t="n">
        <x:v>0</x:v>
      </x:c>
      <x:c r="G2659" s="12" t="n">
        <x:v>796702.69</x:v>
      </x:c>
      <x:c r="H2659" s="12" t="n">
        <x:v>50645.689868</x:v>
      </x:c>
      <x:c r="I2659" s="13" t="n">
        <x:v>0.0601374999999999</x:v>
      </x:c>
      <x:c r="J2659" s="2" t="n">
        <x:v>3</x:v>
      </x:c>
      <x:c r="K2659" s="2" t="n">
        <x:v>3</x:v>
      </x:c>
      <x:c r="L2659" s="12" t="n">
        <x:v>1026.67505</x:v>
      </x:c>
      <x:c r="M2659" s="13" t="n">
        <x:v>0.7669834904159795</x:v>
      </x:c>
      <x:c r="N2659" s="13" t="n">
        <x:f>H2659/G2659</x:f>
        <x:v>0.0635691212088163</x:v>
      </x:c>
      <x:c r="O2659" s="13" t="n">
        <x:f>F2659/E2659</x:f>
        <x:v>0</x:v>
      </x:c>
      <x:c r="P2659" s="2" t="str">
        <x:f>IF(AND(E2659&gt;='Итоги'!$F$5,N2659&lt;='Итоги'!$B$5,O2659&gt;='Итоги'!$D$5),"Да","Нет")</x:f>
        <x:v>Нет</x:v>
      </x:c>
    </x:row>
    <x:row r="2660" ht="60" customHeight="1">
      <x:c r="A2660" s="14" t="str">
        <x:v>Ноутбуки и компьютеры</x:v>
      </x:c>
      <x:c r="B2660" s="14" t="str">
        <x:v>Компьютерная периферия Lap&amp;Comp</x:v>
      </x:c>
      <x:c r="C2660" s="14" t="str">
        <x:v>Периферийное оборудование Lap&amp;Comp</x:v>
      </x:c>
      <x:c r="D2660" s="14" t="str">
        <x:v>Графический планшет</x:v>
      </x:c>
      <x:c r="E2660" s="2" t="n">
        <x:v>50</x:v>
      </x:c>
      <x:c r="F2660" s="2" t="n">
        <x:v>0</x:v>
      </x:c>
      <x:c r="G2660" s="12" t="n">
        <x:v>15028582.8</x:v>
      </x:c>
      <x:c r="H2660" s="12" t="n">
        <x:v>955600.118941</x:v>
      </x:c>
      <x:c r="I2660" s="13" t="n">
        <x:v>0.0947359999999999</x:v>
      </x:c>
      <x:c r="J2660" s="2" t="n">
        <x:v>19</x:v>
      </x:c>
      <x:c r="K2660" s="2" t="n">
        <x:v>13</x:v>
      </x:c>
      <x:c r="L2660" s="12" t="n">
        <x:v>4963.6924500000005</x:v>
      </x:c>
      <x:c r="M2660" s="13" t="n">
        <x:v>0.5449651207298136</x:v>
      </x:c>
      <x:c r="N2660" s="13" t="n">
        <x:f>H2660/G2660</x:f>
        <x:v>0.06358551113289271</x:v>
      </x:c>
      <x:c r="O2660" s="13" t="n">
        <x:f>F2660/E2660</x:f>
        <x:v>0</x:v>
      </x:c>
      <x:c r="P2660" s="2" t="str">
        <x:f>IF(AND(E2660&gt;='Итоги'!$F$5,N2660&lt;='Итоги'!$B$5,O2660&gt;='Итоги'!$D$5),"Да","Нет")</x:f>
        <x:v>Нет</x:v>
      </x:c>
    </x:row>
    <x:row r="2661" ht="60" customHeight="1">
      <x:c r="A2661" s="14" t="str">
        <x:v>Аксессуары для электроники</x:v>
      </x:c>
      <x:c r="B2661" s="14" t="str">
        <x:v>Электропитание Access</x:v>
      </x:c>
      <x:c r="C2661" s="14" t="str">
        <x:v>Преобразователь напряжения Access</x:v>
      </x:c>
      <x:c r="D2661" s="14" t="str">
        <x:v>Преобразователь напряжения</x:v>
      </x:c>
      <x:c r="E2661" s="2" t="n">
        <x:v>6</x:v>
      </x:c>
      <x:c r="F2661" s="2" t="n">
        <x:v>0</x:v>
      </x:c>
      <x:c r="G2661" s="12" t="n">
        <x:v>917354.5543</x:v>
      </x:c>
      <x:c r="H2661" s="12" t="n">
        <x:v>58534.567893900006</x:v>
      </x:c>
      <x:c r="I2661" s="13" t="n">
        <x:v>0.0456</x:v>
      </x:c>
      <x:c r="J2661" s="2" t="n">
        <x:v>4</x:v>
      </x:c>
      <x:c r="K2661" s="2" t="n">
        <x:v>5</x:v>
      </x:c>
      <x:c r="L2661" s="12" t="n">
        <x:v>1417.3836</x:v>
      </x:c>
      <x:c r="M2661" s="13" t="n">
        <x:v>0.4146730941890523</x:v>
      </x:c>
      <x:c r="N2661" s="13" t="n">
        <x:f>H2661/G2661</x:f>
        <x:v>0.06380800925828031</x:v>
      </x:c>
      <x:c r="O2661" s="13" t="n">
        <x:f>F2661/E2661</x:f>
        <x:v>0</x:v>
      </x:c>
      <x:c r="P2661" s="2" t="str">
        <x:f>IF(AND(E2661&gt;='Итоги'!$F$5,N2661&lt;='Итоги'!$B$5,O2661&gt;='Итоги'!$D$5),"Да","Нет")</x:f>
        <x:v>Нет</x:v>
      </x:c>
    </x:row>
    <x:row r="2662" ht="60" customHeight="1">
      <x:c r="A2662" s="14" t="str">
        <x:v>Аксессуары для электроники</x:v>
      </x:c>
      <x:c r="B2662" s="14" t="str">
        <x:v>Электропитание Access</x:v>
      </x:c>
      <x:c r="C2662" s="14" t="str">
        <x:v>Аккумуляторы и батарейки Access</x:v>
      </x:c>
      <x:c r="D2662" s="14" t="str">
        <x:v>Аккумуляторы</x:v>
      </x:c>
      <x:c r="E2662" s="2" t="n">
        <x:v>156</x:v>
      </x:c>
      <x:c r="F2662" s="2" t="n">
        <x:v>0</x:v>
      </x:c>
      <x:c r="G2662" s="12" t="n">
        <x:v>19452028.3398</x:v>
      </x:c>
      <x:c r="H2662" s="12" t="n">
        <x:v>1242182.01170823</x:v>
      </x:c>
      <x:c r="I2662" s="13" t="n">
        <x:v>0.0683134615384615</x:v>
      </x:c>
      <x:c r="J2662" s="2" t="n">
        <x:v>42</x:v>
      </x:c>
      <x:c r="K2662" s="2" t="n">
        <x:v>38</x:v>
      </x:c>
      <x:c r="L2662" s="12" t="n">
        <x:v>1332.14085</x:v>
      </x:c>
      <x:c r="M2662" s="13" t="n">
        <x:v>0.5835654853984606</x:v>
      </x:c>
      <x:c r="N2662" s="13" t="n">
        <x:f>H2662/G2662</x:f>
        <x:v>0.06385873956222098</x:v>
      </x:c>
      <x:c r="O2662" s="13" t="n">
        <x:f>F2662/E2662</x:f>
        <x:v>0</x:v>
      </x:c>
      <x:c r="P2662" s="2" t="str">
        <x:f>IF(AND(E2662&gt;='Итоги'!$F$5,N2662&lt;='Итоги'!$B$5,O2662&gt;='Итоги'!$D$5),"Да","Нет")</x:f>
        <x:v>Нет</x:v>
      </x:c>
    </x:row>
    <x:row r="2663" ht="60" customHeight="1">
      <x:c r="A2663" s="14" t="str">
        <x:v>Строительство и ремонт (DIY)</x:v>
      </x:c>
      <x:c r="B2663" s="14" t="str">
        <x:v>Инструменты</x:v>
      </x:c>
      <x:c r="C2663" s="14" t="str">
        <x:v>Техника для строительства, ремонта</x:v>
      </x:c>
      <x:c r="D2663" s="14" t="str">
        <x:v>Пресс-станки</x:v>
      </x:c>
      <x:c r="E2663" s="2" t="n">
        <x:v>16</x:v>
      </x:c>
      <x:c r="F2663" s="2" t="n">
        <x:v>0</x:v>
      </x:c>
      <x:c r="G2663" s="12" t="n">
        <x:v>3026648.985</x:v>
      </x:c>
      <x:c r="H2663" s="12" t="n">
        <x:v>193336.13798099</x:v>
      </x:c>
      <x:c r="I2663" s="13" t="n">
        <x:v>0.05390625</x:v>
      </x:c>
      <x:c r="J2663" s="2" t="n">
        <x:v>3</x:v>
      </x:c>
      <x:c r="K2663" s="2" t="n">
        <x:v>10</x:v>
      </x:c>
      <x:c r="L2663" s="12" t="n">
        <x:v>4600.504849999999</x:v>
      </x:c>
      <x:c r="M2663" s="13" t="n">
        <x:v>0.2947926675084855</x:v>
      </x:c>
      <x:c r="N2663" s="13" t="n">
        <x:f>H2663/G2663</x:f>
        <x:v>0.0638779518005422</x:v>
      </x:c>
      <x:c r="O2663" s="13" t="n">
        <x:f>F2663/E2663</x:f>
        <x:v>0</x:v>
      </x:c>
      <x:c r="P2663" s="2" t="str">
        <x:f>IF(AND(E2663&gt;='Итоги'!$F$5,N2663&lt;='Итоги'!$B$5,O2663&gt;='Итоги'!$D$5),"Да","Нет")</x:f>
        <x:v>Нет</x:v>
      </x:c>
    </x:row>
    <x:row r="2664" ht="60" customHeight="1">
      <x:c r="A2664" s="14" t="str">
        <x:v>Аксессуары</x:v>
      </x:c>
      <x:c r="B2664" s="14" t="str">
        <x:v>Сумки и рюкзаки</x:v>
      </x:c>
      <x:c r="C2664" s="14" t="str">
        <x:v>Сумка женская</x:v>
      </x:c>
      <x:c r="D2664" s="14" t="str">
        <x:v>Женская Сумка кросс-боди</x:v>
      </x:c>
      <x:c r="E2664" s="2" t="n">
        <x:v>1048</x:v>
      </x:c>
      <x:c r="F2664" s="2" t="n">
        <x:v>0</x:v>
      </x:c>
      <x:c r="G2664" s="12" t="n">
        <x:v>121947433.2116</x:v>
      </x:c>
      <x:c r="H2664" s="12" t="n">
        <x:v>7792694.09288959</x:v>
      </x:c>
      <x:c r="I2664" s="13" t="n">
        <x:v>0.0593856870229007</x:v>
      </x:c>
      <x:c r="J2664" s="2" t="n">
        <x:v>482</x:v>
      </x:c>
      <x:c r="K2664" s="2" t="n">
        <x:v>224</x:v>
      </x:c>
      <x:c r="L2664" s="12" t="n">
        <x:v>3541.9174000000003</x:v>
      </x:c>
      <x:c r="M2664" s="13" t="n">
        <x:v>0.3094994445730556</x:v>
      </x:c>
      <x:c r="N2664" s="13" t="n">
        <x:f>H2664/G2664</x:f>
        <x:v>0.06390207557192212</x:v>
      </x:c>
      <x:c r="O2664" s="13" t="n">
        <x:f>F2664/E2664</x:f>
        <x:v>0</x:v>
      </x:c>
      <x:c r="P2664" s="2" t="str">
        <x:f>IF(AND(E2664&gt;='Итоги'!$F$5,N2664&lt;='Итоги'!$B$5,O2664&gt;='Итоги'!$D$5),"Да","Нет")</x:f>
        <x:v>Нет</x:v>
      </x:c>
    </x:row>
    <x:row r="2665" ht="60" customHeight="1">
      <x:c r="A2665" s="14" t="str">
        <x:v>Товары для детей и спорта</x:v>
      </x:c>
      <x:c r="B2665" s="14" t="str">
        <x:v>Спорт детский</x:v>
      </x:c>
      <x:c r="C2665" s="14" t="str">
        <x:v>Детский транспорт и аксессуары</x:v>
      </x:c>
      <x:c r="D2665" s="14" t="str">
        <x:v>Детская каталка</x:v>
      </x:c>
      <x:c r="E2665" s="2" t="n">
        <x:v>83</x:v>
      </x:c>
      <x:c r="F2665" s="2" t="n">
        <x:v>0</x:v>
      </x:c>
      <x:c r="G2665" s="12" t="n">
        <x:v>10292099.2771</x:v>
      </x:c>
      <x:c r="H2665" s="12" t="n">
        <x:v>658393.75316906</x:v>
      </x:c>
      <x:c r="I2665" s="13" t="n">
        <x:v>0.0549349397590361</x:v>
      </x:c>
      <x:c r="J2665" s="2" t="n">
        <x:v>14</x:v>
      </x:c>
      <x:c r="K2665" s="2" t="n">
        <x:v>11</x:v>
      </x:c>
      <x:c r="L2665" s="12" t="n">
        <x:v>3468.6843</x:v>
      </x:c>
      <x:c r="M2665" s="13" t="n">
        <x:v>0.7977963466665674</x:v>
      </x:c>
      <x:c r="N2665" s="13" t="n">
        <x:f>H2665/G2665</x:f>
        <x:v>0.06397079307561589</x:v>
      </x:c>
      <x:c r="O2665" s="13" t="n">
        <x:f>F2665/E2665</x:f>
        <x:v>0</x:v>
      </x:c>
      <x:c r="P2665" s="2" t="str">
        <x:f>IF(AND(E2665&gt;='Итоги'!$F$5,N2665&lt;='Итоги'!$B$5,O2665&gt;='Итоги'!$D$5),"Да","Нет")</x:f>
        <x:v>Нет</x:v>
      </x:c>
    </x:row>
    <x:row r="2666" ht="60" customHeight="1">
      <x:c r="A2666" s="14" t="str">
        <x:v>Спорт и отдых</x:v>
      </x:c>
      <x:c r="B2666" s="14" t="str">
        <x:v>Активный отдых</x:v>
      </x:c>
      <x:c r="C2666" s="14" t="str">
        <x:v>Бассейны</x:v>
      </x:c>
      <x:c r="D2666" s="14" t="str">
        <x:v>Уход за бассейном, набор для ремонта бассейна</x:v>
      </x:c>
      <x:c r="E2666" s="2" t="n">
        <x:v>15</x:v>
      </x:c>
      <x:c r="F2666" s="2" t="n">
        <x:v>0</x:v>
      </x:c>
      <x:c r="G2666" s="12" t="n">
        <x:v>1806204.5752</x:v>
      </x:c>
      <x:c r="H2666" s="12" t="n">
        <x:v>115653.61123418</x:v>
      </x:c>
      <x:c r="I2666" s="13" t="n">
        <x:v>0.0688933333333333</x:v>
      </x:c>
      <x:c r="J2666" s="2" t="n">
        <x:v>6</x:v>
      </x:c>
      <x:c r="K2666" s="2" t="n">
        <x:v>10</x:v>
      </x:c>
      <x:c r="L2666" s="12" t="n">
        <x:v>1285.1034</x:v>
      </x:c>
      <x:c r="M2666" s="13" t="n">
        <x:v>0.4141621443502144</x:v>
      </x:c>
      <x:c r="N2666" s="13" t="n">
        <x:f>H2666/G2666</x:f>
        <x:v>0.06403129126243838</x:v>
      </x:c>
      <x:c r="O2666" s="13" t="n">
        <x:f>F2666/E2666</x:f>
        <x:v>0</x:v>
      </x:c>
      <x:c r="P2666" s="2" t="str">
        <x:f>IF(AND(E2666&gt;='Итоги'!$F$5,N2666&lt;='Итоги'!$B$5,O2666&gt;='Итоги'!$D$5),"Да","Нет")</x:f>
        <x:v>Нет</x:v>
      </x:c>
    </x:row>
    <x:row r="2667" ht="60" customHeight="1">
      <x:c r="A2667" s="14" t="str">
        <x:v>Ноутбуки и компьютеры</x:v>
      </x:c>
      <x:c r="B2667" s="14" t="str">
        <x:v>Компьютерная периферия Lap&amp;Comp</x:v>
      </x:c>
      <x:c r="C2667" s="14" t="str">
        <x:v>Периферийное оборудование Lap&amp;Comp</x:v>
      </x:c>
      <x:c r="D2667" s="14" t="str">
        <x:v>Джойстик</x:v>
      </x:c>
      <x:c r="E2667" s="2" t="n">
        <x:v>12</x:v>
      </x:c>
      <x:c r="F2667" s="2" t="n">
        <x:v>0</x:v>
      </x:c>
      <x:c r="G2667" s="12" t="n">
        <x:v>1428509.4755</x:v>
      </x:c>
      <x:c r="H2667" s="12" t="n">
        <x:v>91528.01703112</x:v>
      </x:c>
      <x:c r="I2667" s="13" t="n">
        <x:v>0.0514833333333333</x:v>
      </x:c>
      <x:c r="J2667" s="2" t="n">
        <x:v>4</x:v>
      </x:c>
      <x:c r="K2667" s="2" t="n">
        <x:v>4</x:v>
      </x:c>
      <x:c r="L2667" s="12" t="n">
        <x:v>3015.2238500000003</x:v>
      </x:c>
      <x:c r="M2667" s="13" t="n">
        <x:v>0.5614014393704314</x:v>
      </x:c>
      <x:c r="N2667" s="13" t="n">
        <x:f>H2667/G2667</x:f>
        <x:v>0.06407239055875623</x:v>
      </x:c>
      <x:c r="O2667" s="13" t="n">
        <x:f>F2667/E2667</x:f>
        <x:v>0</x:v>
      </x:c>
      <x:c r="P2667" s="2" t="str">
        <x:f>IF(AND(E2667&gt;='Итоги'!$F$5,N2667&lt;='Итоги'!$B$5,O2667&gt;='Итоги'!$D$5),"Да","Нет")</x:f>
        <x:v>Нет</x:v>
      </x:c>
    </x:row>
    <x:row r="2668" ht="60" customHeight="1">
      <x:c r="A2668" s="14" t="str">
        <x:v>Бакалея и кондитерские изделия</x:v>
      </x:c>
      <x:c r="B2668" s="14" t="str">
        <x:v>Бакалея</x:v>
      </x:c>
      <x:c r="C2668" s="14" t="str">
        <x:v>Снэки, чипсы, готовые завтраки</x:v>
      </x:c>
      <x:c r="D2668" s="14" t="str">
        <x:v>Смесь орехов/сухофруктов/ягод</x:v>
      </x:c>
      <x:c r="E2668" s="2" t="n">
        <x:v>10</x:v>
      </x:c>
      <x:c r="F2668" s="2" t="n">
        <x:v>0</x:v>
      </x:c>
      <x:c r="G2668" s="12" t="n">
        <x:v>1444242.5289</x:v>
      </x:c>
      <x:c r="H2668" s="12" t="n">
        <x:v>92570.75272375</x:v>
      </x:c>
      <x:c r="I2668" s="13" t="n">
        <x:v>0.05305</x:v>
      </x:c>
      <x:c r="J2668" s="2" t="n">
        <x:v>3</x:v>
      </x:c>
      <x:c r="K2668" s="2" t="n">
        <x:v>8</x:v>
      </x:c>
      <x:c r="L2668" s="12" t="n">
        <x:v>936.29595</x:v>
      </x:c>
      <x:c r="M2668" s="13" t="n">
        <x:v>0.3331979940145633</x:v>
      </x:c>
      <x:c r="N2668" s="13" t="n">
        <x:f>H2668/G2668</x:f>
        <x:v>0.06409640408128409</x:v>
      </x:c>
      <x:c r="O2668" s="13" t="n">
        <x:f>F2668/E2668</x:f>
        <x:v>0</x:v>
      </x:c>
      <x:c r="P2668" s="2" t="str">
        <x:f>IF(AND(E2668&gt;='Итоги'!$F$5,N2668&lt;='Итоги'!$B$5,O2668&gt;='Итоги'!$D$5),"Да","Нет")</x:f>
        <x:v>Нет</x:v>
      </x:c>
    </x:row>
    <x:row r="2669" ht="60" customHeight="1">
      <x:c r="A2669" s="14" t="str">
        <x:v>Строительство и ремонт (DIY)</x:v>
      </x:c>
      <x:c r="B2669" s="14" t="str">
        <x:v>Ремонт и строительство</x:v>
      </x:c>
      <x:c r="C2669" s="14" t="str">
        <x:v>Электротовары</x:v>
      </x:c>
      <x:c r="D2669" s="14" t="str">
        <x:v>Электрический выключатель</x:v>
      </x:c>
      <x:c r="E2669" s="2" t="n">
        <x:v>32</x:v>
      </x:c>
      <x:c r="F2669" s="2" t="n">
        <x:v>0</x:v>
      </x:c>
      <x:c r="G2669" s="12" t="n">
        <x:v>3955776.4537</x:v>
      </x:c>
      <x:c r="H2669" s="12" t="n">
        <x:v>253576.17069722</x:v>
      </x:c>
      <x:c r="I2669" s="13" t="n">
        <x:v>0.073040625</x:v>
      </x:c>
      <x:c r="J2669" s="2" t="n">
        <x:v>10</x:v>
      </x:c>
      <x:c r="K2669" s="2" t="n">
        <x:v>8</x:v>
      </x:c>
      <x:c r="L2669" s="12" t="n">
        <x:v>1201.54635</x:v>
      </x:c>
      <x:c r="M2669" s="13" t="n">
        <x:v>0.4276359599435269</x:v>
      </x:c>
      <x:c r="N2669" s="13" t="n">
        <x:f>H2669/G2669</x:f>
        <x:v>0.0641027554679031</x:v>
      </x:c>
      <x:c r="O2669" s="13" t="n">
        <x:f>F2669/E2669</x:f>
        <x:v>0</x:v>
      </x:c>
      <x:c r="P2669" s="2" t="str">
        <x:f>IF(AND(E2669&gt;='Итоги'!$F$5,N2669&lt;='Итоги'!$B$5,O2669&gt;='Итоги'!$D$5),"Да","Нет")</x:f>
        <x:v>Нет</x:v>
      </x:c>
    </x:row>
    <x:row r="2670" ht="60" customHeight="1">
      <x:c r="A2670" s="14" t="str">
        <x:v>Аудио и видеотехника</x:v>
      </x:c>
      <x:c r="B2670" s="14" t="str">
        <x:v>Система безопасности TV&amp;Audio</x:v>
      </x:c>
      <x:c r="C2670" s="14" t="str">
        <x:v>Безопасность дома TV&amp;Audio</x:v>
      </x:c>
      <x:c r="D2670" s="14" t="str">
        <x:v>Датчик слежения</x:v>
      </x:c>
      <x:c r="E2670" s="2" t="n">
        <x:v>4</x:v>
      </x:c>
      <x:c r="F2670" s="2" t="n">
        <x:v>0</x:v>
      </x:c>
      <x:c r="G2670" s="12" t="n">
        <x:v>274370.3558</x:v>
      </x:c>
      <x:c r="H2670" s="12" t="n">
        <x:v>17614.803310620002</x:v>
      </x:c>
      <x:c r="I2670" s="13" t="n">
        <x:v>0.047225</x:v>
      </x:c>
      <x:c r="J2670" s="2" t="n">
        <x:v>3</x:v>
      </x:c>
      <x:c r="K2670" s="2" t="n">
        <x:v>2</x:v>
      </x:c>
      <x:c r="L2670" s="12" t="n">
        <x:v>5489.6</x:v>
      </x:c>
      <x:c r="M2670" s="13" t="n">
        <x:v>0.660133269397466</x:v>
      </x:c>
      <x:c r="N2670" s="13" t="n">
        <x:f>H2670/G2670</x:f>
        <x:v>0.06420082541081867</x:v>
      </x:c>
      <x:c r="O2670" s="13" t="n">
        <x:f>F2670/E2670</x:f>
        <x:v>0</x:v>
      </x:c>
      <x:c r="P2670" s="2" t="str">
        <x:f>IF(AND(E2670&gt;='Итоги'!$F$5,N2670&lt;='Итоги'!$B$5,O2670&gt;='Итоги'!$D$5),"Да","Нет")</x:f>
        <x:v>Нет</x:v>
      </x:c>
    </x:row>
    <x:row r="2671" ht="60" customHeight="1">
      <x:c r="A2671" s="14" t="str">
        <x:v>Аксессуары для электроники</x:v>
      </x:c>
      <x:c r="B2671" s="14" t="str">
        <x:v>Фото и видео Access</x:v>
      </x:c>
      <x:c r="C2671" s="14" t="str">
        <x:v>Аксессуар к фото и видео Access</x:v>
      </x:c>
      <x:c r="D2671" s="14" t="str">
        <x:v>Крепление для фото/видео устройств</x:v>
      </x:c>
      <x:c r="E2671" s="2" t="n">
        <x:v>7</x:v>
      </x:c>
      <x:c r="F2671" s="2" t="n">
        <x:v>0</x:v>
      </x:c>
      <x:c r="G2671" s="12" t="n">
        <x:v>683750.178</x:v>
      </x:c>
      <x:c r="H2671" s="12" t="n">
        <x:v>43902.887442570005</x:v>
      </x:c>
      <x:c r="I2671" s="13" t="n">
        <x:v>0.0719428571428571</x:v>
      </x:c>
      <x:c r="J2671" s="2" t="n">
        <x:v>1</x:v>
      </x:c>
      <x:c r="K2671" s="2" t="n">
        <x:v>4</x:v>
      </x:c>
      <x:c r="L2671" s="12" t="n">
        <x:v>1698.65</x:v>
      </x:c>
      <x:c r="M2671" s="13" t="n">
        <x:v>0.4576228454012921</x:v>
      </x:c>
      <x:c r="N2671" s="13" t="n">
        <x:f>H2671/G2671</x:f>
        <x:v>0.06420895943455243</x:v>
      </x:c>
      <x:c r="O2671" s="13" t="n">
        <x:f>F2671/E2671</x:f>
        <x:v>0</x:v>
      </x:c>
      <x:c r="P2671" s="2" t="str">
        <x:f>IF(AND(E2671&gt;='Итоги'!$F$5,N2671&lt;='Итоги'!$B$5,O2671&gt;='Итоги'!$D$5),"Да","Нет")</x:f>
        <x:v>Нет</x:v>
      </x:c>
    </x:row>
    <x:row r="2672" ht="60" customHeight="1">
      <x:c r="A2672" s="14" t="str">
        <x:v>Автотовары</x:v>
      </x:c>
      <x:c r="B2672" s="14" t="str">
        <x:v>Масла и автохимия</x:v>
      </x:c>
      <x:c r="C2672" s="14" t="str">
        <x:v>Товары для детейлинга</x:v>
      </x:c>
      <x:c r="D2672" s="14" t="str">
        <x:v>Автохимия - Очиститель интерьера</x:v>
      </x:c>
      <x:c r="E2672" s="2" t="n">
        <x:v>32</x:v>
      </x:c>
      <x:c r="F2672" s="2" t="n">
        <x:v>0</x:v>
      </x:c>
      <x:c r="G2672" s="12" t="n">
        <x:v>6547853.1198</x:v>
      </x:c>
      <x:c r="H2672" s="12" t="n">
        <x:v>420993.42719166</x:v>
      </x:c>
      <x:c r="I2672" s="13" t="n">
        <x:v>0.051671875</x:v>
      </x:c>
      <x:c r="J2672" s="2" t="n">
        <x:v>12</x:v>
      </x:c>
      <x:c r="K2672" s="2" t="n">
        <x:v>7</x:v>
      </x:c>
      <x:c r="L2672" s="12" t="n">
        <x:v>1318.31285</x:v>
      </x:c>
      <x:c r="M2672" s="13" t="n">
        <x:v>0.633744799383458</x:v>
      </x:c>
      <x:c r="N2672" s="13" t="n">
        <x:f>H2672/G2672</x:f>
        <x:v>0.06429487948021029</x:v>
      </x:c>
      <x:c r="O2672" s="13" t="n">
        <x:f>F2672/E2672</x:f>
        <x:v>0</x:v>
      </x:c>
      <x:c r="P2672" s="2" t="str">
        <x:f>IF(AND(E2672&gt;='Итоги'!$F$5,N2672&lt;='Итоги'!$B$5,O2672&gt;='Итоги'!$D$5),"Да","Нет")</x:f>
        <x:v>Нет</x:v>
      </x:c>
    </x:row>
    <x:row r="2673" ht="60" customHeight="1">
      <x:c r="A2673" s="14" t="str">
        <x:v>Аксессуары для электроники</x:v>
      </x:c>
      <x:c r="B2673" s="14" t="str">
        <x:v>Аксессуары для климатической техники Access</x:v>
      </x:c>
      <x:c r="C2673" s="14" t="str">
        <x:v>Аксессуары для кондиционера Access</x:v>
      </x:c>
      <x:c r="D2673" s="14" t="str">
        <x:v>Экран для кондиционера</x:v>
      </x:c>
      <x:c r="E2673" s="2" t="n">
        <x:v>34</x:v>
      </x:c>
      <x:c r="F2673" s="2" t="n">
        <x:v>0</x:v>
      </x:c>
      <x:c r="G2673" s="12" t="n">
        <x:v>4490886.2822</x:v>
      </x:c>
      <x:c r="H2673" s="12" t="n">
        <x:v>289112.94390547</x:v>
      </x:c>
      <x:c r="I2673" s="13" t="n">
        <x:v>0.0629764705882353</x:v>
      </x:c>
      <x:c r="J2673" s="2" t="n">
        <x:v>12</x:v>
      </x:c>
      <x:c r="K2673" s="2" t="n">
        <x:v>16</x:v>
      </x:c>
      <x:c r="L2673" s="12" t="n">
        <x:v>1351.3031500000002</x:v>
      </x:c>
      <x:c r="M2673" s="13" t="n">
        <x:v>0.2766794476014443</x:v>
      </x:c>
      <x:c r="N2673" s="13" t="n">
        <x:f>H2673/G2673</x:f>
        <x:v>0.06437770313877533</x:v>
      </x:c>
      <x:c r="O2673" s="13" t="n">
        <x:f>F2673/E2673</x:f>
        <x:v>0</x:v>
      </x:c>
      <x:c r="P2673" s="2" t="str">
        <x:f>IF(AND(E2673&gt;='Итоги'!$F$5,N2673&lt;='Итоги'!$B$5,O2673&gt;='Итоги'!$D$5),"Да","Нет")</x:f>
        <x:v>Нет</x:v>
      </x:c>
    </x:row>
    <x:row r="2674" ht="60" customHeight="1">
      <x:c r="A2674" s="14" t="str">
        <x:v>Товары для красоты и здоровья</x:v>
      </x:c>
      <x:c r="B2674" s="14" t="str">
        <x:v>Косметические аксессуары</x:v>
      </x:c>
      <x:c r="C2674" s="14" t="str">
        <x:v>Парикмахерские принадлежности</x:v>
      </x:c>
      <x:c r="D2674" s="14" t="str">
        <x:v>Сумки, чехлы для парикмахерских инструментов</x:v>
      </x:c>
      <x:c r="E2674" s="2" t="n">
        <x:v>4</x:v>
      </x:c>
      <x:c r="F2674" s="2" t="n">
        <x:v>0</x:v>
      </x:c>
      <x:c r="G2674" s="12" t="n">
        <x:v>398029.5155</x:v>
      </x:c>
      <x:c r="H2674" s="12" t="n">
        <x:v>25638.64173395</x:v>
      </x:c>
      <x:c r="I2674" s="13" t="n">
        <x:v>0.07045</x:v>
      </x:c>
      <x:c r="J2674" s="2" t="n">
        <x:v>0</x:v>
      </x:c>
      <x:c r="K2674" s="2" t="n">
        <x:v>3</x:v>
      </x:c>
      <x:c r="L2674" s="12" t="n">
        <x:v>1516.1902</x:v>
      </x:c>
      <x:c r="M2674" s="13" t="n">
        <x:v>0.4693035521884557</x:v>
      </x:c>
      <x:c r="N2674" s="13" t="n">
        <x:f>H2674/G2674</x:f>
        <x:v>0.06441392091675172</x:v>
      </x:c>
      <x:c r="O2674" s="13" t="n">
        <x:f>F2674/E2674</x:f>
        <x:v>0</x:v>
      </x:c>
      <x:c r="P2674" s="2" t="str">
        <x:f>IF(AND(E2674&gt;='Итоги'!$F$5,N2674&lt;='Итоги'!$B$5,O2674&gt;='Итоги'!$D$5),"Да","Нет")</x:f>
        <x:v>Нет</x:v>
      </x:c>
    </x:row>
    <x:row r="2675" ht="60" customHeight="1">
      <x:c r="A2675" s="14" t="str">
        <x:v>Ноутбуки и компьютеры</x:v>
      </x:c>
      <x:c r="B2675" s="14" t="str">
        <x:v>Компьютерная офисная техника Lap&amp;Comp</x:v>
      </x:c>
      <x:c r="C2675" s="14" t="str">
        <x:v>Кассовое и складское оборудование Lap&amp;Comp</x:v>
      </x:c>
      <x:c r="D2675" s="14" t="str">
        <x:v>POS-компьютер</x:v>
      </x:c>
      <x:c r="E2675" s="2" t="n">
        <x:v>1</x:v>
      </x:c>
      <x:c r="F2675" s="2" t="n">
        <x:v>0</x:v>
      </x:c>
      <x:c r="G2675" s="12" t="n">
        <x:v>112852</x:v>
      </x:c>
      <x:c r="H2675" s="12" t="n">
        <x:v>7278.954000000001</x:v>
      </x:c>
      <x:c r="I2675" s="13" t="n">
        <x:v>0.0645</x:v>
      </x:c>
      <x:c r="J2675" s="2" t="n">
        <x:v>0</x:v>
      </x:c>
      <x:c r="K2675" s="2" t="n">
        <x:v>1</x:v>
      </x:c>
      <x:c r="L2675" s="12" t="n">
        <x:v>37617.3333</x:v>
      </x:c>
      <x:c r="M2675" s="13" t="n">
        <x:v>1</x:v>
      </x:c>
      <x:c r="N2675" s="13" t="n">
        <x:f>H2675/G2675</x:f>
        <x:v>0.0645</x:v>
      </x:c>
      <x:c r="O2675" s="13" t="n">
        <x:f>F2675/E2675</x:f>
        <x:v>0</x:v>
      </x:c>
      <x:c r="P2675" s="2" t="str">
        <x:f>IF(AND(E2675&gt;='Итоги'!$F$5,N2675&lt;='Итоги'!$B$5,O2675&gt;='Итоги'!$D$5),"Да","Нет")</x:f>
        <x:v>Нет</x:v>
      </x:c>
    </x:row>
    <x:row r="2676" ht="60" customHeight="1">
      <x:c r="A2676" s="14" t="str">
        <x:v>Одежда</x:v>
      </x:c>
      <x:c r="B2676" s="14" t="str">
        <x:v>Основная одежда мужская</x:v>
      </x:c>
      <x:c r="C2676" s="14" t="str">
        <x:v>Основная одежда мужская верха</x:v>
      </x:c>
      <x:c r="D2676" s="14" t="str">
        <x:v>Футболка мужская</x:v>
      </x:c>
      <x:c r="E2676" s="2" t="n">
        <x:v>947</x:v>
      </x:c>
      <x:c r="F2676" s="2" t="n">
        <x:v>0</x:v>
      </x:c>
      <x:c r="G2676" s="12" t="n">
        <x:v>88143549.1645</x:v>
      </x:c>
      <x:c r="H2676" s="12" t="n">
        <x:v>5686645.59629401</x:v>
      </x:c>
      <x:c r="I2676" s="13" t="n">
        <x:v>0.0478253431890179</x:v>
      </x:c>
      <x:c r="J2676" s="2" t="n">
        <x:v>481</x:v>
      </x:c>
      <x:c r="K2676" s="2" t="n">
        <x:v>71</x:v>
      </x:c>
      <x:c r="L2676" s="12" t="n">
        <x:v>1474.8413</x:v>
      </x:c>
      <x:c r="M2676" s="13" t="n">
        <x:v>0.5243698068039122</x:v>
      </x:c>
      <x:c r="N2676" s="13" t="n">
        <x:f>H2676/G2676</x:f>
        <x:v>0.06451573200985103</x:v>
      </x:c>
      <x:c r="O2676" s="13" t="n">
        <x:f>F2676/E2676</x:f>
        <x:v>0</x:v>
      </x:c>
      <x:c r="P2676" s="2" t="str">
        <x:f>IF(AND(E2676&gt;='Итоги'!$F$5,N2676&lt;='Итоги'!$B$5,O2676&gt;='Итоги'!$D$5),"Да","Нет")</x:f>
        <x:v>Нет</x:v>
      </x:c>
    </x:row>
    <x:row r="2677" ht="60" customHeight="1">
      <x:c r="A2677" s="14" t="str">
        <x:v>Автотовары</x:v>
      </x:c>
      <x:c r="B2677" s="14" t="str">
        <x:v>Авто и мото запчасти</x:v>
      </x:c>
      <x:c r="C2677" s="14" t="str">
        <x:v>Отопление и кондиционирование для авто</x:v>
      </x:c>
      <x:c r="D2677" s="14" t="str">
        <x:v>Радиатор автомобильный и составляющие</x:v>
      </x:c>
      <x:c r="E2677" s="2" t="n">
        <x:v>162</x:v>
      </x:c>
      <x:c r="F2677" s="2" t="n">
        <x:v>0</x:v>
      </x:c>
      <x:c r="G2677" s="12" t="n">
        <x:v>19708387.4794</x:v>
      </x:c>
      <x:c r="H2677" s="12" t="n">
        <x:v>1272226.66972216</x:v>
      </x:c>
      <x:c r="I2677" s="13" t="n">
        <x:v>0.0557129629629629</x:v>
      </x:c>
      <x:c r="J2677" s="2" t="n">
        <x:v>52</x:v>
      </x:c>
      <x:c r="K2677" s="2" t="n">
        <x:v>32</x:v>
      </x:c>
      <x:c r="L2677" s="12" t="n">
        <x:v>5602.2009</x:v>
      </x:c>
      <x:c r="M2677" s="13" t="n">
        <x:v>0.7348277504355671</x:v>
      </x:c>
      <x:c r="N2677" s="13" t="n">
        <x:f>H2677/G2677</x:f>
        <x:v>0.06455255007807932</x:v>
      </x:c>
      <x:c r="O2677" s="13" t="n">
        <x:f>F2677/E2677</x:f>
        <x:v>0</x:v>
      </x:c>
      <x:c r="P2677" s="2" t="str">
        <x:f>IF(AND(E2677&gt;='Итоги'!$F$5,N2677&lt;='Итоги'!$B$5,O2677&gt;='Итоги'!$D$5),"Да","Нет")</x:f>
        <x:v>Нет</x:v>
      </x:c>
    </x:row>
    <x:row r="2678" ht="60" customHeight="1">
      <x:c r="A2678" s="14" t="str">
        <x:v>Товары для красоты и здоровья</x:v>
      </x:c>
      <x:c r="B2678" s="14" t="str">
        <x:v>Косметическая техника</x:v>
      </x:c>
      <x:c r="C2678" s="14" t="str">
        <x:v>Массажная техника</x:v>
      </x:c>
      <x:c r="D2678" s="14" t="str">
        <x:v>Электрический массажный матрас, коврик</x:v>
      </x:c>
      <x:c r="E2678" s="2" t="n">
        <x:v>24</x:v>
      </x:c>
      <x:c r="F2678" s="2" t="n">
        <x:v>0</x:v>
      </x:c>
      <x:c r="G2678" s="12" t="n">
        <x:v>4174856.428</x:v>
      </x:c>
      <x:c r="H2678" s="12" t="n">
        <x:v>269502.41505225</x:v>
      </x:c>
      <x:c r="I2678" s="13" t="n">
        <x:v>0.0542291666666666</x:v>
      </x:c>
      <x:c r="J2678" s="2" t="n">
        <x:v>8</x:v>
      </x:c>
      <x:c r="K2678" s="2" t="n">
        <x:v>7</x:v>
      </x:c>
      <x:c r="L2678" s="12" t="n">
        <x:v>7083.66475</x:v>
      </x:c>
      <x:c r="M2678" s="13" t="n">
        <x:v>0.606555380232108</x:v>
      </x:c>
      <x:c r="N2678" s="13" t="n">
        <x:f>H2678/G2678</x:f>
        <x:v>0.06455369656420915</x:v>
      </x:c>
      <x:c r="O2678" s="13" t="n">
        <x:f>F2678/E2678</x:f>
        <x:v>0</x:v>
      </x:c>
      <x:c r="P2678" s="2" t="str">
        <x:f>IF(AND(E2678&gt;='Итоги'!$F$5,N2678&lt;='Итоги'!$B$5,O2678&gt;='Итоги'!$D$5),"Да","Нет")</x:f>
        <x:v>Нет</x:v>
      </x:c>
    </x:row>
    <x:row r="2679" ht="60" customHeight="1">
      <x:c r="A2679" s="14" t="str">
        <x:v>Аптека</x:v>
      </x:c>
      <x:c r="B2679" s="14" t="str">
        <x:v>Средства реабилитации</x:v>
      </x:c>
      <x:c r="C2679" s="14" t="str">
        <x:v>Средства реабилитации</x:v>
      </x:c>
      <x:c r="D2679" s="14" t="str">
        <x:v>Комплектующие для реабилитации</x:v>
      </x:c>
      <x:c r="E2679" s="2" t="n">
        <x:v>2</x:v>
      </x:c>
      <x:c r="F2679" s="2" t="n">
        <x:v>0</x:v>
      </x:c>
      <x:c r="G2679" s="12" t="n">
        <x:v>442976</x:v>
      </x:c>
      <x:c r="H2679" s="12" t="n">
        <x:v>28645.8242</x:v>
      </x:c>
      <x:c r="I2679" s="13" t="n">
        <x:v>0.0922</x:v>
      </x:c>
      <x:c r="J2679" s="2" t="n">
        <x:v>0</x:v>
      </x:c>
      <x:c r="K2679" s="2" t="n">
        <x:v>2</x:v>
      </x:c>
      <x:c r="L2679" s="12" t="n">
        <x:v>1048.09265</x:v>
      </x:c>
      <x:c r="M2679" s="13" t="n">
        <x:v>0.7134359423535361</x:v>
      </x:c>
      <x:c r="N2679" s="13" t="n">
        <x:f>H2679/G2679</x:f>
        <x:v>0.06466676343639384</x:v>
      </x:c>
      <x:c r="O2679" s="13" t="n">
        <x:f>F2679/E2679</x:f>
        <x:v>0</x:v>
      </x:c>
      <x:c r="P2679" s="2" t="str">
        <x:f>IF(AND(E2679&gt;='Итоги'!$F$5,N2679&lt;='Итоги'!$B$5,O2679&gt;='Итоги'!$D$5),"Да","Нет")</x:f>
        <x:v>Нет</x:v>
      </x:c>
    </x:row>
    <x:row r="2680" ht="60" customHeight="1">
      <x:c r="A2680" s="14" t="str">
        <x:v>Товары для детей и спорта</x:v>
      </x:c>
      <x:c r="B2680" s="14" t="str">
        <x:v>КГТ и аксессуары для детей</x:v>
      </x:c>
      <x:c r="C2680" s="14" t="str">
        <x:v>Ванная комната и купание</x:v>
      </x:c>
      <x:c r="D2680" s="14" t="str">
        <x:v>Горшок детский</x:v>
      </x:c>
      <x:c r="E2680" s="2" t="n">
        <x:v>57</x:v>
      </x:c>
      <x:c r="F2680" s="2" t="n">
        <x:v>0</x:v>
      </x:c>
      <x:c r="G2680" s="12" t="n">
        <x:v>7745074.4499</x:v>
      </x:c>
      <x:c r="H2680" s="12" t="n">
        <x:v>500870.23585157</x:v>
      </x:c>
      <x:c r="I2680" s="13" t="n">
        <x:v>0.0690333333333333</x:v>
      </x:c>
      <x:c r="J2680" s="2" t="n">
        <x:v>14</x:v>
      </x:c>
      <x:c r="K2680" s="2" t="n">
        <x:v>15</x:v>
      </x:c>
      <x:c r="L2680" s="12" t="n">
        <x:v>1274.4013</x:v>
      </x:c>
      <x:c r="M2680" s="13" t="n">
        <x:v>0.4063903891124815</x:v>
      </x:c>
      <x:c r="N2680" s="13" t="n">
        <x:f>H2680/G2680</x:f>
        <x:v>0.06466951855550425</x:v>
      </x:c>
      <x:c r="O2680" s="13" t="n">
        <x:f>F2680/E2680</x:f>
        <x:v>0</x:v>
      </x:c>
      <x:c r="P2680" s="2" t="str">
        <x:f>IF(AND(E2680&gt;='Итоги'!$F$5,N2680&lt;='Итоги'!$B$5,O2680&gt;='Итоги'!$D$5),"Да","Нет")</x:f>
        <x:v>Нет</x:v>
      </x:c>
    </x:row>
    <x:row r="2681" ht="60" customHeight="1">
      <x:c r="A2681" s="14" t="str">
        <x:v>Хобби и творчество</x:v>
      </x:c>
      <x:c r="B2681" s="14" t="str">
        <x:v>Взрослое творчество и хобби</x:v>
      </x:c>
      <x:c r="C2681" s="14" t="str">
        <x:v>Настольные игры для взрослых</x:v>
      </x:c>
      <x:c r="D2681" s="14" t="str">
        <x:v>Спортивные игры для взрослых</x:v>
      </x:c>
      <x:c r="E2681" s="2" t="n">
        <x:v>3</x:v>
      </x:c>
      <x:c r="F2681" s="2" t="n">
        <x:v>0</x:v>
      </x:c>
      <x:c r="G2681" s="12" t="n">
        <x:v>261023.5112</x:v>
      </x:c>
      <x:c r="H2681" s="12" t="n">
        <x:v>16907.75625</x:v>
      </x:c>
      <x:c r="I2681" s="13" t="n">
        <x:v>0.0583333333333333</x:v>
      </x:c>
      <x:c r="J2681" s="2" t="n">
        <x:v>2</x:v>
      </x:c>
      <x:c r="K2681" s="2" t="n">
        <x:v>3</x:v>
      </x:c>
      <x:c r="L2681" s="12" t="n">
        <x:v>3450.5625</x:v>
      </x:c>
      <x:c r="M2681" s="13" t="n">
        <x:v>0.3701419445161459</x:v>
      </x:c>
      <x:c r="N2681" s="13" t="n">
        <x:f>H2681/G2681</x:f>
        <x:v>0.06477484029032553</x:v>
      </x:c>
      <x:c r="O2681" s="13" t="n">
        <x:f>F2681/E2681</x:f>
        <x:v>0</x:v>
      </x:c>
      <x:c r="P2681" s="2" t="str">
        <x:f>IF(AND(E2681&gt;='Итоги'!$F$5,N2681&lt;='Итоги'!$B$5,O2681&gt;='Итоги'!$D$5),"Да","Нет")</x:f>
        <x:v>Нет</x:v>
      </x:c>
    </x:row>
    <x:row r="2682" ht="60" customHeight="1">
      <x:c r="A2682" s="14" t="str">
        <x:v>Аптека</x:v>
      </x:c>
      <x:c r="B2682" s="14" t="str">
        <x:v>Тату</x:v>
      </x:c>
      <x:c r="C2682" s="14" t="str">
        <x:v>Тату иглы</x:v>
      </x:c>
      <x:c r="D2682" s="14" t="str">
        <x:v>Тату иглы</x:v>
      </x:c>
      <x:c r="E2682" s="2" t="n">
        <x:v>5</x:v>
      </x:c>
      <x:c r="F2682" s="2" t="n">
        <x:v>0</x:v>
      </x:c>
      <x:c r="G2682" s="12" t="n">
        <x:v>852047.4964000001</x:v>
      </x:c>
      <x:c r="H2682" s="12" t="n">
        <x:v>55221.60687793</x:v>
      </x:c>
      <x:c r="I2682" s="13" t="n">
        <x:v>0.06394</x:v>
      </x:c>
      <x:c r="J2682" s="2" t="n">
        <x:v>0</x:v>
      </x:c>
      <x:c r="K2682" s="2" t="n">
        <x:v>1</x:v>
      </x:c>
      <x:c r="L2682" s="12" t="n">
        <x:v>1061.0627</x:v>
      </x:c>
      <x:c r="M2682" s="13" t="n">
        <x:v>1</x:v>
      </x:c>
      <x:c r="N2682" s="13" t="n">
        <x:f>H2682/G2682</x:f>
        <x:v>0.06481047959327117</x:v>
      </x:c>
      <x:c r="O2682" s="13" t="n">
        <x:f>F2682/E2682</x:f>
        <x:v>0</x:v>
      </x:c>
      <x:c r="P2682" s="2" t="str">
        <x:f>IF(AND(E2682&gt;='Итоги'!$F$5,N2682&lt;='Итоги'!$B$5,O2682&gt;='Итоги'!$D$5),"Да","Нет")</x:f>
        <x:v>Нет</x:v>
      </x:c>
    </x:row>
    <x:row r="2683" ht="60" customHeight="1">
      <x:c r="A2683" s="14" t="str">
        <x:v>Ноутбуки и компьютеры</x:v>
      </x:c>
      <x:c r="B2683" s="14" t="str">
        <x:v>Расходный материал для электроники Lap&amp;Comp</x:v>
      </x:c>
      <x:c r="C2683" s="14" t="str">
        <x:v>Расходный материал для электроники Lap&amp;Comp</x:v>
      </x:c>
      <x:c r="D2683" s="14" t="str">
        <x:v>Пленка для печати</x:v>
      </x:c>
      <x:c r="E2683" s="2" t="n">
        <x:v>6</x:v>
      </x:c>
      <x:c r="F2683" s="2" t="n">
        <x:v>0</x:v>
      </x:c>
      <x:c r="G2683" s="12" t="n">
        <x:v>975429.2164</x:v>
      </x:c>
      <x:c r="H2683" s="12" t="n">
        <x:v>63235.59525567</x:v>
      </x:c>
      <x:c r="I2683" s="13" t="n">
        <x:v>0.0588833333333333</x:v>
      </x:c>
      <x:c r="J2683" s="2" t="n">
        <x:v>1</x:v>
      </x:c>
      <x:c r="K2683" s="2" t="n">
        <x:v>1</x:v>
      </x:c>
      <x:c r="L2683" s="12" t="n">
        <x:v>868.4375</x:v>
      </x:c>
      <x:c r="M2683" s="13" t="n">
        <x:v>1</x:v>
      </x:c>
      <x:c r="N2683" s="13" t="n">
        <x:f>H2683/G2683</x:f>
        <x:v>0.06482848185443177</x:v>
      </x:c>
      <x:c r="O2683" s="13" t="n">
        <x:f>F2683/E2683</x:f>
        <x:v>0</x:v>
      </x:c>
      <x:c r="P2683" s="2" t="str">
        <x:f>IF(AND(E2683&gt;='Итоги'!$F$5,N2683&lt;='Итоги'!$B$5,O2683&gt;='Итоги'!$D$5),"Да","Нет")</x:f>
        <x:v>Нет</x:v>
      </x:c>
    </x:row>
    <x:row r="2684" ht="60" customHeight="1">
      <x:c r="A2684" s="14" t="str">
        <x:v>Строительство и ремонт (DIY)</x:v>
      </x:c>
      <x:c r="B2684" s="14" t="str">
        <x:v>Ремонт и строительство</x:v>
      </x:c>
      <x:c r="C2684" s="14" t="str">
        <x:v>Электротовары</x:v>
      </x:c>
      <x:c r="D2684" s="14" t="str">
        <x:v>Автоматический выключатель</x:v>
      </x:c>
      <x:c r="E2684" s="2" t="n">
        <x:v>29</x:v>
      </x:c>
      <x:c r="F2684" s="2" t="n">
        <x:v>0</x:v>
      </x:c>
      <x:c r="G2684" s="12" t="n">
        <x:v>3804058.954</x:v>
      </x:c>
      <x:c r="H2684" s="12" t="n">
        <x:v>246611.71989976</x:v>
      </x:c>
      <x:c r="I2684" s="13" t="n">
        <x:v>0.0486551724137931</x:v>
      </x:c>
      <x:c r="J2684" s="2" t="n">
        <x:v>6</x:v>
      </x:c>
      <x:c r="K2684" s="2" t="n">
        <x:v>10</x:v>
      </x:c>
      <x:c r="L2684" s="12" t="n">
        <x:v>1524.0468</x:v>
      </x:c>
      <x:c r="M2684" s="13" t="n">
        <x:v>0.4624907646213098</x:v>
      </x:c>
      <x:c r="N2684" s="13" t="n">
        <x:f>H2684/G2684</x:f>
        <x:v>0.06482857465719497</x:v>
      </x:c>
      <x:c r="O2684" s="13" t="n">
        <x:f>F2684/E2684</x:f>
        <x:v>0</x:v>
      </x:c>
      <x:c r="P2684" s="2" t="str">
        <x:f>IF(AND(E2684&gt;='Итоги'!$F$5,N2684&lt;='Итоги'!$B$5,O2684&gt;='Итоги'!$D$5),"Да","Нет")</x:f>
        <x:v>Нет</x:v>
      </x:c>
    </x:row>
    <x:row r="2685" ht="60" customHeight="1">
      <x:c r="A2685" s="14" t="str">
        <x:v>Спорт и отдых</x:v>
      </x:c>
      <x:c r="B2685" s="14" t="str">
        <x:v>Страйкбол и пневматика</x:v>
      </x:c>
      <x:c r="C2685" s="14" t="str">
        <x:v>Точные виды спорта</x:v>
      </x:c>
      <x:c r="D2685" s="14" t="str">
        <x:v>Лук спортивный</x:v>
      </x:c>
      <x:c r="E2685" s="2" t="n">
        <x:v>22</x:v>
      </x:c>
      <x:c r="F2685" s="2" t="n">
        <x:v>0</x:v>
      </x:c>
      <x:c r="G2685" s="12" t="n">
        <x:v>2825169.3131</x:v>
      </x:c>
      <x:c r="H2685" s="12" t="n">
        <x:v>183354.20215033</x:v>
      </x:c>
      <x:c r="I2685" s="13" t="n">
        <x:v>0.0473363636363636</x:v>
      </x:c>
      <x:c r="J2685" s="2" t="n">
        <x:v>9</x:v>
      </x:c>
      <x:c r="K2685" s="2" t="n">
        <x:v>5</x:v>
      </x:c>
      <x:c r="L2685" s="12" t="n">
        <x:v>10488.16665</x:v>
      </x:c>
      <x:c r="M2685" s="13" t="n">
        <x:v>0.782288327270165</x:v>
      </x:c>
      <x:c r="N2685" s="13" t="n">
        <x:f>H2685/G2685</x:f>
        <x:v>0.06490025263269593</x:v>
      </x:c>
      <x:c r="O2685" s="13" t="n">
        <x:f>F2685/E2685</x:f>
        <x:v>0</x:v>
      </x:c>
      <x:c r="P2685" s="2" t="str">
        <x:f>IF(AND(E2685&gt;='Итоги'!$F$5,N2685&lt;='Итоги'!$B$5,O2685&gt;='Итоги'!$D$5),"Да","Нет")</x:f>
        <x:v>Нет</x:v>
      </x:c>
    </x:row>
    <x:row r="2686" ht="60" customHeight="1">
      <x:c r="A2686" s="14" t="str">
        <x:v>Товары для детей и спорта</x:v>
      </x:c>
      <x:c r="B2686" s="14" t="str">
        <x:v>Электроника детская</x:v>
      </x:c>
      <x:c r="C2686" s="14" t="str">
        <x:v>Электроника детская</x:v>
      </x:c>
      <x:c r="D2686" s="14" t="str">
        <x:v>Весы детские</x:v>
      </x:c>
      <x:c r="E2686" s="2" t="n">
        <x:v>13</x:v>
      </x:c>
      <x:c r="F2686" s="2" t="n">
        <x:v>0</x:v>
      </x:c>
      <x:c r="G2686" s="12" t="n">
        <x:v>1506124.4338</x:v>
      </x:c>
      <x:c r="H2686" s="12" t="n">
        <x:v>97748.712356</x:v>
      </x:c>
      <x:c r="I2686" s="13" t="n">
        <x:v>0.0707615384615384</x:v>
      </x:c>
      <x:c r="J2686" s="2" t="n">
        <x:v>3</x:v>
      </x:c>
      <x:c r="K2686" s="2" t="n">
        <x:v>11</x:v>
      </x:c>
      <x:c r="L2686" s="12" t="n">
        <x:v>1978.1608</x:v>
      </x:c>
      <x:c r="M2686" s="13" t="n">
        <x:v>0.2815809640176889</x:v>
      </x:c>
      <x:c r="N2686" s="13" t="n">
        <x:f>H2686/G2686</x:f>
        <x:v>0.0649008210492787</x:v>
      </x:c>
      <x:c r="O2686" s="13" t="n">
        <x:f>F2686/E2686</x:f>
        <x:v>0</x:v>
      </x:c>
      <x:c r="P2686" s="2" t="str">
        <x:f>IF(AND(E2686&gt;='Итоги'!$F$5,N2686&lt;='Итоги'!$B$5,O2686&gt;='Итоги'!$D$5),"Да","Нет")</x:f>
        <x:v>Нет</x:v>
      </x:c>
    </x:row>
    <x:row r="2687" ht="60" customHeight="1">
      <x:c r="A2687" s="14" t="str">
        <x:v>Автотовары</x:v>
      </x:c>
      <x:c r="B2687" s="14" t="str">
        <x:v>Универсальные авто и мото аксессуары</x:v>
      </x:c>
      <x:c r="C2687" s="14" t="str">
        <x:v>Автотовары в дорогу</x:v>
      </x:c>
      <x:c r="D2687" s="14" t="str">
        <x:v>Автоаварийный набор</x:v>
      </x:c>
      <x:c r="E2687" s="2" t="n">
        <x:v>9</x:v>
      </x:c>
      <x:c r="F2687" s="2" t="n">
        <x:v>0</x:v>
      </x:c>
      <x:c r="G2687" s="12" t="n">
        <x:v>2127061.5568</x:v>
      </x:c>
      <x:c r="H2687" s="12" t="n">
        <x:v>138113.82248218</x:v>
      </x:c>
      <x:c r="I2687" s="13" t="n">
        <x:v>0.0729555555555555</x:v>
      </x:c>
      <x:c r="J2687" s="2" t="n">
        <x:v>1</x:v>
      </x:c>
      <x:c r="K2687" s="2" t="n">
        <x:v>4</x:v>
      </x:c>
      <x:c r="L2687" s="12" t="n">
        <x:v>1663.6478</x:v>
      </x:c>
      <x:c r="M2687" s="13" t="n">
        <x:v>0.6404712732665377</x:v>
      </x:c>
      <x:c r="N2687" s="13" t="n">
        <x:f>H2687/G2687</x:f>
        <x:v>0.06493174682257978</x:v>
      </x:c>
      <x:c r="O2687" s="13" t="n">
        <x:f>F2687/E2687</x:f>
        <x:v>0</x:v>
      </x:c>
      <x:c r="P2687" s="2" t="str">
        <x:f>IF(AND(E2687&gt;='Итоги'!$F$5,N2687&lt;='Итоги'!$B$5,O2687&gt;='Итоги'!$D$5),"Да","Нет")</x:f>
        <x:v>Нет</x:v>
      </x:c>
    </x:row>
    <x:row r="2688" ht="60" customHeight="1">
      <x:c r="A2688" s="14" t="str">
        <x:v>Строительство и ремонт (DIY)</x:v>
      </x:c>
      <x:c r="B2688" s="14" t="str">
        <x:v>Ремонт и строительство</x:v>
      </x:c>
      <x:c r="C2688" s="14" t="str">
        <x:v>Аксессуары для ремонта</x:v>
      </x:c>
      <x:c r="D2688" s="14" t="str">
        <x:v>Колеровочный веер/цветовой справочник</x:v>
      </x:c>
      <x:c r="E2688" s="2" t="n">
        <x:v>13</x:v>
      </x:c>
      <x:c r="F2688" s="2" t="n">
        <x:v>0</x:v>
      </x:c>
      <x:c r="G2688" s="12" t="n">
        <x:v>3897751.5035</x:v>
      </x:c>
      <x:c r="H2688" s="12" t="n">
        <x:v>253270.6730039</x:v>
      </x:c>
      <x:c r="I2688" s="13" t="n">
        <x:v>0.0565461538461538</x:v>
      </x:c>
      <x:c r="J2688" s="2" t="n">
        <x:v>2</x:v>
      </x:c>
      <x:c r="K2688" s="2" t="n">
        <x:v>2</x:v>
      </x:c>
      <x:c r="L2688" s="12" t="n">
        <x:v>18272.5556</x:v>
      </x:c>
      <x:c r="M2688" s="13" t="n">
        <x:v>0.5218674155275072</x:v>
      </x:c>
      <x:c r="N2688" s="13" t="n">
        <x:f>H2688/G2688</x:f>
        <x:v>0.0649786608449704</x:v>
      </x:c>
      <x:c r="O2688" s="13" t="n">
        <x:f>F2688/E2688</x:f>
        <x:v>0</x:v>
      </x:c>
      <x:c r="P2688" s="2" t="str">
        <x:f>IF(AND(E2688&gt;='Итоги'!$F$5,N2688&lt;='Итоги'!$B$5,O2688&gt;='Итоги'!$D$5),"Да","Нет")</x:f>
        <x:v>Нет</x:v>
      </x:c>
    </x:row>
    <x:row r="2689" ht="60" customHeight="1">
      <x:c r="A2689" s="14" t="str">
        <x:v>Спорт и отдых</x:v>
      </x:c>
      <x:c r="B2689" s="14" t="str">
        <x:v>Всесезонные виды спорта</x:v>
      </x:c>
      <x:c r="C2689" s="14" t="str">
        <x:v>Теннис</x:v>
      </x:c>
      <x:c r="D2689" s="14" t="str">
        <x:v>Аксессуар для тенниса</x:v>
      </x:c>
      <x:c r="E2689" s="2" t="n">
        <x:v>6</x:v>
      </x:c>
      <x:c r="F2689" s="2" t="n">
        <x:v>0</x:v>
      </x:c>
      <x:c r="G2689" s="12" t="n">
        <x:v>825979.5858</x:v>
      </x:c>
      <x:c r="H2689" s="12" t="n">
        <x:v>53696.8582</x:v>
      </x:c>
      <x:c r="I2689" s="13" t="n">
        <x:v>0.0609333333333333</x:v>
      </x:c>
      <x:c r="J2689" s="2" t="n">
        <x:v>2</x:v>
      </x:c>
      <x:c r="K2689" s="2" t="n">
        <x:v>3</x:v>
      </x:c>
      <x:c r="L2689" s="12" t="n">
        <x:v>4380.77075</x:v>
      </x:c>
      <x:c r="M2689" s="13" t="n">
        <x:v>0.613612017431533</x:v>
      </x:c>
      <x:c r="N2689" s="13" t="n">
        <x:f>H2689/G2689</x:f>
        <x:v>0.06500990959478989</x:v>
      </x:c>
      <x:c r="O2689" s="13" t="n">
        <x:f>F2689/E2689</x:f>
        <x:v>0</x:v>
      </x:c>
      <x:c r="P2689" s="2" t="str">
        <x:f>IF(AND(E2689&gt;='Итоги'!$F$5,N2689&lt;='Итоги'!$B$5,O2689&gt;='Итоги'!$D$5),"Да","Нет")</x:f>
        <x:v>Нет</x:v>
      </x:c>
    </x:row>
    <x:row r="2690" ht="60" customHeight="1">
      <x:c r="A2690" s="14" t="str">
        <x:v>Строительство и ремонт (DIY)</x:v>
      </x:c>
      <x:c r="B2690" s="14" t="str">
        <x:v>Освещение</x:v>
      </x:c>
      <x:c r="C2690" s="14" t="str">
        <x:v>Фонарь, прожектор</x:v>
      </x:c>
      <x:c r="D2690" s="14" t="str">
        <x:v>Прожектор</x:v>
      </x:c>
      <x:c r="E2690" s="2" t="n">
        <x:v>27</x:v>
      </x:c>
      <x:c r="F2690" s="2" t="n">
        <x:v>0</x:v>
      </x:c>
      <x:c r="G2690" s="12" t="n">
        <x:v>4701554.1426</x:v>
      </x:c>
      <x:c r="H2690" s="12" t="n">
        <x:v>305797.79059997003</x:v>
      </x:c>
      <x:c r="I2690" s="13" t="n">
        <x:v>0.0669703703703703</x:v>
      </x:c>
      <x:c r="J2690" s="2" t="n">
        <x:v>5</x:v>
      </x:c>
      <x:c r="K2690" s="2" t="n">
        <x:v>11</x:v>
      </x:c>
      <x:c r="L2690" s="12" t="n">
        <x:v>1179.2718</x:v>
      </x:c>
      <x:c r="M2690" s="13" t="n">
        <x:v>0.7740379698972266</x:v>
      </x:c>
      <x:c r="N2690" s="13" t="n">
        <x:f>H2690/G2690</x:f>
        <x:v>0.06504185240135536</x:v>
      </x:c>
      <x:c r="O2690" s="13" t="n">
        <x:f>F2690/E2690</x:f>
        <x:v>0</x:v>
      </x:c>
      <x:c r="P2690" s="2" t="str">
        <x:f>IF(AND(E2690&gt;='Итоги'!$F$5,N2690&lt;='Итоги'!$B$5,O2690&gt;='Итоги'!$D$5),"Да","Нет")</x:f>
        <x:v>Нет</x:v>
      </x:c>
    </x:row>
    <x:row r="2691" ht="60" customHeight="1">
      <x:c r="A2691" s="14" t="str">
        <x:v>Товары для дома</x:v>
      </x:c>
      <x:c r="B2691" s="14" t="str">
        <x:v>Кухня</x:v>
      </x:c>
      <x:c r="C2691" s="14" t="str">
        <x:v>Кухонная утварь и принадлежности</x:v>
      </x:c>
      <x:c r="D2691" s="14" t="str">
        <x:v>Адаптер для индукционной плиты</x:v>
      </x:c>
      <x:c r="E2691" s="2" t="n">
        <x:v>4</x:v>
      </x:c>
      <x:c r="F2691" s="2" t="n">
        <x:v>0</x:v>
      </x:c>
      <x:c r="G2691" s="12" t="n">
        <x:v>415847.1973</x:v>
      </x:c>
      <x:c r="H2691" s="12" t="n">
        <x:v>27052.041947999995</x:v>
      </x:c>
      <x:c r="I2691" s="13" t="n">
        <x:v>0.0915749999999999</x:v>
      </x:c>
      <x:c r="J2691" s="2" t="n">
        <x:v>2</x:v>
      </x:c>
      <x:c r="K2691" s="2" t="n">
        <x:v>4</x:v>
      </x:c>
      <x:c r="L2691" s="12" t="n">
        <x:v>1150.87745</x:v>
      </x:c>
      <x:c r="M2691" s="13" t="n">
        <x:v>0.3706662471234599</x:v>
      </x:c>
      <x:c r="N2691" s="13" t="n">
        <x:f>H2691/G2691</x:f>
        <x:v>0.06505284182181019</x:v>
      </x:c>
      <x:c r="O2691" s="13" t="n">
        <x:f>F2691/E2691</x:f>
        <x:v>0</x:v>
      </x:c>
      <x:c r="P2691" s="2" t="str">
        <x:f>IF(AND(E2691&gt;='Итоги'!$F$5,N2691&lt;='Итоги'!$B$5,O2691&gt;='Итоги'!$D$5),"Да","Нет")</x:f>
        <x:v>Нет</x:v>
      </x:c>
    </x:row>
    <x:row r="2692" ht="60" customHeight="1">
      <x:c r="A2692" s="14" t="str">
        <x:v>Автотовары</x:v>
      </x:c>
      <x:c r="B2692" s="14" t="str">
        <x:v>Авто и мото запчасти</x:v>
      </x:c>
      <x:c r="C2692" s="14" t="str">
        <x:v>Кузовные детали</x:v>
      </x:c>
      <x:c r="D2692" s="14" t="str">
        <x:v>Замки автомобильные</x:v>
      </x:c>
      <x:c r="E2692" s="2" t="n">
        <x:v>36</x:v>
      </x:c>
      <x:c r="F2692" s="2" t="n">
        <x:v>0</x:v>
      </x:c>
      <x:c r="G2692" s="12" t="n">
        <x:v>5193777.8069</x:v>
      </x:c>
      <x:c r="H2692" s="12" t="n">
        <x:v>337886.51426299</x:v>
      </x:c>
      <x:c r="I2692" s="13" t="n">
        <x:v>0.0552999999999999</x:v>
      </x:c>
      <x:c r="J2692" s="2" t="n">
        <x:v>17</x:v>
      </x:c>
      <x:c r="K2692" s="2" t="n">
        <x:v>22</x:v>
      </x:c>
      <x:c r="L2692" s="12" t="n">
        <x:v>1476.3486</x:v>
      </x:c>
      <x:c r="M2692" s="13" t="n">
        <x:v>0.167704389518327</x:v>
      </x:c>
      <x:c r="N2692" s="13" t="n">
        <x:f>H2692/G2692</x:f>
        <x:v>0.06505602026603899</x:v>
      </x:c>
      <x:c r="O2692" s="13" t="n">
        <x:f>F2692/E2692</x:f>
        <x:v>0</x:v>
      </x:c>
      <x:c r="P2692" s="2" t="str">
        <x:f>IF(AND(E2692&gt;='Итоги'!$F$5,N2692&lt;='Итоги'!$B$5,O2692&gt;='Итоги'!$D$5),"Да","Нет")</x:f>
        <x:v>Нет</x:v>
      </x:c>
    </x:row>
    <x:row r="2693" ht="60" customHeight="1">
      <x:c r="A2693" s="14" t="str">
        <x:v>Строительство и ремонт (DIY)</x:v>
      </x:c>
      <x:c r="B2693" s="14" t="str">
        <x:v>Сантехника</x:v>
      </x:c>
      <x:c r="C2693" s="14" t="str">
        <x:v>Смеситель</x:v>
      </x:c>
      <x:c r="D2693" s="14" t="str">
        <x:v>Смеситель для ванны и душа</x:v>
      </x:c>
      <x:c r="E2693" s="2" t="n">
        <x:v>334</x:v>
      </x:c>
      <x:c r="F2693" s="2" t="n">
        <x:v>0</x:v>
      </x:c>
      <x:c r="G2693" s="12" t="n">
        <x:v>62277297.3828</x:v>
      </x:c>
      <x:c r="H2693" s="12" t="n">
        <x:v>4052806.95671665</x:v>
      </x:c>
      <x:c r="I2693" s="13" t="n">
        <x:v>0.0646730538922155</x:v>
      </x:c>
      <x:c r="J2693" s="2" t="n">
        <x:v>65</x:v>
      </x:c>
      <x:c r="K2693" s="2" t="n">
        <x:v>49</x:v>
      </x:c>
      <x:c r="L2693" s="12" t="n">
        <x:v>3813.3483</x:v>
      </x:c>
      <x:c r="M2693" s="13" t="n">
        <x:v>0.6272475376779703</x:v>
      </x:c>
      <x:c r="N2693" s="13" t="n">
        <x:f>H2693/G2693</x:f>
        <x:v>0.06507679567090481</x:v>
      </x:c>
      <x:c r="O2693" s="13" t="n">
        <x:f>F2693/E2693</x:f>
        <x:v>0</x:v>
      </x:c>
      <x:c r="P2693" s="2" t="str">
        <x:f>IF(AND(E2693&gt;='Итоги'!$F$5,N2693&lt;='Итоги'!$B$5,O2693&gt;='Итоги'!$D$5),"Да","Нет")</x:f>
        <x:v>Нет</x:v>
      </x:c>
    </x:row>
    <x:row r="2694" ht="60" customHeight="1">
      <x:c r="A2694" s="14" t="str">
        <x:v>Товары для животных</x:v>
      </x:c>
      <x:c r="B2694" s="14" t="str">
        <x:v>Гигиена и уход животных</x:v>
      </x:c>
      <x:c r="C2694" s="14" t="str">
        <x:v>Ветеринарные средства лечебные нелицензированные</x:v>
      </x:c>
      <x:c r="D2694" s="14" t="str">
        <x:v>Крем лечебный ветеринарный нелицензированный</x:v>
      </x:c>
      <x:c r="E2694" s="2" t="n">
        <x:v>2</x:v>
      </x:c>
      <x:c r="F2694" s="2" t="n">
        <x:v>0</x:v>
      </x:c>
      <x:c r="G2694" s="12" t="n">
        <x:v>623399.9198</x:v>
      </x:c>
      <x:c r="H2694" s="12" t="n">
        <x:v>40600.97769264</x:v>
      </x:c>
      <x:c r="I2694" s="13" t="n">
        <x:v>0.0732</x:v>
      </x:c>
      <x:c r="J2694" s="2" t="n">
        <x:v>1</x:v>
      </x:c>
      <x:c r="K2694" s="2" t="n">
        <x:v>2</x:v>
      </x:c>
      <x:c r="L2694" s="12" t="n">
        <x:v>981.9195</x:v>
      </x:c>
      <x:c r="M2694" s="13" t="n">
        <x:v>0.5551345552162197</x:v>
      </x:c>
      <x:c r="N2694" s="13" t="n">
        <x:f>H2694/G2694</x:f>
        <x:v>0.06512830111634545</x:v>
      </x:c>
      <x:c r="O2694" s="13" t="n">
        <x:f>F2694/E2694</x:f>
        <x:v>0</x:v>
      </x:c>
      <x:c r="P2694" s="2" t="str">
        <x:f>IF(AND(E2694&gt;='Итоги'!$F$5,N2694&lt;='Итоги'!$B$5,O2694&gt;='Итоги'!$D$5),"Да","Нет")</x:f>
        <x:v>Нет</x:v>
      </x:c>
    </x:row>
    <x:row r="2695" ht="60" customHeight="1">
      <x:c r="A2695" s="14" t="str">
        <x:v>Спорт и отдых</x:v>
      </x:c>
      <x:c r="B2695" s="14" t="str">
        <x:v>Тренажеры и фитнес</x:v>
      </x:c>
      <x:c r="C2695" s="14" t="str">
        <x:v>Кросстренинг и тяжёлая атлетика</x:v>
      </x:c>
      <x:c r="D2695" s="14" t="str">
        <x:v>Турник</x:v>
      </x:c>
      <x:c r="E2695" s="2" t="n">
        <x:v>98</x:v>
      </x:c>
      <x:c r="F2695" s="2" t="n">
        <x:v>0</x:v>
      </x:c>
      <x:c r="G2695" s="12" t="n">
        <x:v>20870054.8531</x:v>
      </x:c>
      <x:c r="H2695" s="12" t="n">
        <x:v>1359410.42997527</x:v>
      </x:c>
      <x:c r="I2695" s="13" t="n">
        <x:v>0.0710183673469387</x:v>
      </x:c>
      <x:c r="J2695" s="2" t="n">
        <x:v>17</x:v>
      </x:c>
      <x:c r="K2695" s="2" t="n">
        <x:v>16</x:v>
      </x:c>
      <x:c r="L2695" s="12" t="n">
        <x:v>2848.01135</x:v>
      </x:c>
      <x:c r="M2695" s="13" t="n">
        <x:v>0.3927808034382036</x:v>
      </x:c>
      <x:c r="N2695" s="13" t="n">
        <x:f>H2695/G2695</x:f>
        <x:v>0.0651368882134656</x:v>
      </x:c>
      <x:c r="O2695" s="13" t="n">
        <x:f>F2695/E2695</x:f>
        <x:v>0</x:v>
      </x:c>
      <x:c r="P2695" s="2" t="str">
        <x:f>IF(AND(E2695&gt;='Итоги'!$F$5,N2695&lt;='Итоги'!$B$5,O2695&gt;='Итоги'!$D$5),"Да","Нет")</x:f>
        <x:v>Нет</x:v>
      </x:c>
    </x:row>
    <x:row r="2696" ht="60" customHeight="1">
      <x:c r="A2696" s="14" t="str">
        <x:v>Товары для животных</x:v>
      </x:c>
      <x:c r="B2696" s="14" t="str">
        <x:v>Товары для прогулки и дрессировки животных</x:v>
      </x:c>
      <x:c r="C2696" s="14" t="str">
        <x:v>Аксессуары для прогулки и дрессировки животных</x:v>
      </x:c>
      <x:c r="D2696" s="14" t="str">
        <x:v>Поводок-рулетка для животных</x:v>
      </x:c>
      <x:c r="E2696" s="2" t="n">
        <x:v>48</x:v>
      </x:c>
      <x:c r="F2696" s="2" t="n">
        <x:v>0</x:v>
      </x:c>
      <x:c r="G2696" s="12" t="n">
        <x:v>7654138.7909</x:v>
      </x:c>
      <x:c r="H2696" s="12" t="n">
        <x:v>498645.47693308</x:v>
      </x:c>
      <x:c r="I2696" s="13" t="n">
        <x:v>0.06104375</x:v>
      </x:c>
      <x:c r="J2696" s="2" t="n">
        <x:v>16</x:v>
      </x:c>
      <x:c r="K2696" s="2" t="n">
        <x:v>11</x:v>
      </x:c>
      <x:c r="L2696" s="12" t="n">
        <x:v>1383.2131</x:v>
      </x:c>
      <x:c r="M2696" s="13" t="n">
        <x:v>0.6566909820182366</x:v>
      </x:c>
      <x:c r="N2696" s="13" t="n">
        <x:f>H2696/G2696</x:f>
        <x:v>0.06514716946678825</x:v>
      </x:c>
      <x:c r="O2696" s="13" t="n">
        <x:f>F2696/E2696</x:f>
        <x:v>0</x:v>
      </x:c>
      <x:c r="P2696" s="2" t="str">
        <x:f>IF(AND(E2696&gt;='Итоги'!$F$5,N2696&lt;='Итоги'!$B$5,O2696&gt;='Итоги'!$D$5),"Да","Нет")</x:f>
        <x:v>Нет</x:v>
      </x:c>
    </x:row>
    <x:row r="2697" ht="60" customHeight="1">
      <x:c r="A2697" s="14" t="str">
        <x:v>Аптека</x:v>
      </x:c>
      <x:c r="B2697" s="14" t="str">
        <x:v>Профессиональный уход за полостью рта</x:v>
      </x:c>
      <x:c r="C2697" s="14" t="str">
        <x:v>Профессиональный уход за полостью рта</x:v>
      </x:c>
      <x:c r="D2697" s="14" t="str">
        <x:v>Средства для отбеливания зубов</x:v>
      </x:c>
      <x:c r="E2697" s="2" t="n">
        <x:v>46</x:v>
      </x:c>
      <x:c r="F2697" s="2" t="n">
        <x:v>0</x:v>
      </x:c>
      <x:c r="G2697" s="12" t="n">
        <x:v>7914229.64</x:v>
      </x:c>
      <x:c r="H2697" s="12" t="n">
        <x:v>515643.465896</x:v>
      </x:c>
      <x:c r="I2697" s="13" t="n">
        <x:v>0.0576434782608695</x:v>
      </x:c>
      <x:c r="J2697" s="2" t="n">
        <x:v>18</x:v>
      </x:c>
      <x:c r="K2697" s="2" t="n">
        <x:v>14</x:v>
      </x:c>
      <x:c r="L2697" s="12" t="n">
        <x:v>1305.13185</x:v>
      </x:c>
      <x:c r="M2697" s="13" t="n">
        <x:v>0.5080664300764465</x:v>
      </x:c>
      <x:c r="N2697" s="13" t="n">
        <x:f>H2697/G2697</x:f>
        <x:v>0.06515396814995629</x:v>
      </x:c>
      <x:c r="O2697" s="13" t="n">
        <x:f>F2697/E2697</x:f>
        <x:v>0</x:v>
      </x:c>
      <x:c r="P2697" s="2" t="str">
        <x:f>IF(AND(E2697&gt;='Итоги'!$F$5,N2697&lt;='Итоги'!$B$5,O2697&gt;='Итоги'!$D$5),"Да","Нет")</x:f>
        <x:v>Нет</x:v>
      </x:c>
    </x:row>
    <x:row r="2698" ht="60" customHeight="1">
      <x:c r="A2698" s="14" t="str">
        <x:v>Товары для детей и спорта</x:v>
      </x:c>
      <x:c r="B2698" s="14" t="str">
        <x:v>Спорт детский</x:v>
      </x:c>
      <x:c r="C2698" s="14" t="str">
        <x:v>Летний спорт детский</x:v>
      </x:c>
      <x:c r="D2698" s="14" t="str">
        <x:v>Самокат детский с нагрузкой до 50 кг</x:v>
      </x:c>
      <x:c r="E2698" s="2" t="n">
        <x:v>130</x:v>
      </x:c>
      <x:c r="F2698" s="2" t="n">
        <x:v>0</x:v>
      </x:c>
      <x:c r="G2698" s="12" t="n">
        <x:v>15996174.7552</x:v>
      </x:c>
      <x:c r="H2698" s="12" t="n">
        <x:v>1042364.37560624</x:v>
      </x:c>
      <x:c r="I2698" s="13" t="n">
        <x:v>0.0623915384615384</x:v>
      </x:c>
      <x:c r="J2698" s="2" t="n">
        <x:v>31</x:v>
      </x:c>
      <x:c r="K2698" s="2" t="n">
        <x:v>17</x:v>
      </x:c>
      <x:c r="L2698" s="12" t="n">
        <x:v>2585.1719000000003</x:v>
      </x:c>
      <x:c r="M2698" s="13" t="n">
        <x:v>0.784492234302494</x:v>
      </x:c>
      <x:c r="N2698" s="13" t="n">
        <x:f>H2698/G2698</x:f>
        <x:v>0.06516335258636698</x:v>
      </x:c>
      <x:c r="O2698" s="13" t="n">
        <x:f>F2698/E2698</x:f>
        <x:v>0</x:v>
      </x:c>
      <x:c r="P2698" s="2" t="str">
        <x:f>IF(AND(E2698&gt;='Итоги'!$F$5,N2698&lt;='Итоги'!$B$5,O2698&gt;='Итоги'!$D$5),"Да","Нет")</x:f>
        <x:v>Нет</x:v>
      </x:c>
    </x:row>
    <x:row r="2699" ht="60" customHeight="1">
      <x:c r="A2699" s="14" t="str">
        <x:v>Спорт и отдых</x:v>
      </x:c>
      <x:c r="B2699" s="14" t="str">
        <x:v>Всесезонные виды спорта</x:v>
      </x:c>
      <x:c r="C2699" s="14" t="str">
        <x:v>Теннис</x:v>
      </x:c>
      <x:c r="D2699" s="14" t="str">
        <x:v>Сумка, чехол для тенниса</x:v>
      </x:c>
      <x:c r="E2699" s="2" t="n">
        <x:v>4</x:v>
      </x:c>
      <x:c r="F2699" s="2" t="n">
        <x:v>0</x:v>
      </x:c>
      <x:c r="G2699" s="12" t="n">
        <x:v>838262.8302</x:v>
      </x:c>
      <x:c r="H2699" s="12" t="n">
        <x:v>54659.49412798</x:v>
      </x:c>
      <x:c r="I2699" s="13" t="n">
        <x:v>0.042975</x:v>
      </x:c>
      <x:c r="J2699" s="2" t="n">
        <x:v>2</x:v>
      </x:c>
      <x:c r="K2699" s="2" t="n">
        <x:v>1</x:v>
      </x:c>
      <x:c r="L2699" s="12" t="n">
        <x:v>2322.6186</x:v>
      </x:c>
      <x:c r="M2699" s="13" t="n">
        <x:v>1</x:v>
      </x:c>
      <x:c r="N2699" s="13" t="n">
        <x:f>H2699/G2699</x:f>
        <x:v>0.06520567554562674</x:v>
      </x:c>
      <x:c r="O2699" s="13" t="n">
        <x:f>F2699/E2699</x:f>
        <x:v>0</x:v>
      </x:c>
      <x:c r="P2699" s="2" t="str">
        <x:f>IF(AND(E2699&gt;='Итоги'!$F$5,N2699&lt;='Итоги'!$B$5,O2699&gt;='Итоги'!$D$5),"Да","Нет")</x:f>
        <x:v>Нет</x:v>
      </x:c>
    </x:row>
    <x:row r="2700" ht="60" customHeight="1">
      <x:c r="A2700" s="14" t="str">
        <x:v>Аптека</x:v>
      </x:c>
      <x:c r="B2700" s="14" t="str">
        <x:v>Медицинская техника</x:v>
      </x:c>
      <x:c r="C2700" s="14" t="str">
        <x:v>Медицинская техника</x:v>
      </x:c>
      <x:c r="D2700" s="14" t="str">
        <x:v>Активатор воды</x:v>
      </x:c>
      <x:c r="E2700" s="2" t="n">
        <x:v>21</x:v>
      </x:c>
      <x:c r="F2700" s="2" t="n">
        <x:v>0</x:v>
      </x:c>
      <x:c r="G2700" s="12" t="n">
        <x:v>4002675.71</x:v>
      </x:c>
      <x:c r="H2700" s="12" t="n">
        <x:v>261222.362667</x:v>
      </x:c>
      <x:c r="I2700" s="13" t="n">
        <x:v>0.0682714285714285</x:v>
      </x:c>
      <x:c r="J2700" s="2" t="n">
        <x:v>6</x:v>
      </x:c>
      <x:c r="K2700" s="2" t="n">
        <x:v>8</x:v>
      </x:c>
      <x:c r="L2700" s="12" t="n">
        <x:v>3188.9459</x:v>
      </x:c>
      <x:c r="M2700" s="13" t="n">
        <x:v>0.3739043850744531</x:v>
      </x:c>
      <x:c r="N2700" s="13" t="n">
        <x:f>H2700/G2700</x:f>
        <x:v>0.06526193516361584</x:v>
      </x:c>
      <x:c r="O2700" s="13" t="n">
        <x:f>F2700/E2700</x:f>
        <x:v>0</x:v>
      </x:c>
      <x:c r="P2700" s="2" t="str">
        <x:f>IF(AND(E2700&gt;='Итоги'!$F$5,N2700&lt;='Итоги'!$B$5,O2700&gt;='Итоги'!$D$5),"Да","Нет")</x:f>
        <x:v>Нет</x:v>
      </x:c>
    </x:row>
    <x:row r="2701" ht="60" customHeight="1">
      <x:c r="A2701" s="14" t="str">
        <x:v>Товары для дома</x:v>
      </x:c>
      <x:c r="B2701" s="14" t="str">
        <x:v>Домашний текстиль</x:v>
      </x:c>
      <x:c r="C2701" s="14" t="str">
        <x:v>Полотенце</x:v>
      </x:c>
      <x:c r="D2701" s="14" t="str">
        <x:v>Полотенце кухонное</x:v>
      </x:c>
      <x:c r="E2701" s="2" t="n">
        <x:v>12</x:v>
      </x:c>
      <x:c r="F2701" s="2" t="n">
        <x:v>0</x:v>
      </x:c>
      <x:c r="G2701" s="12" t="n">
        <x:v>1932723.4664</x:v>
      </x:c>
      <x:c r="H2701" s="12" t="n">
        <x:v>126189.2563906</x:v>
      </x:c>
      <x:c r="I2701" s="13" t="n">
        <x:v>0.0773166666666666</x:v>
      </x:c>
      <x:c r="J2701" s="2" t="n">
        <x:v>3</x:v>
      </x:c>
      <x:c r="K2701" s="2" t="n">
        <x:v>7</x:v>
      </x:c>
      <x:c r="L2701" s="12" t="n">
        <x:v>839.5534</x:v>
      </x:c>
      <x:c r="M2701" s="13" t="n">
        <x:v>0.6235943502796806</x:v>
      </x:c>
      <x:c r="N2701" s="13" t="n">
        <x:f>H2701/G2701</x:f>
        <x:v>0.06529090094075757</x:v>
      </x:c>
      <x:c r="O2701" s="13" t="n">
        <x:f>F2701/E2701</x:f>
        <x:v>0</x:v>
      </x:c>
      <x:c r="P2701" s="2" t="str">
        <x:f>IF(AND(E2701&gt;='Итоги'!$F$5,N2701&lt;='Итоги'!$B$5,O2701&gt;='Итоги'!$D$5),"Да","Нет")</x:f>
        <x:v>Нет</x:v>
      </x:c>
    </x:row>
    <x:row r="2702" ht="60" customHeight="1">
      <x:c r="A2702" s="14" t="str">
        <x:v>Мебель</x:v>
      </x:c>
      <x:c r="B2702" s="14" t="str">
        <x:v>Столы и стулья</x:v>
      </x:c>
      <x:c r="C2702" s="14" t="str">
        <x:v>Комплект столов, стульев</x:v>
      </x:c>
      <x:c r="D2702" s="14" t="str">
        <x:v>Обеденные стол, стулья (комплект)</x:v>
      </x:c>
      <x:c r="E2702" s="2" t="n">
        <x:v>2</x:v>
      </x:c>
      <x:c r="F2702" s="2" t="n">
        <x:v>0</x:v>
      </x:c>
      <x:c r="G2702" s="12" t="n">
        <x:v>783800.6601</x:v>
      </x:c>
      <x:c r="H2702" s="12" t="n">
        <x:v>51235.20343377</x:v>
      </x:c>
      <x:c r="I2702" s="13" t="n">
        <x:v>0.06705</x:v>
      </x:c>
      <x:c r="J2702" s="2" t="n">
        <x:v>1</x:v>
      </x:c>
      <x:c r="K2702" s="2" t="n">
        <x:v>1</x:v>
      </x:c>
      <x:c r="L2702" s="12" t="n">
        <x:v>20178.0599</x:v>
      </x:c>
      <x:c r="M2702" s="13" t="n">
        <x:v>1</x:v>
      </x:c>
      <x:c r="N2702" s="13" t="n">
        <x:f>H2702/G2702</x:f>
        <x:v>0.0653676451704356</x:v>
      </x:c>
      <x:c r="O2702" s="13" t="n">
        <x:f>F2702/E2702</x:f>
        <x:v>0</x:v>
      </x:c>
      <x:c r="P2702" s="2" t="str">
        <x:f>IF(AND(E2702&gt;='Итоги'!$F$5,N2702&lt;='Итоги'!$B$5,O2702&gt;='Итоги'!$D$5),"Да","Нет")</x:f>
        <x:v>Нет</x:v>
      </x:c>
    </x:row>
    <x:row r="2703" ht="60" customHeight="1">
      <x:c r="A2703" s="14" t="str">
        <x:v>Мелкая бытовая техника</x:v>
      </x:c>
      <x:c r="B2703" s="14" t="str">
        <x:v>Мелкая бытовая техника SDA</x:v>
      </x:c>
      <x:c r="C2703" s="14" t="str">
        <x:v>Электронная кухонная техника SDA</x:v>
      </x:c>
      <x:c r="D2703" s="14" t="str">
        <x:v>Кофеварка электрическая</x:v>
      </x:c>
      <x:c r="E2703" s="2" t="n">
        <x:v>238</x:v>
      </x:c>
      <x:c r="F2703" s="2" t="n">
        <x:v>0</x:v>
      </x:c>
      <x:c r="G2703" s="12" t="n">
        <x:v>53856174.4711</x:v>
      </x:c>
      <x:c r="H2703" s="12" t="n">
        <x:v>3521423.61669519</x:v>
      </x:c>
      <x:c r="I2703" s="13" t="n">
        <x:v>0.070003781512605</x:v>
      </x:c>
      <x:c r="J2703" s="2" t="n">
        <x:v>57</x:v>
      </x:c>
      <x:c r="K2703" s="2" t="n">
        <x:v>28</x:v>
      </x:c>
      <x:c r="L2703" s="12" t="n">
        <x:v>6816.18015</x:v>
      </x:c>
      <x:c r="M2703" s="13" t="n">
        <x:v>0.7646463134658456</x:v>
      </x:c>
      <x:c r="N2703" s="13" t="n">
        <x:f>H2703/G2703</x:f>
        <x:v>0.06538569906380626</x:v>
      </x:c>
      <x:c r="O2703" s="13" t="n">
        <x:f>F2703/E2703</x:f>
        <x:v>0</x:v>
      </x:c>
      <x:c r="P2703" s="2" t="str">
        <x:f>IF(AND(E2703&gt;='Итоги'!$F$5,N2703&lt;='Итоги'!$B$5,O2703&gt;='Итоги'!$D$5),"Да","Нет")</x:f>
        <x:v>Нет</x:v>
      </x:c>
    </x:row>
    <x:row r="2704" ht="60" customHeight="1">
      <x:c r="A2704" s="14" t="str">
        <x:v>Товары для животных</x:v>
      </x:c>
      <x:c r="B2704" s="14" t="str">
        <x:v>Товары для прогулки и дрессировки животных</x:v>
      </x:c>
      <x:c r="C2704" s="14" t="str">
        <x:v>Аксессуары для прогулки и дрессировки животных</x:v>
      </x:c>
      <x:c r="D2704" s="14" t="str">
        <x:v>Сумка для лакомств</x:v>
      </x:c>
      <x:c r="E2704" s="2" t="n">
        <x:v>2</x:v>
      </x:c>
      <x:c r="F2704" s="2" t="n">
        <x:v>0</x:v>
      </x:c>
      <x:c r="G2704" s="12" t="n">
        <x:v>169849.93219999998</x:v>
      </x:c>
      <x:c r="H2704" s="12" t="n">
        <x:v>11113.900748879998</x:v>
      </x:c>
      <x:c r="I2704" s="13" t="n">
        <x:v>0.0650999999999999</x:v>
      </x:c>
      <x:c r="J2704" s="2" t="n">
        <x:v>0</x:v>
      </x:c>
      <x:c r="K2704" s="2" t="n">
        <x:v>2</x:v>
      </x:c>
      <x:c r="L2704" s="12" t="n">
        <x:v>862.6034</x:v>
      </x:c>
      <x:c r="M2704" s="13" t="n">
        <x:v>0.5109035433574345</x:v>
      </x:c>
      <x:c r="N2704" s="13" t="n">
        <x:f>H2704/G2704</x:f>
        <x:v>0.06543364842673749</x:v>
      </x:c>
      <x:c r="O2704" s="13" t="n">
        <x:f>F2704/E2704</x:f>
        <x:v>0</x:v>
      </x:c>
      <x:c r="P2704" s="2" t="str">
        <x:f>IF(AND(E2704&gt;='Итоги'!$F$5,N2704&lt;='Итоги'!$B$5,O2704&gt;='Итоги'!$D$5),"Да","Нет")</x:f>
        <x:v>Нет</x:v>
      </x:c>
    </x:row>
    <x:row r="2705" ht="60" customHeight="1">
      <x:c r="A2705" s="14" t="str">
        <x:v>Аптека</x:v>
      </x:c>
      <x:c r="B2705" s="14" t="str">
        <x:v>Товары для взрослых</x:v>
      </x:c>
      <x:c r="C2705" s="14" t="str">
        <x:v>Товары для БДСМ</x:v>
      </x:c>
      <x:c r="D2705" s="14" t="str">
        <x:v>Секс машина</x:v>
      </x:c>
      <x:c r="E2705" s="2" t="n">
        <x:v>19</x:v>
      </x:c>
      <x:c r="F2705" s="2" t="n">
        <x:v>0</x:v>
      </x:c>
      <x:c r="G2705" s="12" t="n">
        <x:v>3326180.4516</x:v>
      </x:c>
      <x:c r="H2705" s="12" t="n">
        <x:v>217731.94899835</x:v>
      </x:c>
      <x:c r="I2705" s="13" t="n">
        <x:v>0.0807105263157894</x:v>
      </x:c>
      <x:c r="J2705" s="2" t="n">
        <x:v>6</x:v>
      </x:c>
      <x:c r="K2705" s="2" t="n">
        <x:v>6</x:v>
      </x:c>
      <x:c r="L2705" s="12" t="n">
        <x:v>6295.8689</x:v>
      </x:c>
      <x:c r="M2705" s="13" t="n">
        <x:v>0.4957983445265944</x:v>
      </x:c>
      <x:c r="N2705" s="13" t="n">
        <x:f>H2705/G2705</x:f>
        <x:v>0.06546005310494021</x:v>
      </x:c>
      <x:c r="O2705" s="13" t="n">
        <x:f>F2705/E2705</x:f>
        <x:v>0</x:v>
      </x:c>
      <x:c r="P2705" s="2" t="str">
        <x:f>IF(AND(E2705&gt;='Итоги'!$F$5,N2705&lt;='Итоги'!$B$5,O2705&gt;='Итоги'!$D$5),"Да","Нет")</x:f>
        <x:v>Нет</x:v>
      </x:c>
    </x:row>
    <x:row r="2706" ht="60" customHeight="1">
      <x:c r="A2706" s="14" t="str">
        <x:v>Автотовары</x:v>
      </x:c>
      <x:c r="B2706" s="14" t="str">
        <x:v>Дополнительное оборудование для авто и мото техники</x:v>
      </x:c>
      <x:c r="C2706" s="14" t="str">
        <x:v>Чехлы и накидки для автомобиля</x:v>
      </x:c>
      <x:c r="D2706" s="14" t="str">
        <x:v>Чехлы на сиденья авто</x:v>
      </x:c>
      <x:c r="E2706" s="2" t="n">
        <x:v>297</x:v>
      </x:c>
      <x:c r="F2706" s="2" t="n">
        <x:v>0</x:v>
      </x:c>
      <x:c r="G2706" s="12" t="n">
        <x:v>41062810.49</x:v>
      </x:c>
      <x:c r="H2706" s="12" t="n">
        <x:v>2694230.04079677</x:v>
      </x:c>
      <x:c r="I2706" s="13" t="n">
        <x:v>0.0623383838383838</x:v>
      </x:c>
      <x:c r="J2706" s="2" t="n">
        <x:v>72</x:v>
      </x:c>
      <x:c r="K2706" s="2" t="n">
        <x:v>41</x:v>
      </x:c>
      <x:c r="L2706" s="12" t="n">
        <x:v>3221</x:v>
      </x:c>
      <x:c r="M2706" s="13" t="n">
        <x:v>0.5492492662671614</x:v>
      </x:c>
      <x:c r="N2706" s="13" t="n">
        <x:f>H2706/G2706</x:f>
        <x:v>0.06561241202554545</x:v>
      </x:c>
      <x:c r="O2706" s="13" t="n">
        <x:f>F2706/E2706</x:f>
        <x:v>0</x:v>
      </x:c>
      <x:c r="P2706" s="2" t="str">
        <x:f>IF(AND(E2706&gt;='Итоги'!$F$5,N2706&lt;='Итоги'!$B$5,O2706&gt;='Итоги'!$D$5),"Да","Нет")</x:f>
        <x:v>Нет</x:v>
      </x:c>
    </x:row>
    <x:row r="2707" ht="60" customHeight="1">
      <x:c r="A2707" s="14" t="str">
        <x:v>Ноутбуки и компьютеры</x:v>
      </x:c>
      <x:c r="B2707" s="14" t="str">
        <x:v>Ноутбуки и стационарные компьютеры Lap&amp;Comp</x:v>
      </x:c>
      <x:c r="C2707" s="14" t="str">
        <x:v>Запчасти и комплектующие для ноутбука Lap&amp;Comp</x:v>
      </x:c>
      <x:c r="D2707" s="14" t="str">
        <x:v>Матрица для ноутбука</x:v>
      </x:c>
      <x:c r="E2707" s="2" t="n">
        <x:v>7</x:v>
      </x:c>
      <x:c r="F2707" s="2" t="n">
        <x:v>0</x:v>
      </x:c>
      <x:c r="G2707" s="12" t="n">
        <x:v>509445.4759</x:v>
      </x:c>
      <x:c r="H2707" s="12" t="n">
        <x:v>33426.95212011</x:v>
      </x:c>
      <x:c r="I2707" s="13" t="n">
        <x:v>0.0519285714285714</x:v>
      </x:c>
      <x:c r="J2707" s="2" t="n">
        <x:v>4</x:v>
      </x:c>
      <x:c r="K2707" s="2" t="n">
        <x:v>4</x:v>
      </x:c>
      <x:c r="L2707" s="12" t="n">
        <x:v>3074.2234</x:v>
      </x:c>
      <x:c r="M2707" s="13" t="n">
        <x:v>0.3920103140521381</x:v>
      </x:c>
      <x:c r="N2707" s="13" t="n">
        <x:f>H2707/G2707</x:f>
        <x:v>0.06561438603622312</x:v>
      </x:c>
      <x:c r="O2707" s="13" t="n">
        <x:f>F2707/E2707</x:f>
        <x:v>0</x:v>
      </x:c>
      <x:c r="P2707" s="2" t="str">
        <x:f>IF(AND(E2707&gt;='Итоги'!$F$5,N2707&lt;='Итоги'!$B$5,O2707&gt;='Итоги'!$D$5),"Да","Нет")</x:f>
        <x:v>Нет</x:v>
      </x:c>
    </x:row>
    <x:row r="2708" ht="60" customHeight="1">
      <x:c r="A2708" s="14" t="str">
        <x:v>Строительство и ремонт (DIY)</x:v>
      </x:c>
      <x:c r="B2708" s="14" t="str">
        <x:v>Сад и огород</x:v>
      </x:c>
      <x:c r="C2708" s="14" t="str">
        <x:v>Загородный отдых</x:v>
      </x:c>
      <x:c r="D2708" s="14" t="str">
        <x:v>Аксессуары для гриля, мангала, коптильни</x:v>
      </x:c>
      <x:c r="E2708" s="2" t="n">
        <x:v>46</x:v>
      </x:c>
      <x:c r="F2708" s="2" t="n">
        <x:v>0</x:v>
      </x:c>
      <x:c r="G2708" s="12" t="n">
        <x:v>8162850.3531</x:v>
      </x:c>
      <x:c r="H2708" s="12" t="n">
        <x:v>536070.95577815</x:v>
      </x:c>
      <x:c r="I2708" s="13" t="n">
        <x:v>0.0646478260869565</x:v>
      </x:c>
      <x:c r="J2708" s="2" t="n">
        <x:v>20</x:v>
      </x:c>
      <x:c r="K2708" s="2" t="n">
        <x:v>13</x:v>
      </x:c>
      <x:c r="L2708" s="12" t="n">
        <x:v>2398.86525</x:v>
      </x:c>
      <x:c r="M2708" s="13" t="n">
        <x:v>0.6548977244412936</x:v>
      </x:c>
      <x:c r="N2708" s="13" t="n">
        <x:f>H2708/G2708</x:f>
        <x:v>0.06567203030673797</x:v>
      </x:c>
      <x:c r="O2708" s="13" t="n">
        <x:f>F2708/E2708</x:f>
        <x:v>0</x:v>
      </x:c>
      <x:c r="P2708" s="2" t="str">
        <x:f>IF(AND(E2708&gt;='Итоги'!$F$5,N2708&lt;='Итоги'!$B$5,O2708&gt;='Итоги'!$D$5),"Да","Нет")</x:f>
        <x:v>Нет</x:v>
      </x:c>
    </x:row>
    <x:row r="2709" ht="60" customHeight="1">
      <x:c r="A2709" s="14" t="str">
        <x:v>Детская одежда</x:v>
      </x:c>
      <x:c r="B2709" s="14" t="str">
        <x:v>Детская одежда</x:v>
      </x:c>
      <x:c r="C2709" s="14" t="str">
        <x:v>Пляжная одежда для девочки</x:v>
      </x:c>
      <x:c r="D2709" s="14" t="str">
        <x:v>Накидка пляжная для девочки</x:v>
      </x:c>
      <x:c r="E2709" s="2" t="n">
        <x:v>5</x:v>
      </x:c>
      <x:c r="F2709" s="2" t="n">
        <x:v>0</x:v>
      </x:c>
      <x:c r="G2709" s="12" t="n">
        <x:v>545840.48</x:v>
      </x:c>
      <x:c r="H2709" s="12" t="n">
        <x:v>35865.89389600001</x:v>
      </x:c>
      <x:c r="I2709" s="13" t="n">
        <x:v>0.06852</x:v>
      </x:c>
      <x:c r="J2709" s="2" t="n">
        <x:v>0</x:v>
      </x:c>
      <x:c r="K2709" s="2" t="n">
        <x:v>3</x:v>
      </x:c>
      <x:c r="L2709" s="12" t="n">
        <x:v>1168.7301</x:v>
      </x:c>
      <x:c r="M2709" s="13" t="n">
        <x:v>0.7051838661727691</x:v>
      </x:c>
      <x:c r="N2709" s="13" t="n">
        <x:f>H2709/G2709</x:f>
        <x:v>0.06570764758231198</x:v>
      </x:c>
      <x:c r="O2709" s="13" t="n">
        <x:f>F2709/E2709</x:f>
        <x:v>0</x:v>
      </x:c>
      <x:c r="P2709" s="2" t="str">
        <x:f>IF(AND(E2709&gt;='Итоги'!$F$5,N2709&lt;='Итоги'!$B$5,O2709&gt;='Итоги'!$D$5),"Да","Нет")</x:f>
        <x:v>Нет</x:v>
      </x:c>
    </x:row>
    <x:row r="2710" ht="60" customHeight="1">
      <x:c r="A2710" s="14" t="str">
        <x:v>Товары для детей и спорта</x:v>
      </x:c>
      <x:c r="B2710" s="14" t="str">
        <x:v>КГТ и аксессуары для детей</x:v>
      </x:c>
      <x:c r="C2710" s="14" t="str">
        <x:v>Ванная комната и купание</x:v>
      </x:c>
      <x:c r="D2710" s="14" t="str">
        <x:v>Адаптер детский для унитаза</x:v>
      </x:c>
      <x:c r="E2710" s="2" t="n">
        <x:v>11</x:v>
      </x:c>
      <x:c r="F2710" s="2" t="n">
        <x:v>0</x:v>
      </x:c>
      <x:c r="G2710" s="12" t="n">
        <x:v>1263745.3605</x:v>
      </x:c>
      <x:c r="H2710" s="12" t="n">
        <x:v>83127.378178</x:v>
      </x:c>
      <x:c r="I2710" s="13" t="n">
        <x:v>0.0721545454545454</x:v>
      </x:c>
      <x:c r="J2710" s="2" t="n">
        <x:v>2</x:v>
      </x:c>
      <x:c r="K2710" s="2" t="n">
        <x:v>5</x:v>
      </x:c>
      <x:c r="L2710" s="12" t="n">
        <x:v>1453.2053</x:v>
      </x:c>
      <x:c r="M2710" s="13" t="n">
        <x:v>0.4264496609402191</x:v>
      </x:c>
      <x:c r="N2710" s="13" t="n">
        <x:f>H2710/G2710</x:f>
        <x:v>0.06577858228109396</x:v>
      </x:c>
      <x:c r="O2710" s="13" t="n">
        <x:f>F2710/E2710</x:f>
        <x:v>0</x:v>
      </x:c>
      <x:c r="P2710" s="2" t="str">
        <x:f>IF(AND(E2710&gt;='Итоги'!$F$5,N2710&lt;='Итоги'!$B$5,O2710&gt;='Итоги'!$D$5),"Да","Нет")</x:f>
        <x:v>Нет</x:v>
      </x:c>
    </x:row>
    <x:row r="2711" ht="60" customHeight="1">
      <x:c r="A2711" s="14" t="str">
        <x:v>Автотовары</x:v>
      </x:c>
      <x:c r="B2711" s="14" t="str">
        <x:v>Авто и мото запчасти</x:v>
      </x:c>
      <x:c r="C2711" s="14" t="str">
        <x:v>Электрооборудование автомобиля</x:v>
      </x:c>
      <x:c r="D2711" s="14" t="str">
        <x:v>Датчики автомобильные</x:v>
      </x:c>
      <x:c r="E2711" s="2" t="n">
        <x:v>65</x:v>
      </x:c>
      <x:c r="F2711" s="2" t="n">
        <x:v>0</x:v>
      </x:c>
      <x:c r="G2711" s="12" t="n">
        <x:v>8386788.358</x:v>
      </x:c>
      <x:c r="H2711" s="12" t="n">
        <x:v>551679.97772472</x:v>
      </x:c>
      <x:c r="I2711" s="13" t="n">
        <x:v>0.062836923076923</x:v>
      </x:c>
      <x:c r="J2711" s="2" t="n">
        <x:v>23</x:v>
      </x:c>
      <x:c r="K2711" s="2" t="n">
        <x:v>32</x:v>
      </x:c>
      <x:c r="L2711" s="12" t="n">
        <x:v>1684.9013</x:v>
      </x:c>
      <x:c r="M2711" s="13" t="n">
        <x:v>0.3312635050400302</x:v>
      </x:c>
      <x:c r="N2711" s="13" t="n">
        <x:f>H2711/G2711</x:f>
        <x:v>0.06577964700855755</x:v>
      </x:c>
      <x:c r="O2711" s="13" t="n">
        <x:f>F2711/E2711</x:f>
        <x:v>0</x:v>
      </x:c>
      <x:c r="P2711" s="2" t="str">
        <x:f>IF(AND(E2711&gt;='Итоги'!$F$5,N2711&lt;='Итоги'!$B$5,O2711&gt;='Итоги'!$D$5),"Да","Нет")</x:f>
        <x:v>Нет</x:v>
      </x:c>
    </x:row>
    <x:row r="2712" ht="60" customHeight="1">
      <x:c r="A2712" s="14" t="str">
        <x:v>Автотовары</x:v>
      </x:c>
      <x:c r="B2712" s="14" t="str">
        <x:v>Дополнительное оборудование для авто и мото техники</x:v>
      </x:c>
      <x:c r="C2712" s="14" t="str">
        <x:v>Дополнительное электрооборудование для авто</x:v>
      </x:c>
      <x:c r="D2712" s="14" t="str">
        <x:v>Камера переднего и заднего вида</x:v>
      </x:c>
      <x:c r="E2712" s="2" t="n">
        <x:v>59</x:v>
      </x:c>
      <x:c r="F2712" s="2" t="n">
        <x:v>0</x:v>
      </x:c>
      <x:c r="G2712" s="12" t="n">
        <x:v>9905683.1799</x:v>
      </x:c>
      <x:c r="H2712" s="12" t="n">
        <x:v>651752.85363523</x:v>
      </x:c>
      <x:c r="I2712" s="13" t="n">
        <x:v>0.0659338983050847</x:v>
      </x:c>
      <x:c r="J2712" s="2" t="n">
        <x:v>20</x:v>
      </x:c>
      <x:c r="K2712" s="2" t="n">
        <x:v>26</x:v>
      </x:c>
      <x:c r="L2712" s="12" t="n">
        <x:v>1802.3808</x:v>
      </x:c>
      <x:c r="M2712" s="13" t="n">
        <x:v>0.2401844704793009</x:v>
      </x:c>
      <x:c r="N2712" s="13" t="n">
        <x:f>H2712/G2712</x:f>
        <x:v>0.06579585090685382</x:v>
      </x:c>
      <x:c r="O2712" s="13" t="n">
        <x:f>F2712/E2712</x:f>
        <x:v>0</x:v>
      </x:c>
      <x:c r="P2712" s="2" t="str">
        <x:f>IF(AND(E2712&gt;='Итоги'!$F$5,N2712&lt;='Итоги'!$B$5,O2712&gt;='Итоги'!$D$5),"Да","Нет")</x:f>
        <x:v>Нет</x:v>
      </x:c>
    </x:row>
    <x:row r="2713" ht="60" customHeight="1">
      <x:c r="A2713" s="14" t="str">
        <x:v>Строительство и ремонт (DIY)</x:v>
      </x:c>
      <x:c r="B2713" s="14" t="str">
        <x:v>Сантехника</x:v>
      </x:c>
      <x:c r="C2713" s="14" t="str">
        <x:v>Аксессуары для сантехники</x:v>
      </x:c>
      <x:c r="D2713" s="14" t="str">
        <x:v>Аксессуары для сантехники</x:v>
      </x:c>
      <x:c r="E2713" s="2" t="n">
        <x:v>118</x:v>
      </x:c>
      <x:c r="F2713" s="2" t="n">
        <x:v>0</x:v>
      </x:c>
      <x:c r="G2713" s="12" t="n">
        <x:v>22057997.5991</x:v>
      </x:c>
      <x:c r="H2713" s="12" t="n">
        <x:v>1452088.36835362</x:v>
      </x:c>
      <x:c r="I2713" s="13" t="n">
        <x:v>0.0615533898305084</x:v>
      </x:c>
      <x:c r="J2713" s="2" t="n">
        <x:v>35</x:v>
      </x:c>
      <x:c r="K2713" s="2" t="n">
        <x:v>32</x:v>
      </x:c>
      <x:c r="L2713" s="12" t="n">
        <x:v>2760.34095</x:v>
      </x:c>
      <x:c r="M2713" s="13" t="n">
        <x:v>0.7700461638545577</x:v>
      </x:c>
      <x:c r="N2713" s="13" t="n">
        <x:f>H2713/G2713</x:f>
        <x:v>0.06583047086798428</x:v>
      </x:c>
      <x:c r="O2713" s="13" t="n">
        <x:f>F2713/E2713</x:f>
        <x:v>0</x:v>
      </x:c>
      <x:c r="P2713" s="2" t="str">
        <x:f>IF(AND(E2713&gt;='Итоги'!$F$5,N2713&lt;='Итоги'!$B$5,O2713&gt;='Итоги'!$D$5),"Да","Нет")</x:f>
        <x:v>Нет</x:v>
      </x:c>
    </x:row>
    <x:row r="2714" ht="60" customHeight="1">
      <x:c r="A2714" s="14" t="str">
        <x:v>Обувь</x:v>
      </x:c>
      <x:c r="B2714" s="14" t="str">
        <x:v>Обувь женская</x:v>
      </x:c>
      <x:c r="C2714" s="14" t="str">
        <x:v>Обувь женская домашняя</x:v>
      </x:c>
      <x:c r="D2714" s="14" t="str">
        <x:v>Женские Тапочки</x:v>
      </x:c>
      <x:c r="E2714" s="2" t="n">
        <x:v>31</x:v>
      </x:c>
      <x:c r="F2714" s="2" t="n">
        <x:v>0</x:v>
      </x:c>
      <x:c r="G2714" s="12" t="n">
        <x:v>2134576.1707</x:v>
      </x:c>
      <x:c r="H2714" s="12" t="n">
        <x:v>140528.6594782</x:v>
      </x:c>
      <x:c r="I2714" s="13" t="n">
        <x:v>0.0408483870967741</x:v>
      </x:c>
      <x:c r="J2714" s="2" t="n">
        <x:v>15</x:v>
      </x:c>
      <x:c r="K2714" s="2" t="n">
        <x:v>14</x:v>
      </x:c>
      <x:c r="L2714" s="12" t="n">
        <x:v>1254.9121</x:v>
      </x:c>
      <x:c r="M2714" s="13" t="n">
        <x:v>0.2643508540690559</x:v>
      </x:c>
      <x:c r="N2714" s="13" t="n">
        <x:f>H2714/G2714</x:f>
        <x:v>0.06583445529241333</x:v>
      </x:c>
      <x:c r="O2714" s="13" t="n">
        <x:f>F2714/E2714</x:f>
        <x:v>0</x:v>
      </x:c>
      <x:c r="P2714" s="2" t="str">
        <x:f>IF(AND(E2714&gt;='Итоги'!$F$5,N2714&lt;='Итоги'!$B$5,O2714&gt;='Итоги'!$D$5),"Да","Нет")</x:f>
        <x:v>Нет</x:v>
      </x:c>
    </x:row>
    <x:row r="2715" ht="60" customHeight="1">
      <x:c r="A2715" s="14" t="str">
        <x:v>Товары для дома</x:v>
      </x:c>
      <x:c r="B2715" s="14" t="str">
        <x:v>Кухня</x:v>
      </x:c>
      <x:c r="C2715" s="14" t="str">
        <x:v>Питьевое стекло, аксессуар для бара, сосуд для жидкости</x:v>
      </x:c>
      <x:c r="D2715" s="14" t="str">
        <x:v>Набор бокалов для вина</x:v>
      </x:c>
      <x:c r="E2715" s="2" t="n">
        <x:v>84</x:v>
      </x:c>
      <x:c r="F2715" s="2" t="n">
        <x:v>0</x:v>
      </x:c>
      <x:c r="G2715" s="12" t="n">
        <x:v>11576541.5304</x:v>
      </x:c>
      <x:c r="H2715" s="12" t="n">
        <x:v>762891.5581821899</x:v>
      </x:c>
      <x:c r="I2715" s="13" t="n">
        <x:v>0.0619095238095238</x:v>
      </x:c>
      <x:c r="J2715" s="2" t="n">
        <x:v>19</x:v>
      </x:c>
      <x:c r="K2715" s="2" t="n">
        <x:v>25</x:v>
      </x:c>
      <x:c r="L2715" s="12" t="n">
        <x:v>1344.6021999999998</x:v>
      </x:c>
      <x:c r="M2715" s="13" t="n">
        <x:v>0.3943773572453334</x:v>
      </x:c>
      <x:c r="N2715" s="13" t="n">
        <x:f>H2715/G2715</x:f>
        <x:v>0.06589978156937774</x:v>
      </x:c>
      <x:c r="O2715" s="13" t="n">
        <x:f>F2715/E2715</x:f>
        <x:v>0</x:v>
      </x:c>
      <x:c r="P2715" s="2" t="str">
        <x:f>IF(AND(E2715&gt;='Итоги'!$F$5,N2715&lt;='Итоги'!$B$5,O2715&gt;='Итоги'!$D$5),"Да","Нет")</x:f>
        <x:v>Нет</x:v>
      </x:c>
    </x:row>
    <x:row r="2716" ht="60" customHeight="1">
      <x:c r="A2716" s="14" t="str">
        <x:v>Аксессуары</x:v>
      </x:c>
      <x:c r="B2716" s="14" t="str">
        <x:v>Сумки и рюкзаки</x:v>
      </x:c>
      <x:c r="C2716" s="14" t="str">
        <x:v>Сумка женская</x:v>
      </x:c>
      <x:c r="D2716" s="14" t="str">
        <x:v>Женская Сумка на плечо</x:v>
      </x:c>
      <x:c r="E2716" s="2" t="n">
        <x:v>1078</x:v>
      </x:c>
      <x:c r="F2716" s="2" t="n">
        <x:v>0</x:v>
      </x:c>
      <x:c r="G2716" s="12" t="n">
        <x:v>124345389.2486</x:v>
      </x:c>
      <x:c r="H2716" s="12" t="n">
        <x:v>8194722.23068359</x:v>
      </x:c>
      <x:c r="I2716" s="13" t="n">
        <x:v>0.059458348794063</x:v>
      </x:c>
      <x:c r="J2716" s="2" t="n">
        <x:v>498</x:v>
      </x:c>
      <x:c r="K2716" s="2" t="n">
        <x:v>209</x:v>
      </x:c>
      <x:c r="L2716" s="12" t="n">
        <x:v>3493.2871</x:v>
      </x:c>
      <x:c r="M2716" s="13" t="n">
        <x:v>0.33060874810091</x:v>
      </x:c>
      <x:c r="N2716" s="13" t="n">
        <x:f>H2716/G2716</x:f>
        <x:v>0.06590290384068949</x:v>
      </x:c>
      <x:c r="O2716" s="13" t="n">
        <x:f>F2716/E2716</x:f>
        <x:v>0</x:v>
      </x:c>
      <x:c r="P2716" s="2" t="str">
        <x:f>IF(AND(E2716&gt;='Итоги'!$F$5,N2716&lt;='Итоги'!$B$5,O2716&gt;='Итоги'!$D$5),"Да","Нет")</x:f>
        <x:v>Нет</x:v>
      </x:c>
    </x:row>
    <x:row r="2717" ht="60" customHeight="1">
      <x:c r="A2717" s="14" t="str">
        <x:v>Строительство и ремонт (DIY)</x:v>
      </x:c>
      <x:c r="B2717" s="14" t="str">
        <x:v>Инструменты</x:v>
      </x:c>
      <x:c r="C2717" s="14" t="str">
        <x:v>Оснастка для инструмента</x:v>
      </x:c>
      <x:c r="D2717" s="14" t="str">
        <x:v>Хранение, переноска инструментов</x:v>
      </x:c>
      <x:c r="E2717" s="2" t="n">
        <x:v>50</x:v>
      </x:c>
      <x:c r="F2717" s="2" t="n">
        <x:v>0</x:v>
      </x:c>
      <x:c r="G2717" s="12" t="n">
        <x:v>10314503.9952</x:v>
      </x:c>
      <x:c r="H2717" s="12" t="n">
        <x:v>680264.24989108</x:v>
      </x:c>
      <x:c r="I2717" s="13" t="n">
        <x:v>0.060342</x:v>
      </x:c>
      <x:c r="J2717" s="2" t="n">
        <x:v>17</x:v>
      </x:c>
      <x:c r="K2717" s="2" t="n">
        <x:v>20</x:v>
      </x:c>
      <x:c r="L2717" s="12" t="n">
        <x:v>1650.14025</x:v>
      </x:c>
      <x:c r="M2717" s="13" t="n">
        <x:v>0.2255591343590233</x:v>
      </x:c>
      <x:c r="N2717" s="13" t="n">
        <x:f>H2717/G2717</x:f>
        <x:v>0.06595220189043026</x:v>
      </x:c>
      <x:c r="O2717" s="13" t="n">
        <x:f>F2717/E2717</x:f>
        <x:v>0</x:v>
      </x:c>
      <x:c r="P2717" s="2" t="str">
        <x:f>IF(AND(E2717&gt;='Итоги'!$F$5,N2717&lt;='Итоги'!$B$5,O2717&gt;='Итоги'!$D$5),"Да","Нет")</x:f>
        <x:v>Нет</x:v>
      </x:c>
    </x:row>
    <x:row r="2718" ht="60" customHeight="1">
      <x:c r="A2718" s="14" t="str">
        <x:v>Аптека</x:v>
      </x:c>
      <x:c r="B2718" s="14" t="str">
        <x:v>Витамины и БАДы</x:v>
      </x:c>
      <x:c r="C2718" s="14" t="str">
        <x:v>Витамины и минеральные вещества</x:v>
      </x:c>
      <x:c r="D2718" s="14" t="str">
        <x:v>Витаминно-минеральные комплексы</x:v>
      </x:c>
      <x:c r="E2718" s="2" t="n">
        <x:v>297</x:v>
      </x:c>
      <x:c r="F2718" s="2" t="n">
        <x:v>0</x:v>
      </x:c>
      <x:c r="G2718" s="12" t="n">
        <x:v>57679633.943</x:v>
      </x:c>
      <x:c r="H2718" s="12" t="n">
        <x:v>3804181.42108828</x:v>
      </x:c>
      <x:c r="I2718" s="13" t="n">
        <x:v>0.0677013468013467</x:v>
      </x:c>
      <x:c r="J2718" s="2" t="n">
        <x:v>117</x:v>
      </x:c>
      <x:c r="K2718" s="2" t="n">
        <x:v>47</x:v>
      </x:c>
      <x:c r="L2718" s="12" t="n">
        <x:v>1369.5068</x:v>
      </x:c>
      <x:c r="M2718" s="13" t="n">
        <x:v>0.7418777221417013</x:v>
      </x:c>
      <x:c r="N2718" s="13" t="n">
        <x:f>H2718/G2718</x:f>
        <x:v>0.0659536332156275</x:v>
      </x:c>
      <x:c r="O2718" s="13" t="n">
        <x:f>F2718/E2718</x:f>
        <x:v>0</x:v>
      </x:c>
      <x:c r="P2718" s="2" t="str">
        <x:f>IF(AND(E2718&gt;='Итоги'!$F$5,N2718&lt;='Итоги'!$B$5,O2718&gt;='Итоги'!$D$5),"Да","Нет")</x:f>
        <x:v>Нет</x:v>
      </x:c>
    </x:row>
    <x:row r="2719" ht="60" customHeight="1">
      <x:c r="A2719" s="14" t="str">
        <x:v>Мебель</x:v>
      </x:c>
      <x:c r="B2719" s="14" t="str">
        <x:v>Мебель для сна</x:v>
      </x:c>
      <x:c r="C2719" s="14" t="str">
        <x:v>Матрас</x:v>
      </x:c>
      <x:c r="D2719" s="14" t="str">
        <x:v>Матрас-топпер</x:v>
      </x:c>
      <x:c r="E2719" s="2" t="n">
        <x:v>142</x:v>
      </x:c>
      <x:c r="F2719" s="2" t="n">
        <x:v>0</x:v>
      </x:c>
      <x:c r="G2719" s="12" t="n">
        <x:v>20916561.11</x:v>
      </x:c>
      <x:c r="H2719" s="12" t="n">
        <x:v>1380612.34860655</x:v>
      </x:c>
      <x:c r="I2719" s="13" t="n">
        <x:v>0.0673014084507042</x:v>
      </x:c>
      <x:c r="J2719" s="2" t="n">
        <x:v>59</x:v>
      </x:c>
      <x:c r="K2719" s="2" t="n">
        <x:v>14</x:v>
      </x:c>
      <x:c r="L2719" s="12" t="n">
        <x:v>3601.51415</x:v>
      </x:c>
      <x:c r="M2719" s="13" t="n">
        <x:v>0.5863874154884918</x:v>
      </x:c>
      <x:c r="N2719" s="13" t="n">
        <x:f>H2719/G2719</x:f>
        <x:v>0.06600570434814415</x:v>
      </x:c>
      <x:c r="O2719" s="13" t="n">
        <x:f>F2719/E2719</x:f>
        <x:v>0</x:v>
      </x:c>
      <x:c r="P2719" s="2" t="str">
        <x:f>IF(AND(E2719&gt;='Итоги'!$F$5,N2719&lt;='Итоги'!$B$5,O2719&gt;='Итоги'!$D$5),"Да","Нет")</x:f>
        <x:v>Нет</x:v>
      </x:c>
    </x:row>
    <x:row r="2720" ht="60" customHeight="1">
      <x:c r="A2720" s="14" t="str">
        <x:v>Мебель</x:v>
      </x:c>
      <x:c r="B2720" s="14" t="str">
        <x:v>Корпусная мебель и мебель для хранения</x:v>
      </x:c>
      <x:c r="C2720" s="14" t="str">
        <x:v>Комод, тумба</x:v>
      </x:c>
      <x:c r="D2720" s="14" t="str">
        <x:v>Комоды</x:v>
      </x:c>
      <x:c r="E2720" s="2" t="n">
        <x:v>673</x:v>
      </x:c>
      <x:c r="F2720" s="2" t="n">
        <x:v>0</x:v>
      </x:c>
      <x:c r="G2720" s="12" t="n">
        <x:v>136709173.6062</x:v>
      </x:c>
      <x:c r="H2720" s="12" t="n">
        <x:v>9027007.75084769</x:v>
      </x:c>
      <x:c r="I2720" s="13" t="n">
        <x:v>0.065120059435364</x:v>
      </x:c>
      <x:c r="J2720" s="2" t="n">
        <x:v>162</x:v>
      </x:c>
      <x:c r="K2720" s="2" t="n">
        <x:v>61</x:v>
      </x:c>
      <x:c r="L2720" s="12" t="n">
        <x:v>3794</x:v>
      </x:c>
      <x:c r="M2720" s="13" t="n">
        <x:v>0.6828253081157275</x:v>
      </x:c>
      <x:c r="N2720" s="13" t="n">
        <x:f>H2720/G2720</x:f>
        <x:v>0.06603073892356774</x:v>
      </x:c>
      <x:c r="O2720" s="13" t="n">
        <x:f>F2720/E2720</x:f>
        <x:v>0</x:v>
      </x:c>
      <x:c r="P2720" s="2" t="str">
        <x:f>IF(AND(E2720&gt;='Итоги'!$F$5,N2720&lt;='Итоги'!$B$5,O2720&gt;='Итоги'!$D$5),"Да","Нет")</x:f>
        <x:v>Нет</x:v>
      </x:c>
    </x:row>
    <x:row r="2721" ht="60" customHeight="1">
      <x:c r="A2721" s="14" t="str">
        <x:v>Строительство и ремонт (DIY)</x:v>
      </x:c>
      <x:c r="B2721" s="14" t="str">
        <x:v>Ремонт и строительство</x:v>
      </x:c>
      <x:c r="C2721" s="14" t="str">
        <x:v>Строительная химия</x:v>
      </x:c>
      <x:c r="D2721" s="14" t="str">
        <x:v>Грунтовка строительная</x:v>
      </x:c>
      <x:c r="E2721" s="2" t="n">
        <x:v>55</x:v>
      </x:c>
      <x:c r="F2721" s="2" t="n">
        <x:v>0</x:v>
      </x:c>
      <x:c r="G2721" s="12" t="n">
        <x:v>8332894.8948</x:v>
      </x:c>
      <x:c r="H2721" s="12" t="n">
        <x:v>550256.77548054</x:v>
      </x:c>
      <x:c r="I2721" s="13" t="n">
        <x:v>0.0590127272727272</x:v>
      </x:c>
      <x:c r="J2721" s="2" t="n">
        <x:v>10</x:v>
      </x:c>
      <x:c r="K2721" s="2" t="n">
        <x:v>19</x:v>
      </x:c>
      <x:c r="L2721" s="12" t="n">
        <x:v>1781.3273</x:v>
      </x:c>
      <x:c r="M2721" s="13" t="n">
        <x:v>0.5808988923310042</x:v>
      </x:c>
      <x:c r="N2721" s="13" t="n">
        <x:f>H2721/G2721</x:f>
        <x:v>0.06603428729479335</x:v>
      </x:c>
      <x:c r="O2721" s="13" t="n">
        <x:f>F2721/E2721</x:f>
        <x:v>0</x:v>
      </x:c>
      <x:c r="P2721" s="2" t="str">
        <x:f>IF(AND(E2721&gt;='Итоги'!$F$5,N2721&lt;='Итоги'!$B$5,O2721&gt;='Итоги'!$D$5),"Да","Нет")</x:f>
        <x:v>Нет</x:v>
      </x:c>
    </x:row>
    <x:row r="2722" ht="60" customHeight="1">
      <x:c r="A2722" s="14" t="str">
        <x:v>Спорт и отдых</x:v>
      </x:c>
      <x:c r="B2722" s="14" t="str">
        <x:v>Тренажеры и фитнес</x:v>
      </x:c>
      <x:c r="C2722" s="14" t="str">
        <x:v>Фитнес</x:v>
      </x:c>
      <x:c r="D2722" s="14" t="str">
        <x:v>Обруч для фитнеса</x:v>
      </x:c>
      <x:c r="E2722" s="2" t="n">
        <x:v>20</x:v>
      </x:c>
      <x:c r="F2722" s="2" t="n">
        <x:v>0</x:v>
      </x:c>
      <x:c r="G2722" s="12" t="n">
        <x:v>3126739.5685</x:v>
      </x:c>
      <x:c r="H2722" s="12" t="n">
        <x:v>206488.67173362</x:v>
      </x:c>
      <x:c r="I2722" s="13" t="n">
        <x:v>0.062365</x:v>
      </x:c>
      <x:c r="J2722" s="2" t="n">
        <x:v>1</x:v>
      </x:c>
      <x:c r="K2722" s="2" t="n">
        <x:v>9</x:v>
      </x:c>
      <x:c r="L2722" s="12" t="n">
        <x:v>1554.74135</x:v>
      </x:c>
      <x:c r="M2722" s="13" t="n">
        <x:v>0.305641085950264</x:v>
      </x:c>
      <x:c r="N2722" s="13" t="n">
        <x:f>H2722/G2722</x:f>
        <x:v>0.06603961321686903</x:v>
      </x:c>
      <x:c r="O2722" s="13" t="n">
        <x:f>F2722/E2722</x:f>
        <x:v>0</x:v>
      </x:c>
      <x:c r="P2722" s="2" t="str">
        <x:f>IF(AND(E2722&gt;='Итоги'!$F$5,N2722&lt;='Итоги'!$B$5,O2722&gt;='Итоги'!$D$5),"Да","Нет")</x:f>
        <x:v>Нет</x:v>
      </x:c>
    </x:row>
    <x:row r="2723" ht="60" customHeight="1">
      <x:c r="A2723" s="14" t="str">
        <x:v>Строительство и ремонт (DIY)</x:v>
      </x:c>
      <x:c r="B2723" s="14" t="str">
        <x:v>Инструменты</x:v>
      </x:c>
      <x:c r="C2723" s="14" t="str">
        <x:v>Оснастка для инструмента</x:v>
      </x:c>
      <x:c r="D2723" s="14" t="str">
        <x:v>Бур, сверло, набор сверл</x:v>
      </x:c>
      <x:c r="E2723" s="2" t="n">
        <x:v>159</x:v>
      </x:c>
      <x:c r="F2723" s="2" t="n">
        <x:v>0</x:v>
      </x:c>
      <x:c r="G2723" s="12" t="n">
        <x:v>24258886.0147</x:v>
      </x:c>
      <x:c r="H2723" s="12" t="n">
        <x:v>1602079.09415453</x:v>
      </x:c>
      <x:c r="I2723" s="13" t="n">
        <x:v>0.0595490566037735</x:v>
      </x:c>
      <x:c r="J2723" s="2" t="n">
        <x:v>34</x:v>
      </x:c>
      <x:c r="K2723" s="2" t="n">
        <x:v>49</x:v>
      </x:c>
      <x:c r="L2723" s="12" t="n">
        <x:v>1744.9288</x:v>
      </x:c>
      <x:c r="M2723" s="13" t="n">
        <x:v>0.4261387564266455</x:v>
      </x:c>
      <x:c r="N2723" s="13" t="n">
        <x:f>H2723/G2723</x:f>
        <x:v>0.06604091767378471</x:v>
      </x:c>
      <x:c r="O2723" s="13" t="n">
        <x:f>F2723/E2723</x:f>
        <x:v>0</x:v>
      </x:c>
      <x:c r="P2723" s="2" t="str">
        <x:f>IF(AND(E2723&gt;='Итоги'!$F$5,N2723&lt;='Итоги'!$B$5,O2723&gt;='Итоги'!$D$5),"Да","Нет")</x:f>
        <x:v>Нет</x:v>
      </x:c>
    </x:row>
    <x:row r="2724" ht="60" customHeight="1">
      <x:c r="A2724" s="14" t="str">
        <x:v>Строительство и ремонт (DIY)</x:v>
      </x:c>
      <x:c r="B2724" s="14" t="str">
        <x:v>Инструменты</x:v>
      </x:c>
      <x:c r="C2724" s="14" t="str">
        <x:v>Электроинструмент для строительства, ремонта</x:v>
      </x:c>
      <x:c r="D2724" s="14" t="str">
        <x:v>Гравер электрический</x:v>
      </x:c>
      <x:c r="E2724" s="2" t="n">
        <x:v>89</x:v>
      </x:c>
      <x:c r="F2724" s="2" t="n">
        <x:v>0</x:v>
      </x:c>
      <x:c r="G2724" s="12" t="n">
        <x:v>17999266.7899</x:v>
      </x:c>
      <x:c r="H2724" s="12" t="n">
        <x:v>1188894.09470055</x:v>
      </x:c>
      <x:c r="I2724" s="13" t="n">
        <x:v>0.062291011235955</x:v>
      </x:c>
      <x:c r="J2724" s="2" t="n">
        <x:v>25</x:v>
      </x:c>
      <x:c r="K2724" s="2" t="n">
        <x:v>37</x:v>
      </x:c>
      <x:c r="L2724" s="12" t="n">
        <x:v>2617.25</x:v>
      </x:c>
      <x:c r="M2724" s="13" t="n">
        <x:v>0.3752354034548717</x:v>
      </x:c>
      <x:c r="N2724" s="13" t="n">
        <x:f>H2724/G2724</x:f>
        <x:v>0.06605236249777012</x:v>
      </x:c>
      <x:c r="O2724" s="13" t="n">
        <x:f>F2724/E2724</x:f>
        <x:v>0</x:v>
      </x:c>
      <x:c r="P2724" s="2" t="str">
        <x:f>IF(AND(E2724&gt;='Итоги'!$F$5,N2724&lt;='Итоги'!$B$5,O2724&gt;='Итоги'!$D$5),"Да","Нет")</x:f>
        <x:v>Нет</x:v>
      </x:c>
    </x:row>
    <x:row r="2725" ht="60" customHeight="1">
      <x:c r="A2725" s="14" t="str">
        <x:v>Товары для дома</x:v>
      </x:c>
      <x:c r="B2725" s="14" t="str">
        <x:v>Кухня</x:v>
      </x:c>
      <x:c r="C2725" s="14" t="str">
        <x:v>Банка, контейнер для хранения продуктов</x:v>
      </x:c>
      <x:c r="D2725" s="14" t="str">
        <x:v>Бочка, кадка, бак для соления</x:v>
      </x:c>
      <x:c r="E2725" s="2" t="n">
        <x:v>8</x:v>
      </x:c>
      <x:c r="F2725" s="2" t="n">
        <x:v>0</x:v>
      </x:c>
      <x:c r="G2725" s="12" t="n">
        <x:v>750659.7614</x:v>
      </x:c>
      <x:c r="H2725" s="12" t="n">
        <x:v>49612.622066200005</x:v>
      </x:c>
      <x:c r="I2725" s="13" t="n">
        <x:v>0.0571375</x:v>
      </x:c>
      <x:c r="J2725" s="2" t="n">
        <x:v>4</x:v>
      </x:c>
      <x:c r="K2725" s="2" t="n">
        <x:v>4</x:v>
      </x:c>
      <x:c r="L2725" s="12" t="n">
        <x:v>5875.3393</x:v>
      </x:c>
      <x:c r="M2725" s="13" t="n">
        <x:v>0.3783671572728049</x:v>
      </x:c>
      <x:c r="N2725" s="13" t="n">
        <x:f>H2725/G2725</x:f>
        <x:v>0.06609202280094403</x:v>
      </x:c>
      <x:c r="O2725" s="13" t="n">
        <x:f>F2725/E2725</x:f>
        <x:v>0</x:v>
      </x:c>
      <x:c r="P2725" s="2" t="str">
        <x:f>IF(AND(E2725&gt;='Итоги'!$F$5,N2725&lt;='Итоги'!$B$5,O2725&gt;='Итоги'!$D$5),"Да","Нет")</x:f>
        <x:v>Нет</x:v>
      </x:c>
    </x:row>
    <x:row r="2726" ht="60" customHeight="1">
      <x:c r="A2726" s="14" t="str">
        <x:v>Строительство и ремонт (DIY)</x:v>
      </x:c>
      <x:c r="B2726" s="14" t="str">
        <x:v>Ремонт и строительство</x:v>
      </x:c>
      <x:c r="C2726" s="14" t="str">
        <x:v>Строительная химия</x:v>
      </x:c>
      <x:c r="D2726" s="14" t="str">
        <x:v>Эпоксидная, полиэфирная смолы строительные</x:v>
      </x:c>
      <x:c r="E2726" s="2" t="n">
        <x:v>40</x:v>
      </x:c>
      <x:c r="F2726" s="2" t="n">
        <x:v>0</x:v>
      </x:c>
      <x:c r="G2726" s="12" t="n">
        <x:v>7337291.1862</x:v>
      </x:c>
      <x:c r="H2726" s="12" t="n">
        <x:v>485011.10337521</x:v>
      </x:c>
      <x:c r="I2726" s="13" t="n">
        <x:v>0.06715</x:v>
      </x:c>
      <x:c r="J2726" s="2" t="n">
        <x:v>11</x:v>
      </x:c>
      <x:c r="K2726" s="2" t="n">
        <x:v>11</x:v>
      </x:c>
      <x:c r="L2726" s="12" t="n">
        <x:v>2615.1389</x:v>
      </x:c>
      <x:c r="M2726" s="13" t="n">
        <x:v>0.4169399862654724</x:v>
      </x:c>
      <x:c r="N2726" s="13" t="n">
        <x:f>H2726/G2726</x:f>
        <x:v>0.066102201898082</x:v>
      </x:c>
      <x:c r="O2726" s="13" t="n">
        <x:f>F2726/E2726</x:f>
        <x:v>0</x:v>
      </x:c>
      <x:c r="P2726" s="2" t="str">
        <x:f>IF(AND(E2726&gt;='Итоги'!$F$5,N2726&lt;='Итоги'!$B$5,O2726&gt;='Итоги'!$D$5),"Да","Нет")</x:f>
        <x:v>Нет</x:v>
      </x:c>
    </x:row>
    <x:row r="2727" ht="60" customHeight="1">
      <x:c r="A2727" s="14" t="str">
        <x:v>Автотовары</x:v>
      </x:c>
      <x:c r="B2727" s="14" t="str">
        <x:v>Авто и мото запчасти</x:v>
      </x:c>
      <x:c r="C2727" s="14" t="str">
        <x:v>Электрооборудование автомобиля</x:v>
      </x:c>
      <x:c r="D2727" s="14" t="str">
        <x:v>ЭБУ авто и компоненты</x:v>
      </x:c>
      <x:c r="E2727" s="2" t="n">
        <x:v>27</x:v>
      </x:c>
      <x:c r="F2727" s="2" t="n">
        <x:v>0</x:v>
      </x:c>
      <x:c r="G2727" s="12" t="n">
        <x:v>3494877.8046</x:v>
      </x:c>
      <x:c r="H2727" s="12" t="n">
        <x:v>231036.94541085</x:v>
      </x:c>
      <x:c r="I2727" s="13" t="n">
        <x:v>0.0512814814814814</x:v>
      </x:c>
      <x:c r="J2727" s="2" t="n">
        <x:v>11</x:v>
      </x:c>
      <x:c r="K2727" s="2" t="n">
        <x:v>13</x:v>
      </x:c>
      <x:c r="L2727" s="12" t="n">
        <x:v>3087.2857</x:v>
      </x:c>
      <x:c r="M2727" s="13" t="n">
        <x:v>0.2036465863164731</x:v>
      </x:c>
      <x:c r="N2727" s="13" t="n">
        <x:f>H2727/G2727</x:f>
        <x:v>0.06610730283810107</x:v>
      </x:c>
      <x:c r="O2727" s="13" t="n">
        <x:f>F2727/E2727</x:f>
        <x:v>0</x:v>
      </x:c>
      <x:c r="P2727" s="2" t="str">
        <x:f>IF(AND(E2727&gt;='Итоги'!$F$5,N2727&lt;='Итоги'!$B$5,O2727&gt;='Итоги'!$D$5),"Да","Нет")</x:f>
        <x:v>Нет</x:v>
      </x:c>
    </x:row>
    <x:row r="2728" ht="60" customHeight="1">
      <x:c r="A2728" s="14" t="str">
        <x:v>Строительство и ремонт (DIY)</x:v>
      </x:c>
      <x:c r="B2728" s="14" t="str">
        <x:v>Ремонт и строительство</x:v>
      </x:c>
      <x:c r="C2728" s="14" t="str">
        <x:v>Строительная химия</x:v>
      </x:c>
      <x:c r="D2728" s="14" t="str">
        <x:v>Защитная лазурь</x:v>
      </x:c>
      <x:c r="E2728" s="2" t="n">
        <x:v>37</x:v>
      </x:c>
      <x:c r="F2728" s="2" t="n">
        <x:v>0</x:v>
      </x:c>
      <x:c r="G2728" s="12" t="n">
        <x:v>5497067.3957</x:v>
      </x:c>
      <x:c r="H2728" s="12" t="n">
        <x:v>363408.53821808</x:v>
      </x:c>
      <x:c r="I2728" s="13" t="n">
        <x:v>0.070827027027027</x:v>
      </x:c>
      <x:c r="J2728" s="2" t="n">
        <x:v>10</x:v>
      </x:c>
      <x:c r="K2728" s="2" t="n">
        <x:v>8</x:v>
      </x:c>
      <x:c r="L2728" s="12" t="n">
        <x:v>3963.8929</x:v>
      </x:c>
      <x:c r="M2728" s="13" t="n">
        <x:v>0.7572546305792421</x:v>
      </x:c>
      <x:c r="N2728" s="13" t="n">
        <x:f>H2728/G2728</x:f>
        <x:v>0.06610952932873826</x:v>
      </x:c>
      <x:c r="O2728" s="13" t="n">
        <x:f>F2728/E2728</x:f>
        <x:v>0</x:v>
      </x:c>
      <x:c r="P2728" s="2" t="str">
        <x:f>IF(AND(E2728&gt;='Итоги'!$F$5,N2728&lt;='Итоги'!$B$5,O2728&gt;='Итоги'!$D$5),"Да","Нет")</x:f>
        <x:v>Нет</x:v>
      </x:c>
    </x:row>
    <x:row r="2729" ht="60" customHeight="1">
      <x:c r="A2729" s="14" t="str">
        <x:v>Товары для дома</x:v>
      </x:c>
      <x:c r="B2729" s="14" t="str">
        <x:v>Кухня</x:v>
      </x:c>
      <x:c r="C2729" s="14" t="str">
        <x:v>Кухонная утварь и принадлежности</x:v>
      </x:c>
      <x:c r="D2729" s="14" t="str">
        <x:v>Мерная емкость, мерный совок/лопатка, емкость для миксера</x:v>
      </x:c>
      <x:c r="E2729" s="2" t="n">
        <x:v>2</x:v>
      </x:c>
      <x:c r="F2729" s="2" t="n">
        <x:v>0</x:v>
      </x:c>
      <x:c r="G2729" s="12" t="n">
        <x:v>194896.3626</x:v>
      </x:c>
      <x:c r="H2729" s="12" t="n">
        <x:v>12894.056367979998</x:v>
      </x:c>
      <x:c r="I2729" s="13" t="n">
        <x:v>0.06595</x:v>
      </x:c>
      <x:c r="J2729" s="2" t="n">
        <x:v>0</x:v>
      </x:c>
      <x:c r="K2729" s="2" t="n">
        <x:v>1</x:v>
      </x:c>
      <x:c r="L2729" s="12" t="n">
        <x:v>1095.484</x:v>
      </x:c>
      <x:c r="M2729" s="13" t="n">
        <x:v>1</x:v>
      </x:c>
      <x:c r="N2729" s="13" t="n">
        <x:f>H2729/G2729</x:f>
        <x:v>0.0661585275167162</x:v>
      </x:c>
      <x:c r="O2729" s="13" t="n">
        <x:f>F2729/E2729</x:f>
        <x:v>0</x:v>
      </x:c>
      <x:c r="P2729" s="2" t="str">
        <x:f>IF(AND(E2729&gt;='Итоги'!$F$5,N2729&lt;='Итоги'!$B$5,O2729&gt;='Итоги'!$D$5),"Да","Нет")</x:f>
        <x:v>Нет</x:v>
      </x:c>
    </x:row>
    <x:row r="2730" ht="60" customHeight="1">
      <x:c r="A2730" s="14" t="str">
        <x:v>Строительство и ремонт (DIY)</x:v>
      </x:c>
      <x:c r="B2730" s="14" t="str">
        <x:v>Сантехника</x:v>
      </x:c>
      <x:c r="C2730" s="14" t="str">
        <x:v>Душевая программа</x:v>
      </x:c>
      <x:c r="D2730" s="14" t="str">
        <x:v>Трап сливной для душа</x:v>
      </x:c>
      <x:c r="E2730" s="2" t="n">
        <x:v>71</x:v>
      </x:c>
      <x:c r="F2730" s="2" t="n">
        <x:v>0</x:v>
      </x:c>
      <x:c r="G2730" s="12" t="n">
        <x:v>12019182.1393</x:v>
      </x:c>
      <x:c r="H2730" s="12" t="n">
        <x:v>796426.11940685</x:v>
      </x:c>
      <x:c r="I2730" s="13" t="n">
        <x:v>0.076325352112676</x:v>
      </x:c>
      <x:c r="J2730" s="2" t="n">
        <x:v>7</x:v>
      </x:c>
      <x:c r="K2730" s="2" t="n">
        <x:v>9</x:v>
      </x:c>
      <x:c r="L2730" s="12" t="n">
        <x:v>4289.5833</x:v>
      </x:c>
      <x:c r="M2730" s="13" t="n">
        <x:v>0.8973754080016099</x:v>
      </x:c>
      <x:c r="N2730" s="13" t="n">
        <x:f>H2730/G2730</x:f>
        <x:v>0.06626292123510777</x:v>
      </x:c>
      <x:c r="O2730" s="13" t="n">
        <x:f>F2730/E2730</x:f>
        <x:v>0</x:v>
      </x:c>
      <x:c r="P2730" s="2" t="str">
        <x:f>IF(AND(E2730&gt;='Итоги'!$F$5,N2730&lt;='Итоги'!$B$5,O2730&gt;='Итоги'!$D$5),"Да","Нет")</x:f>
        <x:v>Нет</x:v>
      </x:c>
    </x:row>
    <x:row r="2731" ht="60" customHeight="1">
      <x:c r="A2731" s="14" t="str">
        <x:v>Аптека</x:v>
      </x:c>
      <x:c r="B2731" s="14" t="str">
        <x:v>Спортивное питание</x:v>
      </x:c>
      <x:c r="C2731" s="14" t="str">
        <x:v>Креатин</x:v>
      </x:c>
      <x:c r="D2731" s="14" t="str">
        <x:v>Креатиновый комплекс</x:v>
      </x:c>
      <x:c r="E2731" s="2" t="n">
        <x:v>13</x:v>
      </x:c>
      <x:c r="F2731" s="2" t="n">
        <x:v>0</x:v>
      </x:c>
      <x:c r="G2731" s="12" t="n">
        <x:v>2001551.3976</x:v>
      </x:c>
      <x:c r="H2731" s="12" t="n">
        <x:v>132749.23681801002</x:v>
      </x:c>
      <x:c r="I2731" s="13" t="n">
        <x:v>0.0906538461538461</x:v>
      </x:c>
      <x:c r="J2731" s="2" t="n">
        <x:v>4</x:v>
      </x:c>
      <x:c r="K2731" s="2" t="n">
        <x:v>1</x:v>
      </x:c>
      <x:c r="L2731" s="12" t="n">
        <x:v>1674.0713</x:v>
      </x:c>
      <x:c r="M2731" s="13" t="n">
        <x:v>1</x:v>
      </x:c>
      <x:c r="N2731" s="13" t="n">
        <x:f>H2731/G2731</x:f>
        <x:v>0.0663231716043793</x:v>
      </x:c>
      <x:c r="O2731" s="13" t="n">
        <x:f>F2731/E2731</x:f>
        <x:v>0</x:v>
      </x:c>
      <x:c r="P2731" s="2" t="str">
        <x:f>IF(AND(E2731&gt;='Итоги'!$F$5,N2731&lt;='Итоги'!$B$5,O2731&gt;='Итоги'!$D$5),"Да","Нет")</x:f>
        <x:v>Нет</x:v>
      </x:c>
    </x:row>
    <x:row r="2732" ht="60" customHeight="1">
      <x:c r="A2732" s="14" t="str">
        <x:v>Автотовары</x:v>
      </x:c>
      <x:c r="B2732" s="14" t="str">
        <x:v>Авто и мото запчасти</x:v>
      </x:c>
      <x:c r="C2732" s="14" t="str">
        <x:v>Подвеска автомобиля</x:v>
      </x:c>
      <x:c r="D2732" s="14" t="str">
        <x:v>Установочный комплект амортизатора</x:v>
      </x:c>
      <x:c r="E2732" s="2" t="n">
        <x:v>43</x:v>
      </x:c>
      <x:c r="F2732" s="2" t="n">
        <x:v>0</x:v>
      </x:c>
      <x:c r="G2732" s="12" t="n">
        <x:v>5203596.7587</x:v>
      </x:c>
      <x:c r="H2732" s="12" t="n">
        <x:v>345198.52349918</x:v>
      </x:c>
      <x:c r="I2732" s="13" t="n">
        <x:v>0.0596046511627907</x:v>
      </x:c>
      <x:c r="J2732" s="2" t="n">
        <x:v>19</x:v>
      </x:c>
      <x:c r="K2732" s="2" t="n">
        <x:v>18</x:v>
      </x:c>
      <x:c r="L2732" s="12" t="n">
        <x:v>1823.2881</x:v>
      </x:c>
      <x:c r="M2732" s="13" t="n">
        <x:v>0.4519502138915804</x:v>
      </x:c>
      <x:c r="N2732" s="13" t="n">
        <x:f>H2732/G2732</x:f>
        <x:v>0.06633844617610607</x:v>
      </x:c>
      <x:c r="O2732" s="13" t="n">
        <x:f>F2732/E2732</x:f>
        <x:v>0</x:v>
      </x:c>
      <x:c r="P2732" s="2" t="str">
        <x:f>IF(AND(E2732&gt;='Итоги'!$F$5,N2732&lt;='Итоги'!$B$5,O2732&gt;='Итоги'!$D$5),"Да","Нет")</x:f>
        <x:v>Нет</x:v>
      </x:c>
    </x:row>
    <x:row r="2733" ht="60" customHeight="1">
      <x:c r="A2733" s="14" t="str">
        <x:v>Ноутбуки и компьютеры</x:v>
      </x:c>
      <x:c r="B2733" s="14" t="str">
        <x:v>Компьютерная офисная техника Lap&amp;Comp</x:v>
      </x:c>
      <x:c r="C2733" s="14" t="str">
        <x:v>Компьютерная офисная техника Lap&amp;Comp</x:v>
      </x:c>
      <x:c r="D2733" s="14" t="str">
        <x:v>Проектор</x:v>
      </x:c>
      <x:c r="E2733" s="2" t="n">
        <x:v>194</x:v>
      </x:c>
      <x:c r="F2733" s="2" t="n">
        <x:v>0</x:v>
      </x:c>
      <x:c r="G2733" s="12" t="n">
        <x:v>56973534.76</x:v>
      </x:c>
      <x:c r="H2733" s="12" t="n">
        <x:v>3779877.33991996</x:v>
      </x:c>
      <x:c r="I2733" s="13" t="n">
        <x:v>0.0669170103092783</x:v>
      </x:c>
      <x:c r="J2733" s="2" t="n">
        <x:v>51</x:v>
      </x:c>
      <x:c r="K2733" s="2" t="n">
        <x:v>61</x:v>
      </x:c>
      <x:c r="L2733" s="12" t="n">
        <x:v>7639.681500000001</x:v>
      </x:c>
      <x:c r="M2733" s="13" t="n">
        <x:v>0.545093731626842</x:v>
      </x:c>
      <x:c r="N2733" s="13" t="n">
        <x:f>H2733/G2733</x:f>
        <x:v>0.06634444142956245</x:v>
      </x:c>
      <x:c r="O2733" s="13" t="n">
        <x:f>F2733/E2733</x:f>
        <x:v>0</x:v>
      </x:c>
      <x:c r="P2733" s="2" t="str">
        <x:f>IF(AND(E2733&gt;='Итоги'!$F$5,N2733&lt;='Итоги'!$B$5,O2733&gt;='Итоги'!$D$5),"Да","Нет")</x:f>
        <x:v>Нет</x:v>
      </x:c>
    </x:row>
    <x:row r="2734" ht="60" customHeight="1">
      <x:c r="A2734" s="14" t="str">
        <x:v>Спорт и отдых</x:v>
      </x:c>
      <x:c r="B2734" s="14" t="str">
        <x:v>Тренажеры и фитнес</x:v>
      </x:c>
      <x:c r="C2734" s="14" t="str">
        <x:v>Кардиотренажеры</x:v>
      </x:c>
      <x:c r="D2734" s="14" t="str">
        <x:v>Эллиптический тренажер</x:v>
      </x:c>
      <x:c r="E2734" s="2" t="n">
        <x:v>27</x:v>
      </x:c>
      <x:c r="F2734" s="2" t="n">
        <x:v>0</x:v>
      </x:c>
      <x:c r="G2734" s="12" t="n">
        <x:v>6679146.9761</x:v>
      </x:c>
      <x:c r="H2734" s="12" t="n">
        <x:v>443176.771463</x:v>
      </x:c>
      <x:c r="I2734" s="13" t="n">
        <x:v>0.0685333333333333</x:v>
      </x:c>
      <x:c r="J2734" s="2" t="n">
        <x:v>3</x:v>
      </x:c>
      <x:c r="K2734" s="2" t="n">
        <x:v>5</x:v>
      </x:c>
      <x:c r="L2734" s="12" t="n">
        <x:v>23344.3333</x:v>
      </x:c>
      <x:c r="M2734" s="13" t="n">
        <x:v>0.6139921901216449</x:v>
      </x:c>
      <x:c r="N2734" s="13" t="n">
        <x:f>H2734/G2734</x:f>
        <x:v>0.06635230113198887</x:v>
      </x:c>
      <x:c r="O2734" s="13" t="n">
        <x:f>F2734/E2734</x:f>
        <x:v>0</x:v>
      </x:c>
      <x:c r="P2734" s="2" t="str">
        <x:f>IF(AND(E2734&gt;='Итоги'!$F$5,N2734&lt;='Итоги'!$B$5,O2734&gt;='Итоги'!$D$5),"Да","Нет")</x:f>
        <x:v>Нет</x:v>
      </x:c>
    </x:row>
    <x:row r="2735" ht="60" customHeight="1">
      <x:c r="A2735" s="14" t="str">
        <x:v>Ноутбуки и компьютеры</x:v>
      </x:c>
      <x:c r="B2735" s="14" t="str">
        <x:v>Электронные товары хобби и отдых Lap&amp;Comp</x:v>
      </x:c>
      <x:c r="C2735" s="14" t="str">
        <x:v>Электронный оптический прибор Lap&amp;Comp</x:v>
      </x:c>
      <x:c r="D2735" s="14" t="str">
        <x:v>Микроскоп</x:v>
      </x:c>
      <x:c r="E2735" s="2" t="n">
        <x:v>44</x:v>
      </x:c>
      <x:c r="F2735" s="2" t="n">
        <x:v>0</x:v>
      </x:c>
      <x:c r="G2735" s="12" t="n">
        <x:v>8253498.0589</x:v>
      </x:c>
      <x:c r="H2735" s="12" t="n">
        <x:v>547749.96746202</x:v>
      </x:c>
      <x:c r="I2735" s="13" t="n">
        <x:v>0.058340909090909</x:v>
      </x:c>
      <x:c r="J2735" s="2" t="n">
        <x:v>15</x:v>
      </x:c>
      <x:c r="K2735" s="2" t="n">
        <x:v>12</x:v>
      </x:c>
      <x:c r="L2735" s="12" t="n">
        <x:v>4117.17895</x:v>
      </x:c>
      <x:c r="M2735" s="13" t="n">
        <x:v>0.4067834766471687</x:v>
      </x:c>
      <x:c r="N2735" s="13" t="n">
        <x:f>H2735/G2735</x:f>
        <x:v>0.0663657958786777</x:v>
      </x:c>
      <x:c r="O2735" s="13" t="n">
        <x:f>F2735/E2735</x:f>
        <x:v>0</x:v>
      </x:c>
      <x:c r="P2735" s="2" t="str">
        <x:f>IF(AND(E2735&gt;='Итоги'!$F$5,N2735&lt;='Итоги'!$B$5,O2735&gt;='Итоги'!$D$5),"Да","Нет")</x:f>
        <x:v>Нет</x:v>
      </x:c>
    </x:row>
    <x:row r="2736" ht="60" customHeight="1">
      <x:c r="A2736" s="14" t="str">
        <x:v>Мебель</x:v>
      </x:c>
      <x:c r="B2736" s="14" t="str">
        <x:v>Столы и стулья</x:v>
      </x:c>
      <x:c r="C2736" s="14" t="str">
        <x:v>Барный стул</x:v>
      </x:c>
      <x:c r="D2736" s="14" t="str">
        <x:v>Барные стулья</x:v>
      </x:c>
      <x:c r="E2736" s="2" t="n">
        <x:v>215</x:v>
      </x:c>
      <x:c r="F2736" s="2" t="n">
        <x:v>0</x:v>
      </x:c>
      <x:c r="G2736" s="12" t="n">
        <x:v>34794120.483500004</x:v>
      </x:c>
      <x:c r="H2736" s="12" t="n">
        <x:v>2311310.92127735</x:v>
      </x:c>
      <x:c r="I2736" s="13" t="n">
        <x:v>0.0627972093023255</x:v>
      </x:c>
      <x:c r="J2736" s="2" t="n">
        <x:v>45</x:v>
      </x:c>
      <x:c r="K2736" s="2" t="n">
        <x:v>9</x:v>
      </x:c>
      <x:c r="L2736" s="12" t="n">
        <x:v>7151.1739</x:v>
      </x:c>
      <x:c r="M2736" s="13" t="n">
        <x:v>0.9538886447478724</x:v>
      </x:c>
      <x:c r="N2736" s="13" t="n">
        <x:f>H2736/G2736</x:f>
        <x:v>0.06642820364933251</x:v>
      </x:c>
      <x:c r="O2736" s="13" t="n">
        <x:f>F2736/E2736</x:f>
        <x:v>0</x:v>
      </x:c>
      <x:c r="P2736" s="2" t="str">
        <x:f>IF(AND(E2736&gt;='Итоги'!$F$5,N2736&lt;='Итоги'!$B$5,O2736&gt;='Итоги'!$D$5),"Да","Нет")</x:f>
        <x:v>Нет</x:v>
      </x:c>
    </x:row>
    <x:row r="2737" ht="60" customHeight="1">
      <x:c r="A2737" s="14" t="str">
        <x:v>Одежда</x:v>
      </x:c>
      <x:c r="B2737" s="14" t="str">
        <x:v>Белье, домашняя одежда и ЧНИ</x:v>
      </x:c>
      <x:c r="C2737" s="14" t="str">
        <x:v>Белье мужское</x:v>
      </x:c>
      <x:c r="D2737" s="14" t="str">
        <x:v>Комплект мужского белья</x:v>
      </x:c>
      <x:c r="E2737" s="2" t="n">
        <x:v>9</x:v>
      </x:c>
      <x:c r="F2737" s="2" t="n">
        <x:v>0</x:v>
      </x:c>
      <x:c r="G2737" s="12" t="n">
        <x:v>804470.077</x:v>
      </x:c>
      <x:c r="H2737" s="12" t="n">
        <x:v>53449.9901588</x:v>
      </x:c>
      <x:c r="I2737" s="13" t="n">
        <x:v>0.0629111111111111</x:v>
      </x:c>
      <x:c r="J2737" s="2" t="n">
        <x:v>0</x:v>
      </x:c>
      <x:c r="K2737" s="2" t="n">
        <x:v>4</x:v>
      </x:c>
      <x:c r="L2737" s="12" t="n">
        <x:v>1361.8447</x:v>
      </x:c>
      <x:c r="M2737" s="13" t="n">
        <x:v>0.3374051910199265</x:v>
      </x:c>
      <x:c r="N2737" s="13" t="n">
        <x:f>H2737/G2737</x:f>
        <x:v>0.06644124087016849</x:v>
      </x:c>
      <x:c r="O2737" s="13" t="n">
        <x:f>F2737/E2737</x:f>
        <x:v>0</x:v>
      </x:c>
      <x:c r="P2737" s="2" t="str">
        <x:f>IF(AND(E2737&gt;='Итоги'!$F$5,N2737&lt;='Итоги'!$B$5,O2737&gt;='Итоги'!$D$5),"Да","Нет")</x:f>
        <x:v>Нет</x:v>
      </x:c>
    </x:row>
    <x:row r="2738" ht="60" customHeight="1">
      <x:c r="A2738" s="14" t="str">
        <x:v>Аксессуары</x:v>
      </x:c>
      <x:c r="B2738" s="14" t="str">
        <x:v>Ювелирные изделия</x:v>
      </x:c>
      <x:c r="C2738" s="14" t="str">
        <x:v>Серьги ювелирные</x:v>
      </x:c>
      <x:c r="D2738" s="14" t="str">
        <x:v>Серебро серьги</x:v>
      </x:c>
      <x:c r="E2738" s="2" t="n">
        <x:v>381</x:v>
      </x:c>
      <x:c r="F2738" s="2" t="n">
        <x:v>0</x:v>
      </x:c>
      <x:c r="G2738" s="12" t="n">
        <x:v>42119760.4</x:v>
      </x:c>
      <x:c r="H2738" s="12" t="n">
        <x:v>2799327.407314</x:v>
      </x:c>
      <x:c r="I2738" s="13" t="n">
        <x:v>0.0640963254593175</x:v>
      </x:c>
      <x:c r="J2738" s="2" t="n">
        <x:v>169</x:v>
      </x:c>
      <x:c r="K2738" s="2" t="n">
        <x:v>28</x:v>
      </x:c>
      <x:c r="L2738" s="12" t="n">
        <x:v>2051.9792</x:v>
      </x:c>
      <x:c r="M2738" s="13" t="n">
        <x:v>0.8975750279908999</x:v>
      </x:c>
      <x:c r="N2738" s="13" t="n">
        <x:f>H2738/G2738</x:f>
        <x:v>0.06646114272088785</x:v>
      </x:c>
      <x:c r="O2738" s="13" t="n">
        <x:f>F2738/E2738</x:f>
        <x:v>0</x:v>
      </x:c>
      <x:c r="P2738" s="2" t="str">
        <x:f>IF(AND(E2738&gt;='Итоги'!$F$5,N2738&lt;='Итоги'!$B$5,O2738&gt;='Итоги'!$D$5),"Да","Нет")</x:f>
        <x:v>Нет</x:v>
      </x:c>
    </x:row>
    <x:row r="2739" ht="60" customHeight="1">
      <x:c r="A2739" s="14" t="str">
        <x:v>Спорт и отдых</x:v>
      </x:c>
      <x:c r="B2739" s="14" t="str">
        <x:v>Зимние виды спорта</x:v>
      </x:c>
      <x:c r="C2739" s="14" t="str">
        <x:v>Горнолыжный спорт</x:v>
      </x:c>
      <x:c r="D2739" s="14" t="str">
        <x:v>Маски, очки горнолыжные</x:v>
      </x:c>
      <x:c r="E2739" s="2" t="n">
        <x:v>2</x:v>
      </x:c>
      <x:c r="F2739" s="2" t="n">
        <x:v>0</x:v>
      </x:c>
      <x:c r="G2739" s="12" t="n">
        <x:v>13913</x:v>
      </x:c>
      <x:c r="H2739" s="12" t="n">
        <x:v>926.3912</x:v>
      </x:c>
      <x:c r="I2739" s="13" t="n">
        <x:v>0.0526</x:v>
      </x:c>
      <x:c r="J2739" s="2" t="n">
        <x:v>1</x:v>
      </x:c>
      <x:c r="K2739" s="2" t="n">
        <x:v>2</x:v>
      </x:c>
      <x:c r="L2739" s="12" t="n">
        <x:v>4755</x:v>
      </x:c>
      <x:c r="M2739" s="13" t="n">
        <x:v>0.6329332279163372</x:v>
      </x:c>
      <x:c r="N2739" s="13" t="n">
        <x:f>H2739/G2739</x:f>
        <x:v>0.06658457557679869</x:v>
      </x:c>
      <x:c r="O2739" s="13" t="n">
        <x:f>F2739/E2739</x:f>
        <x:v>0</x:v>
      </x:c>
      <x:c r="P2739" s="2" t="str">
        <x:f>IF(AND(E2739&gt;='Итоги'!$F$5,N2739&lt;='Итоги'!$B$5,O2739&gt;='Итоги'!$D$5),"Да","Нет")</x:f>
        <x:v>Нет</x:v>
      </x:c>
    </x:row>
    <x:row r="2740" ht="60" customHeight="1">
      <x:c r="A2740" s="14" t="str">
        <x:v>Строительство и ремонт (DIY)</x:v>
      </x:c>
      <x:c r="B2740" s="14" t="str">
        <x:v>Сантехника</x:v>
      </x:c>
      <x:c r="C2740" s="14" t="str">
        <x:v>Аксессуары для сантехники</x:v>
      </x:c>
      <x:c r="D2740" s="14" t="str">
        <x:v>Сифон для сантехники</x:v>
      </x:c>
      <x:c r="E2740" s="2" t="n">
        <x:v>80</x:v>
      </x:c>
      <x:c r="F2740" s="2" t="n">
        <x:v>0</x:v>
      </x:c>
      <x:c r="G2740" s="12" t="n">
        <x:v>13633303.9972</x:v>
      </x:c>
      <x:c r="H2740" s="12" t="n">
        <x:v>908136.13064135</x:v>
      </x:c>
      <x:c r="I2740" s="13" t="n">
        <x:v>0.0782124999999999</x:v>
      </x:c>
      <x:c r="J2740" s="2" t="n">
        <x:v>22</x:v>
      </x:c>
      <x:c r="K2740" s="2" t="n">
        <x:v>22</x:v>
      </x:c>
      <x:c r="L2740" s="12" t="n">
        <x:v>1586.7811000000002</x:v>
      </x:c>
      <x:c r="M2740" s="13" t="n">
        <x:v>0.4810027894959878</x:v>
      </x:c>
      <x:c r="N2740" s="13" t="n">
        <x:f>H2740/G2740</x:f>
        <x:v>0.06661159545975522</x:v>
      </x:c>
      <x:c r="O2740" s="13" t="n">
        <x:f>F2740/E2740</x:f>
        <x:v>0</x:v>
      </x:c>
      <x:c r="P2740" s="2" t="str">
        <x:f>IF(AND(E2740&gt;='Итоги'!$F$5,N2740&lt;='Итоги'!$B$5,O2740&gt;='Итоги'!$D$5),"Да","Нет")</x:f>
        <x:v>Нет</x:v>
      </x:c>
    </x:row>
    <x:row r="2741" ht="60" customHeight="1">
      <x:c r="A2741" s="14" t="str">
        <x:v>Детская одежда</x:v>
      </x:c>
      <x:c r="B2741" s="14" t="str">
        <x:v>Детская одежда</x:v>
      </x:c>
      <x:c r="C2741" s="14" t="str">
        <x:v>Одежда для девочки</x:v>
      </x:c>
      <x:c r="D2741" s="14" t="str">
        <x:v>Водолазка для девочки</x:v>
      </x:c>
      <x:c r="E2741" s="2" t="n">
        <x:v>4</x:v>
      </x:c>
      <x:c r="F2741" s="2" t="n">
        <x:v>0</x:v>
      </x:c>
      <x:c r="G2741" s="12" t="n">
        <x:v>145739.49</x:v>
      </x:c>
      <x:c r="H2741" s="12" t="n">
        <x:v>9708.866042</x:v>
      </x:c>
      <x:c r="I2741" s="13" t="n">
        <x:v>0.04745</x:v>
      </x:c>
      <x:c r="J2741" s="2" t="n">
        <x:v>1</x:v>
      </x:c>
      <x:c r="K2741" s="2" t="n">
        <x:v>3</x:v>
      </x:c>
      <x:c r="L2741" s="12" t="n">
        <x:v>876.5018500000001</x:v>
      </x:c>
      <x:c r="M2741" s="13" t="n">
        <x:v>0.7251544519608241</x:v>
      </x:c>
      <x:c r="N2741" s="13" t="n">
        <x:f>H2741/G2741</x:f>
        <x:v>0.06661794989127517</x:v>
      </x:c>
      <x:c r="O2741" s="13" t="n">
        <x:f>F2741/E2741</x:f>
        <x:v>0</x:v>
      </x:c>
      <x:c r="P2741" s="2" t="str">
        <x:f>IF(AND(E2741&gt;='Итоги'!$F$5,N2741&lt;='Итоги'!$B$5,O2741&gt;='Итоги'!$D$5),"Да","Нет")</x:f>
        <x:v>Нет</x:v>
      </x:c>
    </x:row>
    <x:row r="2742" ht="60" customHeight="1">
      <x:c r="A2742" s="14" t="str">
        <x:v>Товары для красоты и здоровья</x:v>
      </x:c>
      <x:c r="B2742" s="14" t="str">
        <x:v>Косметика для ухода за кожей</x:v>
      </x:c>
      <x:c r="C2742" s="14" t="str">
        <x:v>Лицо</x:v>
      </x:c>
      <x:c r="D2742" s="14" t="str">
        <x:v>Лосьон, тоник для лица</x:v>
      </x:c>
      <x:c r="E2742" s="2" t="n">
        <x:v>180</x:v>
      </x:c>
      <x:c r="F2742" s="2" t="n">
        <x:v>0</x:v>
      </x:c>
      <x:c r="G2742" s="12" t="n">
        <x:v>27196091.8877</x:v>
      </x:c>
      <x:c r="H2742" s="12" t="n">
        <x:v>1811989.39077732</x:v>
      </x:c>
      <x:c r="I2742" s="13" t="n">
        <x:v>0.0625283333333333</x:v>
      </x:c>
      <x:c r="J2742" s="2" t="n">
        <x:v>59</x:v>
      </x:c>
      <x:c r="K2742" s="2" t="n">
        <x:v>44</x:v>
      </x:c>
      <x:c r="L2742" s="12" t="n">
        <x:v>1478.5911500000002</x:v>
      </x:c>
      <x:c r="M2742" s="13" t="n">
        <x:v>0.6337152544257544</x:v>
      </x:c>
      <x:c r="N2742" s="13" t="n">
        <x:f>H2742/G2742</x:f>
        <x:v>0.0666268299967331</x:v>
      </x:c>
      <x:c r="O2742" s="13" t="n">
        <x:f>F2742/E2742</x:f>
        <x:v>0</x:v>
      </x:c>
      <x:c r="P2742" s="2" t="str">
        <x:f>IF(AND(E2742&gt;='Итоги'!$F$5,N2742&lt;='Итоги'!$B$5,O2742&gt;='Итоги'!$D$5),"Да","Нет")</x:f>
        <x:v>Нет</x:v>
      </x:c>
    </x:row>
    <x:row r="2743" ht="60" customHeight="1">
      <x:c r="A2743" s="14" t="str">
        <x:v>Товары для красоты и здоровья</x:v>
      </x:c>
      <x:c r="B2743" s="14" t="str">
        <x:v>Декоративная косметика</x:v>
      </x:c>
      <x:c r="C2743" s="14" t="str">
        <x:v>Глаза, ресницы, брови</x:v>
      </x:c>
      <x:c r="D2743" s="14" t="str">
        <x:v>Средство для укладки ресниц, бровей</x:v>
      </x:c>
      <x:c r="E2743" s="2" t="n">
        <x:v>6</x:v>
      </x:c>
      <x:c r="F2743" s="2" t="n">
        <x:v>0</x:v>
      </x:c>
      <x:c r="G2743" s="12" t="n">
        <x:v>1213040.9617</x:v>
      </x:c>
      <x:c r="H2743" s="12" t="n">
        <x:v>80878.99449119</x:v>
      </x:c>
      <x:c r="I2743" s="13" t="n">
        <x:v>0.0806666666666666</x:v>
      </x:c>
      <x:c r="J2743" s="2" t="n">
        <x:v>0</x:v>
      </x:c>
      <x:c r="K2743" s="2" t="n">
        <x:v>1</x:v>
      </x:c>
      <x:c r="L2743" s="12" t="n">
        <x:v>696.02165</x:v>
      </x:c>
      <x:c r="M2743" s="13" t="n">
        <x:v>1</x:v>
      </x:c>
      <x:c r="N2743" s="13" t="n">
        <x:f>H2743/G2743</x:f>
        <x:v>0.06667457822516001</x:v>
      </x:c>
      <x:c r="O2743" s="13" t="n">
        <x:f>F2743/E2743</x:f>
        <x:v>0</x:v>
      </x:c>
      <x:c r="P2743" s="2" t="str">
        <x:f>IF(AND(E2743&gt;='Итоги'!$F$5,N2743&lt;='Итоги'!$B$5,O2743&gt;='Итоги'!$D$5),"Да","Нет")</x:f>
        <x:v>Нет</x:v>
      </x:c>
    </x:row>
    <x:row r="2744" ht="60" customHeight="1">
      <x:c r="A2744" s="14" t="str">
        <x:v>Одежда</x:v>
      </x:c>
      <x:c r="B2744" s="14" t="str">
        <x:v>Белье, домашняя одежда и ЧНИ</x:v>
      </x:c>
      <x:c r="C2744" s="14" t="str">
        <x:v>Белье женское</x:v>
      </x:c>
      <x:c r="D2744" s="14" t="str">
        <x:v>Корсет женский</x:v>
      </x:c>
      <x:c r="E2744" s="2" t="n">
        <x:v>92</x:v>
      </x:c>
      <x:c r="F2744" s="2" t="n">
        <x:v>0</x:v>
      </x:c>
      <x:c r="G2744" s="12" t="n">
        <x:v>8323582.8714</x:v>
      </x:c>
      <x:c r="H2744" s="12" t="n">
        <x:v>555384.9645875</x:v>
      </x:c>
      <x:c r="I2744" s="13" t="n">
        <x:v>0.0524478260869565</x:v>
      </x:c>
      <x:c r="J2744" s="2" t="n">
        <x:v>30</x:v>
      </x:c>
      <x:c r="K2744" s="2" t="n">
        <x:v>17</x:v>
      </x:c>
      <x:c r="L2744" s="12" t="n">
        <x:v>1667.42575</x:v>
      </x:c>
      <x:c r="M2744" s="13" t="n">
        <x:v>0.293806032364122</x:v>
      </x:c>
      <x:c r="N2744" s="13" t="n">
        <x:f>H2744/G2744</x:f>
        <x:v>0.06672426684136396</x:v>
      </x:c>
      <x:c r="O2744" s="13" t="n">
        <x:f>F2744/E2744</x:f>
        <x:v>0</x:v>
      </x:c>
      <x:c r="P2744" s="2" t="str">
        <x:f>IF(AND(E2744&gt;='Итоги'!$F$5,N2744&lt;='Итоги'!$B$5,O2744&gt;='Итоги'!$D$5),"Да","Нет")</x:f>
        <x:v>Нет</x:v>
      </x:c>
    </x:row>
    <x:row r="2745" ht="60" customHeight="1">
      <x:c r="A2745" s="14" t="str">
        <x:v>Детская одежда</x:v>
      </x:c>
      <x:c r="B2745" s="14" t="str">
        <x:v>Детская одежда</x:v>
      </x:c>
      <x:c r="C2745" s="14" t="str">
        <x:v>Головные уборы, перчатки, шарфы для девочки</x:v>
      </x:c>
      <x:c r="D2745" s="14" t="str">
        <x:v>Шляпа для девочки</x:v>
      </x:c>
      <x:c r="E2745" s="2" t="n">
        <x:v>1</x:v>
      </x:c>
      <x:c r="F2745" s="2" t="n">
        <x:v>0</x:v>
      </x:c>
      <x:c r="G2745" s="12" t="n">
        <x:v>80058.88</x:v>
      </x:c>
      <x:c r="H2745" s="12" t="n">
        <x:v>5347.933184</x:v>
      </x:c>
      <x:c r="I2745" s="13" t="n">
        <x:v>0.0668</x:v>
      </x:c>
      <x:c r="J2745" s="2" t="n">
        <x:v>0</x:v>
      </x:c>
      <x:c r="K2745" s="2" t="n">
        <x:v>1</x:v>
      </x:c>
      <x:c r="L2745" s="12" t="n">
        <x:v>625.46</x:v>
      </x:c>
      <x:c r="M2745" s="13" t="n">
        <x:v>1</x:v>
      </x:c>
      <x:c r="N2745" s="13" t="n">
        <x:f>H2745/G2745</x:f>
        <x:v>0.0668</x:v>
      </x:c>
      <x:c r="O2745" s="13" t="n">
        <x:f>F2745/E2745</x:f>
        <x:v>0</x:v>
      </x:c>
      <x:c r="P2745" s="2" t="str">
        <x:f>IF(AND(E2745&gt;='Итоги'!$F$5,N2745&lt;='Итоги'!$B$5,O2745&gt;='Итоги'!$D$5),"Да","Нет")</x:f>
        <x:v>Нет</x:v>
      </x:c>
    </x:row>
    <x:row r="2746" ht="60" customHeight="1">
      <x:c r="A2746" s="14" t="str">
        <x:v>Одежда</x:v>
      </x:c>
      <x:c r="B2746" s="14" t="str">
        <x:v>Белье, домашняя одежда и ЧНИ</x:v>
      </x:c>
      <x:c r="C2746" s="14" t="str">
        <x:v>Домашняя одежда мужская</x:v>
      </x:c>
      <x:c r="D2746" s="14" t="str">
        <x:v>Брюки, шорты, легинсы домашние мужские</x:v>
      </x:c>
      <x:c r="E2746" s="2" t="n">
        <x:v>5</x:v>
      </x:c>
      <x:c r="F2746" s="2" t="n">
        <x:v>0</x:v>
      </x:c>
      <x:c r="G2746" s="12" t="n">
        <x:v>248476.2541</x:v>
      </x:c>
      <x:c r="H2746" s="12" t="n">
        <x:v>16618.574592830002</x:v>
      </x:c>
      <x:c r="I2746" s="13" t="n">
        <x:v>0.04816</x:v>
      </x:c>
      <x:c r="J2746" s="2" t="n">
        <x:v>2</x:v>
      </x:c>
      <x:c r="K2746" s="2" t="n">
        <x:v>2</x:v>
      </x:c>
      <x:c r="L2746" s="12" t="n">
        <x:v>1026.6327</x:v>
      </x:c>
      <x:c r="M2746" s="13" t="n">
        <x:v>0.8923196902782027</x:v>
      </x:c>
      <x:c r="N2746" s="13" t="n">
        <x:f>H2746/G2746</x:f>
        <x:v>0.06688194271530594</x:v>
      </x:c>
      <x:c r="O2746" s="13" t="n">
        <x:f>F2746/E2746</x:f>
        <x:v>0</x:v>
      </x:c>
      <x:c r="P2746" s="2" t="str">
        <x:f>IF(AND(E2746&gt;='Итоги'!$F$5,N2746&lt;='Итоги'!$B$5,O2746&gt;='Итоги'!$D$5),"Да","Нет")</x:f>
        <x:v>Нет</x:v>
      </x:c>
    </x:row>
    <x:row r="2747" ht="60" customHeight="1">
      <x:c r="A2747" s="14" t="str">
        <x:v>Детская одежда</x:v>
      </x:c>
      <x:c r="B2747" s="14" t="str">
        <x:v>Детская одежда</x:v>
      </x:c>
      <x:c r="C2747" s="14" t="str">
        <x:v>Одежда спортивная для мальчика</x:v>
      </x:c>
      <x:c r="D2747" s="14" t="str">
        <x:v>Толстовка спортивная для мальчика</x:v>
      </x:c>
      <x:c r="E2747" s="2" t="n">
        <x:v>5</x:v>
      </x:c>
      <x:c r="F2747" s="2" t="n">
        <x:v>0</x:v>
      </x:c>
      <x:c r="G2747" s="12" t="n">
        <x:v>186198.31</x:v>
      </x:c>
      <x:c r="H2747" s="12" t="n">
        <x:v>12453.608098</x:v>
      </x:c>
      <x:c r="I2747" s="13" t="n">
        <x:v>0.0476599999999999</x:v>
      </x:c>
      <x:c r="J2747" s="2" t="n">
        <x:v>1</x:v>
      </x:c>
      <x:c r="K2747" s="2" t="n">
        <x:v>2</x:v>
      </x:c>
      <x:c r="L2747" s="12" t="n">
        <x:v>1519.0638</x:v>
      </x:c>
      <x:c r="M2747" s="13" t="n">
        <x:v>0.9813746966876338</x:v>
      </x:c>
      <x:c r="N2747" s="13" t="n">
        <x:f>H2747/G2747</x:f>
        <x:v>0.06688357213338833</x:v>
      </x:c>
      <x:c r="O2747" s="13" t="n">
        <x:f>F2747/E2747</x:f>
        <x:v>0</x:v>
      </x:c>
      <x:c r="P2747" s="2" t="str">
        <x:f>IF(AND(E2747&gt;='Итоги'!$F$5,N2747&lt;='Итоги'!$B$5,O2747&gt;='Итоги'!$D$5),"Да","Нет")</x:f>
        <x:v>Нет</x:v>
      </x:c>
    </x:row>
    <x:row r="2748" ht="60" customHeight="1">
      <x:c r="A2748" s="14" t="str">
        <x:v>Товары для красоты и здоровья</x:v>
      </x:c>
      <x:c r="B2748" s="14" t="str">
        <x:v>Косметика для ухода за кожей</x:v>
      </x:c>
      <x:c r="C2748" s="14" t="str">
        <x:v>Тело</x:v>
      </x:c>
      <x:c r="D2748" s="14" t="str">
        <x:v>Средство моделирующее для тела</x:v>
      </x:c>
      <x:c r="E2748" s="2" t="n">
        <x:v>7</x:v>
      </x:c>
      <x:c r="F2748" s="2" t="n">
        <x:v>0</x:v>
      </x:c>
      <x:c r="G2748" s="12" t="n">
        <x:v>1012203.5409</x:v>
      </x:c>
      <x:c r="H2748" s="12" t="n">
        <x:v>67743.80532</x:v>
      </x:c>
      <x:c r="I2748" s="13" t="n">
        <x:v>0.0618</x:v>
      </x:c>
      <x:c r="J2748" s="2" t="n">
        <x:v>3</x:v>
      </x:c>
      <x:c r="K2748" s="2" t="n">
        <x:v>5</x:v>
      </x:c>
      <x:c r="L2748" s="12" t="n">
        <x:v>1815.8721</x:v>
      </x:c>
      <x:c r="M2748" s="13" t="n">
        <x:v>0.3228658928711321</x:v>
      </x:c>
      <x:c r="N2748" s="13" t="n">
        <x:f>H2748/G2748</x:f>
        <x:v>0.06692705822760277</x:v>
      </x:c>
      <x:c r="O2748" s="13" t="n">
        <x:f>F2748/E2748</x:f>
        <x:v>0</x:v>
      </x:c>
      <x:c r="P2748" s="2" t="str">
        <x:f>IF(AND(E2748&gt;='Итоги'!$F$5,N2748&lt;='Итоги'!$B$5,O2748&gt;='Итоги'!$D$5),"Да","Нет")</x:f>
        <x:v>Нет</x:v>
      </x:c>
    </x:row>
    <x:row r="2749" ht="60" customHeight="1">
      <x:c r="A2749" s="14" t="str">
        <x:v>Товары для дома</x:v>
      </x:c>
      <x:c r="B2749" s="14" t="str">
        <x:v>Интерьер и декор</x:v>
      </x:c>
      <x:c r="C2749" s="14" t="str">
        <x:v>Ароматы для дома</x:v>
      </x:c>
      <x:c r="D2749" s="14" t="str">
        <x:v>Парфюмерный спрей для дома</x:v>
      </x:c>
      <x:c r="E2749" s="2" t="n">
        <x:v>3</x:v>
      </x:c>
      <x:c r="F2749" s="2" t="n">
        <x:v>0</x:v>
      </x:c>
      <x:c r="G2749" s="12" t="n">
        <x:v>171609.5043</x:v>
      </x:c>
      <x:c r="H2749" s="12" t="n">
        <x:v>11486.09110616</x:v>
      </x:c>
      <x:c r="I2749" s="13" t="n">
        <x:v>0.0237333333333333</x:v>
      </x:c>
      <x:c r="J2749" s="2" t="n">
        <x:v>2</x:v>
      </x:c>
      <x:c r="K2749" s="2" t="n">
        <x:v>2</x:v>
      </x:c>
      <x:c r="L2749" s="12" t="n">
        <x:v>1684</x:v>
      </x:c>
      <x:c r="M2749" s="13" t="n">
        <x:v>0.9400499404624176</x:v>
      </x:c>
      <x:c r="N2749" s="13" t="n">
        <x:f>H2749/G2749</x:f>
        <x:v>0.06693155576092413</x:v>
      </x:c>
      <x:c r="O2749" s="13" t="n">
        <x:f>F2749/E2749</x:f>
        <x:v>0</x:v>
      </x:c>
      <x:c r="P2749" s="2" t="str">
        <x:f>IF(AND(E2749&gt;='Итоги'!$F$5,N2749&lt;='Итоги'!$B$5,O2749&gt;='Итоги'!$D$5),"Да","Нет")</x:f>
        <x:v>Нет</x:v>
      </x:c>
    </x:row>
    <x:row r="2750" ht="60" customHeight="1">
      <x:c r="A2750" s="14" t="str">
        <x:v>Строительство и ремонт (DIY)</x:v>
      </x:c>
      <x:c r="B2750" s="14" t="str">
        <x:v>Ремонт и строительство</x:v>
      </x:c>
      <x:c r="C2750" s="14" t="str">
        <x:v>Вентиляционные системы</x:v>
      </x:c>
      <x:c r="D2750" s="14" t="str">
        <x:v>Вентилятор промышленный</x:v>
      </x:c>
      <x:c r="E2750" s="2" t="n">
        <x:v>15</x:v>
      </x:c>
      <x:c r="F2750" s="2" t="n">
        <x:v>0</x:v>
      </x:c>
      <x:c r="G2750" s="12" t="n">
        <x:v>1290914.25</x:v>
      </x:c>
      <x:c r="H2750" s="12" t="n">
        <x:v>86506.11290000001</x:v>
      </x:c>
      <x:c r="I2750" s="13" t="n">
        <x:v>0.07612</x:v>
      </x:c>
      <x:c r="J2750" s="2" t="n">
        <x:v>5</x:v>
      </x:c>
      <x:c r="K2750" s="2" t="n">
        <x:v>3</x:v>
      </x:c>
      <x:c r="L2750" s="12" t="n">
        <x:v>5245.8889</x:v>
      </x:c>
      <x:c r="M2750" s="13" t="n">
        <x:v>0.5091756094566312</x:v>
      </x:c>
      <x:c r="N2750" s="13" t="n">
        <x:f>H2750/G2750</x:f>
        <x:v>0.06701150978850842</x:v>
      </x:c>
      <x:c r="O2750" s="13" t="n">
        <x:f>F2750/E2750</x:f>
        <x:v>0</x:v>
      </x:c>
      <x:c r="P2750" s="2" t="str">
        <x:f>IF(AND(E2750&gt;='Итоги'!$F$5,N2750&lt;='Итоги'!$B$5,O2750&gt;='Итоги'!$D$5),"Да","Нет")</x:f>
        <x:v>Нет</x:v>
      </x:c>
    </x:row>
    <x:row r="2751" ht="60" customHeight="1">
      <x:c r="A2751" s="14" t="str">
        <x:v>Товары для детей и спорта</x:v>
      </x:c>
      <x:c r="B2751" s="14" t="str">
        <x:v>Спорт детский</x:v>
      </x:c>
      <x:c r="C2751" s="14" t="str">
        <x:v>Детский транспорт и аксессуары</x:v>
      </x:c>
      <x:c r="D2751" s="14" t="str">
        <x:v>Прыгунки</x:v>
      </x:c>
      <x:c r="E2751" s="2" t="n">
        <x:v>5</x:v>
      </x:c>
      <x:c r="F2751" s="2" t="n">
        <x:v>0</x:v>
      </x:c>
      <x:c r="G2751" s="12" t="n">
        <x:v>600089.8484</x:v>
      </x:c>
      <x:c r="H2751" s="12" t="n">
        <x:v>40219.26584198</x:v>
      </x:c>
      <x:c r="I2751" s="13" t="n">
        <x:v>0.0756199999999999</x:v>
      </x:c>
      <x:c r="J2751" s="2" t="n">
        <x:v>2</x:v>
      </x:c>
      <x:c r="K2751" s="2" t="n">
        <x:v>2</x:v>
      </x:c>
      <x:c r="L2751" s="12" t="n">
        <x:v>920.8989</x:v>
      </x:c>
      <x:c r="M2751" s="13" t="n">
        <x:v>0.7958979803998296</x:v>
      </x:c>
      <x:c r="N2751" s="13" t="n">
        <x:f>H2751/G2751</x:f>
        <x:v>0.06702207335987322</x:v>
      </x:c>
      <x:c r="O2751" s="13" t="n">
        <x:f>F2751/E2751</x:f>
        <x:v>0</x:v>
      </x:c>
      <x:c r="P2751" s="2" t="str">
        <x:f>IF(AND(E2751&gt;='Итоги'!$F$5,N2751&lt;='Итоги'!$B$5,O2751&gt;='Итоги'!$D$5),"Да","Нет")</x:f>
        <x:v>Нет</x:v>
      </x:c>
    </x:row>
    <x:row r="2752" ht="60" customHeight="1">
      <x:c r="A2752" s="14" t="str">
        <x:v>Аксессуары для электроники</x:v>
      </x:c>
      <x:c r="B2752" s="14" t="str">
        <x:v>Фото и видео Access</x:v>
      </x:c>
      <x:c r="C2752" s="14" t="str">
        <x:v>Аксессуар к фото и видео Access</x:v>
      </x:c>
      <x:c r="D2752" s="14" t="str">
        <x:v>Аксессуары для экшен камеры</x:v>
      </x:c>
      <x:c r="E2752" s="2" t="n">
        <x:v>26</x:v>
      </x:c>
      <x:c r="F2752" s="2" t="n">
        <x:v>0</x:v>
      </x:c>
      <x:c r="G2752" s="12" t="n">
        <x:v>2986446.7082</x:v>
      </x:c>
      <x:c r="H2752" s="12" t="n">
        <x:v>200304.97907311</x:v>
      </x:c>
      <x:c r="I2752" s="13" t="n">
        <x:v>0.0691076923076923</x:v>
      </x:c>
      <x:c r="J2752" s="2" t="n">
        <x:v>9</x:v>
      </x:c>
      <x:c r="K2752" s="2" t="n">
        <x:v>12</x:v>
      </x:c>
      <x:c r="L2752" s="12" t="n">
        <x:v>2221.14305</x:v>
      </x:c>
      <x:c r="M2752" s="13" t="n">
        <x:v>0.2266385549896349</x:v>
      </x:c>
      <x:c r="N2752" s="13" t="n">
        <x:f>H2752/G2752</x:f>
        <x:v>0.06707133883324454</x:v>
      </x:c>
      <x:c r="O2752" s="13" t="n">
        <x:f>F2752/E2752</x:f>
        <x:v>0</x:v>
      </x:c>
      <x:c r="P2752" s="2" t="str">
        <x:f>IF(AND(E2752&gt;='Итоги'!$F$5,N2752&lt;='Итоги'!$B$5,O2752&gt;='Итоги'!$D$5),"Да","Нет")</x:f>
        <x:v>Нет</x:v>
      </x:c>
    </x:row>
    <x:row r="2753" ht="60" customHeight="1">
      <x:c r="A2753" s="14" t="str">
        <x:v>Аксессуары</x:v>
      </x:c>
      <x:c r="B2753" s="14" t="str">
        <x:v>Бижутерия и часы бижутерные</x:v>
      </x:c>
      <x:c r="C2753" s="14" t="str">
        <x:v>Часы бижу</x:v>
      </x:c>
      <x:c r="D2753" s="14" t="str">
        <x:v>Бижу часы наручные мужские</x:v>
      </x:c>
      <x:c r="E2753" s="2" t="n">
        <x:v>378</x:v>
      </x:c>
      <x:c r="F2753" s="2" t="n">
        <x:v>0</x:v>
      </x:c>
      <x:c r="G2753" s="12" t="n">
        <x:v>44200196.5713</x:v>
      </x:c>
      <x:c r="H2753" s="12" t="n">
        <x:v>2965083.93223512</x:v>
      </x:c>
      <x:c r="I2753" s="13" t="n">
        <x:v>0.0579338624338624</x:v>
      </x:c>
      <x:c r="J2753" s="2" t="n">
        <x:v>154</x:v>
      </x:c>
      <x:c r="K2753" s="2" t="n">
        <x:v>36</x:v>
      </x:c>
      <x:c r="L2753" s="12" t="n">
        <x:v>4302.20175</x:v>
      </x:c>
      <x:c r="M2753" s="13" t="n">
        <x:v>0.6901712844758685</x:v>
      </x:c>
      <x:c r="N2753" s="13" t="n">
        <x:f>H2753/G2753</x:f>
        <x:v>0.06708304854373438</x:v>
      </x:c>
      <x:c r="O2753" s="13" t="n">
        <x:f>F2753/E2753</x:f>
        <x:v>0</x:v>
      </x:c>
      <x:c r="P2753" s="2" t="str">
        <x:f>IF(AND(E2753&gt;='Итоги'!$F$5,N2753&lt;='Итоги'!$B$5,O2753&gt;='Итоги'!$D$5),"Да","Нет")</x:f>
        <x:v>Нет</x:v>
      </x:c>
    </x:row>
    <x:row r="2754" ht="60" customHeight="1">
      <x:c r="A2754" s="14" t="str">
        <x:v>Бакалея и кондитерские изделия</x:v>
      </x:c>
      <x:c r="B2754" s="14" t="str">
        <x:v>Бакалея</x:v>
      </x:c>
      <x:c r="C2754" s="14" t="str">
        <x:v>Снэки, чипсы, готовые завтраки</x:v>
      </x:c>
      <x:c r="D2754" s="14" t="str">
        <x:v>Мясо вяленое, сушеное</x:v>
      </x:c>
      <x:c r="E2754" s="2" t="n">
        <x:v>19</x:v>
      </x:c>
      <x:c r="F2754" s="2" t="n">
        <x:v>0</x:v>
      </x:c>
      <x:c r="G2754" s="12" t="n">
        <x:v>2350126.605</x:v>
      </x:c>
      <x:c r="H2754" s="12" t="n">
        <x:v>157658.77532944</x:v>
      </x:c>
      <x:c r="I2754" s="13" t="n">
        <x:v>0.0696052631578947</x:v>
      </x:c>
      <x:c r="J2754" s="2" t="n">
        <x:v>0</x:v>
      </x:c>
      <x:c r="K2754" s="2" t="n">
        <x:v>4</x:v>
      </x:c>
      <x:c r="L2754" s="12" t="n">
        <x:v>1141.5441</x:v>
      </x:c>
      <x:c r="M2754" s="13" t="n">
        <x:v>0.534596716333076</x:v>
      </x:c>
      <x:c r="N2754" s="13" t="n">
        <x:f>H2754/G2754</x:f>
        <x:v>0.06708522638483129</x:v>
      </x:c>
      <x:c r="O2754" s="13" t="n">
        <x:f>F2754/E2754</x:f>
        <x:v>0</x:v>
      </x:c>
      <x:c r="P2754" s="2" t="str">
        <x:f>IF(AND(E2754&gt;='Итоги'!$F$5,N2754&lt;='Итоги'!$B$5,O2754&gt;='Итоги'!$D$5),"Да","Нет")</x:f>
        <x:v>Нет</x:v>
      </x:c>
    </x:row>
    <x:row r="2755" ht="60" customHeight="1">
      <x:c r="A2755" s="14" t="str">
        <x:v>Детская одежда</x:v>
      </x:c>
      <x:c r="B2755" s="14" t="str">
        <x:v>Детская одежда</x:v>
      </x:c>
      <x:c r="C2755" s="14" t="str">
        <x:v>Верхняя одежда для девочки</x:v>
      </x:c>
      <x:c r="D2755" s="14" t="str">
        <x:v>Пальто демисезонное для девочки</x:v>
      </x:c>
      <x:c r="E2755" s="2" t="n">
        <x:v>12</x:v>
      </x:c>
      <x:c r="F2755" s="2" t="n">
        <x:v>0</x:v>
      </x:c>
      <x:c r="G2755" s="12" t="n">
        <x:v>387802.51</x:v>
      </x:c>
      <x:c r="H2755" s="12" t="n">
        <x:v>26016.424486</x:v>
      </x:c>
      <x:c r="I2755" s="13" t="n">
        <x:v>0.0251916666666666</x:v>
      </x:c>
      <x:c r="J2755" s="2" t="n">
        <x:v>9</x:v>
      </x:c>
      <x:c r="K2755" s="2" t="n">
        <x:v>2</x:v>
      </x:c>
      <x:c r="L2755" s="12" t="n">
        <x:v>3727</x:v>
      </x:c>
      <x:c r="M2755" s="13" t="n">
        <x:v>0.9630140351592876</x:v>
      </x:c>
      <x:c r="N2755" s="13" t="n">
        <x:f>H2755/G2755</x:f>
        <x:v>0.06708678725674055</x:v>
      </x:c>
      <x:c r="O2755" s="13" t="n">
        <x:f>F2755/E2755</x:f>
        <x:v>0</x:v>
      </x:c>
      <x:c r="P2755" s="2" t="str">
        <x:f>IF(AND(E2755&gt;='Итоги'!$F$5,N2755&lt;='Итоги'!$B$5,O2755&gt;='Итоги'!$D$5),"Да","Нет")</x:f>
        <x:v>Нет</x:v>
      </x:c>
    </x:row>
    <x:row r="2756" ht="60" customHeight="1">
      <x:c r="A2756" s="14" t="str">
        <x:v>Ноутбуки и компьютеры</x:v>
      </x:c>
      <x:c r="B2756" s="14" t="str">
        <x:v>Фото и видео Lap&amp;Comp</x:v>
      </x:c>
      <x:c r="C2756" s="14" t="str">
        <x:v>Аксессуар к фото и видео Lap&amp;Comp</x:v>
      </x:c>
      <x:c r="D2756" s="14" t="str">
        <x:v>Цифровая фоторамка</x:v>
      </x:c>
      <x:c r="E2756" s="2" t="n">
        <x:v>28</x:v>
      </x:c>
      <x:c r="F2756" s="2" t="n">
        <x:v>0</x:v>
      </x:c>
      <x:c r="G2756" s="12" t="n">
        <x:v>5530974.42</x:v>
      </x:c>
      <x:c r="H2756" s="12" t="n">
        <x:v>371100.09857535</x:v>
      </x:c>
      <x:c r="I2756" s="13" t="n">
        <x:v>0.0677571428571428</x:v>
      </x:c>
      <x:c r="J2756" s="2" t="n">
        <x:v>4</x:v>
      </x:c>
      <x:c r="K2756" s="2" t="n">
        <x:v>12</x:v>
      </x:c>
      <x:c r="L2756" s="12" t="n">
        <x:v>4340.0815</x:v>
      </x:c>
      <x:c r="M2756" s="13" t="n">
        <x:v>0.4654872982399365</x:v>
      </x:c>
      <x:c r="N2756" s="13" t="n">
        <x:f>H2756/G2756</x:f>
        <x:v>0.06709488607169331</x:v>
      </x:c>
      <x:c r="O2756" s="13" t="n">
        <x:f>F2756/E2756</x:f>
        <x:v>0</x:v>
      </x:c>
      <x:c r="P2756" s="2" t="str">
        <x:f>IF(AND(E2756&gt;='Итоги'!$F$5,N2756&lt;='Итоги'!$B$5,O2756&gt;='Итоги'!$D$5),"Да","Нет")</x:f>
        <x:v>Нет</x:v>
      </x:c>
    </x:row>
    <x:row r="2757" ht="60" customHeight="1">
      <x:c r="A2757" s="14" t="str">
        <x:v>Строительство и ремонт (DIY)</x:v>
      </x:c>
      <x:c r="B2757" s="14" t="str">
        <x:v>Инструменты</x:v>
      </x:c>
      <x:c r="C2757" s="14" t="str">
        <x:v>Техника для строительства, ремонта</x:v>
      </x:c>
      <x:c r="D2757" s="14" t="str">
        <x:v>Грузоподъемное оборудование</x:v>
      </x:c>
      <x:c r="E2757" s="2" t="n">
        <x:v>46</x:v>
      </x:c>
      <x:c r="F2757" s="2" t="n">
        <x:v>0</x:v>
      </x:c>
      <x:c r="G2757" s="12" t="n">
        <x:v>8701088.7405</x:v>
      </x:c>
      <x:c r="H2757" s="12" t="n">
        <x:v>583841.89462831</x:v>
      </x:c>
      <x:c r="I2757" s="13" t="n">
        <x:v>0.0727999999999999</x:v>
      </x:c>
      <x:c r="J2757" s="2" t="n">
        <x:v>10</x:v>
      </x:c>
      <x:c r="K2757" s="2" t="n">
        <x:v>9</x:v>
      </x:c>
      <x:c r="L2757" s="12" t="n">
        <x:v>6234.8905</x:v>
      </x:c>
      <x:c r="M2757" s="13" t="n">
        <x:v>0.4382189494002207</x:v>
      </x:c>
      <x:c r="N2757" s="13" t="n">
        <x:f>H2757/G2757</x:f>
        <x:v>0.06709986669952754</x:v>
      </x:c>
      <x:c r="O2757" s="13" t="n">
        <x:f>F2757/E2757</x:f>
        <x:v>0</x:v>
      </x:c>
      <x:c r="P2757" s="2" t="str">
        <x:f>IF(AND(E2757&gt;='Итоги'!$F$5,N2757&lt;='Итоги'!$B$5,O2757&gt;='Итоги'!$D$5),"Да","Нет")</x:f>
        <x:v>Нет</x:v>
      </x:c>
    </x:row>
    <x:row r="2758" ht="60" customHeight="1">
      <x:c r="A2758" s="14" t="str">
        <x:v>Игрушки</x:v>
      </x:c>
      <x:c r="B2758" s="14" t="str">
        <x:v>Игрушки</x:v>
      </x:c>
      <x:c r="C2758" s="14" t="str">
        <x:v>Транспорт и радиоуправляемые игрушки</x:v>
      </x:c>
      <x:c r="D2758" s="14" t="str">
        <x:v>Самолеты, вертолеты игрушечные</x:v>
      </x:c>
      <x:c r="E2758" s="2" t="n">
        <x:v>6</x:v>
      </x:c>
      <x:c r="F2758" s="2" t="n">
        <x:v>0</x:v>
      </x:c>
      <x:c r="G2758" s="12" t="n">
        <x:v>731290.7998</x:v>
      </x:c>
      <x:c r="H2758" s="12" t="n">
        <x:v>49222.09940664</x:v>
      </x:c>
      <x:c r="I2758" s="13" t="n">
        <x:v>0.0696333333333333</x:v>
      </x:c>
      <x:c r="J2758" s="2" t="n">
        <x:v>1</x:v>
      </x:c>
      <x:c r="K2758" s="2" t="n">
        <x:v>3</x:v>
      </x:c>
      <x:c r="L2758" s="12" t="n">
        <x:v>1530.99425</x:v>
      </x:c>
      <x:c r="M2758" s="13" t="n">
        <x:v>0.7172688483753026</x:v>
      </x:c>
      <x:c r="N2758" s="13" t="n">
        <x:f>H2758/G2758</x:f>
        <x:v>0.06730851724116002</x:v>
      </x:c>
      <x:c r="O2758" s="13" t="n">
        <x:f>F2758/E2758</x:f>
        <x:v>0</x:v>
      </x:c>
      <x:c r="P2758" s="2" t="str">
        <x:f>IF(AND(E2758&gt;='Итоги'!$F$5,N2758&lt;='Итоги'!$B$5,O2758&gt;='Итоги'!$D$5),"Да","Нет")</x:f>
        <x:v>Нет</x:v>
      </x:c>
    </x:row>
    <x:row r="2759" ht="60" customHeight="1">
      <x:c r="A2759" s="14" t="str">
        <x:v>Мебель</x:v>
      </x:c>
      <x:c r="B2759" s="14" t="str">
        <x:v>Корпусная мебель и мебель для хранения</x:v>
      </x:c>
      <x:c r="C2759" s="14" t="str">
        <x:v>Комод, тумба</x:v>
      </x:c>
      <x:c r="D2759" s="14" t="str">
        <x:v>TV-тумбы</x:v>
      </x:c>
      <x:c r="E2759" s="2" t="n">
        <x:v>170</x:v>
      </x:c>
      <x:c r="F2759" s="2" t="n">
        <x:v>0</x:v>
      </x:c>
      <x:c r="G2759" s="12" t="n">
        <x:v>33101862.8007</x:v>
      </x:c>
      <x:c r="H2759" s="12" t="n">
        <x:v>2228609.20988526</x:v>
      </x:c>
      <x:c r="I2759" s="13" t="n">
        <x:v>0.0672570588235294</x:v>
      </x:c>
      <x:c r="J2759" s="2" t="n">
        <x:v>24</x:v>
      </x:c>
      <x:c r="K2759" s="2" t="n">
        <x:v>22</x:v>
      </x:c>
      <x:c r="L2759" s="12" t="n">
        <x:v>6066.84215</x:v>
      </x:c>
      <x:c r="M2759" s="13" t="n">
        <x:v>0.7394889768947491</x:v>
      </x:c>
      <x:c r="N2759" s="13" t="n">
        <x:f>H2759/G2759</x:f>
        <x:v>0.0673257944213983</x:v>
      </x:c>
      <x:c r="O2759" s="13" t="n">
        <x:f>F2759/E2759</x:f>
        <x:v>0</x:v>
      </x:c>
      <x:c r="P2759" s="2" t="str">
        <x:f>IF(AND(E2759&gt;='Итоги'!$F$5,N2759&lt;='Итоги'!$B$5,O2759&gt;='Итоги'!$D$5),"Да","Нет")</x:f>
        <x:v>Нет</x:v>
      </x:c>
    </x:row>
    <x:row r="2760" ht="60" customHeight="1">
      <x:c r="A2760" s="14" t="str">
        <x:v>Строительство и ремонт (DIY)</x:v>
      </x:c>
      <x:c r="B2760" s="14" t="str">
        <x:v>Ремонт и строительство</x:v>
      </x:c>
      <x:c r="C2760" s="14" t="str">
        <x:v>Строительная химия</x:v>
      </x:c>
      <x:c r="D2760" s="14" t="str">
        <x:v>Жидкие гвозди</x:v>
      </x:c>
      <x:c r="E2760" s="2" t="n">
        <x:v>17</x:v>
      </x:c>
      <x:c r="F2760" s="2" t="n">
        <x:v>0</x:v>
      </x:c>
      <x:c r="G2760" s="12" t="n">
        <x:v>2807151.358</x:v>
      </x:c>
      <x:c r="H2760" s="12" t="n">
        <x:v>189180.50234575</x:v>
      </x:c>
      <x:c r="I2760" s="13" t="n">
        <x:v>0.0562647058823529</x:v>
      </x:c>
      <x:c r="J2760" s="2" t="n">
        <x:v>3</x:v>
      </x:c>
      <x:c r="K2760" s="2" t="n">
        <x:v>4</x:v>
      </x:c>
      <x:c r="L2760" s="12" t="n">
        <x:v>2310.0357</x:v>
      </x:c>
      <x:c r="M2760" s="13" t="n">
        <x:v>0.789648311154585</x:v>
      </x:c>
      <x:c r="N2760" s="13" t="n">
        <x:f>H2760/G2760</x:f>
        <x:v>0.06739234128099693</x:v>
      </x:c>
      <x:c r="O2760" s="13" t="n">
        <x:f>F2760/E2760</x:f>
        <x:v>0</x:v>
      </x:c>
      <x:c r="P2760" s="2" t="str">
        <x:f>IF(AND(E2760&gt;='Итоги'!$F$5,N2760&lt;='Итоги'!$B$5,O2760&gt;='Итоги'!$D$5),"Да","Нет")</x:f>
        <x:v>Нет</x:v>
      </x:c>
    </x:row>
    <x:row r="2761" ht="60" customHeight="1">
      <x:c r="A2761" s="14" t="str">
        <x:v>Товары для красоты и здоровья</x:v>
      </x:c>
      <x:c r="B2761" s="14" t="str">
        <x:v>Косметика для ухода за волосами</x:v>
      </x:c>
      <x:c r="C2761" s="14" t="str">
        <x:v>Набор для волос мужской</x:v>
      </x:c>
      <x:c r="D2761" s="14" t="str">
        <x:v>Косметический набор для волос мужской</x:v>
      </x:c>
      <x:c r="E2761" s="2" t="n">
        <x:v>35</x:v>
      </x:c>
      <x:c r="F2761" s="2" t="n">
        <x:v>0</x:v>
      </x:c>
      <x:c r="G2761" s="12" t="n">
        <x:v>4092911.5518</x:v>
      </x:c>
      <x:c r="H2761" s="12" t="n">
        <x:v>275981.54385867</x:v>
      </x:c>
      <x:c r="I2761" s="13" t="n">
        <x:v>0.0806885714285714</x:v>
      </x:c>
      <x:c r="J2761" s="2" t="n">
        <x:v>14</x:v>
      </x:c>
      <x:c r="K2761" s="2" t="n">
        <x:v>11</x:v>
      </x:c>
      <x:c r="L2761" s="12" t="n">
        <x:v>2229.4834</x:v>
      </x:c>
      <x:c r="M2761" s="13" t="n">
        <x:v>0.6406499477485239</x:v>
      </x:c>
      <x:c r="N2761" s="13" t="n">
        <x:f>H2761/G2761</x:f>
        <x:v>0.0674291492415216</x:v>
      </x:c>
      <x:c r="O2761" s="13" t="n">
        <x:f>F2761/E2761</x:f>
        <x:v>0</x:v>
      </x:c>
      <x:c r="P2761" s="2" t="str">
        <x:f>IF(AND(E2761&gt;='Итоги'!$F$5,N2761&lt;='Итоги'!$B$5,O2761&gt;='Итоги'!$D$5),"Да","Нет")</x:f>
        <x:v>Нет</x:v>
      </x:c>
    </x:row>
    <x:row r="2762" ht="60" customHeight="1">
      <x:c r="A2762" s="14" t="str">
        <x:v>Школьные принадлежности и канцелярия</x:v>
      </x:c>
      <x:c r="B2762" s="14" t="str">
        <x:v>Товары для школы, канцелярия, оборудование</x:v>
      </x:c>
      <x:c r="C2762" s="14" t="str">
        <x:v>Тетрадь</x:v>
      </x:c>
      <x:c r="D2762" s="14" t="str">
        <x:v>Набор, комплект тетрадей</x:v>
      </x:c>
      <x:c r="E2762" s="2" t="n">
        <x:v>3</x:v>
      </x:c>
      <x:c r="F2762" s="2" t="n">
        <x:v>0</x:v>
      </x:c>
      <x:c r="G2762" s="12" t="n">
        <x:v>364575.1094</x:v>
      </x:c>
      <x:c r="H2762" s="12" t="n">
        <x:v>24589.843168</x:v>
      </x:c>
      <x:c r="I2762" s="13" t="n">
        <x:v>0.0557333333333333</x:v>
      </x:c>
      <x:c r="J2762" s="2" t="n">
        <x:v>2</x:v>
      </x:c>
      <x:c r="K2762" s="2" t="n">
        <x:v>2</x:v>
      </x:c>
      <x:c r="L2762" s="12" t="n">
        <x:v>1017.6037</x:v>
      </x:c>
      <x:c r="M2762" s="13" t="n">
        <x:v>0.738341352603596</x:v>
      </x:c>
      <x:c r="N2762" s="13" t="n">
        <x:f>H2762/G2762</x:f>
        <x:v>0.06744794840346827</x:v>
      </x:c>
      <x:c r="O2762" s="13" t="n">
        <x:f>F2762/E2762</x:f>
        <x:v>0</x:v>
      </x:c>
      <x:c r="P2762" s="2" t="str">
        <x:f>IF(AND(E2762&gt;='Итоги'!$F$5,N2762&lt;='Итоги'!$B$5,O2762&gt;='Итоги'!$D$5),"Да","Нет")</x:f>
        <x:v>Нет</x:v>
      </x:c>
    </x:row>
    <x:row r="2763" ht="60" customHeight="1">
      <x:c r="A2763" s="14" t="str">
        <x:v>Хобби и творчество</x:v>
      </x:c>
      <x:c r="B2763" s="14" t="str">
        <x:v>Детское творчество и хобби</x:v>
      </x:c>
      <x:c r="C2763" s="14" t="str">
        <x:v>Настольные и обучающие игры</x:v>
      </x:c>
      <x:c r="D2763" s="14" t="str">
        <x:v>Пазл для малышей</x:v>
      </x:c>
      <x:c r="E2763" s="2" t="n">
        <x:v>2</x:v>
      </x:c>
      <x:c r="F2763" s="2" t="n">
        <x:v>0</x:v>
      </x:c>
      <x:c r="G2763" s="12" t="n">
        <x:v>218584.7067</x:v>
      </x:c>
      <x:c r="H2763" s="12" t="n">
        <x:v>14744.79038115</x:v>
      </x:c>
      <x:c r="I2763" s="13" t="n">
        <x:v>0.06675</x:v>
      </x:c>
      <x:c r="J2763" s="2" t="n">
        <x:v>0</x:v>
      </x:c>
      <x:c r="K2763" s="2" t="n">
        <x:v>1</x:v>
      </x:c>
      <x:c r="L2763" s="12" t="n">
        <x:v>1083.5857999999998</x:v>
      </x:c>
      <x:c r="M2763" s="13" t="n">
        <x:v>1</x:v>
      </x:c>
      <x:c r="N2763" s="13" t="n">
        <x:f>H2763/G2763</x:f>
        <x:v>0.06745572736425114</x:v>
      </x:c>
      <x:c r="O2763" s="13" t="n">
        <x:f>F2763/E2763</x:f>
        <x:v>0</x:v>
      </x:c>
      <x:c r="P2763" s="2" t="str">
        <x:f>IF(AND(E2763&gt;='Итоги'!$F$5,N2763&lt;='Итоги'!$B$5,O2763&gt;='Итоги'!$D$5),"Да","Нет")</x:f>
        <x:v>Нет</x:v>
      </x:c>
    </x:row>
    <x:row r="2764" ht="60" customHeight="1">
      <x:c r="A2764" s="14" t="str">
        <x:v>Строительство и ремонт (DIY)</x:v>
      </x:c>
      <x:c r="B2764" s="14" t="str">
        <x:v>Инструменты</x:v>
      </x:c>
      <x:c r="C2764" s="14" t="str">
        <x:v>Техника для строительства, ремонта</x:v>
      </x:c>
      <x:c r="D2764" s="14" t="str">
        <x:v>Аксессуары для грузоподъемного оборудования</x:v>
      </x:c>
      <x:c r="E2764" s="2" t="n">
        <x:v>6</x:v>
      </x:c>
      <x:c r="F2764" s="2" t="n">
        <x:v>0</x:v>
      </x:c>
      <x:c r="G2764" s="12" t="n">
        <x:v>864777</x:v>
      </x:c>
      <x:c r="H2764" s="12" t="n">
        <x:v>58349.7871</x:v>
      </x:c>
      <x:c r="I2764" s="13" t="n">
        <x:v>0.0550499999999999</x:v>
      </x:c>
      <x:c r="J2764" s="2" t="n">
        <x:v>3</x:v>
      </x:c>
      <x:c r="K2764" s="2" t="n">
        <x:v>4</x:v>
      </x:c>
      <x:c r="L2764" s="12" t="n">
        <x:v>1504.6616</x:v>
      </x:c>
      <x:c r="M2764" s="13" t="n">
        <x:v>0.5873595158058089</x:v>
      </x:c>
      <x:c r="N2764" s="13" t="n">
        <x:f>H2764/G2764</x:f>
        <x:v>0.06747379625036282</x:v>
      </x:c>
      <x:c r="O2764" s="13" t="n">
        <x:f>F2764/E2764</x:f>
        <x:v>0</x:v>
      </x:c>
      <x:c r="P2764" s="2" t="str">
        <x:f>IF(AND(E2764&gt;='Итоги'!$F$5,N2764&lt;='Итоги'!$B$5,O2764&gt;='Итоги'!$D$5),"Да","Нет")</x:f>
        <x:v>Нет</x:v>
      </x:c>
    </x:row>
    <x:row r="2765" ht="60" customHeight="1">
      <x:c r="A2765" s="14" t="str">
        <x:v>Аксессуары для электроники</x:v>
      </x:c>
      <x:c r="B2765" s="14" t="str">
        <x:v>Фото и видео Access</x:v>
      </x:c>
      <x:c r="C2765" s="14" t="str">
        <x:v>Аксессуар к фото и видео Access</x:v>
      </x:c>
      <x:c r="D2765" s="14" t="str">
        <x:v>Кейс для фото/видео устройств</x:v>
      </x:c>
      <x:c r="E2765" s="2" t="n">
        <x:v>2</x:v>
      </x:c>
      <x:c r="F2765" s="2" t="n">
        <x:v>0</x:v>
      </x:c>
      <x:c r="G2765" s="12" t="n">
        <x:v>425870.0389</x:v>
      </x:c>
      <x:c r="H2765" s="12" t="n">
        <x:v>28739.9628188</x:v>
      </x:c>
      <x:c r="I2765" s="13" t="n">
        <x:v>0.05095</x:v>
      </x:c>
      <x:c r="J2765" s="2" t="n">
        <x:v>1</x:v>
      </x:c>
      <x:c r="K2765" s="2" t="n">
        <x:v>2</x:v>
      </x:c>
      <x:c r="L2765" s="12" t="n">
        <x:v>1246.8426</x:v>
      </x:c>
      <x:c r="M2765" s="13" t="n">
        <x:v>0.6622697683276727</x:v>
      </x:c>
      <x:c r="N2765" s="13" t="n">
        <x:f>H2765/G2765</x:f>
        <x:v>0.06748528939258985</x:v>
      </x:c>
      <x:c r="O2765" s="13" t="n">
        <x:f>F2765/E2765</x:f>
        <x:v>0</x:v>
      </x:c>
      <x:c r="P2765" s="2" t="str">
        <x:f>IF(AND(E2765&gt;='Итоги'!$F$5,N2765&lt;='Итоги'!$B$5,O2765&gt;='Итоги'!$D$5),"Да","Нет")</x:f>
        <x:v>Нет</x:v>
      </x:c>
    </x:row>
    <x:row r="2766" ht="60" customHeight="1">
      <x:c r="A2766" s="14" t="str">
        <x:v>Бакалея и кондитерские изделия</x:v>
      </x:c>
      <x:c r="B2766" s="14" t="str">
        <x:v>Бакалея</x:v>
      </x:c>
      <x:c r="C2766" s="14" t="str">
        <x:v>Приправы, специи, травы</x:v>
      </x:c>
      <x:c r="D2766" s="14" t="str">
        <x:v>Декор для выпечки</x:v>
      </x:c>
      <x:c r="E2766" s="2" t="n">
        <x:v>7</x:v>
      </x:c>
      <x:c r="F2766" s="2" t="n">
        <x:v>0</x:v>
      </x:c>
      <x:c r="G2766" s="12" t="n">
        <x:v>1098790.2816</x:v>
      </x:c>
      <x:c r="H2766" s="12" t="n">
        <x:v>74183.29659344</x:v>
      </x:c>
      <x:c r="I2766" s="13" t="n">
        <x:v>0.0648142857142857</x:v>
      </x:c>
      <x:c r="J2766" s="2" t="n">
        <x:v>0</x:v>
      </x:c>
      <x:c r="K2766" s="2" t="n">
        <x:v>4</x:v>
      </x:c>
      <x:c r="L2766" s="12" t="n">
        <x:v>1583.8308</x:v>
      </x:c>
      <x:c r="M2766" s="13" t="n">
        <x:v>0.4119661882528248</x:v>
      </x:c>
      <x:c r="N2766" s="13" t="n">
        <x:f>H2766/G2766</x:f>
        <x:v>0.06751360822505476</x:v>
      </x:c>
      <x:c r="O2766" s="13" t="n">
        <x:f>F2766/E2766</x:f>
        <x:v>0</x:v>
      </x:c>
      <x:c r="P2766" s="2" t="str">
        <x:f>IF(AND(E2766&gt;='Итоги'!$F$5,N2766&lt;='Итоги'!$B$5,O2766&gt;='Итоги'!$D$5),"Да","Нет")</x:f>
        <x:v>Нет</x:v>
      </x:c>
    </x:row>
    <x:row r="2767" ht="60" customHeight="1">
      <x:c r="A2767" s="14" t="str">
        <x:v>Одежда</x:v>
      </x:c>
      <x:c r="B2767" s="14" t="str">
        <x:v>Основная одежда мужская</x:v>
      </x:c>
      <x:c r="C2767" s="14" t="str">
        <x:v>Основная одежда мужская низы</x:v>
      </x:c>
      <x:c r="D2767" s="14" t="str">
        <x:v>Джинсы мужские</x:v>
      </x:c>
      <x:c r="E2767" s="2" t="n">
        <x:v>1321</x:v>
      </x:c>
      <x:c r="F2767" s="2" t="n">
        <x:v>0</x:v>
      </x:c>
      <x:c r="G2767" s="12" t="n">
        <x:v>115943814.2728</x:v>
      </x:c>
      <x:c r="H2767" s="12" t="n">
        <x:v>7831546.20223721</x:v>
      </x:c>
      <x:c r="I2767" s="13" t="n">
        <x:v>0.0531288417865253</x:v>
      </x:c>
      <x:c r="J2767" s="2" t="n">
        <x:v>452</x:v>
      </x:c>
      <x:c r="K2767" s="2" t="n">
        <x:v>90</x:v>
      </x:c>
      <x:c r="L2767" s="12" t="n">
        <x:v>2261.8353</x:v>
      </x:c>
      <x:c r="M2767" s="13" t="n">
        <x:v>0.5172383210327839</x:v>
      </x:c>
      <x:c r="N2767" s="13" t="n">
        <x:f>H2767/G2767</x:f>
        <x:v>0.06754604591333048</x:v>
      </x:c>
      <x:c r="O2767" s="13" t="n">
        <x:f>F2767/E2767</x:f>
        <x:v>0</x:v>
      </x:c>
      <x:c r="P2767" s="2" t="str">
        <x:f>IF(AND(E2767&gt;='Итоги'!$F$5,N2767&lt;='Итоги'!$B$5,O2767&gt;='Итоги'!$D$5),"Да","Нет")</x:f>
        <x:v>Нет</x:v>
      </x:c>
    </x:row>
    <x:row r="2768" ht="60" customHeight="1">
      <x:c r="A2768" s="14" t="str">
        <x:v>Автотовары</x:v>
      </x:c>
      <x:c r="B2768" s="14" t="str">
        <x:v>Масла и автохимия</x:v>
      </x:c>
      <x:c r="C2768" s="14" t="str">
        <x:v>Дополнительная авто-мото химия</x:v>
      </x:c>
      <x:c r="D2768" s="14" t="str">
        <x:v>Автохимия - Присадки</x:v>
      </x:c>
      <x:c r="E2768" s="2" t="n">
        <x:v>80</x:v>
      </x:c>
      <x:c r="F2768" s="2" t="n">
        <x:v>0</x:v>
      </x:c>
      <x:c r="G2768" s="12" t="n">
        <x:v>15408865.4341</x:v>
      </x:c>
      <x:c r="H2768" s="12" t="n">
        <x:v>1040891.95615644</x:v>
      </x:c>
      <x:c r="I2768" s="13" t="n">
        <x:v>0.067815</x:v>
      </x:c>
      <x:c r="J2768" s="2" t="n">
        <x:v>28</x:v>
      </x:c>
      <x:c r="K2768" s="2" t="n">
        <x:v>19</x:v>
      </x:c>
      <x:c r="L2768" s="12" t="n">
        <x:v>1431.02345</x:v>
      </x:c>
      <x:c r="M2768" s="13" t="n">
        <x:v>0.7790061749540553</x:v>
      </x:c>
      <x:c r="N2768" s="13" t="n">
        <x:f>H2768/G2768</x:f>
        <x:v>0.06755149888277523</x:v>
      </x:c>
      <x:c r="O2768" s="13" t="n">
        <x:f>F2768/E2768</x:f>
        <x:v>0</x:v>
      </x:c>
      <x:c r="P2768" s="2" t="str">
        <x:f>IF(AND(E2768&gt;='Итоги'!$F$5,N2768&lt;='Итоги'!$B$5,O2768&gt;='Итоги'!$D$5),"Да","Нет")</x:f>
        <x:v>Нет</x:v>
      </x:c>
    </x:row>
    <x:row r="2769" ht="60" customHeight="1">
      <x:c r="A2769" s="14" t="str">
        <x:v>Спорт и отдых</x:v>
      </x:c>
      <x:c r="B2769" s="14" t="str">
        <x:v>Туризм</x:v>
      </x:c>
      <x:c r="C2769" s="14" t="str">
        <x:v>Рюкзак, сумка туристические</x:v>
      </x:c>
      <x:c r="D2769" s="14" t="str">
        <x:v>Рюкзак туристический</x:v>
      </x:c>
      <x:c r="E2769" s="2" t="n">
        <x:v>141</x:v>
      </x:c>
      <x:c r="F2769" s="2" t="n">
        <x:v>0</x:v>
      </x:c>
      <x:c r="G2769" s="12" t="n">
        <x:v>21505526.2262</x:v>
      </x:c>
      <x:c r="H2769" s="12" t="n">
        <x:v>1454676.53350576</x:v>
      </x:c>
      <x:c r="I2769" s="13" t="n">
        <x:v>0.065918439716312</x:v>
      </x:c>
      <x:c r="J2769" s="2" t="n">
        <x:v>45</x:v>
      </x:c>
      <x:c r="K2769" s="2" t="n">
        <x:v>35</x:v>
      </x:c>
      <x:c r="L2769" s="12" t="n">
        <x:v>3221.8</x:v>
      </x:c>
      <x:c r="M2769" s="13" t="n">
        <x:v>0.2189140029675002</x:v>
      </x:c>
      <x:c r="N2769" s="13" t="n">
        <x:f>H2769/G2769</x:f>
        <x:v>0.06764198737594897</x:v>
      </x:c>
      <x:c r="O2769" s="13" t="n">
        <x:f>F2769/E2769</x:f>
        <x:v>0</x:v>
      </x:c>
      <x:c r="P2769" s="2" t="str">
        <x:f>IF(AND(E2769&gt;='Итоги'!$F$5,N2769&lt;='Итоги'!$B$5,O2769&gt;='Итоги'!$D$5),"Да","Нет")</x:f>
        <x:v>Нет</x:v>
      </x:c>
    </x:row>
    <x:row r="2770" ht="60" customHeight="1">
      <x:c r="A2770" s="14" t="str">
        <x:v>Одежда</x:v>
      </x:c>
      <x:c r="B2770" s="14" t="str">
        <x:v>Основная одежда женская</x:v>
      </x:c>
      <x:c r="C2770" s="14" t="str">
        <x:v>Основная одежда женская верха</x:v>
      </x:c>
      <x:c r="D2770" s="14" t="str">
        <x:v>Футболка женская</x:v>
      </x:c>
      <x:c r="E2770" s="2" t="n">
        <x:v>1057</x:v>
      </x:c>
      <x:c r="F2770" s="2" t="n">
        <x:v>0</x:v>
      </x:c>
      <x:c r="G2770" s="12" t="n">
        <x:v>112563693.9603</x:v>
      </x:c>
      <x:c r="H2770" s="12" t="n">
        <x:v>7620939.92093368</x:v>
      </x:c>
      <x:c r="I2770" s="13" t="n">
        <x:v>0.0499584673604541</x:v>
      </x:c>
      <x:c r="J2770" s="2" t="n">
        <x:v>453</x:v>
      </x:c>
      <x:c r="K2770" s="2" t="n">
        <x:v>117</x:v>
      </x:c>
      <x:c r="L2770" s="12" t="n">
        <x:v>1089.68</x:v>
      </x:c>
      <x:c r="M2770" s="13" t="n">
        <x:v>0.5516422021002633</x:v>
      </x:c>
      <x:c r="N2770" s="13" t="n">
        <x:f>H2770/G2770</x:f>
        <x:v>0.06770335667574576</x:v>
      </x:c>
      <x:c r="O2770" s="13" t="n">
        <x:f>F2770/E2770</x:f>
        <x:v>0</x:v>
      </x:c>
      <x:c r="P2770" s="2" t="str">
        <x:f>IF(AND(E2770&gt;='Итоги'!$F$5,N2770&lt;='Итоги'!$B$5,O2770&gt;='Итоги'!$D$5),"Да","Нет")</x:f>
        <x:v>Нет</x:v>
      </x:c>
    </x:row>
    <x:row r="2771" ht="60" customHeight="1">
      <x:c r="A2771" s="14" t="str">
        <x:v>Бакалея и кондитерские изделия</x:v>
      </x:c>
      <x:c r="B2771" s="14" t="str">
        <x:v>Бакалея</x:v>
      </x:c>
      <x:c r="C2771" s="14" t="str">
        <x:v>Снэки, чипсы, готовые завтраки</x:v>
      </x:c>
      <x:c r="D2771" s="14" t="str">
        <x:v>Рыба вяленая, сушеная</x:v>
      </x:c>
      <x:c r="E2771" s="2" t="n">
        <x:v>6</x:v>
      </x:c>
      <x:c r="F2771" s="2" t="n">
        <x:v>0</x:v>
      </x:c>
      <x:c r="G2771" s="12" t="n">
        <x:v>809872.3065</x:v>
      </x:c>
      <x:c r="H2771" s="12" t="n">
        <x:v>54864.6048508</x:v>
      </x:c>
      <x:c r="I2771" s="13" t="n">
        <x:v>0.0491833333333333</x:v>
      </x:c>
      <x:c r="J2771" s="2" t="n">
        <x:v>2</x:v>
      </x:c>
      <x:c r="K2771" s="2" t="n">
        <x:v>5</x:v>
      </x:c>
      <x:c r="L2771" s="12" t="n">
        <x:v>1158.86245</x:v>
      </x:c>
      <x:c r="M2771" s="13" t="n">
        <x:v>0.381315353447019</x:v>
      </x:c>
      <x:c r="N2771" s="13" t="n">
        <x:f>H2771/G2771</x:f>
        <x:v>0.06774475977318778</x:v>
      </x:c>
      <x:c r="O2771" s="13" t="n">
        <x:f>F2771/E2771</x:f>
        <x:v>0</x:v>
      </x:c>
      <x:c r="P2771" s="2" t="str">
        <x:f>IF(AND(E2771&gt;='Итоги'!$F$5,N2771&lt;='Итоги'!$B$5,O2771&gt;='Итоги'!$D$5),"Да","Нет")</x:f>
        <x:v>Нет</x:v>
      </x:c>
    </x:row>
    <x:row r="2772" ht="60" customHeight="1">
      <x:c r="A2772" s="14" t="str">
        <x:v>Автотовары</x:v>
      </x:c>
      <x:c r="B2772" s="14" t="str">
        <x:v>Электронные устройства для авто</x:v>
      </x:c>
      <x:c r="C2772" s="14" t="str">
        <x:v>Автоакустика</x:v>
      </x:c>
      <x:c r="D2772" s="14" t="str">
        <x:v>Автомобильная акустическая система</x:v>
      </x:c>
      <x:c r="E2772" s="2" t="n">
        <x:v>46</x:v>
      </x:c>
      <x:c r="F2772" s="2" t="n">
        <x:v>0</x:v>
      </x:c>
      <x:c r="G2772" s="12" t="n">
        <x:v>6458630.8017</x:v>
      </x:c>
      <x:c r="H2772" s="12" t="n">
        <x:v>437631.71020331</x:v>
      </x:c>
      <x:c r="I2772" s="13" t="n">
        <x:v>0.043595652173913</x:v>
      </x:c>
      <x:c r="J2772" s="2" t="n">
        <x:v>22</x:v>
      </x:c>
      <x:c r="K2772" s="2" t="n">
        <x:v>9</x:v>
      </x:c>
      <x:c r="L2772" s="12" t="n">
        <x:v>3485.91375</x:v>
      </x:c>
      <x:c r="M2772" s="13" t="n">
        <x:v>0.6078247505905893</x:v>
      </x:c>
      <x:c r="N2772" s="13" t="n">
        <x:f>H2772/G2772</x:f>
        <x:v>0.0677592083585455</x:v>
      </x:c>
      <x:c r="O2772" s="13" t="n">
        <x:f>F2772/E2772</x:f>
        <x:v>0</x:v>
      </x:c>
      <x:c r="P2772" s="2" t="str">
        <x:f>IF(AND(E2772&gt;='Итоги'!$F$5,N2772&lt;='Итоги'!$B$5,O2772&gt;='Итоги'!$D$5),"Да","Нет")</x:f>
        <x:v>Нет</x:v>
      </x:c>
    </x:row>
    <x:row r="2773" ht="60" customHeight="1">
      <x:c r="A2773" s="14" t="str">
        <x:v>Аксессуары</x:v>
      </x:c>
      <x:c r="B2773" s="14" t="str">
        <x:v>Ювелирные изделия</x:v>
      </x:c>
      <x:c r="C2773" s="14" t="str">
        <x:v>Цепь ювелирная</x:v>
      </x:c>
      <x:c r="D2773" s="14" t="str">
        <x:v>Серебро цепочка</x:v>
      </x:c>
      <x:c r="E2773" s="2" t="n">
        <x:v>167</x:v>
      </x:c>
      <x:c r="F2773" s="2" t="n">
        <x:v>0</x:v>
      </x:c>
      <x:c r="G2773" s="12" t="n">
        <x:v>17621835.11</x:v>
      </x:c>
      <x:c r="H2773" s="12" t="n">
        <x:v>1195526.54186</x:v>
      </x:c>
      <x:c r="I2773" s="13" t="n">
        <x:v>0.0636461077844311</x:v>
      </x:c>
      <x:c r="J2773" s="2" t="n">
        <x:v>62</x:v>
      </x:c>
      <x:c r="K2773" s="2" t="n">
        <x:v>14</x:v>
      </x:c>
      <x:c r="L2773" s="12" t="n">
        <x:v>5266.6667</x:v>
      </x:c>
      <x:c r="M2773" s="13" t="n">
        <x:v>0.6310155633955423</x:v>
      </x:c>
      <x:c r="N2773" s="13" t="n">
        <x:f>H2773/G2773</x:f>
        <x:v>0.06784347568781672</x:v>
      </x:c>
      <x:c r="O2773" s="13" t="n">
        <x:f>F2773/E2773</x:f>
        <x:v>0</x:v>
      </x:c>
      <x:c r="P2773" s="2" t="str">
        <x:f>IF(AND(E2773&gt;='Итоги'!$F$5,N2773&lt;='Итоги'!$B$5,O2773&gt;='Итоги'!$D$5),"Да","Нет")</x:f>
        <x:v>Нет</x:v>
      </x:c>
    </x:row>
    <x:row r="2774" ht="60" customHeight="1">
      <x:c r="A2774" s="14" t="str">
        <x:v>Спорт и отдых</x:v>
      </x:c>
      <x:c r="B2774" s="14" t="str">
        <x:v>Товары для охоты</x:v>
      </x:c>
      <x:c r="C2774" s="14" t="str">
        <x:v>Сумка, чехол, кейс для охоты</x:v>
      </x:c>
      <x:c r="D2774" s="14" t="str">
        <x:v>Кобура для оружия</x:v>
      </x:c>
      <x:c r="E2774" s="2" t="n">
        <x:v>14</x:v>
      </x:c>
      <x:c r="F2774" s="2" t="n">
        <x:v>0</x:v>
      </x:c>
      <x:c r="G2774" s="12" t="n">
        <x:v>1575384.4262</x:v>
      </x:c>
      <x:c r="H2774" s="12" t="n">
        <x:v>106902.27133326</x:v>
      </x:c>
      <x:c r="I2774" s="13" t="n">
        <x:v>0.0746785714285714</x:v>
      </x:c>
      <x:c r="J2774" s="2" t="n">
        <x:v>7</x:v>
      </x:c>
      <x:c r="K2774" s="2" t="n">
        <x:v>6</x:v>
      </x:c>
      <x:c r="L2774" s="12" t="n">
        <x:v>2139.2</x:v>
      </x:c>
      <x:c r="M2774" s="13" t="n">
        <x:v>0.7131929140052076</x:v>
      </x:c>
      <x:c r="N2774" s="13" t="n">
        <x:f>H2774/G2774</x:f>
        <x:v>0.06785789522568786</x:v>
      </x:c>
      <x:c r="O2774" s="13" t="n">
        <x:f>F2774/E2774</x:f>
        <x:v>0</x:v>
      </x:c>
      <x:c r="P2774" s="2" t="str">
        <x:f>IF(AND(E2774&gt;='Итоги'!$F$5,N2774&lt;='Итоги'!$B$5,O2774&gt;='Итоги'!$D$5),"Да","Нет")</x:f>
        <x:v>Нет</x:v>
      </x:c>
    </x:row>
    <x:row r="2775" ht="60" customHeight="1">
      <x:c r="A2775" s="14" t="str">
        <x:v>Автотовары</x:v>
      </x:c>
      <x:c r="B2775" s="14" t="str">
        <x:v>Дополнительное оборудование для авто и мото техники</x:v>
      </x:c>
      <x:c r="C2775" s="14" t="str">
        <x:v>Оборудование для дооснащения авто</x:v>
      </x:c>
      <x:c r="D2775" s="14" t="str">
        <x:v>ГБО оборудование для авто (газобаллонное оборудование)</x:v>
      </x:c>
      <x:c r="E2775" s="2" t="n">
        <x:v>8</x:v>
      </x:c>
      <x:c r="F2775" s="2" t="n">
        <x:v>0</x:v>
      </x:c>
      <x:c r="G2775" s="12" t="n">
        <x:v>1212324.64</x:v>
      </x:c>
      <x:c r="H2775" s="12" t="n">
        <x:v>82289.43818699999</x:v>
      </x:c>
      <x:c r="I2775" s="13" t="n">
        <x:v>0.0637125</x:v>
      </x:c>
      <x:c r="J2775" s="2" t="n">
        <x:v>3</x:v>
      </x:c>
      <x:c r="K2775" s="2" t="n">
        <x:v>4</x:v>
      </x:c>
      <x:c r="L2775" s="12" t="n">
        <x:v>3187.90305</x:v>
      </x:c>
      <x:c r="M2775" s="13" t="n">
        <x:v>0.5031627089588809</x:v>
      </x:c>
      <x:c r="N2775" s="13" t="n">
        <x:f>H2775/G2775</x:f>
        <x:v>0.06787739477686439</x:v>
      </x:c>
      <x:c r="O2775" s="13" t="n">
        <x:f>F2775/E2775</x:f>
        <x:v>0</x:v>
      </x:c>
      <x:c r="P2775" s="2" t="str">
        <x:f>IF(AND(E2775&gt;='Итоги'!$F$5,N2775&lt;='Итоги'!$B$5,O2775&gt;='Итоги'!$D$5),"Да","Нет")</x:f>
        <x:v>Нет</x:v>
      </x:c>
    </x:row>
    <x:row r="2776" ht="60" customHeight="1">
      <x:c r="A2776" s="14" t="str">
        <x:v>Товары для дома</x:v>
      </x:c>
      <x:c r="B2776" s="14" t="str">
        <x:v>Аксессуары для уборки и стирки</x:v>
      </x:c>
      <x:c r="C2776" s="14" t="str">
        <x:v>Баки, ведра, корзины</x:v>
      </x:c>
      <x:c r="D2776" s="14" t="str">
        <x:v>Ведро, бак, контейнер для раздельного сбора мусора</x:v>
      </x:c>
      <x:c r="E2776" s="2" t="n">
        <x:v>2</x:v>
      </x:c>
      <x:c r="F2776" s="2" t="n">
        <x:v>0</x:v>
      </x:c>
      <x:c r="G2776" s="12" t="n">
        <x:v>349784.949</x:v>
      </x:c>
      <x:c r="H2776" s="12" t="n">
        <x:v>23779.8830826</x:v>
      </x:c>
      <x:c r="I2776" s="13" t="n">
        <x:v>0.0578</x:v>
      </x:c>
      <x:c r="J2776" s="2" t="n">
        <x:v>0</x:v>
      </x:c>
      <x:c r="K2776" s="2" t="n">
        <x:v>1</x:v>
      </x:c>
      <x:c r="L2776" s="12" t="n">
        <x:v>1949.1304</x:v>
      </x:c>
      <x:c r="M2776" s="13" t="n">
        <x:v>1</x:v>
      </x:c>
      <x:c r="N2776" s="13" t="n">
        <x:f>H2776/G2776</x:f>
        <x:v>0.06798429478050526</x:v>
      </x:c>
      <x:c r="O2776" s="13" t="n">
        <x:f>F2776/E2776</x:f>
        <x:v>0</x:v>
      </x:c>
      <x:c r="P2776" s="2" t="str">
        <x:f>IF(AND(E2776&gt;='Итоги'!$F$5,N2776&lt;='Итоги'!$B$5,O2776&gt;='Итоги'!$D$5),"Да","Нет")</x:f>
        <x:v>Нет</x:v>
      </x:c>
    </x:row>
    <x:row r="2777" ht="60" customHeight="1">
      <x:c r="A2777" s="14" t="str">
        <x:v>Товары для красоты и здоровья</x:v>
      </x:c>
      <x:c r="B2777" s="14" t="str">
        <x:v>Декоративная косметика</x:v>
      </x:c>
      <x:c r="C2777" s="14" t="str">
        <x:v>Маникюр и педикюр</x:v>
      </x:c>
      <x:c r="D2777" s="14" t="str">
        <x:v>Средство для быстрого высыхания лака</x:v>
      </x:c>
      <x:c r="E2777" s="2" t="n">
        <x:v>2</x:v>
      </x:c>
      <x:c r="F2777" s="2" t="n">
        <x:v>0</x:v>
      </x:c>
      <x:c r="G2777" s="12" t="n">
        <x:v>76120</x:v>
      </x:c>
      <x:c r="H2777" s="12" t="n">
        <x:v>5176.5777</x:v>
      </x:c>
      <x:c r="I2777" s="13" t="n">
        <x:v>0.08295</x:v>
      </x:c>
      <x:c r="J2777" s="2" t="n">
        <x:v>1</x:v>
      </x:c>
      <x:c r="K2777" s="2" t="n">
        <x:v>2</x:v>
      </x:c>
      <x:c r="L2777" s="12" t="n">
        <x:v>950.6132</x:v>
      </x:c>
      <x:c r="M2777" s="13" t="n">
        <x:v>0.5900814503415659</x:v>
      </x:c>
      <x:c r="N2777" s="13" t="n">
        <x:f>H2777/G2777</x:f>
        <x:v>0.0680054873883342</x:v>
      </x:c>
      <x:c r="O2777" s="13" t="n">
        <x:f>F2777/E2777</x:f>
        <x:v>0</x:v>
      </x:c>
      <x:c r="P2777" s="2" t="str">
        <x:f>IF(AND(E2777&gt;='Итоги'!$F$5,N2777&lt;='Итоги'!$B$5,O2777&gt;='Итоги'!$D$5),"Да","Нет")</x:f>
        <x:v>Нет</x:v>
      </x:c>
    </x:row>
    <x:row r="2778" ht="60" customHeight="1">
      <x:c r="A2778" s="14" t="str">
        <x:v>Спорт и отдых</x:v>
      </x:c>
      <x:c r="B2778" s="14" t="str">
        <x:v>Туризм</x:v>
      </x:c>
      <x:c r="C2778" s="14" t="str">
        <x:v>Туристическая мебель</x:v>
      </x:c>
      <x:c r="D2778" s="14" t="str">
        <x:v>Насос для туризма</x:v>
      </x:c>
      <x:c r="E2778" s="2" t="n">
        <x:v>48</x:v>
      </x:c>
      <x:c r="F2778" s="2" t="n">
        <x:v>0</x:v>
      </x:c>
      <x:c r="G2778" s="12" t="n">
        <x:v>8346311.1185</x:v>
      </x:c>
      <x:c r="H2778" s="12" t="n">
        <x:v>567769.75347034</x:v>
      </x:c>
      <x:c r="I2778" s="13" t="n">
        <x:v>0.0697499999999999</x:v>
      </x:c>
      <x:c r="J2778" s="2" t="n">
        <x:v>21</x:v>
      </x:c>
      <x:c r="K2778" s="2" t="n">
        <x:v>18</x:v>
      </x:c>
      <x:c r="L2778" s="12" t="n">
        <x:v>1304.2652</x:v>
      </x:c>
      <x:c r="M2778" s="13" t="n">
        <x:v>0.6066741534564328</x:v>
      </x:c>
      <x:c r="N2778" s="13" t="n">
        <x:f>H2778/G2778</x:f>
        <x:v>0.06802643052831461</x:v>
      </x:c>
      <x:c r="O2778" s="13" t="n">
        <x:f>F2778/E2778</x:f>
        <x:v>0</x:v>
      </x:c>
      <x:c r="P2778" s="2" t="str">
        <x:f>IF(AND(E2778&gt;='Итоги'!$F$5,N2778&lt;='Итоги'!$B$5,O2778&gt;='Итоги'!$D$5),"Да","Нет")</x:f>
        <x:v>Нет</x:v>
      </x:c>
    </x:row>
    <x:row r="2779" ht="60" customHeight="1">
      <x:c r="A2779" s="14" t="str">
        <x:v>Товары для детей и спорта</x:v>
      </x:c>
      <x:c r="B2779" s="14" t="str">
        <x:v>Спорт детский</x:v>
      </x:c>
      <x:c r="C2779" s="14" t="str">
        <x:v>Товары для активных игр</x:v>
      </x:c>
      <x:c r="D2779" s="14" t="str">
        <x:v>Фрисби, планер</x:v>
      </x:c>
      <x:c r="E2779" s="2" t="n">
        <x:v>4</x:v>
      </x:c>
      <x:c r="F2779" s="2" t="n">
        <x:v>0</x:v>
      </x:c>
      <x:c r="G2779" s="12" t="n">
        <x:v>344018.2329</x:v>
      </x:c>
      <x:c r="H2779" s="12" t="n">
        <x:v>23413.35808405</x:v>
      </x:c>
      <x:c r="I2779" s="13" t="n">
        <x:v>0.0746749999999999</x:v>
      </x:c>
      <x:c r="J2779" s="2" t="n">
        <x:v>2</x:v>
      </x:c>
      <x:c r="K2779" s="2" t="n">
        <x:v>2</x:v>
      </x:c>
      <x:c r="L2779" s="12" t="n">
        <x:v>1201.81525</x:v>
      </x:c>
      <x:c r="M2779" s="13" t="n">
        <x:v>0.5136301759661763</x:v>
      </x:c>
      <x:c r="N2779" s="13" t="n">
        <x:f>H2779/G2779</x:f>
        <x:v>0.06805848017612441</x:v>
      </x:c>
      <x:c r="O2779" s="13" t="n">
        <x:f>F2779/E2779</x:f>
        <x:v>0</x:v>
      </x:c>
      <x:c r="P2779" s="2" t="str">
        <x:f>IF(AND(E2779&gt;='Итоги'!$F$5,N2779&lt;='Итоги'!$B$5,O2779&gt;='Итоги'!$D$5),"Да","Нет")</x:f>
        <x:v>Нет</x:v>
      </x:c>
    </x:row>
    <x:row r="2780" ht="60" customHeight="1">
      <x:c r="A2780" s="14" t="str">
        <x:v>Мебель</x:v>
      </x:c>
      <x:c r="B2780" s="14" t="str">
        <x:v>Корпусная мебель и мебель для хранения</x:v>
      </x:c>
      <x:c r="C2780" s="14" t="str">
        <x:v>Комод, тумба</x:v>
      </x:c>
      <x:c r="D2780" s="14" t="str">
        <x:v>Прикроватные тумбы</x:v>
      </x:c>
      <x:c r="E2780" s="2" t="n">
        <x:v>385</x:v>
      </x:c>
      <x:c r="F2780" s="2" t="n">
        <x:v>0</x:v>
      </x:c>
      <x:c r="G2780" s="12" t="n">
        <x:v>68536161.2815</x:v>
      </x:c>
      <x:c r="H2780" s="12" t="n">
        <x:v>4667834.98967762</x:v>
      </x:c>
      <x:c r="I2780" s="13" t="n">
        <x:v>0.0727371428571428</x:v>
      </x:c>
      <x:c r="J2780" s="2" t="n">
        <x:v>59</x:v>
      </x:c>
      <x:c r="K2780" s="2" t="n">
        <x:v>49</x:v>
      </x:c>
      <x:c r="L2780" s="12" t="n">
        <x:v>2666.6797</x:v>
      </x:c>
      <x:c r="M2780" s="13" t="n">
        <x:v>0.711694656623063</x:v>
      </x:c>
      <x:c r="N2780" s="13" t="n">
        <x:f>H2780/G2780</x:f>
        <x:v>0.06810762234706033</x:v>
      </x:c>
      <x:c r="O2780" s="13" t="n">
        <x:f>F2780/E2780</x:f>
        <x:v>0</x:v>
      </x:c>
      <x:c r="P2780" s="2" t="str">
        <x:f>IF(AND(E2780&gt;='Итоги'!$F$5,N2780&lt;='Итоги'!$B$5,O2780&gt;='Итоги'!$D$5),"Да","Нет")</x:f>
        <x:v>Нет</x:v>
      </x:c>
    </x:row>
    <x:row r="2781" ht="60" customHeight="1">
      <x:c r="A2781" s="14" t="str">
        <x:v>Товары для детей и спорта</x:v>
      </x:c>
      <x:c r="B2781" s="14" t="str">
        <x:v>КГТ и аксессуары для детей</x:v>
      </x:c>
      <x:c r="C2781" s="14" t="str">
        <x:v>Коляска детская</x:v>
      </x:c>
      <x:c r="D2781" s="14" t="str">
        <x:v>Аксессуары для коляски</x:v>
      </x:c>
      <x:c r="E2781" s="2" t="n">
        <x:v>27</x:v>
      </x:c>
      <x:c r="F2781" s="2" t="n">
        <x:v>0</x:v>
      </x:c>
      <x:c r="G2781" s="12" t="n">
        <x:v>3195618.594</x:v>
      </x:c>
      <x:c r="H2781" s="12" t="n">
        <x:v>217810.41328338</x:v>
      </x:c>
      <x:c r="I2781" s="13" t="n">
        <x:v>0.0642074074074074</x:v>
      </x:c>
      <x:c r="J2781" s="2" t="n">
        <x:v>11</x:v>
      </x:c>
      <x:c r="K2781" s="2" t="n">
        <x:v>15</x:v>
      </x:c>
      <x:c r="L2781" s="12" t="n">
        <x:v>1176.2158</x:v>
      </x:c>
      <x:c r="M2781" s="13" t="n">
        <x:v>0.2337174051065745</x:v>
      </x:c>
      <x:c r="N2781" s="13" t="n">
        <x:f>H2781/G2781</x:f>
        <x:v>0.06815907683486837</x:v>
      </x:c>
      <x:c r="O2781" s="13" t="n">
        <x:f>F2781/E2781</x:f>
        <x:v>0</x:v>
      </x:c>
      <x:c r="P2781" s="2" t="str">
        <x:f>IF(AND(E2781&gt;='Итоги'!$F$5,N2781&lt;='Итоги'!$B$5,O2781&gt;='Итоги'!$D$5),"Да","Нет")</x:f>
        <x:v>Нет</x:v>
      </x:c>
    </x:row>
    <x:row r="2782" ht="60" customHeight="1">
      <x:c r="A2782" s="14" t="str">
        <x:v>Спорт и отдых</x:v>
      </x:c>
      <x:c r="B2782" s="14" t="str">
        <x:v>Колесный транспорт</x:v>
      </x:c>
      <x:c r="C2782" s="14" t="str">
        <x:v>Велохимия, велокосметика</x:v>
      </x:c>
      <x:c r="D2782" s="14" t="str">
        <x:v>Велохимия, велокосметика</x:v>
      </x:c>
      <x:c r="E2782" s="2" t="n">
        <x:v>4</x:v>
      </x:c>
      <x:c r="F2782" s="2" t="n">
        <x:v>0</x:v>
      </x:c>
      <x:c r="G2782" s="12" t="n">
        <x:v>745096.54</x:v>
      </x:c>
      <x:c r="H2782" s="12" t="n">
        <x:v>50785.150208</x:v>
      </x:c>
      <x:c r="I2782" s="13" t="n">
        <x:v>0.0304</x:v>
      </x:c>
      <x:c r="J2782" s="2" t="n">
        <x:v>2</x:v>
      </x:c>
      <x:c r="K2782" s="2" t="n">
        <x:v>3</x:v>
      </x:c>
      <x:c r="L2782" s="12" t="n">
        <x:v>1468.91225</x:v>
      </x:c>
      <x:c r="M2782" s="13" t="n">
        <x:v>0.6255518781499105</x:v>
      </x:c>
      <x:c r="N2782" s="13" t="n">
        <x:f>H2782/G2782</x:f>
        <x:v>0.06815915452781461</x:v>
      </x:c>
      <x:c r="O2782" s="13" t="n">
        <x:f>F2782/E2782</x:f>
        <x:v>0</x:v>
      </x:c>
      <x:c r="P2782" s="2" t="str">
        <x:f>IF(AND(E2782&gt;='Итоги'!$F$5,N2782&lt;='Итоги'!$B$5,O2782&gt;='Итоги'!$D$5),"Да","Нет")</x:f>
        <x:v>Нет</x:v>
      </x:c>
    </x:row>
    <x:row r="2783" ht="60" customHeight="1">
      <x:c r="A2783" s="14" t="str">
        <x:v>Автотовары</x:v>
      </x:c>
      <x:c r="B2783" s="14" t="str">
        <x:v>Автоинструменты и гаражное оборудование</x:v>
      </x:c>
      <x:c r="C2783" s="14" t="str">
        <x:v>Оборудование для гаража и автосервиса</x:v>
      </x:c>
      <x:c r="D2783" s="14" t="str">
        <x:v>Диагностическое оборудование</x:v>
      </x:c>
      <x:c r="E2783" s="2" t="n">
        <x:v>195</x:v>
      </x:c>
      <x:c r="F2783" s="2" t="n">
        <x:v>0</x:v>
      </x:c>
      <x:c r="G2783" s="12" t="n">
        <x:v>35692369.0377</x:v>
      </x:c>
      <x:c r="H2783" s="12" t="n">
        <x:v>2434400.19115673</x:v>
      </x:c>
      <x:c r="I2783" s="13" t="n">
        <x:v>0.0662051282051282</x:v>
      </x:c>
      <x:c r="J2783" s="2" t="n">
        <x:v>45</x:v>
      </x:c>
      <x:c r="K2783" s="2" t="n">
        <x:v>73</x:v>
      </x:c>
      <x:c r="L2783" s="12" t="n">
        <x:v>2467.125</x:v>
      </x:c>
      <x:c r="M2783" s="13" t="n">
        <x:v>0.3647163507177177</x:v>
      </x:c>
      <x:c r="N2783" s="13" t="n">
        <x:f>H2783/G2783</x:f>
        <x:v>0.06820506054348478</x:v>
      </x:c>
      <x:c r="O2783" s="13" t="n">
        <x:f>F2783/E2783</x:f>
        <x:v>0</x:v>
      </x:c>
      <x:c r="P2783" s="2" t="str">
        <x:f>IF(AND(E2783&gt;='Итоги'!$F$5,N2783&lt;='Итоги'!$B$5,O2783&gt;='Итоги'!$D$5),"Да","Нет")</x:f>
        <x:v>Нет</x:v>
      </x:c>
    </x:row>
    <x:row r="2784" ht="60" customHeight="1">
      <x:c r="A2784" s="14" t="str">
        <x:v>Строительство и ремонт (DIY)</x:v>
      </x:c>
      <x:c r="B2784" s="14" t="str">
        <x:v>Ремонт и строительство</x:v>
      </x:c>
      <x:c r="C2784" s="14" t="str">
        <x:v>Вентиляционные системы</x:v>
      </x:c>
      <x:c r="D2784" s="14" t="str">
        <x:v>Вытяжной вентилятор для вентиляционных систем</x:v>
      </x:c>
      <x:c r="E2784" s="2" t="n">
        <x:v>109</x:v>
      </x:c>
      <x:c r="F2784" s="2" t="n">
        <x:v>0</x:v>
      </x:c>
      <x:c r="G2784" s="12" t="n">
        <x:v>18972453.7298</x:v>
      </x:c>
      <x:c r="H2784" s="12" t="n">
        <x:v>1294098.9693386</x:v>
      </x:c>
      <x:c r="I2784" s="13" t="n">
        <x:v>0.0617807339449541</x:v>
      </x:c>
      <x:c r="J2784" s="2" t="n">
        <x:v>25</x:v>
      </x:c>
      <x:c r="K2784" s="2" t="n">
        <x:v>28</x:v>
      </x:c>
      <x:c r="L2784" s="12" t="n">
        <x:v>3249</x:v>
      </x:c>
      <x:c r="M2784" s="13" t="n">
        <x:v>0.3221836676665036</x:v>
      </x:c>
      <x:c r="N2784" s="13" t="n">
        <x:f>H2784/G2784</x:f>
        <x:v>0.06820936225586684</x:v>
      </x:c>
      <x:c r="O2784" s="13" t="n">
        <x:f>F2784/E2784</x:f>
        <x:v>0</x:v>
      </x:c>
      <x:c r="P2784" s="2" t="str">
        <x:f>IF(AND(E2784&gt;='Итоги'!$F$5,N2784&lt;='Итоги'!$B$5,O2784&gt;='Итоги'!$D$5),"Да","Нет")</x:f>
        <x:v>Нет</x:v>
      </x:c>
    </x:row>
    <x:row r="2785" ht="60" customHeight="1">
      <x:c r="A2785" s="14" t="str">
        <x:v>Школьные принадлежности и канцелярия</x:v>
      </x:c>
      <x:c r="B2785" s="14" t="str">
        <x:v>Товары для школы, канцелярия, оборудование</x:v>
      </x:c>
      <x:c r="C2785" s="14" t="str">
        <x:v>Офисные принадлежности</x:v>
      </x:c>
      <x:c r="D2785" s="14" t="str">
        <x:v>Лупа ручная, налобная, очки увеличительные</x:v>
      </x:c>
      <x:c r="E2785" s="2" t="n">
        <x:v>18</x:v>
      </x:c>
      <x:c r="F2785" s="2" t="n">
        <x:v>0</x:v>
      </x:c>
      <x:c r="G2785" s="12" t="n">
        <x:v>1788112.8444</x:v>
      </x:c>
      <x:c r="H2785" s="12" t="n">
        <x:v>121987.46674784</x:v>
      </x:c>
      <x:c r="I2785" s="13" t="n">
        <x:v>0.0645888888888888</x:v>
      </x:c>
      <x:c r="J2785" s="2" t="n">
        <x:v>3</x:v>
      </x:c>
      <x:c r="K2785" s="2" t="n">
        <x:v>10</x:v>
      </x:c>
      <x:c r="L2785" s="12" t="n">
        <x:v>1181.65205</x:v>
      </x:c>
      <x:c r="M2785" s="13" t="n">
        <x:v>0.2735796824188396</x:v>
      </x:c>
      <x:c r="N2785" s="13" t="n">
        <x:f>H2785/G2785</x:f>
        <x:v>0.06822134695239147</x:v>
      </x:c>
      <x:c r="O2785" s="13" t="n">
        <x:f>F2785/E2785</x:f>
        <x:v>0</x:v>
      </x:c>
      <x:c r="P2785" s="2" t="str">
        <x:f>IF(AND(E2785&gt;='Итоги'!$F$5,N2785&lt;='Итоги'!$B$5,O2785&gt;='Итоги'!$D$5),"Да","Нет")</x:f>
        <x:v>Нет</x:v>
      </x:c>
    </x:row>
    <x:row r="2786" ht="60" customHeight="1">
      <x:c r="A2786" s="14" t="str">
        <x:v>Строительство и ремонт (DIY)</x:v>
      </x:c>
      <x:c r="B2786" s="14" t="str">
        <x:v>Ремонт и строительство</x:v>
      </x:c>
      <x:c r="C2786" s="14" t="str">
        <x:v>Изоляционные материалы</x:v>
      </x:c>
      <x:c r="D2786" s="14" t="str">
        <x:v>Звукоизоляция</x:v>
      </x:c>
      <x:c r="E2786" s="2" t="n">
        <x:v>27</x:v>
      </x:c>
      <x:c r="F2786" s="2" t="n">
        <x:v>0</x:v>
      </x:c>
      <x:c r="G2786" s="12" t="n">
        <x:v>7412779.48</x:v>
      </x:c>
      <x:c r="H2786" s="12" t="n">
        <x:v>506180.31653632</x:v>
      </x:c>
      <x:c r="I2786" s="13" t="n">
        <x:v>0.0734666666666666</x:v>
      </x:c>
      <x:c r="J2786" s="2" t="n">
        <x:v>2</x:v>
      </x:c>
      <x:c r="K2786" s="2" t="n">
        <x:v>4</x:v>
      </x:c>
      <x:c r="L2786" s="12" t="n">
        <x:v>1843.3708</x:v>
      </x:c>
      <x:c r="M2786" s="13" t="n">
        <x:v>0.6987574591251701</x:v>
      </x:c>
      <x:c r="N2786" s="13" t="n">
        <x:f>H2786/G2786</x:f>
        <x:v>0.06828482054565584</x:v>
      </x:c>
      <x:c r="O2786" s="13" t="n">
        <x:f>F2786/E2786</x:f>
        <x:v>0</x:v>
      </x:c>
      <x:c r="P2786" s="2" t="str">
        <x:f>IF(AND(E2786&gt;='Итоги'!$F$5,N2786&lt;='Итоги'!$B$5,O2786&gt;='Итоги'!$D$5),"Да","Нет")</x:f>
        <x:v>Нет</x:v>
      </x:c>
    </x:row>
    <x:row r="2787" ht="60" customHeight="1">
      <x:c r="A2787" s="14" t="str">
        <x:v>Книги</x:v>
      </x:c>
      <x:c r="B2787" s="14" t="str">
        <x:v>Печатные книги: Учебная литература</x:v>
      </x:c>
      <x:c r="C2787" s="14" t="str">
        <x:v>Печатная книга: Пособие для изучения иностранных языков</x:v>
      </x:c>
      <x:c r="D2787" s="14" t="str">
        <x:v>Печатная книга: Пособие для изучения иностранных языков</x:v>
      </x:c>
      <x:c r="E2787" s="2" t="n">
        <x:v>4</x:v>
      </x:c>
      <x:c r="F2787" s="2" t="n">
        <x:v>0</x:v>
      </x:c>
      <x:c r="G2787" s="12" t="n">
        <x:v>148958.57</x:v>
      </x:c>
      <x:c r="H2787" s="12" t="n">
        <x:v>10172.446807</x:v>
      </x:c>
      <x:c r="I2787" s="13" t="n">
        <x:v>0.064525</x:v>
      </x:c>
      <x:c r="J2787" s="2" t="n">
        <x:v>1</x:v>
      </x:c>
      <x:c r="K2787" s="2" t="n">
        <x:v>2</x:v>
      </x:c>
      <x:c r="L2787" s="12" t="n">
        <x:v>1356.4182</x:v>
      </x:c>
      <x:c r="M2787" s="13" t="n">
        <x:v>0.6846908506170541</x:v>
      </x:c>
      <x:c r="N2787" s="13" t="n">
        <x:f>H2787/G2787</x:f>
        <x:v>0.06829044349042825</x:v>
      </x:c>
      <x:c r="O2787" s="13" t="n">
        <x:f>F2787/E2787</x:f>
        <x:v>0</x:v>
      </x:c>
      <x:c r="P2787" s="2" t="str">
        <x:f>IF(AND(E2787&gt;='Итоги'!$F$5,N2787&lt;='Итоги'!$B$5,O2787&gt;='Итоги'!$D$5),"Да","Нет")</x:f>
        <x:v>Нет</x:v>
      </x:c>
    </x:row>
    <x:row r="2788" ht="60" customHeight="1">
      <x:c r="A2788" s="14" t="str">
        <x:v>Автотовары</x:v>
      </x:c>
      <x:c r="B2788" s="14" t="str">
        <x:v>Автоинструменты и гаражное оборудование</x:v>
      </x:c>
      <x:c r="C2788" s="14" t="str">
        <x:v>Инструменты для авто</x:v>
      </x:c>
      <x:c r="D2788" s="14" t="str">
        <x:v>Ручные инструменты для авто</x:v>
      </x:c>
      <x:c r="E2788" s="2" t="n">
        <x:v>287</x:v>
      </x:c>
      <x:c r="F2788" s="2" t="n">
        <x:v>0</x:v>
      </x:c>
      <x:c r="G2788" s="12" t="n">
        <x:v>46780895.5767</x:v>
      </x:c>
      <x:c r="H2788" s="12" t="n">
        <x:v>3194864.06197215</x:v>
      </x:c>
      <x:c r="I2788" s="13" t="n">
        <x:v>0.0686303135888501</x:v>
      </x:c>
      <x:c r="J2788" s="2" t="n">
        <x:v>73</x:v>
      </x:c>
      <x:c r="K2788" s="2" t="n">
        <x:v>67</x:v>
      </x:c>
      <x:c r="L2788" s="12" t="n">
        <x:v>2469.736</x:v>
      </x:c>
      <x:c r="M2788" s="13" t="n">
        <x:v>0.567202048427987</x:v>
      </x:c>
      <x:c r="N2788" s="13" t="n">
        <x:f>H2788/G2788</x:f>
        <x:v>0.06829420477284331</x:v>
      </x:c>
      <x:c r="O2788" s="13" t="n">
        <x:f>F2788/E2788</x:f>
        <x:v>0</x:v>
      </x:c>
      <x:c r="P2788" s="2" t="str">
        <x:f>IF(AND(E2788&gt;='Итоги'!$F$5,N2788&lt;='Итоги'!$B$5,O2788&gt;='Итоги'!$D$5),"Да","Нет")</x:f>
        <x:v>Нет</x:v>
      </x:c>
    </x:row>
    <x:row r="2789" ht="60" customHeight="1">
      <x:c r="A2789" s="14" t="str">
        <x:v>Школьные принадлежности и канцелярия</x:v>
      </x:c>
      <x:c r="B2789" s="14" t="str">
        <x:v>Товары для школы, канцелярия, оборудование</x:v>
      </x:c>
      <x:c r="C2789" s="14" t="str">
        <x:v>Тетрадь</x:v>
      </x:c>
      <x:c r="D2789" s="14" t="str">
        <x:v>Тетрадь А5 8-24 листов</x:v>
      </x:c>
      <x:c r="E2789" s="2" t="n">
        <x:v>1</x:v>
      </x:c>
      <x:c r="F2789" s="2" t="n">
        <x:v>0</x:v>
      </x:c>
      <x:c r="G2789" s="12" t="n">
        <x:v>128076.39</x:v>
      </x:c>
      <x:c r="H2789" s="12" t="n">
        <x:v>8747.617437</x:v>
      </x:c>
      <x:c r="I2789" s="13" t="n">
        <x:v>0.0683</x:v>
      </x:c>
      <x:c r="J2789" s="2" t="n">
        <x:v>0</x:v>
      </x:c>
      <x:c r="K2789" s="2" t="n">
        <x:v>1</x:v>
      </x:c>
      <x:c r="L2789" s="12" t="n">
        <x:v>859.5731</x:v>
      </x:c>
      <x:c r="M2789" s="13" t="n">
        <x:v>1</x:v>
      </x:c>
      <x:c r="N2789" s="13" t="n">
        <x:f>H2789/G2789</x:f>
        <x:v>0.0683</x:v>
      </x:c>
      <x:c r="O2789" s="13" t="n">
        <x:f>F2789/E2789</x:f>
        <x:v>0</x:v>
      </x:c>
      <x:c r="P2789" s="2" t="str">
        <x:f>IF(AND(E2789&gt;='Итоги'!$F$5,N2789&lt;='Итоги'!$B$5,O2789&gt;='Итоги'!$D$5),"Да","Нет")</x:f>
        <x:v>Нет</x:v>
      </x:c>
    </x:row>
    <x:row r="2790" ht="60" customHeight="1">
      <x:c r="A2790" s="14" t="str">
        <x:v>Крупная бытовая техника</x:v>
      </x:c>
      <x:c r="B2790" s="14" t="str">
        <x:v>MDA Отдельностоящая техника</x:v>
      </x:c>
      <x:c r="C2790" s="14" t="str">
        <x:v>MDA Отдельностоящая техника прочее</x:v>
      </x:c>
      <x:c r="D2790" s="14" t="str">
        <x:v>Сушильный шкаф</x:v>
      </x:c>
      <x:c r="E2790" s="2" t="n">
        <x:v>3</x:v>
      </x:c>
      <x:c r="F2790" s="2" t="n">
        <x:v>0</x:v>
      </x:c>
      <x:c r="G2790" s="12" t="n">
        <x:v>249327</x:v>
      </x:c>
      <x:c r="H2790" s="12" t="n">
        <x:v>17049.174300000002</x:v>
      </x:c>
      <x:c r="I2790" s="13" t="n">
        <x:v>0.1107</x:v>
      </x:c>
      <x:c r="J2790" s="2" t="n">
        <x:v>1</x:v>
      </x:c>
      <x:c r="K2790" s="2" t="n">
        <x:v>2</x:v>
      </x:c>
      <x:c r="L2790" s="12" t="n">
        <x:v>72878</x:v>
      </x:c>
      <x:c r="M2790" s="13" t="n">
        <x:v>0.9192706766615728</x:v>
      </x:c>
      <x:c r="N2790" s="13" t="n">
        <x:f>H2790/G2790</x:f>
        <x:v>0.06838077825506264</x:v>
      </x:c>
      <x:c r="O2790" s="13" t="n">
        <x:f>F2790/E2790</x:f>
        <x:v>0</x:v>
      </x:c>
      <x:c r="P2790" s="2" t="str">
        <x:f>IF(AND(E2790&gt;='Итоги'!$F$5,N2790&lt;='Итоги'!$B$5,O2790&gt;='Итоги'!$D$5),"Да","Нет")</x:f>
        <x:v>Нет</x:v>
      </x:c>
    </x:row>
    <x:row r="2791" ht="60" customHeight="1">
      <x:c r="A2791" s="14" t="str">
        <x:v>Ноутбуки и компьютеры</x:v>
      </x:c>
      <x:c r="B2791" s="14" t="str">
        <x:v>Компьютерная периферия Lap&amp;Comp</x:v>
      </x:c>
      <x:c r="C2791" s="14" t="str">
        <x:v>Сетевое оборудование Lap&amp;Comp</x:v>
      </x:c>
      <x:c r="D2791" s="14" t="str">
        <x:v>Антенны и усилители GSM сигнала</x:v>
      </x:c>
      <x:c r="E2791" s="2" t="n">
        <x:v>149</x:v>
      </x:c>
      <x:c r="F2791" s="2" t="n">
        <x:v>0</x:v>
      </x:c>
      <x:c r="G2791" s="12" t="n">
        <x:v>32910131.78</x:v>
      </x:c>
      <x:c r="H2791" s="12" t="n">
        <x:v>2250684.40607817</x:v>
      </x:c>
      <x:c r="I2791" s="13" t="n">
        <x:v>0.0510838926174496</x:v>
      </x:c>
      <x:c r="J2791" s="2" t="n">
        <x:v>40</x:v>
      </x:c>
      <x:c r="K2791" s="2" t="n">
        <x:v>37</x:v>
      </x:c>
      <x:c r="L2791" s="12" t="n">
        <x:v>5654.8571</x:v>
      </x:c>
      <x:c r="M2791" s="13" t="n">
        <x:v>0.5260773060964024</x:v>
      </x:c>
      <x:c r="N2791" s="13" t="n">
        <x:f>H2791/G2791</x:f>
        <x:v>0.06838879956858593</x:v>
      </x:c>
      <x:c r="O2791" s="13" t="n">
        <x:f>F2791/E2791</x:f>
        <x:v>0</x:v>
      </x:c>
      <x:c r="P2791" s="2" t="str">
        <x:f>IF(AND(E2791&gt;='Итоги'!$F$5,N2791&lt;='Итоги'!$B$5,O2791&gt;='Итоги'!$D$5),"Да","Нет")</x:f>
        <x:v>Нет</x:v>
      </x:c>
    </x:row>
    <x:row r="2792" ht="60" customHeight="1">
      <x:c r="A2792" s="14" t="str">
        <x:v>Аксессуары для электроники</x:v>
      </x:c>
      <x:c r="B2792" s="14" t="str">
        <x:v>Аксессуары для МБТ (кухня) Access</x:v>
      </x:c>
      <x:c r="C2792" s="14" t="str">
        <x:v>Аксессуары для мультиварки Access</x:v>
      </x:c>
      <x:c r="D2792" s="14" t="str">
        <x:v>Аксессуары для мультиварок</x:v>
      </x:c>
      <x:c r="E2792" s="2" t="n">
        <x:v>29</x:v>
      </x:c>
      <x:c r="F2792" s="2" t="n">
        <x:v>0</x:v>
      </x:c>
      <x:c r="G2792" s="12" t="n">
        <x:v>3855138.6702</x:v>
      </x:c>
      <x:c r="H2792" s="12" t="n">
        <x:v>263651.52721118</x:v>
      </x:c>
      <x:c r="I2792" s="13" t="n">
        <x:v>0.0734551724137931</x:v>
      </x:c>
      <x:c r="J2792" s="2" t="n">
        <x:v>8</x:v>
      </x:c>
      <x:c r="K2792" s="2" t="n">
        <x:v>7</x:v>
      </x:c>
      <x:c r="L2792" s="12" t="n">
        <x:v>1886.7143</x:v>
      </x:c>
      <x:c r="M2792" s="13" t="n">
        <x:v>0.5057471799318831</x:v>
      </x:c>
      <x:c r="N2792" s="13" t="n">
        <x:f>H2792/G2792</x:f>
        <x:v>0.06838963517685917</x:v>
      </x:c>
      <x:c r="O2792" s="13" t="n">
        <x:f>F2792/E2792</x:f>
        <x:v>0</x:v>
      </x:c>
      <x:c r="P2792" s="2" t="str">
        <x:f>IF(AND(E2792&gt;='Итоги'!$F$5,N2792&lt;='Итоги'!$B$5,O2792&gt;='Итоги'!$D$5),"Да","Нет")</x:f>
        <x:v>Нет</x:v>
      </x:c>
    </x:row>
    <x:row r="2793" ht="60" customHeight="1">
      <x:c r="A2793" s="14" t="str">
        <x:v>Автотовары</x:v>
      </x:c>
      <x:c r="B2793" s="14" t="str">
        <x:v>Авто и мото запчасти</x:v>
      </x:c>
      <x:c r="C2793" s="14" t="str">
        <x:v>Запчасти для ТО</x:v>
      </x:c>
      <x:c r="D2793" s="14" t="str">
        <x:v>Колодки тормозные</x:v>
      </x:c>
      <x:c r="E2793" s="2" t="n">
        <x:v>149</x:v>
      </x:c>
      <x:c r="F2793" s="2" t="n">
        <x:v>0</x:v>
      </x:c>
      <x:c r="G2793" s="12" t="n">
        <x:v>20767410.0375</x:v>
      </x:c>
      <x:c r="H2793" s="12" t="n">
        <x:v>1420742.23222913</x:v>
      </x:c>
      <x:c r="I2793" s="13" t="n">
        <x:v>0.0686684563758389</x:v>
      </x:c>
      <x:c r="J2793" s="2" t="n">
        <x:v>27</x:v>
      </x:c>
      <x:c r="K2793" s="2" t="n">
        <x:v>26</x:v>
      </x:c>
      <x:c r="L2793" s="12" t="n">
        <x:v>1315.6825</x:v>
      </x:c>
      <x:c r="M2793" s="13" t="n">
        <x:v>0.7088554867274214</x:v>
      </x:c>
      <x:c r="N2793" s="13" t="n">
        <x:f>H2793/G2793</x:f>
        <x:v>0.0684121048153658</x:v>
      </x:c>
      <x:c r="O2793" s="13" t="n">
        <x:f>F2793/E2793</x:f>
        <x:v>0</x:v>
      </x:c>
      <x:c r="P2793" s="2" t="str">
        <x:f>IF(AND(E2793&gt;='Итоги'!$F$5,N2793&lt;='Итоги'!$B$5,O2793&gt;='Итоги'!$D$5),"Да","Нет")</x:f>
        <x:v>Нет</x:v>
      </x:c>
    </x:row>
    <x:row r="2794" ht="60" customHeight="1">
      <x:c r="A2794" s="14" t="str">
        <x:v>Аптека</x:v>
      </x:c>
      <x:c r="B2794" s="14" t="str">
        <x:v>Товары для взрослых</x:v>
      </x:c>
      <x:c r="C2794" s="14" t="str">
        <x:v>Презервативы и лубриканты</x:v>
      </x:c>
      <x:c r="D2794" s="14" t="str">
        <x:v>Презервативы</x:v>
      </x:c>
      <x:c r="E2794" s="2" t="n">
        <x:v>81</x:v>
      </x:c>
      <x:c r="F2794" s="2" t="n">
        <x:v>0</x:v>
      </x:c>
      <x:c r="G2794" s="12" t="n">
        <x:v>21286766.7936</x:v>
      </x:c>
      <x:c r="H2794" s="12" t="n">
        <x:v>1456339.70452999</x:v>
      </x:c>
      <x:c r="I2794" s="13" t="n">
        <x:v>0.0617234567901234</x:v>
      </x:c>
      <x:c r="J2794" s="2" t="n">
        <x:v>22</x:v>
      </x:c>
      <x:c r="K2794" s="2" t="n">
        <x:v>8</x:v>
      </x:c>
      <x:c r="L2794" s="12" t="n">
        <x:v>1279.4205</x:v>
      </x:c>
      <x:c r="M2794" s="13" t="n">
        <x:v>0.8513285028963864</x:v>
      </x:c>
      <x:c r="N2794" s="13" t="n">
        <x:f>H2794/G2794</x:f>
        <x:v>0.06841526092952019</x:v>
      </x:c>
      <x:c r="O2794" s="13" t="n">
        <x:f>F2794/E2794</x:f>
        <x:v>0</x:v>
      </x:c>
      <x:c r="P2794" s="2" t="str">
        <x:f>IF(AND(E2794&gt;='Итоги'!$F$5,N2794&lt;='Итоги'!$B$5,O2794&gt;='Итоги'!$D$5),"Да","Нет")</x:f>
        <x:v>Нет</x:v>
      </x:c>
    </x:row>
    <x:row r="2795" ht="60" customHeight="1">
      <x:c r="A2795" s="14" t="str">
        <x:v>Аксессуары для электроники</x:v>
      </x:c>
      <x:c r="B2795" s="14" t="str">
        <x:v>Аксессуары для МБТ (дом) Access</x:v>
      </x:c>
      <x:c r="C2795" s="14" t="str">
        <x:v>Аксессуары для пылесоса Access</x:v>
      </x:c>
      <x:c r="D2795" s="14" t="str">
        <x:v>HEPA фильтр</x:v>
      </x:c>
      <x:c r="E2795" s="2" t="n">
        <x:v>3</x:v>
      </x:c>
      <x:c r="F2795" s="2" t="n">
        <x:v>0</x:v>
      </x:c>
      <x:c r="G2795" s="12" t="n">
        <x:v>326514.2104</x:v>
      </x:c>
      <x:c r="H2795" s="12" t="n">
        <x:v>22338.55873092</x:v>
      </x:c>
      <x:c r="I2795" s="13" t="n">
        <x:v>0.0813666666666666</x:v>
      </x:c>
      <x:c r="J2795" s="2" t="n">
        <x:v>1</x:v>
      </x:c>
      <x:c r="K2795" s="2" t="n">
        <x:v>2</x:v>
      </x:c>
      <x:c r="L2795" s="12" t="n">
        <x:v>1379.3346</x:v>
      </x:c>
      <x:c r="M2795" s="13" t="n">
        <x:v>0.7887787795958053</x:v>
      </x:c>
      <x:c r="N2795" s="13" t="n">
        <x:f>H2795/G2795</x:f>
        <x:v>0.06841527265705799</x:v>
      </x:c>
      <x:c r="O2795" s="13" t="n">
        <x:f>F2795/E2795</x:f>
        <x:v>0</x:v>
      </x:c>
      <x:c r="P2795" s="2" t="str">
        <x:f>IF(AND(E2795&gt;='Итоги'!$F$5,N2795&lt;='Итоги'!$B$5,O2795&gt;='Итоги'!$D$5),"Да","Нет")</x:f>
        <x:v>Нет</x:v>
      </x:c>
    </x:row>
    <x:row r="2796" ht="60" customHeight="1">
      <x:c r="A2796" s="14" t="str">
        <x:v>Аптека</x:v>
      </x:c>
      <x:c r="B2796" s="14" t="str">
        <x:v>Витамины и БАДы</x:v>
      </x:c>
      <x:c r="C2796" s="14" t="str">
        <x:v>Для костно-мышечной системы</x:v>
      </x:c>
      <x:c r="D2796" s="14" t="str">
        <x:v>БАД противовоспалительные для суставов</x:v>
      </x:c>
      <x:c r="E2796" s="2" t="n">
        <x:v>22</x:v>
      </x:c>
      <x:c r="F2796" s="2" t="n">
        <x:v>0</x:v>
      </x:c>
      <x:c r="G2796" s="12" t="n">
        <x:v>4023632.3928</x:v>
      </x:c>
      <x:c r="H2796" s="12" t="n">
        <x:v>275685.15537602</x:v>
      </x:c>
      <x:c r="I2796" s="13" t="n">
        <x:v>0.0714681818181818</x:v>
      </x:c>
      <x:c r="J2796" s="2" t="n">
        <x:v>8</x:v>
      </x:c>
      <x:c r="K2796" s="2" t="n">
        <x:v>8</x:v>
      </x:c>
      <x:c r="L2796" s="12" t="n">
        <x:v>2094.7407</x:v>
      </x:c>
      <x:c r="M2796" s="13" t="n">
        <x:v>0.5116405301795989</x:v>
      </x:c>
      <x:c r="N2796" s="13" t="n">
        <x:f>H2796/G2796</x:f>
        <x:v>0.06851648671219039</x:v>
      </x:c>
      <x:c r="O2796" s="13" t="n">
        <x:f>F2796/E2796</x:f>
        <x:v>0</x:v>
      </x:c>
      <x:c r="P2796" s="2" t="str">
        <x:f>IF(AND(E2796&gt;='Итоги'!$F$5,N2796&lt;='Итоги'!$B$5,O2796&gt;='Итоги'!$D$5),"Да","Нет")</x:f>
        <x:v>Нет</x:v>
      </x:c>
    </x:row>
    <x:row r="2797" ht="60" customHeight="1">
      <x:c r="A2797" s="14" t="str">
        <x:v>Автотовары</x:v>
      </x:c>
      <x:c r="B2797" s="14" t="str">
        <x:v>Авто и мото запчасти</x:v>
      </x:c>
      <x:c r="C2797" s="14" t="str">
        <x:v>Система очистки стекол и фар</x:v>
      </x:c>
      <x:c r="D2797" s="14" t="str">
        <x:v>Трапеция, рычаг стеклоочистителя</x:v>
      </x:c>
      <x:c r="E2797" s="2" t="n">
        <x:v>11</x:v>
      </x:c>
      <x:c r="F2797" s="2" t="n">
        <x:v>0</x:v>
      </x:c>
      <x:c r="G2797" s="12" t="n">
        <x:v>1250791.7012</x:v>
      </x:c>
      <x:c r="H2797" s="12" t="n">
        <x:v>85810.82853932</x:v>
      </x:c>
      <x:c r="I2797" s="13" t="n">
        <x:v>0.0673454545454545</x:v>
      </x:c>
      <x:c r="J2797" s="2" t="n">
        <x:v>3</x:v>
      </x:c>
      <x:c r="K2797" s="2" t="n">
        <x:v>4</x:v>
      </x:c>
      <x:c r="L2797" s="12" t="n">
        <x:v>1481.6365</x:v>
      </x:c>
      <x:c r="M2797" s="13" t="n">
        <x:v>0.6321975211710815</x:v>
      </x:c>
      <x:c r="N2797" s="13" t="n">
        <x:f>H2797/G2797</x:f>
        <x:v>0.06860521096917556</x:v>
      </x:c>
      <x:c r="O2797" s="13" t="n">
        <x:f>F2797/E2797</x:f>
        <x:v>0</x:v>
      </x:c>
      <x:c r="P2797" s="2" t="str">
        <x:f>IF(AND(E2797&gt;='Итоги'!$F$5,N2797&lt;='Итоги'!$B$5,O2797&gt;='Итоги'!$D$5),"Да","Нет")</x:f>
        <x:v>Нет</x:v>
      </x:c>
    </x:row>
    <x:row r="2798" ht="60" customHeight="1">
      <x:c r="A2798" s="14" t="str">
        <x:v>Спорт и отдых</x:v>
      </x:c>
      <x:c r="B2798" s="14" t="str">
        <x:v>Тренажеры и фитнес</x:v>
      </x:c>
      <x:c r="C2798" s="14" t="str">
        <x:v>Фитнес</x:v>
      </x:c>
      <x:c r="D2798" s="14" t="str">
        <x:v>Ролик для пресса</x:v>
      </x:c>
      <x:c r="E2798" s="2" t="n">
        <x:v>5</x:v>
      </x:c>
      <x:c r="F2798" s="2" t="n">
        <x:v>0</x:v>
      </x:c>
      <x:c r="G2798" s="12" t="n">
        <x:v>696724.8879</x:v>
      </x:c>
      <x:c r="H2798" s="12" t="n">
        <x:v>47803.66539681</x:v>
      </x:c>
      <x:c r="I2798" s="13" t="n">
        <x:v>0.06972</x:v>
      </x:c>
      <x:c r="J2798" s="2" t="n">
        <x:v>0</x:v>
      </x:c>
      <x:c r="K2798" s="2" t="n">
        <x:v>4</x:v>
      </x:c>
      <x:c r="L2798" s="12" t="n">
        <x:v>966.2948</x:v>
      </x:c>
      <x:c r="M2798" s="13" t="n">
        <x:v>0.3668591354191526</x:v>
      </x:c>
      <x:c r="N2798" s="13" t="n">
        <x:f>H2798/G2798</x:f>
        <x:v>0.06861196754560489</x:v>
      </x:c>
      <x:c r="O2798" s="13" t="n">
        <x:f>F2798/E2798</x:f>
        <x:v>0</x:v>
      </x:c>
      <x:c r="P2798" s="2" t="str">
        <x:f>IF(AND(E2798&gt;='Итоги'!$F$5,N2798&lt;='Итоги'!$B$5,O2798&gt;='Итоги'!$D$5),"Да","Нет")</x:f>
        <x:v>Нет</x:v>
      </x:c>
    </x:row>
    <x:row r="2799" ht="60" customHeight="1">
      <x:c r="A2799" s="14" t="str">
        <x:v>Бакалея и кондитерские изделия</x:v>
      </x:c>
      <x:c r="B2799" s="14" t="str">
        <x:v>Бакалея</x:v>
      </x:c>
      <x:c r="C2799" s="14" t="str">
        <x:v>Макаронные изделия, крупы</x:v>
      </x:c>
      <x:c r="D2799" s="14" t="str">
        <x:v>Смесь сухая для супа, гарнира</x:v>
      </x:c>
      <x:c r="E2799" s="2" t="n">
        <x:v>3</x:v>
      </x:c>
      <x:c r="F2799" s="2" t="n">
        <x:v>0</x:v>
      </x:c>
      <x:c r="G2799" s="12" t="n">
        <x:v>259825.65010000003</x:v>
      </x:c>
      <x:c r="H2799" s="12" t="n">
        <x:v>17834.97471839</x:v>
      </x:c>
      <x:c r="I2799" s="13" t="n">
        <x:v>0.0677</x:v>
      </x:c>
      <x:c r="J2799" s="2" t="n">
        <x:v>0</x:v>
      </x:c>
      <x:c r="K2799" s="2" t="n">
        <x:v>2</x:v>
      </x:c>
      <x:c r="L2799" s="12" t="n">
        <x:v>1011.5954</x:v>
      </x:c>
      <x:c r="M2799" s="13" t="n">
        <x:v>0.6612774760069772</x:v>
      </x:c>
      <x:c r="N2799" s="13" t="n">
        <x:f>H2799/G2799</x:f>
        <x:v>0.06864208638187104</x:v>
      </x:c>
      <x:c r="O2799" s="13" t="n">
        <x:f>F2799/E2799</x:f>
        <x:v>0</x:v>
      </x:c>
      <x:c r="P2799" s="2" t="str">
        <x:f>IF(AND(E2799&gt;='Итоги'!$F$5,N2799&lt;='Итоги'!$B$5,O2799&gt;='Итоги'!$D$5),"Да","Нет")</x:f>
        <x:v>Нет</x:v>
      </x:c>
    </x:row>
    <x:row r="2800" ht="60" customHeight="1">
      <x:c r="A2800" s="14" t="str">
        <x:v>Строительство и ремонт (DIY)</x:v>
      </x:c>
      <x:c r="B2800" s="14" t="str">
        <x:v>Ремонт и строительство</x:v>
      </x:c>
      <x:c r="C2800" s="14" t="str">
        <x:v>Скобяные изделия</x:v>
      </x:c>
      <x:c r="D2800" s="14" t="str">
        <x:v>Анкер</x:v>
      </x:c>
      <x:c r="E2800" s="2" t="n">
        <x:v>7</x:v>
      </x:c>
      <x:c r="F2800" s="2" t="n">
        <x:v>0</x:v>
      </x:c>
      <x:c r="G2800" s="12" t="n">
        <x:v>1562596.3529</x:v>
      </x:c>
      <x:c r="H2800" s="12" t="n">
        <x:v>107277.52187591</x:v>
      </x:c>
      <x:c r="I2800" s="13" t="n">
        <x:v>0.0709285714285714</x:v>
      </x:c>
      <x:c r="J2800" s="2" t="n">
        <x:v>3</x:v>
      </x:c>
      <x:c r="K2800" s="2" t="n">
        <x:v>5</x:v>
      </x:c>
      <x:c r="L2800" s="12" t="n">
        <x:v>2808.8165</x:v>
      </x:c>
      <x:c r="M2800" s="13" t="n">
        <x:v>0.4455254668347178</x:v>
      </x:c>
      <x:c r="N2800" s="13" t="n">
        <x:f>H2800/G2800</x:f>
        <x:v>0.06865338043111081</x:v>
      </x:c>
      <x:c r="O2800" s="13" t="n">
        <x:f>F2800/E2800</x:f>
        <x:v>0</x:v>
      </x:c>
      <x:c r="P2800" s="2" t="str">
        <x:f>IF(AND(E2800&gt;='Итоги'!$F$5,N2800&lt;='Итоги'!$B$5,O2800&gt;='Итоги'!$D$5),"Да","Нет")</x:f>
        <x:v>Нет</x:v>
      </x:c>
    </x:row>
    <x:row r="2801" ht="60" customHeight="1">
      <x:c r="A2801" s="14" t="str">
        <x:v>Товары для дома</x:v>
      </x:c>
      <x:c r="B2801" s="14" t="str">
        <x:v>Кухня</x:v>
      </x:c>
      <x:c r="C2801" s="14" t="str">
        <x:v>Посуда для приготовления пищи</x:v>
      </x:c>
      <x:c r="D2801" s="14" t="str">
        <x:v>Скороварка</x:v>
      </x:c>
      <x:c r="E2801" s="2" t="n">
        <x:v>17</x:v>
      </x:c>
      <x:c r="F2801" s="2" t="n">
        <x:v>0</x:v>
      </x:c>
      <x:c r="G2801" s="12" t="n">
        <x:v>940198.7621</x:v>
      </x:c>
      <x:c r="H2801" s="12" t="n">
        <x:v>64626.36100964001</x:v>
      </x:c>
      <x:c r="I2801" s="13" t="n">
        <x:v>0.0386411764705882</x:v>
      </x:c>
      <x:c r="J2801" s="2" t="n">
        <x:v>10</x:v>
      </x:c>
      <x:c r="K2801" s="2" t="n">
        <x:v>5</x:v>
      </x:c>
      <x:c r="L2801" s="12" t="n">
        <x:v>4495.5</x:v>
      </x:c>
      <x:c r="M2801" s="13" t="n">
        <x:v>0.5546617866579725</x:v>
      </x:c>
      <x:c r="N2801" s="13" t="n">
        <x:f>H2801/G2801</x:f>
        <x:v>0.06873691352804219</x:v>
      </x:c>
      <x:c r="O2801" s="13" t="n">
        <x:f>F2801/E2801</x:f>
        <x:v>0</x:v>
      </x:c>
      <x:c r="P2801" s="2" t="str">
        <x:f>IF(AND(E2801&gt;='Итоги'!$F$5,N2801&lt;='Итоги'!$B$5,O2801&gt;='Итоги'!$D$5),"Да","Нет")</x:f>
        <x:v>Нет</x:v>
      </x:c>
    </x:row>
    <x:row r="2802" ht="60" customHeight="1">
      <x:c r="A2802" s="14" t="str">
        <x:v>Товары для дома</x:v>
      </x:c>
      <x:c r="B2802" s="14" t="str">
        <x:v>Хранение</x:v>
      </x:c>
      <x:c r="C2802" s="14" t="str">
        <x:v>Товары для переноски</x:v>
      </x:c>
      <x:c r="D2802" s="14" t="str">
        <x:v>Сумка-тележка</x:v>
      </x:c>
      <x:c r="E2802" s="2" t="n">
        <x:v>72</x:v>
      </x:c>
      <x:c r="F2802" s="2" t="n">
        <x:v>0</x:v>
      </x:c>
      <x:c r="G2802" s="12" t="n">
        <x:v>9964760.1115</x:v>
      </x:c>
      <x:c r="H2802" s="12" t="n">
        <x:v>685184.2507767599</x:v>
      </x:c>
      <x:c r="I2802" s="13" t="n">
        <x:v>0.0728916666666666</x:v>
      </x:c>
      <x:c r="J2802" s="2" t="n">
        <x:v>29</x:v>
      </x:c>
      <x:c r="K2802" s="2" t="n">
        <x:v>14</x:v>
      </x:c>
      <x:c r="L2802" s="12" t="n">
        <x:v>1905.09175</x:v>
      </x:c>
      <x:c r="M2802" s="13" t="n">
        <x:v>0.4716676795135109</x:v>
      </x:c>
      <x:c r="N2802" s="13" t="n">
        <x:f>H2802/G2802</x:f>
        <x:v>0.06876073714870581</x:v>
      </x:c>
      <x:c r="O2802" s="13" t="n">
        <x:f>F2802/E2802</x:f>
        <x:v>0</x:v>
      </x:c>
      <x:c r="P2802" s="2" t="str">
        <x:f>IF(AND(E2802&gt;='Итоги'!$F$5,N2802&lt;='Итоги'!$B$5,O2802&gt;='Итоги'!$D$5),"Да","Нет")</x:f>
        <x:v>Нет</x:v>
      </x:c>
    </x:row>
    <x:row r="2803" ht="60" customHeight="1">
      <x:c r="A2803" s="14" t="str">
        <x:v>Мебель</x:v>
      </x:c>
      <x:c r="B2803" s="14" t="str">
        <x:v>Корпусная мебель и мебель для хранения</x:v>
      </x:c>
      <x:c r="C2803" s="14" t="str">
        <x:v>Мебель для ванной комнаты</x:v>
      </x:c>
      <x:c r="D2803" s="14" t="str">
        <x:v>Тумба для ванной комнаты</x:v>
      </x:c>
      <x:c r="E2803" s="2" t="n">
        <x:v>73</x:v>
      </x:c>
      <x:c r="F2803" s="2" t="n">
        <x:v>0</x:v>
      </x:c>
      <x:c r="G2803" s="12" t="n">
        <x:v>12237200.3098</x:v>
      </x:c>
      <x:c r="H2803" s="12" t="n">
        <x:v>841943.39904291</x:v>
      </x:c>
      <x:c r="I2803" s="13" t="n">
        <x:v>0.0551013698630137</x:v>
      </x:c>
      <x:c r="J2803" s="2" t="n">
        <x:v>23</x:v>
      </x:c>
      <x:c r="K2803" s="2" t="n">
        <x:v>22</x:v>
      </x:c>
      <x:c r="L2803" s="12" t="n">
        <x:v>6996.1818</x:v>
      </x:c>
      <x:c r="M2803" s="13" t="n">
        <x:v>0.3472803870503494</x:v>
      </x:c>
      <x:c r="N2803" s="13" t="n">
        <x:f>H2803/G2803</x:f>
        <x:v>0.06880196268166426</x:v>
      </x:c>
      <x:c r="O2803" s="13" t="n">
        <x:f>F2803/E2803</x:f>
        <x:v>0</x:v>
      </x:c>
      <x:c r="P2803" s="2" t="str">
        <x:f>IF(AND(E2803&gt;='Итоги'!$F$5,N2803&lt;='Итоги'!$B$5,O2803&gt;='Итоги'!$D$5),"Да","Нет")</x:f>
        <x:v>Нет</x:v>
      </x:c>
    </x:row>
    <x:row r="2804" ht="60" customHeight="1">
      <x:c r="A2804" s="14" t="str">
        <x:v>Аптека</x:v>
      </x:c>
      <x:c r="B2804" s="14" t="str">
        <x:v>Медицинские изделия</x:v>
      </x:c>
      <x:c r="C2804" s="14" t="str">
        <x:v>Расходные медицинские материалы</x:v>
      </x:c>
      <x:c r="D2804" s="14" t="str">
        <x:v>Шприц медицинский</x:v>
      </x:c>
      <x:c r="E2804" s="2" t="n">
        <x:v>29</x:v>
      </x:c>
      <x:c r="F2804" s="2" t="n">
        <x:v>0</x:v>
      </x:c>
      <x:c r="G2804" s="12" t="n">
        <x:v>4523385.85</x:v>
      </x:c>
      <x:c r="H2804" s="12" t="n">
        <x:v>311241.555642</x:v>
      </x:c>
      <x:c r="I2804" s="13" t="n">
        <x:v>0.0708862068965517</x:v>
      </x:c>
      <x:c r="J2804" s="2" t="n">
        <x:v>5</x:v>
      </x:c>
      <x:c r="K2804" s="2" t="n">
        <x:v>8</x:v>
      </x:c>
      <x:c r="L2804" s="12" t="n">
        <x:v>1457</x:v>
      </x:c>
      <x:c r="M2804" s="13" t="n">
        <x:v>0.7201153512031259</x:v>
      </x:c>
      <x:c r="N2804" s="13" t="n">
        <x:f>H2804/G2804</x:f>
        <x:v>0.06880720901622842</x:v>
      </x:c>
      <x:c r="O2804" s="13" t="n">
        <x:f>F2804/E2804</x:f>
        <x:v>0</x:v>
      </x:c>
      <x:c r="P2804" s="2" t="str">
        <x:f>IF(AND(E2804&gt;='Итоги'!$F$5,N2804&lt;='Итоги'!$B$5,O2804&gt;='Итоги'!$D$5),"Да","Нет")</x:f>
        <x:v>Нет</x:v>
      </x:c>
    </x:row>
    <x:row r="2805" ht="60" customHeight="1">
      <x:c r="A2805" s="14" t="str">
        <x:v>Товары для детей и спорта</x:v>
      </x:c>
      <x:c r="B2805" s="14" t="str">
        <x:v>Спорт детский</x:v>
      </x:c>
      <x:c r="C2805" s="14" t="str">
        <x:v>Игровой комплекс для детей</x:v>
      </x:c>
      <x:c r="D2805" s="14" t="str">
        <x:v>Палатка, тоннель игровые детские</x:v>
      </x:c>
      <x:c r="E2805" s="2" t="n">
        <x:v>30</x:v>
      </x:c>
      <x:c r="F2805" s="2" t="n">
        <x:v>0</x:v>
      </x:c>
      <x:c r="G2805" s="12" t="n">
        <x:v>3795266.0908</x:v>
      </x:c>
      <x:c r="H2805" s="12" t="n">
        <x:v>261387.85642071</x:v>
      </x:c>
      <x:c r="I2805" s="13" t="n">
        <x:v>0.0694933333333333</x:v>
      </x:c>
      <x:c r="J2805" s="2" t="n">
        <x:v>4</x:v>
      </x:c>
      <x:c r="K2805" s="2" t="n">
        <x:v>15</x:v>
      </x:c>
      <x:c r="L2805" s="12" t="n">
        <x:v>1715.9257</x:v>
      </x:c>
      <x:c r="M2805" s="13" t="n">
        <x:v>0.2412424746236978</x:v>
      </x:c>
      <x:c r="N2805" s="13" t="n">
        <x:f>H2805/G2805</x:f>
        <x:v>0.06887207646766405</x:v>
      </x:c>
      <x:c r="O2805" s="13" t="n">
        <x:f>F2805/E2805</x:f>
        <x:v>0</x:v>
      </x:c>
      <x:c r="P2805" s="2" t="str">
        <x:f>IF(AND(E2805&gt;='Итоги'!$F$5,N2805&lt;='Итоги'!$B$5,O2805&gt;='Итоги'!$D$5),"Да","Нет")</x:f>
        <x:v>Нет</x:v>
      </x:c>
    </x:row>
    <x:row r="2806" ht="60" customHeight="1">
      <x:c r="A2806" s="14" t="str">
        <x:v>Аудио и видеотехника</x:v>
      </x:c>
      <x:c r="B2806" s="14" t="str">
        <x:v>Система безопасности TV&amp;Audio</x:v>
      </x:c>
      <x:c r="C2806" s="14" t="str">
        <x:v>Безопасность дома TV&amp;Audio</x:v>
      </x:c>
      <x:c r="D2806" s="14" t="str">
        <x:v>Электронный замок</x:v>
      </x:c>
      <x:c r="E2806" s="2" t="n">
        <x:v>49</x:v>
      </x:c>
      <x:c r="F2806" s="2" t="n">
        <x:v>0</x:v>
      </x:c>
      <x:c r="G2806" s="12" t="n">
        <x:v>7138760.16</x:v>
      </x:c>
      <x:c r="H2806" s="12" t="n">
        <x:v>491813.926061</x:v>
      </x:c>
      <x:c r="I2806" s="13" t="n">
        <x:v>0.0528285714285714</x:v>
      </x:c>
      <x:c r="J2806" s="2" t="n">
        <x:v>9</x:v>
      </x:c>
      <x:c r="K2806" s="2" t="n">
        <x:v>20</x:v>
      </x:c>
      <x:c r="L2806" s="12" t="n">
        <x:v>3300.6147</x:v>
      </x:c>
      <x:c r="M2806" s="13" t="n">
        <x:v>0.1693142146408796</x:v>
      </x:c>
      <x:c r="N2806" s="13" t="n">
        <x:f>H2806/G2806</x:f>
        <x:v>0.06889346539707814</x:v>
      </x:c>
      <x:c r="O2806" s="13" t="n">
        <x:f>F2806/E2806</x:f>
        <x:v>0</x:v>
      </x:c>
      <x:c r="P2806" s="2" t="str">
        <x:f>IF(AND(E2806&gt;='Итоги'!$F$5,N2806&lt;='Итоги'!$B$5,O2806&gt;='Итоги'!$D$5),"Да","Нет")</x:f>
        <x:v>Нет</x:v>
      </x:c>
    </x:row>
    <x:row r="2807" ht="60" customHeight="1">
      <x:c r="A2807" s="14" t="str">
        <x:v>Строительство и ремонт (DIY)</x:v>
      </x:c>
      <x:c r="B2807" s="14" t="str">
        <x:v>Сад и огород</x:v>
      </x:c>
      <x:c r="C2807" s="14" t="str">
        <x:v>Садовый инструмент</x:v>
      </x:c>
      <x:c r="D2807" s="14" t="str">
        <x:v>Инструмент садовый, набор садовых инструментов</x:v>
      </x:c>
      <x:c r="E2807" s="2" t="n">
        <x:v>5</x:v>
      </x:c>
      <x:c r="F2807" s="2" t="n">
        <x:v>0</x:v>
      </x:c>
      <x:c r="G2807" s="12" t="n">
        <x:v>563017.9246</x:v>
      </x:c>
      <x:c r="H2807" s="12" t="n">
        <x:v>38819.7358</x:v>
      </x:c>
      <x:c r="I2807" s="13" t="n">
        <x:v>0.07092</x:v>
      </x:c>
      <x:c r="J2807" s="2" t="n">
        <x:v>2</x:v>
      </x:c>
      <x:c r="K2807" s="2" t="n">
        <x:v>5</x:v>
      </x:c>
      <x:c r="L2807" s="12" t="n">
        <x:v>5989.9953</x:v>
      </x:c>
      <x:c r="M2807" s="13" t="n">
        <x:v>0.2484272593974177</x:v>
      </x:c>
      <x:c r="N2807" s="13" t="n">
        <x:f>H2807/G2807</x:f>
        <x:v>0.06894937817047254</x:v>
      </x:c>
      <x:c r="O2807" s="13" t="n">
        <x:f>F2807/E2807</x:f>
        <x:v>0</x:v>
      </x:c>
      <x:c r="P2807" s="2" t="str">
        <x:f>IF(AND(E2807&gt;='Итоги'!$F$5,N2807&lt;='Итоги'!$B$5,O2807&gt;='Итоги'!$D$5),"Да","Нет")</x:f>
        <x:v>Нет</x:v>
      </x:c>
    </x:row>
    <x:row r="2808" ht="60" customHeight="1">
      <x:c r="A2808" s="14" t="str">
        <x:v>Аксессуары</x:v>
      </x:c>
      <x:c r="B2808" s="14" t="str">
        <x:v>Очки и аксессуары к ним</x:v>
      </x:c>
      <x:c r="C2808" s="14" t="str">
        <x:v>Очки и оправы</x:v>
      </x:c>
      <x:c r="D2808" s="14" t="str">
        <x:v>Солнцезащитные очки мужские</x:v>
      </x:c>
      <x:c r="E2808" s="2" t="n">
        <x:v>93</x:v>
      </x:c>
      <x:c r="F2808" s="2" t="n">
        <x:v>0</x:v>
      </x:c>
      <x:c r="G2808" s="12" t="n">
        <x:v>12602079.9606</x:v>
      </x:c>
      <x:c r="H2808" s="12" t="n">
        <x:v>870681.2258888499</x:v>
      </x:c>
      <x:c r="I2808" s="13" t="n">
        <x:v>0.0682075268817204</x:v>
      </x:c>
      <x:c r="J2808" s="2" t="n">
        <x:v>20</x:v>
      </x:c>
      <x:c r="K2808" s="2" t="n">
        <x:v>24</x:v>
      </x:c>
      <x:c r="L2808" s="12" t="n">
        <x:v>2064</x:v>
      </x:c>
      <x:c r="M2808" s="13" t="n">
        <x:v>0.4556554234184217</x:v>
      </x:c>
      <x:c r="N2808" s="13" t="n">
        <x:f>H2808/G2808</x:f>
        <x:v>0.06909027943093576</x:v>
      </x:c>
      <x:c r="O2808" s="13" t="n">
        <x:f>F2808/E2808</x:f>
        <x:v>0</x:v>
      </x:c>
      <x:c r="P2808" s="2" t="str">
        <x:f>IF(AND(E2808&gt;='Итоги'!$F$5,N2808&lt;='Итоги'!$B$5,O2808&gt;='Итоги'!$D$5),"Да","Нет")</x:f>
        <x:v>Нет</x:v>
      </x:c>
    </x:row>
    <x:row r="2809" ht="60" customHeight="1">
      <x:c r="A2809" s="14" t="str">
        <x:v>Аптека</x:v>
      </x:c>
      <x:c r="B2809" s="14" t="str">
        <x:v>Медицинские изделия</x:v>
      </x:c>
      <x:c r="C2809" s="14" t="str">
        <x:v>Медицинские изделия</x:v>
      </x:c>
      <x:c r="D2809" s="14" t="str">
        <x:v>Контейнер для дезинфекции</x:v>
      </x:c>
      <x:c r="E2809" s="2" t="n">
        <x:v>1</x:v>
      </x:c>
      <x:c r="F2809" s="2" t="n">
        <x:v>0</x:v>
      </x:c>
      <x:c r="G2809" s="12" t="n">
        <x:v>45178</x:v>
      </x:c>
      <x:c r="H2809" s="12" t="n">
        <x:v>3121.7998</x:v>
      </x:c>
      <x:c r="I2809" s="13" t="n">
        <x:v>0.0691</x:v>
      </x:c>
      <x:c r="J2809" s="2" t="n">
        <x:v>0</x:v>
      </x:c>
      <x:c r="K2809" s="2" t="n">
        <x:v>1</x:v>
      </x:c>
      <x:c r="L2809" s="12" t="n">
        <x:v>1129.45</x:v>
      </x:c>
      <x:c r="M2809" s="13" t="n">
        <x:v>1</x:v>
      </x:c>
      <x:c r="N2809" s="13" t="n">
        <x:f>H2809/G2809</x:f>
        <x:v>0.0691</x:v>
      </x:c>
      <x:c r="O2809" s="13" t="n">
        <x:f>F2809/E2809</x:f>
        <x:v>0</x:v>
      </x:c>
      <x:c r="P2809" s="2" t="str">
        <x:f>IF(AND(E2809&gt;='Итоги'!$F$5,N2809&lt;='Итоги'!$B$5,O2809&gt;='Итоги'!$D$5),"Да","Нет")</x:f>
        <x:v>Нет</x:v>
      </x:c>
    </x:row>
    <x:row r="2810" ht="60" customHeight="1">
      <x:c r="A2810" s="14" t="str">
        <x:v>Мелкая бытовая техника</x:v>
      </x:c>
      <x:c r="B2810" s="14" t="str">
        <x:v>Мелкая бытовая техника SDA</x:v>
      </x:c>
      <x:c r="C2810" s="14" t="str">
        <x:v>Электронная кухонная техника SDA</x:v>
      </x:c>
      <x:c r="D2810" s="14" t="str">
        <x:v>Кипятильник</x:v>
      </x:c>
      <x:c r="E2810" s="2" t="n">
        <x:v>8</x:v>
      </x:c>
      <x:c r="F2810" s="2" t="n">
        <x:v>0</x:v>
      </x:c>
      <x:c r="G2810" s="12" t="n">
        <x:v>1692595.4227</x:v>
      </x:c>
      <x:c r="H2810" s="12" t="n">
        <x:v>117009.04463875</x:v>
      </x:c>
      <x:c r="I2810" s="13" t="n">
        <x:v>0.0434125</x:v>
      </x:c>
      <x:c r="J2810" s="2" t="n">
        <x:v>3</x:v>
      </x:c>
      <x:c r="K2810" s="2" t="n">
        <x:v>4</x:v>
      </x:c>
      <x:c r="L2810" s="12" t="n">
        <x:v>1082.92235</x:v>
      </x:c>
      <x:c r="M2810" s="13" t="n">
        <x:v>0.4112847705150538</x:v>
      </x:c>
      <x:c r="N2810" s="13" t="n">
        <x:f>H2810/G2810</x:f>
        <x:v>0.0691299545476137</x:v>
      </x:c>
      <x:c r="O2810" s="13" t="n">
        <x:f>F2810/E2810</x:f>
        <x:v>0</x:v>
      </x:c>
      <x:c r="P2810" s="2" t="str">
        <x:f>IF(AND(E2810&gt;='Итоги'!$F$5,N2810&lt;='Итоги'!$B$5,O2810&gt;='Итоги'!$D$5),"Да","Нет")</x:f>
        <x:v>Нет</x:v>
      </x:c>
    </x:row>
    <x:row r="2811" ht="60" customHeight="1">
      <x:c r="A2811" s="14" t="str">
        <x:v>Аптека</x:v>
      </x:c>
      <x:c r="B2811" s="14" t="str">
        <x:v>Спортивное питание</x:v>
      </x:c>
      <x:c r="C2811" s="14" t="str">
        <x:v>Тренировочные комплексы</x:v>
      </x:c>
      <x:c r="D2811" s="14" t="str">
        <x:v>Предтренировочный комплекс</x:v>
      </x:c>
      <x:c r="E2811" s="2" t="n">
        <x:v>71</x:v>
      </x:c>
      <x:c r="F2811" s="2" t="n">
        <x:v>0</x:v>
      </x:c>
      <x:c r="G2811" s="12" t="n">
        <x:v>11296646.5732</x:v>
      </x:c>
      <x:c r="H2811" s="12" t="n">
        <x:v>781339.6067666</x:v>
      </x:c>
      <x:c r="I2811" s="13" t="n">
        <x:v>0.0668661971830985</x:v>
      </x:c>
      <x:c r="J2811" s="2" t="n">
        <x:v>23</x:v>
      </x:c>
      <x:c r="K2811" s="2" t="n">
        <x:v>9</x:v>
      </x:c>
      <x:c r="L2811" s="12" t="n">
        <x:v>1679.6244</x:v>
      </x:c>
      <x:c r="M2811" s="13" t="n">
        <x:v>0.8717488896716368</x:v>
      </x:c>
      <x:c r="N2811" s="13" t="n">
        <x:f>H2811/G2811</x:f>
        <x:v>0.06916562377194652</x:v>
      </x:c>
      <x:c r="O2811" s="13" t="n">
        <x:f>F2811/E2811</x:f>
        <x:v>0</x:v>
      </x:c>
      <x:c r="P2811" s="2" t="str">
        <x:f>IF(AND(E2811&gt;='Итоги'!$F$5,N2811&lt;='Итоги'!$B$5,O2811&gt;='Итоги'!$D$5),"Да","Нет")</x:f>
        <x:v>Нет</x:v>
      </x:c>
    </x:row>
    <x:row r="2812" ht="60" customHeight="1">
      <x:c r="A2812" s="14" t="str">
        <x:v>Спорт и отдых</x:v>
      </x:c>
      <x:c r="B2812" s="14" t="str">
        <x:v>Тренажеры и фитнес</x:v>
      </x:c>
      <x:c r="C2812" s="14" t="str">
        <x:v>Фитнес</x:v>
      </x:c>
      <x:c r="D2812" s="14" t="str">
        <x:v>Скакалка для фитнеса</x:v>
      </x:c>
      <x:c r="E2812" s="2" t="n">
        <x:v>8</x:v>
      </x:c>
      <x:c r="F2812" s="2" t="n">
        <x:v>0</x:v>
      </x:c>
      <x:c r="G2812" s="12" t="n">
        <x:v>1598769.3124</x:v>
      </x:c>
      <x:c r="H2812" s="12" t="n">
        <x:v>110607.96738531</x:v>
      </x:c>
      <x:c r="I2812" s="13" t="n">
        <x:v>0.10385</x:v>
      </x:c>
      <x:c r="J2812" s="2" t="n">
        <x:v>2</x:v>
      </x:c>
      <x:c r="K2812" s="2" t="n">
        <x:v>4</x:v>
      </x:c>
      <x:c r="L2812" s="12" t="n">
        <x:v>1090.0766</x:v>
      </x:c>
      <x:c r="M2812" s="13" t="n">
        <x:v>0.6584568079554289</x:v>
      </x:c>
      <x:c r="N2812" s="13" t="n">
        <x:f>H2812/G2812</x:f>
        <x:v>0.0691831939276282</x:v>
      </x:c>
      <x:c r="O2812" s="13" t="n">
        <x:f>F2812/E2812</x:f>
        <x:v>0</x:v>
      </x:c>
      <x:c r="P2812" s="2" t="str">
        <x:f>IF(AND(E2812&gt;='Итоги'!$F$5,N2812&lt;='Итоги'!$B$5,O2812&gt;='Итоги'!$D$5),"Да","Нет")</x:f>
        <x:v>Нет</x:v>
      </x:c>
    </x:row>
    <x:row r="2813" ht="60" customHeight="1">
      <x:c r="A2813" s="14" t="str">
        <x:v>Одежда</x:v>
      </x:c>
      <x:c r="B2813" s="14" t="str">
        <x:v>Основная одежда мужская</x:v>
      </x:c>
      <x:c r="C2813" s="14" t="str">
        <x:v>Спортивная основная одежда мужская верха</x:v>
      </x:c>
      <x:c r="D2813" s="14" t="str">
        <x:v>Термобелье мужское- кофта, футболка</x:v>
      </x:c>
      <x:c r="E2813" s="2" t="n">
        <x:v>1</x:v>
      </x:c>
      <x:c r="F2813" s="2" t="n">
        <x:v>0</x:v>
      </x:c>
      <x:c r="G2813" s="12" t="n">
        <x:v>7851</x:v>
      </x:c>
      <x:c r="H2813" s="12" t="n">
        <x:v>543.2891999999999</x:v>
      </x:c>
      <x:c r="I2813" s="13" t="n">
        <x:v>0.0692</x:v>
      </x:c>
      <x:c r="J2813" s="2" t="n">
        <x:v>0</x:v>
      </x:c>
      <x:c r="K2813" s="2" t="n">
        <x:v>1</x:v>
      </x:c>
      <x:c r="L2813" s="12" t="n">
        <x:v>2617</x:v>
      </x:c>
      <x:c r="M2813" s="13" t="n">
        <x:v>1</x:v>
      </x:c>
      <x:c r="N2813" s="13" t="n">
        <x:f>H2813/G2813</x:f>
        <x:v>0.0692</x:v>
      </x:c>
      <x:c r="O2813" s="13" t="n">
        <x:f>F2813/E2813</x:f>
        <x:v>0</x:v>
      </x:c>
      <x:c r="P2813" s="2" t="str">
        <x:f>IF(AND(E2813&gt;='Итоги'!$F$5,N2813&lt;='Итоги'!$B$5,O2813&gt;='Итоги'!$D$5),"Да","Нет")</x:f>
        <x:v>Нет</x:v>
      </x:c>
    </x:row>
    <x:row r="2814" ht="60" customHeight="1">
      <x:c r="A2814" s="14" t="str">
        <x:v>Товары для дома</x:v>
      </x:c>
      <x:c r="B2814" s="14" t="str">
        <x:v>Кухня</x:v>
      </x:c>
      <x:c r="C2814" s="14" t="str">
        <x:v>Посуда для приготовления пищи</x:v>
      </x:c>
      <x:c r="D2814" s="14" t="str">
        <x:v>Сковорода</x:v>
      </x:c>
      <x:c r="E2814" s="2" t="n">
        <x:v>747</x:v>
      </x:c>
      <x:c r="F2814" s="2" t="n">
        <x:v>0</x:v>
      </x:c>
      <x:c r="G2814" s="12" t="n">
        <x:v>130343934.3042</x:v>
      </x:c>
      <x:c r="H2814" s="12" t="n">
        <x:v>9020012.89456459</x:v>
      </x:c>
      <x:c r="I2814" s="13" t="n">
        <x:v>0.0645627844712182</x:v>
      </x:c>
      <x:c r="J2814" s="2" t="n">
        <x:v>242</x:v>
      </x:c>
      <x:c r="K2814" s="2" t="n">
        <x:v>57</x:v>
      </x:c>
      <x:c r="L2814" s="12" t="n">
        <x:v>1513.4749</x:v>
      </x:c>
      <x:c r="M2814" s="13" t="n">
        <x:v>0.7190923293081833</x:v>
      </x:c>
      <x:c r="N2814" s="13" t="n">
        <x:f>H2814/G2814</x:f>
        <x:v>0.06920163138173697</x:v>
      </x:c>
      <x:c r="O2814" s="13" t="n">
        <x:f>F2814/E2814</x:f>
        <x:v>0</x:v>
      </x:c>
      <x:c r="P2814" s="2" t="str">
        <x:f>IF(AND(E2814&gt;='Итоги'!$F$5,N2814&lt;='Итоги'!$B$5,O2814&gt;='Итоги'!$D$5),"Да","Нет")</x:f>
        <x:v>Нет</x:v>
      </x:c>
    </x:row>
    <x:row r="2815" ht="60" customHeight="1">
      <x:c r="A2815" s="14" t="str">
        <x:v>Одежда</x:v>
      </x:c>
      <x:c r="B2815" s="14" t="str">
        <x:v>Основная одежда женская</x:v>
      </x:c>
      <x:c r="C2815" s="14" t="str">
        <x:v>Основная одежда женская верха</x:v>
      </x:c>
      <x:c r="D2815" s="14" t="str">
        <x:v>Кофта, лонгслив женские</x:v>
      </x:c>
      <x:c r="E2815" s="2" t="n">
        <x:v>158</x:v>
      </x:c>
      <x:c r="F2815" s="2" t="n">
        <x:v>0</x:v>
      </x:c>
      <x:c r="G2815" s="12" t="n">
        <x:v>16560809.3791</x:v>
      </x:c>
      <x:c r="H2815" s="12" t="n">
        <x:v>1147087.52127608</x:v>
      </x:c>
      <x:c r="I2815" s="13" t="n">
        <x:v>0.0590708860759493</x:v>
      </x:c>
      <x:c r="J2815" s="2" t="n">
        <x:v>68</x:v>
      </x:c>
      <x:c r="K2815" s="2" t="n">
        <x:v>24</x:v>
      </x:c>
      <x:c r="L2815" s="12" t="n">
        <x:v>1094.5797</x:v>
      </x:c>
      <x:c r="M2815" s="13" t="n">
        <x:v>0.5343468755016195</x:v>
      </x:c>
      <x:c r="N2815" s="13" t="n">
        <x:f>H2815/G2815</x:f>
        <x:v>0.06926518475140003</x:v>
      </x:c>
      <x:c r="O2815" s="13" t="n">
        <x:f>F2815/E2815</x:f>
        <x:v>0</x:v>
      </x:c>
      <x:c r="P2815" s="2" t="str">
        <x:f>IF(AND(E2815&gt;='Итоги'!$F$5,N2815&lt;='Итоги'!$B$5,O2815&gt;='Итоги'!$D$5),"Да","Нет")</x:f>
        <x:v>Нет</x:v>
      </x:c>
    </x:row>
    <x:row r="2816" ht="60" customHeight="1">
      <x:c r="A2816" s="14" t="str">
        <x:v>Аксессуары для электроники</x:v>
      </x:c>
      <x:c r="B2816" s="14" t="str">
        <x:v>Аксессуары для МБТ (кухня) Access</x:v>
      </x:c>
      <x:c r="C2816" s="14" t="str">
        <x:v>Аксессуары для кухонных комбайна, блендера, соковыжималки Access</x:v>
      </x:c>
      <x:c r="D2816" s="14" t="str">
        <x:v>Аксессуары для блендера</x:v>
      </x:c>
      <x:c r="E2816" s="2" t="n">
        <x:v>6</x:v>
      </x:c>
      <x:c r="F2816" s="2" t="n">
        <x:v>0</x:v>
      </x:c>
      <x:c r="G2816" s="12" t="n">
        <x:v>523885.3388</x:v>
      </x:c>
      <x:c r="H2816" s="12" t="n">
        <x:v>36328.31189724</x:v>
      </x:c>
      <x:c r="I2816" s="13" t="n">
        <x:v>0.0631999999999999</x:v>
      </x:c>
      <x:c r="J2816" s="2" t="n">
        <x:v>3</x:v>
      </x:c>
      <x:c r="K2816" s="2" t="n">
        <x:v>5</x:v>
      </x:c>
      <x:c r="L2816" s="12" t="n">
        <x:v>2905.0529</x:v>
      </x:c>
      <x:c r="M2816" s="13" t="n">
        <x:v>0.2682355332216065</x:v>
      </x:c>
      <x:c r="N2816" s="13" t="n">
        <x:f>H2816/G2816</x:f>
        <x:v>0.06934401329201693</x:v>
      </x:c>
      <x:c r="O2816" s="13" t="n">
        <x:f>F2816/E2816</x:f>
        <x:v>0</x:v>
      </x:c>
      <x:c r="P2816" s="2" t="str">
        <x:f>IF(AND(E2816&gt;='Итоги'!$F$5,N2816&lt;='Итоги'!$B$5,O2816&gt;='Итоги'!$D$5),"Да","Нет")</x:f>
        <x:v>Нет</x:v>
      </x:c>
    </x:row>
    <x:row r="2817" ht="60" customHeight="1">
      <x:c r="A2817" s="14" t="str">
        <x:v>Строительство и ремонт (DIY)</x:v>
      </x:c>
      <x:c r="B2817" s="14" t="str">
        <x:v>Инструменты</x:v>
      </x:c>
      <x:c r="C2817" s="14" t="str">
        <x:v>Инструмент ручной для строительства, ремонта</x:v>
      </x:c>
      <x:c r="D2817" s="14" t="str">
        <x:v>Электромонтажный инструмент</x:v>
      </x:c>
      <x:c r="E2817" s="2" t="n">
        <x:v>29</x:v>
      </x:c>
      <x:c r="F2817" s="2" t="n">
        <x:v>0</x:v>
      </x:c>
      <x:c r="G2817" s="12" t="n">
        <x:v>4201544.3774</x:v>
      </x:c>
      <x:c r="H2817" s="12" t="n">
        <x:v>291401.84815124003</x:v>
      </x:c>
      <x:c r="I2817" s="13" t="n">
        <x:v>0.0530137931034482</x:v>
      </x:c>
      <x:c r="J2817" s="2" t="n">
        <x:v>11</x:v>
      </x:c>
      <x:c r="K2817" s="2" t="n">
        <x:v>13</x:v>
      </x:c>
      <x:c r="L2817" s="12" t="n">
        <x:v>2359.8043</x:v>
      </x:c>
      <x:c r="M2817" s="13" t="n">
        <x:v>0.3313626600944158</x:v>
      </x:c>
      <x:c r="N2817" s="13" t="n">
        <x:f>H2817/G2817</x:f>
        <x:v>0.06935588963874406</x:v>
      </x:c>
      <x:c r="O2817" s="13" t="n">
        <x:f>F2817/E2817</x:f>
        <x:v>0</x:v>
      </x:c>
      <x:c r="P2817" s="2" t="str">
        <x:f>IF(AND(E2817&gt;='Итоги'!$F$5,N2817&lt;='Итоги'!$B$5,O2817&gt;='Итоги'!$D$5),"Да","Нет")</x:f>
        <x:v>Нет</x:v>
      </x:c>
    </x:row>
    <x:row r="2818" ht="60" customHeight="1">
      <x:c r="A2818" s="14" t="str">
        <x:v>Одежда</x:v>
      </x:c>
      <x:c r="B2818" s="14" t="str">
        <x:v>Основная одежда женская</x:v>
      </x:c>
      <x:c r="C2818" s="14" t="str">
        <x:v>Спортивная основная одежда женская верха</x:v>
      </x:c>
      <x:c r="D2818" s="14" t="str">
        <x:v>Спортивная футболка женская</x:v>
      </x:c>
      <x:c r="E2818" s="2" t="n">
        <x:v>200</x:v>
      </x:c>
      <x:c r="F2818" s="2" t="n">
        <x:v>0</x:v>
      </x:c>
      <x:c r="G2818" s="12" t="n">
        <x:v>18877860.0673</x:v>
      </x:c>
      <x:c r="H2818" s="12" t="n">
        <x:v>1309786.22297163</x:v>
      </x:c>
      <x:c r="I2818" s="13" t="n">
        <x:v>0.052306</x:v>
      </x:c>
      <x:c r="J2818" s="2" t="n">
        <x:v>72</x:v>
      </x:c>
      <x:c r="K2818" s="2" t="n">
        <x:v>34</x:v>
      </x:c>
      <x:c r="L2818" s="12" t="n">
        <x:v>1287.2504</x:v>
      </x:c>
      <x:c r="M2818" s="13" t="n">
        <x:v>0.4151930644870503</x:v>
      </x:c>
      <x:c r="N2818" s="13" t="n">
        <x:f>H2818/G2818</x:f>
        <x:v>0.06938213432572402</x:v>
      </x:c>
      <x:c r="O2818" s="13" t="n">
        <x:f>F2818/E2818</x:f>
        <x:v>0</x:v>
      </x:c>
      <x:c r="P2818" s="2" t="str">
        <x:f>IF(AND(E2818&gt;='Итоги'!$F$5,N2818&lt;='Итоги'!$B$5,O2818&gt;='Итоги'!$D$5),"Да","Нет")</x:f>
        <x:v>Нет</x:v>
      </x:c>
    </x:row>
    <x:row r="2819" ht="60" customHeight="1">
      <x:c r="A2819" s="14" t="str">
        <x:v>Товары для животных</x:v>
      </x:c>
      <x:c r="B2819" s="14" t="str">
        <x:v>Гигиена и уход животных</x:v>
      </x:c>
      <x:c r="C2819" s="14" t="str">
        <x:v>Ветеринарные средства лечебные нелицензированные</x:v>
      </x:c>
      <x:c r="D2819" s="14" t="str">
        <x:v>Успокоительные ветеринарные средства нелицензированные</x:v>
      </x:c>
      <x:c r="E2819" s="2" t="n">
        <x:v>12</x:v>
      </x:c>
      <x:c r="F2819" s="2" t="n">
        <x:v>0</x:v>
      </x:c>
      <x:c r="G2819" s="12" t="n">
        <x:v>2222497.8151</x:v>
      </x:c>
      <x:c r="H2819" s="12" t="n">
        <x:v>154224.73303795</x:v>
      </x:c>
      <x:c r="I2819" s="13" t="n">
        <x:v>0.056125</x:v>
      </x:c>
      <x:c r="J2819" s="2" t="n">
        <x:v>6</x:v>
      </x:c>
      <x:c r="K2819" s="2" t="n">
        <x:v>3</x:v>
      </x:c>
      <x:c r="L2819" s="12" t="n">
        <x:v>3029.95055</x:v>
      </x:c>
      <x:c r="M2819" s="13" t="n">
        <x:v>0.8591308526501688</x:v>
      </x:c>
      <x:c r="N2819" s="13" t="n">
        <x:f>H2819/G2819</x:f>
        <x:v>0.06939252402865051</x:v>
      </x:c>
      <x:c r="O2819" s="13" t="n">
        <x:f>F2819/E2819</x:f>
        <x:v>0</x:v>
      </x:c>
      <x:c r="P2819" s="2" t="str">
        <x:f>IF(AND(E2819&gt;='Итоги'!$F$5,N2819&lt;='Итоги'!$B$5,O2819&gt;='Итоги'!$D$5),"Да","Нет")</x:f>
        <x:v>Нет</x:v>
      </x:c>
    </x:row>
    <x:row r="2820" ht="60" customHeight="1">
      <x:c r="A2820" s="14" t="str">
        <x:v>Спорт и отдых</x:v>
      </x:c>
      <x:c r="B2820" s="14" t="str">
        <x:v>Активный отдых</x:v>
      </x:c>
      <x:c r="C2820" s="14" t="str">
        <x:v>Настольные турнирные игры</x:v>
      </x:c>
      <x:c r="D2820" s="14" t="str">
        <x:v>Хоккей настольный турнирный</x:v>
      </x:c>
      <x:c r="E2820" s="2" t="n">
        <x:v>2</x:v>
      </x:c>
      <x:c r="F2820" s="2" t="n">
        <x:v>0</x:v>
      </x:c>
      <x:c r="G2820" s="12" t="n">
        <x:v>493423.31</x:v>
      </x:c>
      <x:c r="H2820" s="12" t="n">
        <x:v>34257.892625</x:v>
      </x:c>
      <x:c r="I2820" s="13" t="n">
        <x:v>0.06875</x:v>
      </x:c>
      <x:c r="J2820" s="2" t="n">
        <x:v>1</x:v>
      </x:c>
      <x:c r="K2820" s="2" t="n">
        <x:v>2</x:v>
      </x:c>
      <x:c r="L2820" s="12" t="n">
        <x:v>3923.62445</x:v>
      </x:c>
      <x:c r="M2820" s="13" t="n">
        <x:v>0.504938264874434</x:v>
      </x:c>
      <x:c r="N2820" s="13" t="n">
        <x:f>H2820/G2820</x:f>
        <x:v>0.0694290114202347</x:v>
      </x:c>
      <x:c r="O2820" s="13" t="n">
        <x:f>F2820/E2820</x:f>
        <x:v>0</x:v>
      </x:c>
      <x:c r="P2820" s="2" t="str">
        <x:f>IF(AND(E2820&gt;='Итоги'!$F$5,N2820&lt;='Итоги'!$B$5,O2820&gt;='Итоги'!$D$5),"Да","Нет")</x:f>
        <x:v>Нет</x:v>
      </x:c>
    </x:row>
    <x:row r="2821" ht="60" customHeight="1">
      <x:c r="A2821" s="14" t="str">
        <x:v>Аксессуары для электроники</x:v>
      </x:c>
      <x:c r="B2821" s="14" t="str">
        <x:v>Фото и видео Access</x:v>
      </x:c>
      <x:c r="C2821" s="14" t="str">
        <x:v>Аксессуар к фото и видео Access</x:v>
      </x:c>
      <x:c r="D2821" s="14" t="str">
        <x:v>Аккумулятор для фото/видео устройств</x:v>
      </x:c>
      <x:c r="E2821" s="2" t="n">
        <x:v>29</x:v>
      </x:c>
      <x:c r="F2821" s="2" t="n">
        <x:v>0</x:v>
      </x:c>
      <x:c r="G2821" s="12" t="n">
        <x:v>2982800.3356</x:v>
      </x:c>
      <x:c r="H2821" s="12" t="n">
        <x:v>207094.57729512</x:v>
      </x:c>
      <x:c r="I2821" s="13" t="n">
        <x:v>0.0535413793103448</x:v>
      </x:c>
      <x:c r="J2821" s="2" t="n">
        <x:v>12</x:v>
      </x:c>
      <x:c r="K2821" s="2" t="n">
        <x:v>7</x:v>
      </x:c>
      <x:c r="L2821" s="12" t="n">
        <x:v>1492.2292</x:v>
      </x:c>
      <x:c r="M2821" s="13" t="n">
        <x:v>0.563489567786275</x:v>
      </x:c>
      <x:c r="N2821" s="13" t="n">
        <x:f>H2821/G2821</x:f>
        <x:v>0.06942958092884291</x:v>
      </x:c>
      <x:c r="O2821" s="13" t="n">
        <x:f>F2821/E2821</x:f>
        <x:v>0</x:v>
      </x:c>
      <x:c r="P2821" s="2" t="str">
        <x:f>IF(AND(E2821&gt;='Итоги'!$F$5,N2821&lt;='Итоги'!$B$5,O2821&gt;='Итоги'!$D$5),"Да","Нет")</x:f>
        <x:v>Нет</x:v>
      </x:c>
    </x:row>
    <x:row r="2822" ht="60" customHeight="1">
      <x:c r="A2822" s="14" t="str">
        <x:v>Товары для животных</x:v>
      </x:c>
      <x:c r="B2822" s="14" t="str">
        <x:v>Спальное место животного</x:v>
      </x:c>
      <x:c r="C2822" s="14" t="str">
        <x:v>Посуда для животных</x:v>
      </x:c>
      <x:c r="D2822" s="14" t="str">
        <x:v>Миска для кошек, собак</x:v>
      </x:c>
      <x:c r="E2822" s="2" t="n">
        <x:v>49</x:v>
      </x:c>
      <x:c r="F2822" s="2" t="n">
        <x:v>0</x:v>
      </x:c>
      <x:c r="G2822" s="12" t="n">
        <x:v>8388952.256</x:v>
      </x:c>
      <x:c r="H2822" s="12" t="n">
        <x:v>582453.62926847</x:v>
      </x:c>
      <x:c r="I2822" s="13" t="n">
        <x:v>0.0827408163265306</x:v>
      </x:c>
      <x:c r="J2822" s="2" t="n">
        <x:v>3</x:v>
      </x:c>
      <x:c r="K2822" s="2" t="n">
        <x:v>22</x:v>
      </x:c>
      <x:c r="L2822" s="12" t="n">
        <x:v>1327.8015</x:v>
      </x:c>
      <x:c r="M2822" s="13" t="n">
        <x:v>0.293280099721669</x:v>
      </x:c>
      <x:c r="N2822" s="13" t="n">
        <x:f>H2822/G2822</x:f>
        <x:v>0.06943103399496449</x:v>
      </x:c>
      <x:c r="O2822" s="13" t="n">
        <x:f>F2822/E2822</x:f>
        <x:v>0</x:v>
      </x:c>
      <x:c r="P2822" s="2" t="str">
        <x:f>IF(AND(E2822&gt;='Итоги'!$F$5,N2822&lt;='Итоги'!$B$5,O2822&gt;='Итоги'!$D$5),"Да","Нет")</x:f>
        <x:v>Нет</x:v>
      </x:c>
    </x:row>
    <x:row r="2823" ht="60" customHeight="1">
      <x:c r="A2823" s="14" t="str">
        <x:v>Товары для дома</x:v>
      </x:c>
      <x:c r="B2823" s="14" t="str">
        <x:v>Интерьер и декор</x:v>
      </x:c>
      <x:c r="C2823" s="14" t="str">
        <x:v>Ароматы для дома</x:v>
      </x:c>
      <x:c r="D2823" s="14" t="str">
        <x:v>Аромалампа, наполнитель для аромалампы</x:v>
      </x:c>
      <x:c r="E2823" s="2" t="n">
        <x:v>3</x:v>
      </x:c>
      <x:c r="F2823" s="2" t="n">
        <x:v>0</x:v>
      </x:c>
      <x:c r="G2823" s="12" t="n">
        <x:v>453497.1246</x:v>
      </x:c>
      <x:c r="H2823" s="12" t="n">
        <x:v>31504.33459612</x:v>
      </x:c>
      <x:c r="I2823" s="13" t="n">
        <x:v>0.0240666666666666</x:v>
      </x:c>
      <x:c r="J2823" s="2" t="n">
        <x:v>2</x:v>
      </x:c>
      <x:c r="K2823" s="2" t="n">
        <x:v>2</x:v>
      </x:c>
      <x:c r="L2823" s="12" t="n">
        <x:v>2842</x:v>
      </x:c>
      <x:c r="M2823" s="13" t="n">
        <x:v>0.9621849862551476</x:v>
      </x:c>
      <x:c r="N2823" s="13" t="n">
        <x:f>H2823/G2823</x:f>
        <x:v>0.06946975600762166</x:v>
      </x:c>
      <x:c r="O2823" s="13" t="n">
        <x:f>F2823/E2823</x:f>
        <x:v>0</x:v>
      </x:c>
      <x:c r="P2823" s="2" t="str">
        <x:f>IF(AND(E2823&gt;='Итоги'!$F$5,N2823&lt;='Итоги'!$B$5,O2823&gt;='Итоги'!$D$5),"Да","Нет")</x:f>
        <x:v>Нет</x:v>
      </x:c>
    </x:row>
    <x:row r="2824" ht="60" customHeight="1">
      <x:c r="A2824" s="14" t="str">
        <x:v>Товары для животных</x:v>
      </x:c>
      <x:c r="B2824" s="14" t="str">
        <x:v>Спальное место животного</x:v>
      </x:c>
      <x:c r="C2824" s="14" t="str">
        <x:v>Террариум</x:v>
      </x:c>
      <x:c r="D2824" s="14" t="str">
        <x:v>Террариумы, акватеррариумы</x:v>
      </x:c>
      <x:c r="E2824" s="2" t="n">
        <x:v>22</x:v>
      </x:c>
      <x:c r="F2824" s="2" t="n">
        <x:v>0</x:v>
      </x:c>
      <x:c r="G2824" s="12" t="n">
        <x:v>4465027.1376</x:v>
      </x:c>
      <x:c r="H2824" s="12" t="n">
        <x:v>310186.79951547</x:v>
      </x:c>
      <x:c r="I2824" s="13" t="n">
        <x:v>0.04225</x:v>
      </x:c>
      <x:c r="J2824" s="2" t="n">
        <x:v>12</x:v>
      </x:c>
      <x:c r="K2824" s="2" t="n">
        <x:v>4</x:v>
      </x:c>
      <x:c r="L2824" s="12" t="n">
        <x:v>8612.80025</x:v>
      </x:c>
      <x:c r="M2824" s="13" t="n">
        <x:v>0.5852199490560158</x:v>
      </x:c>
      <x:c r="N2824" s="13" t="n">
        <x:f>H2824/G2824</x:f>
        <x:v>0.06947030554492861</x:v>
      </x:c>
      <x:c r="O2824" s="13" t="n">
        <x:f>F2824/E2824</x:f>
        <x:v>0</x:v>
      </x:c>
      <x:c r="P2824" s="2" t="str">
        <x:f>IF(AND(E2824&gt;='Итоги'!$F$5,N2824&lt;='Итоги'!$B$5,O2824&gt;='Итоги'!$D$5),"Да","Нет")</x:f>
        <x:v>Нет</x:v>
      </x:c>
    </x:row>
    <x:row r="2825" ht="60" customHeight="1">
      <x:c r="A2825" s="14" t="str">
        <x:v>Детская одежда</x:v>
      </x:c>
      <x:c r="B2825" s="14" t="str">
        <x:v>Детская одежда</x:v>
      </x:c>
      <x:c r="C2825" s="14" t="str">
        <x:v>Белье и ЧНИ для девочек</x:v>
      </x:c>
      <x:c r="D2825" s="14" t="str">
        <x:v>Пижама для девочки</x:v>
      </x:c>
      <x:c r="E2825" s="2" t="n">
        <x:v>15</x:v>
      </x:c>
      <x:c r="F2825" s="2" t="n">
        <x:v>0</x:v>
      </x:c>
      <x:c r="G2825" s="12" t="n">
        <x:v>1275695.6201</x:v>
      </x:c>
      <x:c r="H2825" s="12" t="n">
        <x:v>88662.83769434999</x:v>
      </x:c>
      <x:c r="I2825" s="13" t="n">
        <x:v>0.0375599999999999</x:v>
      </x:c>
      <x:c r="J2825" s="2" t="n">
        <x:v>8</x:v>
      </x:c>
      <x:c r="K2825" s="2" t="n">
        <x:v>6</x:v>
      </x:c>
      <x:c r="L2825" s="12" t="n">
        <x:v>1258.9663</x:v>
      </x:c>
      <x:c r="M2825" s="13" t="n">
        <x:v>0.3160999251282135</x:v>
      </x:c>
      <x:c r="N2825" s="13" t="n">
        <x:f>H2825/G2825</x:f>
        <x:v>0.06950156157736109</x:v>
      </x:c>
      <x:c r="O2825" s="13" t="n">
        <x:f>F2825/E2825</x:f>
        <x:v>0</x:v>
      </x:c>
      <x:c r="P2825" s="2" t="str">
        <x:f>IF(AND(E2825&gt;='Итоги'!$F$5,N2825&lt;='Итоги'!$B$5,O2825&gt;='Итоги'!$D$5),"Да","Нет")</x:f>
        <x:v>Нет</x:v>
      </x:c>
    </x:row>
    <x:row r="2826" ht="60" customHeight="1">
      <x:c r="A2826" s="14" t="str">
        <x:v>Одежда</x:v>
      </x:c>
      <x:c r="B2826" s="14" t="str">
        <x:v>Белье, домашняя одежда и ЧНИ</x:v>
      </x:c>
      <x:c r="C2826" s="14" t="str">
        <x:v>Домашняя одежда женская</x:v>
      </x:c>
      <x:c r="D2826" s="14" t="str">
        <x:v>Халат домашний женский</x:v>
      </x:c>
      <x:c r="E2826" s="2" t="n">
        <x:v>232</x:v>
      </x:c>
      <x:c r="F2826" s="2" t="n">
        <x:v>0</x:v>
      </x:c>
      <x:c r="G2826" s="12" t="n">
        <x:v>21471172.8253</x:v>
      </x:c>
      <x:c r="H2826" s="12" t="n">
        <x:v>1492349.19961461</x:v>
      </x:c>
      <x:c r="I2826" s="13" t="n">
        <x:v>0.0654068965517241</x:v>
      </x:c>
      <x:c r="J2826" s="2" t="n">
        <x:v>57</x:v>
      </x:c>
      <x:c r="K2826" s="2" t="n">
        <x:v>30</x:v>
      </x:c>
      <x:c r="L2826" s="12" t="n">
        <x:v>1194.35955</x:v>
      </x:c>
      <x:c r="M2826" s="13" t="n">
        <x:v>0.4665988535938311</x:v>
      </x:c>
      <x:c r="N2826" s="13" t="n">
        <x:f>H2826/G2826</x:f>
        <x:v>0.0695047826104841</x:v>
      </x:c>
      <x:c r="O2826" s="13" t="n">
        <x:f>F2826/E2826</x:f>
        <x:v>0</x:v>
      </x:c>
      <x:c r="P2826" s="2" t="str">
        <x:f>IF(AND(E2826&gt;='Итоги'!$F$5,N2826&lt;='Итоги'!$B$5,O2826&gt;='Итоги'!$D$5),"Да","Нет")</x:f>
        <x:v>Нет</x:v>
      </x:c>
    </x:row>
    <x:row r="2827" ht="60" customHeight="1">
      <x:c r="A2827" s="14" t="str">
        <x:v>Мебель</x:v>
      </x:c>
      <x:c r="B2827" s="14" t="str">
        <x:v>Мебель для сада</x:v>
      </x:c>
      <x:c r="C2827" s="14" t="str">
        <x:v>Садовый, пляжный зонты</x:v>
      </x:c>
      <x:c r="D2827" s="14" t="str">
        <x:v>Садовый, пляжный зонты</x:v>
      </x:c>
      <x:c r="E2827" s="2" t="n">
        <x:v>85</x:v>
      </x:c>
      <x:c r="F2827" s="2" t="n">
        <x:v>0</x:v>
      </x:c>
      <x:c r="G2827" s="12" t="n">
        <x:v>11820674.0496</x:v>
      </x:c>
      <x:c r="H2827" s="12" t="n">
        <x:v>821876.6935912101</x:v>
      </x:c>
      <x:c r="I2827" s="13" t="n">
        <x:v>0.0681129411764705</x:v>
      </x:c>
      <x:c r="J2827" s="2" t="n">
        <x:v>25</x:v>
      </x:c>
      <x:c r="K2827" s="2" t="n">
        <x:v>11</x:v>
      </x:c>
      <x:c r="L2827" s="12" t="n">
        <x:v>2025.8889</x:v>
      </x:c>
      <x:c r="M2827" s="13" t="n">
        <x:v>0.4359240355480718</x:v>
      </x:c>
      <x:c r="N2827" s="13" t="n">
        <x:f>H2827/G2827</x:f>
        <x:v>0.06952875023391933</x:v>
      </x:c>
      <x:c r="O2827" s="13" t="n">
        <x:f>F2827/E2827</x:f>
        <x:v>0</x:v>
      </x:c>
      <x:c r="P2827" s="2" t="str">
        <x:f>IF(AND(E2827&gt;='Итоги'!$F$5,N2827&lt;='Итоги'!$B$5,O2827&gt;='Итоги'!$D$5),"Да","Нет")</x:f>
        <x:v>Нет</x:v>
      </x:c>
    </x:row>
    <x:row r="2828" ht="60" customHeight="1">
      <x:c r="A2828" s="14" t="str">
        <x:v>Аптека</x:v>
      </x:c>
      <x:c r="B2828" s="14" t="str">
        <x:v>Витамины и БАДы</x:v>
      </x:c>
      <x:c r="C2828" s="14" t="str">
        <x:v>Для нервной системы и головного мозга</x:v>
      </x:c>
      <x:c r="D2828" s="14" t="str">
        <x:v>БАД для нормализации сна</x:v>
      </x:c>
      <x:c r="E2828" s="2" t="n">
        <x:v>23</x:v>
      </x:c>
      <x:c r="F2828" s="2" t="n">
        <x:v>0</x:v>
      </x:c>
      <x:c r="G2828" s="12" t="n">
        <x:v>4601254.641</x:v>
      </x:c>
      <x:c r="H2828" s="12" t="n">
        <x:v>319945.01646623</x:v>
      </x:c>
      <x:c r="I2828" s="13" t="n">
        <x:v>0.0662391304347826</x:v>
      </x:c>
      <x:c r="J2828" s="2" t="n">
        <x:v>5</x:v>
      </x:c>
      <x:c r="K2828" s="2" t="n">
        <x:v>4</x:v>
      </x:c>
      <x:c r="L2828" s="12" t="n">
        <x:v>1519.1193</x:v>
      </x:c>
      <x:c r="M2828" s="13" t="n">
        <x:v>0.7080736447335431</x:v>
      </x:c>
      <x:c r="N2828" s="13" t="n">
        <x:f>H2828/G2828</x:f>
        <x:v>0.06953429910514487</x:v>
      </x:c>
      <x:c r="O2828" s="13" t="n">
        <x:f>F2828/E2828</x:f>
        <x:v>0</x:v>
      </x:c>
      <x:c r="P2828" s="2" t="str">
        <x:f>IF(AND(E2828&gt;='Итоги'!$F$5,N2828&lt;='Итоги'!$B$5,O2828&gt;='Итоги'!$D$5),"Да","Нет")</x:f>
        <x:v>Нет</x:v>
      </x:c>
    </x:row>
    <x:row r="2829" ht="60" customHeight="1">
      <x:c r="A2829" s="14" t="str">
        <x:v>Мелкая бытовая техника</x:v>
      </x:c>
      <x:c r="B2829" s="14" t="str">
        <x:v>Мелкая бытовая техника SDA</x:v>
      </x:c>
      <x:c r="C2829" s="14" t="str">
        <x:v>Электронная кухонная техника SDA</x:v>
      </x:c>
      <x:c r="D2829" s="14" t="str">
        <x:v>Ломтерезка</x:v>
      </x:c>
      <x:c r="E2829" s="2" t="n">
        <x:v>22</x:v>
      </x:c>
      <x:c r="F2829" s="2" t="n">
        <x:v>0</x:v>
      </x:c>
      <x:c r="G2829" s="12" t="n">
        <x:v>4528904.4025</x:v>
      </x:c>
      <x:c r="H2829" s="12" t="n">
        <x:v>314970.71818272</x:v>
      </x:c>
      <x:c r="I2829" s="13" t="n">
        <x:v>0.0609681818181818</x:v>
      </x:c>
      <x:c r="J2829" s="2" t="n">
        <x:v>5</x:v>
      </x:c>
      <x:c r="K2829" s="2" t="n">
        <x:v>6</x:v>
      </x:c>
      <x:c r="L2829" s="12" t="n">
        <x:v>4609.34135</x:v>
      </x:c>
      <x:c r="M2829" s="13" t="n">
        <x:v>0.6840304137110785</x:v>
      </x:c>
      <x:c r="N2829" s="13" t="n">
        <x:f>H2829/G2829</x:f>
        <x:v>0.0695467800134737</x:v>
      </x:c>
      <x:c r="O2829" s="13" t="n">
        <x:f>F2829/E2829</x:f>
        <x:v>0</x:v>
      </x:c>
      <x:c r="P2829" s="2" t="str">
        <x:f>IF(AND(E2829&gt;='Итоги'!$F$5,N2829&lt;='Итоги'!$B$5,O2829&gt;='Итоги'!$D$5),"Да","Нет")</x:f>
        <x:v>Нет</x:v>
      </x:c>
    </x:row>
    <x:row r="2830" ht="60" customHeight="1">
      <x:c r="A2830" s="14" t="str">
        <x:v>Товары для детей и спорта</x:v>
      </x:c>
      <x:c r="B2830" s="14" t="str">
        <x:v>Кормление детское</x:v>
      </x:c>
      <x:c r="C2830" s="14" t="str">
        <x:v>Кормление детское</x:v>
      </x:c>
      <x:c r="D2830" s="14" t="str">
        <x:v>Соска</x:v>
      </x:c>
      <x:c r="E2830" s="2" t="n">
        <x:v>8</x:v>
      </x:c>
      <x:c r="F2830" s="2" t="n">
        <x:v>0</x:v>
      </x:c>
      <x:c r="G2830" s="12" t="n">
        <x:v>883602.7681</x:v>
      </x:c>
      <x:c r="H2830" s="12" t="n">
        <x:v>61479.34317146</x:v>
      </x:c>
      <x:c r="I2830" s="13" t="n">
        <x:v>0.0502</x:v>
      </x:c>
      <x:c r="J2830" s="2" t="n">
        <x:v>3</x:v>
      </x:c>
      <x:c r="K2830" s="2" t="n">
        <x:v>3</x:v>
      </x:c>
      <x:c r="L2830" s="12" t="n">
        <x:v>869.5613000000001</x:v>
      </x:c>
      <x:c r="M2830" s="13" t="n">
        <x:v>0.6291490067367976</x:v>
      </x:c>
      <x:c r="N2830" s="13" t="n">
        <x:f>H2830/G2830</x:f>
        <x:v>0.06957803369455062</x:v>
      </x:c>
      <x:c r="O2830" s="13" t="n">
        <x:f>F2830/E2830</x:f>
        <x:v>0</x:v>
      </x:c>
      <x:c r="P2830" s="2" t="str">
        <x:f>IF(AND(E2830&gt;='Итоги'!$F$5,N2830&lt;='Итоги'!$B$5,O2830&gt;='Итоги'!$D$5),"Да","Нет")</x:f>
        <x:v>Нет</x:v>
      </x:c>
    </x:row>
    <x:row r="2831" ht="60" customHeight="1">
      <x:c r="A2831" s="14" t="str">
        <x:v>Спорт и отдых</x:v>
      </x:c>
      <x:c r="B2831" s="14" t="str">
        <x:v>Колесный транспорт</x:v>
      </x:c>
      <x:c r="C2831" s="14" t="str">
        <x:v>Велоаксессуары</x:v>
      </x:c>
      <x:c r="D2831" s="14" t="str">
        <x:v>Сумка/кофр для велосипеда</x:v>
      </x:c>
      <x:c r="E2831" s="2" t="n">
        <x:v>61</x:v>
      </x:c>
      <x:c r="F2831" s="2" t="n">
        <x:v>0</x:v>
      </x:c>
      <x:c r="G2831" s="12" t="n">
        <x:v>8202013.1493</x:v>
      </x:c>
      <x:c r="H2831" s="12" t="n">
        <x:v>571249.45524422</x:v>
      </x:c>
      <x:c r="I2831" s="13" t="n">
        <x:v>0.0590590163934426</x:v>
      </x:c>
      <x:c r="J2831" s="2" t="n">
        <x:v>20</x:v>
      </x:c>
      <x:c r="K2831" s="2" t="n">
        <x:v>23</x:v>
      </x:c>
      <x:c r="L2831" s="12" t="n">
        <x:v>1321.447</x:v>
      </x:c>
      <x:c r="M2831" s="13" t="n">
        <x:v>0.3919732763991461</x:v>
      </x:c>
      <x:c r="N2831" s="13" t="n">
        <x:f>H2831/G2831</x:f>
        <x:v>0.06964746884037527</x:v>
      </x:c>
      <x:c r="O2831" s="13" t="n">
        <x:f>F2831/E2831</x:f>
        <x:v>0</x:v>
      </x:c>
      <x:c r="P2831" s="2" t="str">
        <x:f>IF(AND(E2831&gt;='Итоги'!$F$5,N2831&lt;='Итоги'!$B$5,O2831&gt;='Итоги'!$D$5),"Да","Нет")</x:f>
        <x:v>Нет</x:v>
      </x:c>
    </x:row>
    <x:row r="2832" ht="60" customHeight="1">
      <x:c r="A2832" s="14" t="str">
        <x:v>Аксессуары для электроники</x:v>
      </x:c>
      <x:c r="B2832" s="14" t="str">
        <x:v>Аксессуары для МБТ (дом) Access</x:v>
      </x:c>
      <x:c r="C2832" s="14" t="str">
        <x:v>Аксессуары для пылесоса Access</x:v>
      </x:c>
      <x:c r="D2832" s="14" t="str">
        <x:v>Пылесборник</x:v>
      </x:c>
      <x:c r="E2832" s="2" t="n">
        <x:v>26</x:v>
      </x:c>
      <x:c r="F2832" s="2" t="n">
        <x:v>0</x:v>
      </x:c>
      <x:c r="G2832" s="12" t="n">
        <x:v>3620250.0407</x:v>
      </x:c>
      <x:c r="H2832" s="12" t="n">
        <x:v>252191.55703613</x:v>
      </x:c>
      <x:c r="I2832" s="13" t="n">
        <x:v>0.0684999999999999</x:v>
      </x:c>
      <x:c r="J2832" s="2" t="n">
        <x:v>6</x:v>
      </x:c>
      <x:c r="K2832" s="2" t="n">
        <x:v>7</x:v>
      </x:c>
      <x:c r="L2832" s="12" t="n">
        <x:v>1243.7609</x:v>
      </x:c>
      <x:c r="M2832" s="13" t="n">
        <x:v>0.6263347018598655</x:v>
      </x:c>
      <x:c r="N2832" s="13" t="n">
        <x:f>H2832/G2832</x:f>
        <x:v>0.06966136432592017</x:v>
      </x:c>
      <x:c r="O2832" s="13" t="n">
        <x:f>F2832/E2832</x:f>
        <x:v>0</x:v>
      </x:c>
      <x:c r="P2832" s="2" t="str">
        <x:f>IF(AND(E2832&gt;='Итоги'!$F$5,N2832&lt;='Итоги'!$B$5,O2832&gt;='Итоги'!$D$5),"Да","Нет")</x:f>
        <x:v>Нет</x:v>
      </x:c>
    </x:row>
    <x:row r="2833" ht="60" customHeight="1">
      <x:c r="A2833" s="14" t="str">
        <x:v>Строительство и ремонт (DIY)</x:v>
      </x:c>
      <x:c r="B2833" s="14" t="str">
        <x:v>Ремонт и строительство</x:v>
      </x:c>
      <x:c r="C2833" s="14" t="str">
        <x:v>Строительная химия</x:v>
      </x:c>
      <x:c r="D2833" s="14" t="str">
        <x:v>Добавка для строительного раствора</x:v>
      </x:c>
      <x:c r="E2833" s="2" t="n">
        <x:v>27</x:v>
      </x:c>
      <x:c r="F2833" s="2" t="n">
        <x:v>0</x:v>
      </x:c>
      <x:c r="G2833" s="12" t="n">
        <x:v>4517773.8606</x:v>
      </x:c>
      <x:c r="H2833" s="12" t="n">
        <x:v>314723.61914058</x:v>
      </x:c>
      <x:c r="I2833" s="13" t="n">
        <x:v>0.0609666666666666</x:v>
      </x:c>
      <x:c r="J2833" s="2" t="n">
        <x:v>4</x:v>
      </x:c>
      <x:c r="K2833" s="2" t="n">
        <x:v>10</x:v>
      </x:c>
      <x:c r="L2833" s="12" t="n">
        <x:v>1257.3514</x:v>
      </x:c>
      <x:c r="M2833" s="13" t="n">
        <x:v>0.2446230266056801</x:v>
      </x:c>
      <x:c r="N2833" s="13" t="n">
        <x:f>H2833/G2833</x:f>
        <x:v>0.0696634291249766</x:v>
      </x:c>
      <x:c r="O2833" s="13" t="n">
        <x:f>F2833/E2833</x:f>
        <x:v>0</x:v>
      </x:c>
      <x:c r="P2833" s="2" t="str">
        <x:f>IF(AND(E2833&gt;='Итоги'!$F$5,N2833&lt;='Итоги'!$B$5,O2833&gt;='Итоги'!$D$5),"Да","Нет")</x:f>
        <x:v>Нет</x:v>
      </x:c>
    </x:row>
    <x:row r="2834" ht="60" customHeight="1">
      <x:c r="A2834" s="14" t="str">
        <x:v>Игрушки</x:v>
      </x:c>
      <x:c r="B2834" s="14" t="str">
        <x:v>Игрушки</x:v>
      </x:c>
      <x:c r="C2834" s="14" t="str">
        <x:v>Игрушки для самых маленьких</x:v>
      </x:c>
      <x:c r="D2834" s="14" t="str">
        <x:v>Развивающий коврик</x:v>
      </x:c>
      <x:c r="E2834" s="2" t="n">
        <x:v>23</x:v>
      </x:c>
      <x:c r="F2834" s="2" t="n">
        <x:v>0</x:v>
      </x:c>
      <x:c r="G2834" s="12" t="n">
        <x:v>2456848.5959</x:v>
      </x:c>
      <x:c r="H2834" s="12" t="n">
        <x:v>171210.35313265</x:v>
      </x:c>
      <x:c r="I2834" s="13" t="n">
        <x:v>0.0693521739130434</x:v>
      </x:c>
      <x:c r="J2834" s="2" t="n">
        <x:v>5</x:v>
      </x:c>
      <x:c r="K2834" s="2" t="n">
        <x:v>11</x:v>
      </x:c>
      <x:c r="L2834" s="12" t="n">
        <x:v>1765.4389</x:v>
      </x:c>
      <x:c r="M2834" s="13" t="n">
        <x:v>0.4753090253297525</x:v>
      </x:c>
      <x:c r="N2834" s="13" t="n">
        <x:f>H2834/G2834</x:f>
        <x:v>0.06968697762587674</x:v>
      </x:c>
      <x:c r="O2834" s="13" t="n">
        <x:f>F2834/E2834</x:f>
        <x:v>0</x:v>
      </x:c>
      <x:c r="P2834" s="2" t="str">
        <x:f>IF(AND(E2834&gt;='Итоги'!$F$5,N2834&lt;='Итоги'!$B$5,O2834&gt;='Итоги'!$D$5),"Да","Нет")</x:f>
        <x:v>Нет</x:v>
      </x:c>
    </x:row>
    <x:row r="2835" ht="60" customHeight="1">
      <x:c r="A2835" s="14" t="str">
        <x:v>Аудио и видеотехника</x:v>
      </x:c>
      <x:c r="B2835" s="14" t="str">
        <x:v>Домашняя Аудио и Видеотехника TV&amp;Audio</x:v>
      </x:c>
      <x:c r="C2835" s="14" t="str">
        <x:v>Запчасти для аудиотехники Access</x:v>
      </x:c>
      <x:c r="D2835" s="14" t="str">
        <x:v>Запчасти для аудиотехники</x:v>
      </x:c>
      <x:c r="E2835" s="2" t="n">
        <x:v>4</x:v>
      </x:c>
      <x:c r="F2835" s="2" t="n">
        <x:v>0</x:v>
      </x:c>
      <x:c r="G2835" s="12" t="n">
        <x:v>589254.546</x:v>
      </x:c>
      <x:c r="H2835" s="12" t="n">
        <x:v>41066.151933</x:v>
      </x:c>
      <x:c r="I2835" s="13" t="n">
        <x:v>0.0526</x:v>
      </x:c>
      <x:c r="J2835" s="2" t="n">
        <x:v>2</x:v>
      </x:c>
      <x:c r="K2835" s="2" t="n">
        <x:v>3</x:v>
      </x:c>
      <x:c r="L2835" s="12" t="n">
        <x:v>2440.05455</x:v>
      </x:c>
      <x:c r="M2835" s="13" t="n">
        <x:v>0.6389923888682227</x:v>
      </x:c>
      <x:c r="N2835" s="13" t="n">
        <x:f>H2835/G2835</x:f>
        <x:v>0.06969170150958835</x:v>
      </x:c>
      <x:c r="O2835" s="13" t="n">
        <x:f>F2835/E2835</x:f>
        <x:v>0</x:v>
      </x:c>
      <x:c r="P2835" s="2" t="str">
        <x:f>IF(AND(E2835&gt;='Итоги'!$F$5,N2835&lt;='Итоги'!$B$5,O2835&gt;='Итоги'!$D$5),"Да","Нет")</x:f>
        <x:v>Нет</x:v>
      </x:c>
    </x:row>
    <x:row r="2836" ht="60" customHeight="1">
      <x:c r="A2836" s="14" t="str">
        <x:v>Товары для дома</x:v>
      </x:c>
      <x:c r="B2836" s="14" t="str">
        <x:v>Кухня</x:v>
      </x:c>
      <x:c r="C2836" s="14" t="str">
        <x:v>Посуда для чая и кофе</x:v>
      </x:c>
      <x:c r="D2836" s="14" t="str">
        <x:v>Сервиз чайный, кофейный, набор с чайником</x:v>
      </x:c>
      <x:c r="E2836" s="2" t="n">
        <x:v>34</x:v>
      </x:c>
      <x:c r="F2836" s="2" t="n">
        <x:v>0</x:v>
      </x:c>
      <x:c r="G2836" s="12" t="n">
        <x:v>4804501.8723</x:v>
      </x:c>
      <x:c r="H2836" s="12" t="n">
        <x:v>335097.44261709</x:v>
      </x:c>
      <x:c r="I2836" s="13" t="n">
        <x:v>0.0747264705882353</x:v>
      </x:c>
      <x:c r="J2836" s="2" t="n">
        <x:v>7</x:v>
      </x:c>
      <x:c r="K2836" s="2" t="n">
        <x:v>10</x:v>
      </x:c>
      <x:c r="L2836" s="12" t="n">
        <x:v>2780.6063</x:v>
      </x:c>
      <x:c r="M2836" s="13" t="n">
        <x:v>0.4046746815126639</x:v>
      </x:c>
      <x:c r="N2836" s="13" t="n">
        <x:f>H2836/G2836</x:f>
        <x:v>0.0697465526133041</x:v>
      </x:c>
      <x:c r="O2836" s="13" t="n">
        <x:f>F2836/E2836</x:f>
        <x:v>0</x:v>
      </x:c>
      <x:c r="P2836" s="2" t="str">
        <x:f>IF(AND(E2836&gt;='Итоги'!$F$5,N2836&lt;='Итоги'!$B$5,O2836&gt;='Итоги'!$D$5),"Да","Нет")</x:f>
        <x:v>Нет</x:v>
      </x:c>
    </x:row>
    <x:row r="2837" ht="60" customHeight="1">
      <x:c r="A2837" s="14" t="str">
        <x:v>Товары для дома</x:v>
      </x:c>
      <x:c r="B2837" s="14" t="str">
        <x:v>Кухня</x:v>
      </x:c>
      <x:c r="C2837" s="14" t="str">
        <x:v>Посуда для приготовления пищи</x:v>
      </x:c>
      <x:c r="D2837" s="14" t="str">
        <x:v>Посуда для СВЧ/микроволновой печи</x:v>
      </x:c>
      <x:c r="E2837" s="2" t="n">
        <x:v>6</x:v>
      </x:c>
      <x:c r="F2837" s="2" t="n">
        <x:v>0</x:v>
      </x:c>
      <x:c r="G2837" s="12" t="n">
        <x:v>1054856.6918</x:v>
      </x:c>
      <x:c r="H2837" s="12" t="n">
        <x:v>73583.88496920001</x:v>
      </x:c>
      <x:c r="I2837" s="13" t="n">
        <x:v>0.0746666666666666</x:v>
      </x:c>
      <x:c r="J2837" s="2" t="n">
        <x:v>0</x:v>
      </x:c>
      <x:c r="K2837" s="2" t="n">
        <x:v>1</x:v>
      </x:c>
      <x:c r="L2837" s="12" t="n">
        <x:v>2277.9953</x:v>
      </x:c>
      <x:c r="M2837" s="13" t="n">
        <x:v>1</x:v>
      </x:c>
      <x:c r="N2837" s="13" t="n">
        <x:f>H2837/G2837</x:f>
        <x:v>0.06975723388893423</x:v>
      </x:c>
      <x:c r="O2837" s="13" t="n">
        <x:f>F2837/E2837</x:f>
        <x:v>0</x:v>
      </x:c>
      <x:c r="P2837" s="2" t="str">
        <x:f>IF(AND(E2837&gt;='Итоги'!$F$5,N2837&lt;='Итоги'!$B$5,O2837&gt;='Итоги'!$D$5),"Да","Нет")</x:f>
        <x:v>Нет</x:v>
      </x:c>
    </x:row>
    <x:row r="2838" ht="60" customHeight="1">
      <x:c r="A2838" s="14" t="str">
        <x:v>Товары для красоты и здоровья</x:v>
      </x:c>
      <x:c r="B2838" s="14" t="str">
        <x:v>Декоративная косметика</x:v>
      </x:c>
      <x:c r="C2838" s="14" t="str">
        <x:v>Тон для лица</x:v>
      </x:c>
      <x:c r="D2838" s="14" t="str">
        <x:v>Палетка, скульптор для контурирования лица</x:v>
      </x:c>
      <x:c r="E2838" s="2" t="n">
        <x:v>5</x:v>
      </x:c>
      <x:c r="F2838" s="2" t="n">
        <x:v>0</x:v>
      </x:c>
      <x:c r="G2838" s="12" t="n">
        <x:v>590692.8833</x:v>
      </x:c>
      <x:c r="H2838" s="12" t="n">
        <x:v>41276.2274428</x:v>
      </x:c>
      <x:c r="I2838" s="13" t="n">
        <x:v>0.06258</x:v>
      </x:c>
      <x:c r="J2838" s="2" t="n">
        <x:v>3</x:v>
      </x:c>
      <x:c r="K2838" s="2" t="n">
        <x:v>2</x:v>
      </x:c>
      <x:c r="L2838" s="12" t="n">
        <x:v>1403.8485</x:v>
      </x:c>
      <x:c r="M2838" s="13" t="n">
        <x:v>0.6104339285172491</x:v>
      </x:c>
      <x:c r="N2838" s="13" t="n">
        <x:f>H2838/G2838</x:f>
        <x:v>0.06987764472834644</x:v>
      </x:c>
      <x:c r="O2838" s="13" t="n">
        <x:f>F2838/E2838</x:f>
        <x:v>0</x:v>
      </x:c>
      <x:c r="P2838" s="2" t="str">
        <x:f>IF(AND(E2838&gt;='Итоги'!$F$5,N2838&lt;='Итоги'!$B$5,O2838&gt;='Итоги'!$D$5),"Да","Нет")</x:f>
        <x:v>Нет</x:v>
      </x:c>
    </x:row>
    <x:row r="2839" ht="60" customHeight="1">
      <x:c r="A2839" s="14" t="str">
        <x:v>Одежда</x:v>
      </x:c>
      <x:c r="B2839" s="14" t="str">
        <x:v>Белье, домашняя одежда и ЧНИ</x:v>
      </x:c>
      <x:c r="C2839" s="14" t="str">
        <x:v>Белье женское</x:v>
      </x:c>
      <x:c r="D2839" s="14" t="str">
        <x:v>Майка женская</x:v>
      </x:c>
      <x:c r="E2839" s="2" t="n">
        <x:v>76</x:v>
      </x:c>
      <x:c r="F2839" s="2" t="n">
        <x:v>0</x:v>
      </x:c>
      <x:c r="G2839" s="12" t="n">
        <x:v>7371014.898</x:v>
      </x:c>
      <x:c r="H2839" s="12" t="n">
        <x:v>515108.43052541</x:v>
      </x:c>
      <x:c r="I2839" s="13" t="n">
        <x:v>0.057403947368421</x:v>
      </x:c>
      <x:c r="J2839" s="2" t="n">
        <x:v>36</x:v>
      </x:c>
      <x:c r="K2839" s="2" t="n">
        <x:v>12</x:v>
      </x:c>
      <x:c r="L2839" s="12" t="n">
        <x:v>910.9094</x:v>
      </x:c>
      <x:c r="M2839" s="13" t="n">
        <x:v>0.6777816828393012</x:v>
      </x:c>
      <x:c r="N2839" s="13" t="n">
        <x:f>H2839/G2839</x:f>
        <x:v>0.06988297237944478</x:v>
      </x:c>
      <x:c r="O2839" s="13" t="n">
        <x:f>F2839/E2839</x:f>
        <x:v>0</x:v>
      </x:c>
      <x:c r="P2839" s="2" t="str">
        <x:f>IF(AND(E2839&gt;='Итоги'!$F$5,N2839&lt;='Итоги'!$B$5,O2839&gt;='Итоги'!$D$5),"Да","Нет")</x:f>
        <x:v>Нет</x:v>
      </x:c>
    </x:row>
    <x:row r="2840" ht="60" customHeight="1">
      <x:c r="A2840" s="14" t="str">
        <x:v>Аксессуары для электроники</x:v>
      </x:c>
      <x:c r="B2840" s="14" t="str">
        <x:v>Аксессуары для мобильных устройств Access</x:v>
      </x:c>
      <x:c r="C2840" s="14" t="str">
        <x:v>Аксессуары для зарядки и передачи информации Access</x:v>
      </x:c>
      <x:c r="D2840" s="14" t="str">
        <x:v>Переходник для мобильного устройства</x:v>
      </x:c>
      <x:c r="E2840" s="2" t="n">
        <x:v>3</x:v>
      </x:c>
      <x:c r="F2840" s="2" t="n">
        <x:v>0</x:v>
      </x:c>
      <x:c r="G2840" s="12" t="n">
        <x:v>267354</x:v>
      </x:c>
      <x:c r="H2840" s="12" t="n">
        <x:v>18683.5305</x:v>
      </x:c>
      <x:c r="I2840" s="13" t="n">
        <x:v>0.0515</x:v>
      </x:c>
      <x:c r="J2840" s="2" t="n">
        <x:v>2</x:v>
      </x:c>
      <x:c r="K2840" s="2" t="n">
        <x:v>3</x:v>
      </x:c>
      <x:c r="L2840" s="12" t="n">
        <x:v>1295.3077</x:v>
      </x:c>
      <x:c r="M2840" s="13" t="n">
        <x:v>0.4523179006111747</x:v>
      </x:c>
      <x:c r="N2840" s="13" t="n">
        <x:f>H2840/G2840</x:f>
        <x:v>0.0698831156444265</x:v>
      </x:c>
      <x:c r="O2840" s="13" t="n">
        <x:f>F2840/E2840</x:f>
        <x:v>0</x:v>
      </x:c>
      <x:c r="P2840" s="2" t="str">
        <x:f>IF(AND(E2840&gt;='Итоги'!$F$5,N2840&lt;='Итоги'!$B$5,O2840&gt;='Итоги'!$D$5),"Да","Нет")</x:f>
        <x:v>Нет</x:v>
      </x:c>
    </x:row>
    <x:row r="2841" ht="60" customHeight="1">
      <x:c r="A2841" s="14" t="str">
        <x:v>Товары для детей и спорта</x:v>
      </x:c>
      <x:c r="B2841" s="14" t="str">
        <x:v>КГТ и аксессуары для детей</x:v>
      </x:c>
      <x:c r="C2841" s="14" t="str">
        <x:v>Детская мебель и аксессуары в дом</x:v>
      </x:c>
      <x:c r="D2841" s="14" t="str">
        <x:v>Стол детский для малышей</x:v>
      </x:c>
      <x:c r="E2841" s="2" t="n">
        <x:v>29</x:v>
      </x:c>
      <x:c r="F2841" s="2" t="n">
        <x:v>0</x:v>
      </x:c>
      <x:c r="G2841" s="12" t="n">
        <x:v>3910783.5634</x:v>
      </x:c>
      <x:c r="H2841" s="12" t="n">
        <x:v>273813.22892872</x:v>
      </x:c>
      <x:c r="I2841" s="13" t="n">
        <x:v>0.0622344827586206</x:v>
      </x:c>
      <x:c r="J2841" s="2" t="n">
        <x:v>7</x:v>
      </x:c>
      <x:c r="K2841" s="2" t="n">
        <x:v>12</x:v>
      </x:c>
      <x:c r="L2841" s="12" t="n">
        <x:v>3015.9</x:v>
      </x:c>
      <x:c r="M2841" s="13" t="n">
        <x:v>0.2482011787827286</x:v>
      </x:c>
      <x:c r="N2841" s="13" t="n">
        <x:f>H2841/G2841</x:f>
        <x:v>0.07001492782450718</x:v>
      </x:c>
      <x:c r="O2841" s="13" t="n">
        <x:f>F2841/E2841</x:f>
        <x:v>0</x:v>
      </x:c>
      <x:c r="P2841" s="2" t="str">
        <x:f>IF(AND(E2841&gt;='Итоги'!$F$5,N2841&lt;='Итоги'!$B$5,O2841&gt;='Итоги'!$D$5),"Да","Нет")</x:f>
        <x:v>Нет</x:v>
      </x:c>
    </x:row>
    <x:row r="2842" ht="60" customHeight="1">
      <x:c r="A2842" s="14" t="str">
        <x:v>Детская одежда</x:v>
      </x:c>
      <x:c r="B2842" s="14" t="str">
        <x:v>Детская одежда</x:v>
      </x:c>
      <x:c r="C2842" s="14" t="str">
        <x:v>Одежда для девочки</x:v>
      </x:c>
      <x:c r="D2842" s="14" t="str">
        <x:v>Костюм трикотажный для девочки</x:v>
      </x:c>
      <x:c r="E2842" s="2" t="n">
        <x:v>22</x:v>
      </x:c>
      <x:c r="F2842" s="2" t="n">
        <x:v>0</x:v>
      </x:c>
      <x:c r="G2842" s="12" t="n">
        <x:v>2257829.3523</x:v>
      </x:c>
      <x:c r="H2842" s="12" t="n">
        <x:v>158093.7322836</x:v>
      </x:c>
      <x:c r="I2842" s="13" t="n">
        <x:v>0.0712045454545454</x:v>
      </x:c>
      <x:c r="J2842" s="2" t="n">
        <x:v>4</x:v>
      </x:c>
      <x:c r="K2842" s="2" t="n">
        <x:v>4</x:v>
      </x:c>
      <x:c r="L2842" s="12" t="n">
        <x:v>1429.76145</x:v>
      </x:c>
      <x:c r="M2842" s="13" t="n">
        <x:v>0.406676603864966</x:v>
      </x:c>
      <x:c r="N2842" s="13" t="n">
        <x:f>H2842/G2842</x:f>
        <x:v>0.0700202307683499</x:v>
      </x:c>
      <x:c r="O2842" s="13" t="n">
        <x:f>F2842/E2842</x:f>
        <x:v>0</x:v>
      </x:c>
      <x:c r="P2842" s="2" t="str">
        <x:f>IF(AND(E2842&gt;='Итоги'!$F$5,N2842&lt;='Итоги'!$B$5,O2842&gt;='Итоги'!$D$5),"Да","Нет")</x:f>
        <x:v>Нет</x:v>
      </x:c>
    </x:row>
    <x:row r="2843" ht="60" customHeight="1">
      <x:c r="A2843" s="14" t="str">
        <x:v>Аудио и видеотехника</x:v>
      </x:c>
      <x:c r="B2843" s="14" t="str">
        <x:v>Домашняя Аудио и Видеотехника TV&amp;Audio</x:v>
      </x:c>
      <x:c r="C2843" s="14" t="str">
        <x:v>Проигрыватель дисков TV&amp;Audio</x:v>
      </x:c>
      <x:c r="D2843" s="14" t="str">
        <x:v>CD проигрыватель</x:v>
      </x:c>
      <x:c r="E2843" s="2" t="n">
        <x:v>3</x:v>
      </x:c>
      <x:c r="F2843" s="2" t="n">
        <x:v>0</x:v>
      </x:c>
      <x:c r="G2843" s="12" t="n">
        <x:v>415199.5995</x:v>
      </x:c>
      <x:c r="H2843" s="12" t="n">
        <x:v>29101.2550763</x:v>
      </x:c>
      <x:c r="I2843" s="13" t="n">
        <x:v>0.0536666666666666</x:v>
      </x:c>
      <x:c r="J2843" s="2" t="n">
        <x:v>0</x:v>
      </x:c>
      <x:c r="K2843" s="2" t="n">
        <x:v>2</x:v>
      </x:c>
      <x:c r="L2843" s="12" t="n">
        <x:v>3498.5839</x:v>
      </x:c>
      <x:c r="M2843" s="13" t="n">
        <x:v>0.5196902640557581</x:v>
      </x:c>
      <x:c r="N2843" s="13" t="n">
        <x:f>H2843/G2843</x:f>
        <x:v>0.07008979563406346</x:v>
      </x:c>
      <x:c r="O2843" s="13" t="n">
        <x:f>F2843/E2843</x:f>
        <x:v>0</x:v>
      </x:c>
      <x:c r="P2843" s="2" t="str">
        <x:f>IF(AND(E2843&gt;='Итоги'!$F$5,N2843&lt;='Итоги'!$B$5,O2843&gt;='Итоги'!$D$5),"Да","Нет")</x:f>
        <x:v>Нет</x:v>
      </x:c>
    </x:row>
    <x:row r="2844" ht="60" customHeight="1">
      <x:c r="A2844" s="14" t="str">
        <x:v>Аксессуары для электроники</x:v>
      </x:c>
      <x:c r="B2844" s="14" t="str">
        <x:v>Аксессуары для МБТ (красота и здоровье) Access</x:v>
      </x:c>
      <x:c r="C2844" s="14" t="str">
        <x:v>Насадка для прибора для красоты и здоровья Access</x:v>
      </x:c>
      <x:c r="D2844" s="14" t="str">
        <x:v>Насадки для фена</x:v>
      </x:c>
      <x:c r="E2844" s="2" t="n">
        <x:v>23</x:v>
      </x:c>
      <x:c r="F2844" s="2" t="n">
        <x:v>0</x:v>
      </x:c>
      <x:c r="G2844" s="12" t="n">
        <x:v>2970582.1645</x:v>
      </x:c>
      <x:c r="H2844" s="12" t="n">
        <x:v>208209.002921</x:v>
      </x:c>
      <x:c r="I2844" s="13" t="n">
        <x:v>0.0755043478260869</x:v>
      </x:c>
      <x:c r="J2844" s="2" t="n">
        <x:v>6</x:v>
      </x:c>
      <x:c r="K2844" s="2" t="n">
        <x:v>17</x:v>
      </x:c>
      <x:c r="L2844" s="12" t="n">
        <x:v>1283.7621</x:v>
      </x:c>
      <x:c r="M2844" s="13" t="n">
        <x:v>0.2527988011825956</x:v>
      </x:c>
      <x:c r="N2844" s="13" t="n">
        <x:f>H2844/G2844</x:f>
        <x:v>0.07009030263805047</x:v>
      </x:c>
      <x:c r="O2844" s="13" t="n">
        <x:f>F2844/E2844</x:f>
        <x:v>0</x:v>
      </x:c>
      <x:c r="P2844" s="2" t="str">
        <x:f>IF(AND(E2844&gt;='Итоги'!$F$5,N2844&lt;='Итоги'!$B$5,O2844&gt;='Итоги'!$D$5),"Да","Нет")</x:f>
        <x:v>Нет</x:v>
      </x:c>
    </x:row>
    <x:row r="2845" ht="60" customHeight="1">
      <x:c r="A2845" s="14" t="str">
        <x:v>Аксессуары для электроники</x:v>
      </x:c>
      <x:c r="B2845" s="14" t="str">
        <x:v>Бытовая техника Access</x:v>
      </x:c>
      <x:c r="C2845" s="14" t="str">
        <x:v>Запчасти для бытовой техники Access</x:v>
      </x:c>
      <x:c r="D2845" s="14" t="str">
        <x:v>Запчасти для стиральной, сушильной машины</x:v>
      </x:c>
      <x:c r="E2845" s="2" t="n">
        <x:v>56</x:v>
      </x:c>
      <x:c r="F2845" s="2" t="n">
        <x:v>0</x:v>
      </x:c>
      <x:c r="G2845" s="12" t="n">
        <x:v>6816704.145599999</x:v>
      </x:c>
      <x:c r="H2845" s="12" t="n">
        <x:v>478024.18330287</x:v>
      </x:c>
      <x:c r="I2845" s="13" t="n">
        <x:v>0.0657517857142857</x:v>
      </x:c>
      <x:c r="J2845" s="2" t="n">
        <x:v>22</x:v>
      </x:c>
      <x:c r="K2845" s="2" t="n">
        <x:v>20</x:v>
      </x:c>
      <x:c r="L2845" s="12" t="n">
        <x:v>1355.0783</x:v>
      </x:c>
      <x:c r="M2845" s="13" t="n">
        <x:v>0.4263278452352729</x:v>
      </x:c>
      <x:c r="N2845" s="13" t="n">
        <x:f>H2845/G2845</x:f>
        <x:v>0.07012541150277468</x:v>
      </x:c>
      <x:c r="O2845" s="13" t="n">
        <x:f>F2845/E2845</x:f>
        <x:v>0</x:v>
      </x:c>
      <x:c r="P2845" s="2" t="str">
        <x:f>IF(AND(E2845&gt;='Итоги'!$F$5,N2845&lt;='Итоги'!$B$5,O2845&gt;='Итоги'!$D$5),"Да","Нет")</x:f>
        <x:v>Нет</x:v>
      </x:c>
    </x:row>
    <x:row r="2846" ht="60" customHeight="1">
      <x:c r="A2846" s="14" t="str">
        <x:v>Спорт и отдых</x:v>
      </x:c>
      <x:c r="B2846" s="14" t="str">
        <x:v>Тренажеры и фитнес</x:v>
      </x:c>
      <x:c r="C2846" s="14" t="str">
        <x:v>Спортивная гимнастика</x:v>
      </x:c>
      <x:c r="D2846" s="14" t="str">
        <x:v>Мат гимнастический</x:v>
      </x:c>
      <x:c r="E2846" s="2" t="n">
        <x:v>14</x:v>
      </x:c>
      <x:c r="F2846" s="2" t="n">
        <x:v>0</x:v>
      </x:c>
      <x:c r="G2846" s="12" t="n">
        <x:v>2061415.0482</x:v>
      </x:c>
      <x:c r="H2846" s="12" t="n">
        <x:v>144568.67511568</x:v>
      </x:c>
      <x:c r="I2846" s="13" t="n">
        <x:v>0.0735428571428571</x:v>
      </x:c>
      <x:c r="J2846" s="2" t="n">
        <x:v>3</x:v>
      </x:c>
      <x:c r="K2846" s="2" t="n">
        <x:v>2</x:v>
      </x:c>
      <x:c r="L2846" s="12" t="n">
        <x:v>4168.469</x:v>
      </x:c>
      <x:c r="M2846" s="13" t="n">
        <x:v>0.7523424501796552</x:v>
      </x:c>
      <x:c r="N2846" s="13" t="n">
        <x:f>H2846/G2846</x:f>
        <x:v>0.07013079449571082</x:v>
      </x:c>
      <x:c r="O2846" s="13" t="n">
        <x:f>F2846/E2846</x:f>
        <x:v>0</x:v>
      </x:c>
      <x:c r="P2846" s="2" t="str">
        <x:f>IF(AND(E2846&gt;='Итоги'!$F$5,N2846&lt;='Итоги'!$B$5,O2846&gt;='Итоги'!$D$5),"Да","Нет")</x:f>
        <x:v>Нет</x:v>
      </x:c>
    </x:row>
    <x:row r="2847" ht="60" customHeight="1">
      <x:c r="A2847" s="14" t="str">
        <x:v>Товары для красоты и здоровья</x:v>
      </x:c>
      <x:c r="B2847" s="14" t="str">
        <x:v>Косметика для ухода за кожей</x:v>
      </x:c>
      <x:c r="C2847" s="14" t="str">
        <x:v>Тело</x:v>
      </x:c>
      <x:c r="D2847" s="14" t="str">
        <x:v>Средство увлажняющее для тела</x:v>
      </x:c>
      <x:c r="E2847" s="2" t="n">
        <x:v>89</x:v>
      </x:c>
      <x:c r="F2847" s="2" t="n">
        <x:v>0</x:v>
      </x:c>
      <x:c r="G2847" s="12" t="n">
        <x:v>13590404.7917</x:v>
      </x:c>
      <x:c r="H2847" s="12" t="n">
        <x:v>954432.90138848</x:v>
      </x:c>
      <x:c r="I2847" s="13" t="n">
        <x:v>0.0632887640449438</x:v>
      </x:c>
      <x:c r="J2847" s="2" t="n">
        <x:v>30</x:v>
      </x:c>
      <x:c r="K2847" s="2" t="n">
        <x:v>31</x:v>
      </x:c>
      <x:c r="L2847" s="12" t="n">
        <x:v>1376.1266</x:v>
      </x:c>
      <x:c r="M2847" s="13" t="n">
        <x:v>0.4822678405504759</x:v>
      </x:c>
      <x:c r="N2847" s="13" t="n">
        <x:f>H2847/G2847</x:f>
        <x:v>0.07022843807944382</x:v>
      </x:c>
      <x:c r="O2847" s="13" t="n">
        <x:f>F2847/E2847</x:f>
        <x:v>0</x:v>
      </x:c>
      <x:c r="P2847" s="2" t="str">
        <x:f>IF(AND(E2847&gt;='Итоги'!$F$5,N2847&lt;='Итоги'!$B$5,O2847&gt;='Итоги'!$D$5),"Да","Нет")</x:f>
        <x:v>Нет</x:v>
      </x:c>
    </x:row>
    <x:row r="2848" ht="60" customHeight="1">
      <x:c r="A2848" s="14" t="str">
        <x:v>Ноутбуки и компьютеры</x:v>
      </x:c>
      <x:c r="B2848" s="14" t="str">
        <x:v>Ноутбуки и стационарные компьютеры Lap&amp;Comp</x:v>
      </x:c>
      <x:c r="C2848" s="14" t="str">
        <x:v>Стационарные компьютеры Lap&amp;Comp</x:v>
      </x:c>
      <x:c r="D2848" s="14" t="str">
        <x:v>Микрокомпьютер</x:v>
      </x:c>
      <x:c r="E2848" s="2" t="n">
        <x:v>17</x:v>
      </x:c>
      <x:c r="F2848" s="2" t="n">
        <x:v>0</x:v>
      </x:c>
      <x:c r="G2848" s="12" t="n">
        <x:v>4758747.5600000005</x:v>
      </x:c>
      <x:c r="H2848" s="12" t="n">
        <x:v>334246.435164</x:v>
      </x:c>
      <x:c r="I2848" s="13" t="n">
        <x:v>0.0673764705882352</x:v>
      </x:c>
      <x:c r="J2848" s="2" t="n">
        <x:v>2</x:v>
      </x:c>
      <x:c r="K2848" s="2" t="n">
        <x:v>6</x:v>
      </x:c>
      <x:c r="L2848" s="12" t="n">
        <x:v>6999.3238</x:v>
      </x:c>
      <x:c r="M2848" s="13" t="n">
        <x:v>0.8717517598264867</x:v>
      </x:c>
      <x:c r="N2848" s="13" t="n">
        <x:f>H2848/G2848</x:f>
        <x:v>0.0702383202617287</x:v>
      </x:c>
      <x:c r="O2848" s="13" t="n">
        <x:f>F2848/E2848</x:f>
        <x:v>0</x:v>
      </x:c>
      <x:c r="P2848" s="2" t="str">
        <x:f>IF(AND(E2848&gt;='Итоги'!$F$5,N2848&lt;='Итоги'!$B$5,O2848&gt;='Итоги'!$D$5),"Да","Нет")</x:f>
        <x:v>Нет</x:v>
      </x:c>
    </x:row>
    <x:row r="2849" ht="60" customHeight="1">
      <x:c r="A2849" s="14" t="str">
        <x:v>Товары для детей и спорта</x:v>
      </x:c>
      <x:c r="B2849" s="14" t="str">
        <x:v>Спорт детский</x:v>
      </x:c>
      <x:c r="C2849" s="14" t="str">
        <x:v>Игровой комплекс для детей</x:v>
      </x:c>
      <x:c r="D2849" s="14" t="str">
        <x:v>Горка детская</x:v>
      </x:c>
      <x:c r="E2849" s="2" t="n">
        <x:v>28</x:v>
      </x:c>
      <x:c r="F2849" s="2" t="n">
        <x:v>0</x:v>
      </x:c>
      <x:c r="G2849" s="12" t="n">
        <x:v>2467247.5748</x:v>
      </x:c>
      <x:c r="H2849" s="12" t="n">
        <x:v>173359.54272294</x:v>
      </x:c>
      <x:c r="I2849" s="13" t="n">
        <x:v>0.0605321428571428</x:v>
      </x:c>
      <x:c r="J2849" s="2" t="n">
        <x:v>13</x:v>
      </x:c>
      <x:c r="K2849" s="2" t="n">
        <x:v>8</x:v>
      </x:c>
      <x:c r="L2849" s="12" t="n">
        <x:v>6744.8125</x:v>
      </x:c>
      <x:c r="M2849" s="13" t="n">
        <x:v>0.4804421966839255</x:v>
      </x:c>
      <x:c r="N2849" s="13" t="n">
        <x:f>H2849/G2849</x:f>
        <x:v>0.07026434821280263</x:v>
      </x:c>
      <x:c r="O2849" s="13" t="n">
        <x:f>F2849/E2849</x:f>
        <x:v>0</x:v>
      </x:c>
      <x:c r="P2849" s="2" t="str">
        <x:f>IF(AND(E2849&gt;='Итоги'!$F$5,N2849&lt;='Итоги'!$B$5,O2849&gt;='Итоги'!$D$5),"Да","Нет")</x:f>
        <x:v>Нет</x:v>
      </x:c>
    </x:row>
    <x:row r="2850" ht="60" customHeight="1">
      <x:c r="A2850" s="14" t="str">
        <x:v>Детская одежда</x:v>
      </x:c>
      <x:c r="B2850" s="14" t="str">
        <x:v>Детская одежда</x:v>
      </x:c>
      <x:c r="C2850" s="14" t="str">
        <x:v>Одежда для девочки</x:v>
      </x:c>
      <x:c r="D2850" s="14" t="str">
        <x:v>Поло для девочки</x:v>
      </x:c>
      <x:c r="E2850" s="2" t="n">
        <x:v>2</x:v>
      </x:c>
      <x:c r="F2850" s="2" t="n">
        <x:v>0</x:v>
      </x:c>
      <x:c r="G2850" s="12" t="n">
        <x:v>97845.8307</x:v>
      </x:c>
      <x:c r="H2850" s="12" t="n">
        <x:v>6879.050358030001</x:v>
      </x:c>
      <x:c r="I2850" s="13" t="n">
        <x:v>0.03645</x:v>
      </x:c>
      <x:c r="J2850" s="2" t="n">
        <x:v>1</x:v>
      </x:c>
      <x:c r="K2850" s="2" t="n">
        <x:v>2</x:v>
      </x:c>
      <x:c r="L2850" s="12" t="n">
        <x:v>1389.2271</x:v>
      </x:c>
      <x:c r="M2850" s="13" t="n">
        <x:v>0.9644031843249504</x:v>
      </x:c>
      <x:c r="N2850" s="13" t="n">
        <x:f>H2850/G2850</x:f>
        <x:v>0.0703049921372889</x:v>
      </x:c>
      <x:c r="O2850" s="13" t="n">
        <x:f>F2850/E2850</x:f>
        <x:v>0</x:v>
      </x:c>
      <x:c r="P2850" s="2" t="str">
        <x:f>IF(AND(E2850&gt;='Итоги'!$F$5,N2850&lt;='Итоги'!$B$5,O2850&gt;='Итоги'!$D$5),"Да","Нет")</x:f>
        <x:v>Нет</x:v>
      </x:c>
    </x:row>
    <x:row r="2851" ht="60" customHeight="1">
      <x:c r="A2851" s="14" t="str">
        <x:v>Строительство и ремонт (DIY)</x:v>
      </x:c>
      <x:c r="B2851" s="14" t="str">
        <x:v>Сад и огород</x:v>
      </x:c>
      <x:c r="C2851" s="14" t="str">
        <x:v>Товары для бани и сауны</x:v>
      </x:c>
      <x:c r="D2851" s="14" t="str">
        <x:v>Аксессуары для бани</x:v>
      </x:c>
      <x:c r="E2851" s="2" t="n">
        <x:v>9</x:v>
      </x:c>
      <x:c r="F2851" s="2" t="n">
        <x:v>0</x:v>
      </x:c>
      <x:c r="G2851" s="12" t="n">
        <x:v>1529729.5838</x:v>
      </x:c>
      <x:c r="H2851" s="12" t="n">
        <x:v>107580.43836577</x:v>
      </x:c>
      <x:c r="I2851" s="13" t="n">
        <x:v>0.0820777777777777</x:v>
      </x:c>
      <x:c r="J2851" s="2" t="n">
        <x:v>2</x:v>
      </x:c>
      <x:c r="K2851" s="2" t="n">
        <x:v>4</x:v>
      </x:c>
      <x:c r="L2851" s="12" t="n">
        <x:v>1939.0523</x:v>
      </x:c>
      <x:c r="M2851" s="13" t="n">
        <x:v>0.735525385476957</x:v>
      </x:c>
      <x:c r="N2851" s="13" t="n">
        <x:f>H2851/G2851</x:f>
        <x:v>0.07032644168293427</x:v>
      </x:c>
      <x:c r="O2851" s="13" t="n">
        <x:f>F2851/E2851</x:f>
        <x:v>0</x:v>
      </x:c>
      <x:c r="P2851" s="2" t="str">
        <x:f>IF(AND(E2851&gt;='Итоги'!$F$5,N2851&lt;='Итоги'!$B$5,O2851&gt;='Итоги'!$D$5),"Да","Нет")</x:f>
        <x:v>Нет</x:v>
      </x:c>
    </x:row>
    <x:row r="2852" ht="60" customHeight="1">
      <x:c r="A2852" s="14" t="str">
        <x:v>Товары для красоты и здоровья</x:v>
      </x:c>
      <x:c r="B2852" s="14" t="str">
        <x:v>Косметика для ухода за волосами</x:v>
      </x:c>
      <x:c r="C2852" s="14" t="str">
        <x:v>Уход за волосами для женщин</x:v>
      </x:c>
      <x:c r="D2852" s="14" t="str">
        <x:v>Термозащита для волос</x:v>
      </x:c>
      <x:c r="E2852" s="2" t="n">
        <x:v>25</x:v>
      </x:c>
      <x:c r="F2852" s="2" t="n">
        <x:v>0</x:v>
      </x:c>
      <x:c r="G2852" s="12" t="n">
        <x:v>4554672.0295</x:v>
      </x:c>
      <x:c r="H2852" s="12" t="n">
        <x:v>320369.78162595</x:v>
      </x:c>
      <x:c r="I2852" s="13" t="n">
        <x:v>0.06464</x:v>
      </x:c>
      <x:c r="J2852" s="2" t="n">
        <x:v>9</x:v>
      </x:c>
      <x:c r="K2852" s="2" t="n">
        <x:v>9</x:v>
      </x:c>
      <x:c r="L2852" s="12" t="n">
        <x:v>1110.4816</x:v>
      </x:c>
      <x:c r="M2852" s="13" t="n">
        <x:v>0.5767578371802939</x:v>
      </x:c>
      <x:c r="N2852" s="13" t="n">
        <x:f>H2852/G2852</x:f>
        <x:v>0.07033871583968239</x:v>
      </x:c>
      <x:c r="O2852" s="13" t="n">
        <x:f>F2852/E2852</x:f>
        <x:v>0</x:v>
      </x:c>
      <x:c r="P2852" s="2" t="str">
        <x:f>IF(AND(E2852&gt;='Итоги'!$F$5,N2852&lt;='Итоги'!$B$5,O2852&gt;='Итоги'!$D$5),"Да","Нет")</x:f>
        <x:v>Нет</x:v>
      </x:c>
    </x:row>
    <x:row r="2853" ht="60" customHeight="1">
      <x:c r="A2853" s="14" t="str">
        <x:v>Строительство и ремонт (DIY)</x:v>
      </x:c>
      <x:c r="B2853" s="14" t="str">
        <x:v>Сад и огород</x:v>
      </x:c>
      <x:c r="C2853" s="14" t="str">
        <x:v>Садовый инструмент</x:v>
      </x:c>
      <x:c r="D2853" s="14" t="str">
        <x:v>Кусторез электрический</x:v>
      </x:c>
      <x:c r="E2853" s="2" t="n">
        <x:v>27</x:v>
      </x:c>
      <x:c r="F2853" s="2" t="n">
        <x:v>0</x:v>
      </x:c>
      <x:c r="G2853" s="12" t="n">
        <x:v>8570212.5563</x:v>
      </x:c>
      <x:c r="H2853" s="12" t="n">
        <x:v>603033.89401778</x:v>
      </x:c>
      <x:c r="I2853" s="13" t="n">
        <x:v>0.0672592592592592</x:v>
      </x:c>
      <x:c r="J2853" s="2" t="n">
        <x:v>6</x:v>
      </x:c>
      <x:c r="K2853" s="2" t="n">
        <x:v>11</x:v>
      </x:c>
      <x:c r="L2853" s="12" t="n">
        <x:v>5362.75</x:v>
      </x:c>
      <x:c r="M2853" s="13" t="n">
        <x:v>0.5590717392858416</x:v>
      </x:c>
      <x:c r="N2853" s="13" t="n">
        <x:f>H2853/G2853</x:f>
        <x:v>0.07036393672342318</x:v>
      </x:c>
      <x:c r="O2853" s="13" t="n">
        <x:f>F2853/E2853</x:f>
        <x:v>0</x:v>
      </x:c>
      <x:c r="P2853" s="2" t="str">
        <x:f>IF(AND(E2853&gt;='Итоги'!$F$5,N2853&lt;='Итоги'!$B$5,O2853&gt;='Итоги'!$D$5),"Да","Нет")</x:f>
        <x:v>Нет</x:v>
      </x:c>
    </x:row>
    <x:row r="2854" ht="60" customHeight="1">
      <x:c r="A2854" s="14" t="str">
        <x:v>Строительство и ремонт (DIY)</x:v>
      </x:c>
      <x:c r="B2854" s="14" t="str">
        <x:v>Инструменты</x:v>
      </x:c>
      <x:c r="C2854" s="14" t="str">
        <x:v>Измерительный инструмент</x:v>
      </x:c>
      <x:c r="D2854" s="14" t="str">
        <x:v>Дальномер</x:v>
      </x:c>
      <x:c r="E2854" s="2" t="n">
        <x:v>59</x:v>
      </x:c>
      <x:c r="F2854" s="2" t="n">
        <x:v>0</x:v>
      </x:c>
      <x:c r="G2854" s="12" t="n">
        <x:v>10763001.9778</x:v>
      </x:c>
      <x:c r="H2854" s="12" t="n">
        <x:v>757646.07306269</x:v>
      </x:c>
      <x:c r="I2854" s="13" t="n">
        <x:v>0.0734830508474576</x:v>
      </x:c>
      <x:c r="J2854" s="2" t="n">
        <x:v>10</x:v>
      </x:c>
      <x:c r="K2854" s="2" t="n">
        <x:v>21</x:v>
      </x:c>
      <x:c r="L2854" s="12" t="n">
        <x:v>1598.9231</x:v>
      </x:c>
      <x:c r="M2854" s="13" t="n">
        <x:v>0.437336401369141</x:v>
      </x:c>
      <x:c r="N2854" s="13" t="n">
        <x:f>H2854/G2854</x:f>
        <x:v>0.07039356441868422</x:v>
      </x:c>
      <x:c r="O2854" s="13" t="n">
        <x:f>F2854/E2854</x:f>
        <x:v>0</x:v>
      </x:c>
      <x:c r="P2854" s="2" t="str">
        <x:f>IF(AND(E2854&gt;='Итоги'!$F$5,N2854&lt;='Итоги'!$B$5,O2854&gt;='Итоги'!$D$5),"Да","Нет")</x:f>
        <x:v>Нет</x:v>
      </x:c>
    </x:row>
    <x:row r="2855" ht="60" customHeight="1">
      <x:c r="A2855" s="14" t="str">
        <x:v>Бакалея и кондитерские изделия</x:v>
      </x:c>
      <x:c r="B2855" s="14" t="str">
        <x:v>Бакалея</x:v>
      </x:c>
      <x:c r="C2855" s="14" t="str">
        <x:v>Макаронные изделия, крупы</x:v>
      </x:c>
      <x:c r="D2855" s="14" t="str">
        <x:v>Лапша быстрого приготовления</x:v>
      </x:c>
      <x:c r="E2855" s="2" t="n">
        <x:v>22</x:v>
      </x:c>
      <x:c r="F2855" s="2" t="n">
        <x:v>0</x:v>
      </x:c>
      <x:c r="G2855" s="12" t="n">
        <x:v>2444509.9709</x:v>
      </x:c>
      <x:c r="H2855" s="12" t="n">
        <x:v>172103.07955751</x:v>
      </x:c>
      <x:c r="I2855" s="13" t="n">
        <x:v>0.0712727272727272</x:v>
      </x:c>
      <x:c r="J2855" s="2" t="n">
        <x:v>5</x:v>
      </x:c>
      <x:c r="K2855" s="2" t="n">
        <x:v>10</x:v>
      </x:c>
      <x:c r="L2855" s="12" t="n">
        <x:v>1171.0699</x:v>
      </x:c>
      <x:c r="M2855" s="13" t="n">
        <x:v>0.3281518339254977</x:v>
      </x:c>
      <x:c r="N2855" s="13" t="n">
        <x:f>H2855/G2855</x:f>
        <x:v>0.07040391800657965</x:v>
      </x:c>
      <x:c r="O2855" s="13" t="n">
        <x:f>F2855/E2855</x:f>
        <x:v>0</x:v>
      </x:c>
      <x:c r="P2855" s="2" t="str">
        <x:f>IF(AND(E2855&gt;='Итоги'!$F$5,N2855&lt;='Итоги'!$B$5,O2855&gt;='Итоги'!$D$5),"Да","Нет")</x:f>
        <x:v>Нет</x:v>
      </x:c>
    </x:row>
    <x:row r="2856" ht="60" customHeight="1">
      <x:c r="A2856" s="14" t="str">
        <x:v>Товары для детей и спорта</x:v>
      </x:c>
      <x:c r="B2856" s="14" t="str">
        <x:v>КГТ и аксессуары для детей</x:v>
      </x:c>
      <x:c r="C2856" s="14" t="str">
        <x:v>Ванная комната и купание</x:v>
      </x:c>
      <x:c r="D2856" s="14" t="str">
        <x:v>Горка для ванной, сиденье детское для купания</x:v>
      </x:c>
      <x:c r="E2856" s="2" t="n">
        <x:v>9</x:v>
      </x:c>
      <x:c r="F2856" s="2" t="n">
        <x:v>0</x:v>
      </x:c>
      <x:c r="G2856" s="12" t="n">
        <x:v>1129814.8931</x:v>
      </x:c>
      <x:c r="H2856" s="12" t="n">
        <x:v>79591.89684209</x:v>
      </x:c>
      <x:c r="I2856" s="13" t="n">
        <x:v>0.0691444444444444</x:v>
      </x:c>
      <x:c r="J2856" s="2" t="n">
        <x:v>1</x:v>
      </x:c>
      <x:c r="K2856" s="2" t="n">
        <x:v>4</x:v>
      </x:c>
      <x:c r="L2856" s="12" t="n">
        <x:v>1590.5165</x:v>
      </x:c>
      <x:c r="M2856" s="13" t="n">
        <x:v>0.4087121137454583</x:v>
      </x:c>
      <x:c r="N2856" s="13" t="n">
        <x:f>H2856/G2856</x:f>
        <x:v>0.07044684693764726</x:v>
      </x:c>
      <x:c r="O2856" s="13" t="n">
        <x:f>F2856/E2856</x:f>
        <x:v>0</x:v>
      </x:c>
      <x:c r="P2856" s="2" t="str">
        <x:f>IF(AND(E2856&gt;='Итоги'!$F$5,N2856&lt;='Итоги'!$B$5,O2856&gt;='Итоги'!$D$5),"Да","Нет")</x:f>
        <x:v>Нет</x:v>
      </x:c>
    </x:row>
    <x:row r="2857" ht="60" customHeight="1">
      <x:c r="A2857" s="14" t="str">
        <x:v>Товары для красоты и здоровья</x:v>
      </x:c>
      <x:c r="B2857" s="14" t="str">
        <x:v>Косметика для ухода за волосами</x:v>
      </x:c>
      <x:c r="C2857" s="14" t="str">
        <x:v>Набор для волос женский</x:v>
      </x:c>
      <x:c r="D2857" s="14" t="str">
        <x:v>Косметический набор для волос женский</x:v>
      </x:c>
      <x:c r="E2857" s="2" t="n">
        <x:v>239</x:v>
      </x:c>
      <x:c r="F2857" s="2" t="n">
        <x:v>0</x:v>
      </x:c>
      <x:c r="G2857" s="12" t="n">
        <x:v>37639182.6969</x:v>
      </x:c>
      <x:c r="H2857" s="12" t="n">
        <x:v>2651848.0999510502</x:v>
      </x:c>
      <x:c r="I2857" s="13" t="n">
        <x:v>0.0660928870292887</x:v>
      </x:c>
      <x:c r="J2857" s="2" t="n">
        <x:v>76</x:v>
      </x:c>
      <x:c r="K2857" s="2" t="n">
        <x:v>37</x:v>
      </x:c>
      <x:c r="L2857" s="12" t="n">
        <x:v>1363.0758</x:v>
      </x:c>
      <x:c r="M2857" s="13" t="n">
        <x:v>0.671767568334646</x:v>
      </x:c>
      <x:c r="N2857" s="13" t="n">
        <x:f>H2857/G2857</x:f>
        <x:v>0.07045445490423624</x:v>
      </x:c>
      <x:c r="O2857" s="13" t="n">
        <x:f>F2857/E2857</x:f>
        <x:v>0</x:v>
      </x:c>
      <x:c r="P2857" s="2" t="str">
        <x:f>IF(AND(E2857&gt;='Итоги'!$F$5,N2857&lt;='Итоги'!$B$5,O2857&gt;='Итоги'!$D$5),"Да","Нет")</x:f>
        <x:v>Нет</x:v>
      </x:c>
    </x:row>
    <x:row r="2858" ht="60" customHeight="1">
      <x:c r="A2858" s="14" t="str">
        <x:v>Бытовая химия и гигиена рта</x:v>
      </x:c>
      <x:c r="B2858" s="14" t="str">
        <x:v>Бытовая химия</x:v>
      </x:c>
      <x:c r="C2858" s="14" t="str">
        <x:v>Чистящее и моющее средство</x:v>
      </x:c>
      <x:c r="D2858" s="14" t="str">
        <x:v>Средство чистящее для ковров, обивки, кожи, мебели</x:v>
      </x:c>
      <x:c r="E2858" s="2" t="n">
        <x:v>14</x:v>
      </x:c>
      <x:c r="F2858" s="2" t="n">
        <x:v>0</x:v>
      </x:c>
      <x:c r="G2858" s="12" t="n">
        <x:v>3409086.8001</x:v>
      </x:c>
      <x:c r="H2858" s="12" t="n">
        <x:v>240287.34299325</x:v>
      </x:c>
      <x:c r="I2858" s="13" t="n">
        <x:v>0.0853714285714285</x:v>
      </x:c>
      <x:c r="J2858" s="2" t="n">
        <x:v>3</x:v>
      </x:c>
      <x:c r="K2858" s="2" t="n">
        <x:v>7</x:v>
      </x:c>
      <x:c r="L2858" s="12" t="n">
        <x:v>1036.65235</x:v>
      </x:c>
      <x:c r="M2858" s="13" t="n">
        <x:v>0.5954741904900903</x:v>
      </x:c>
      <x:c r="N2858" s="13" t="n">
        <x:f>H2858/G2858</x:f>
        <x:v>0.0704843722331158</x:v>
      </x:c>
      <x:c r="O2858" s="13" t="n">
        <x:f>F2858/E2858</x:f>
        <x:v>0</x:v>
      </x:c>
      <x:c r="P2858" s="2" t="str">
        <x:f>IF(AND(E2858&gt;='Итоги'!$F$5,N2858&lt;='Итоги'!$B$5,O2858&gt;='Итоги'!$D$5),"Да","Нет")</x:f>
        <x:v>Нет</x:v>
      </x:c>
    </x:row>
    <x:row r="2859" ht="60" customHeight="1">
      <x:c r="A2859" s="14" t="str">
        <x:v>Спорт и отдых</x:v>
      </x:c>
      <x:c r="B2859" s="14" t="str">
        <x:v>Тренажеры и фитнес</x:v>
      </x:c>
      <x:c r="C2859" s="14" t="str">
        <x:v>Йога, пилатес</x:v>
      </x:c>
      <x:c r="D2859" s="14" t="str">
        <x:v>Фитбол</x:v>
      </x:c>
      <x:c r="E2859" s="2" t="n">
        <x:v>16</x:v>
      </x:c>
      <x:c r="F2859" s="2" t="n">
        <x:v>0</x:v>
      </x:c>
      <x:c r="G2859" s="12" t="n">
        <x:v>2205375.1032</x:v>
      </x:c>
      <x:c r="H2859" s="12" t="n">
        <x:v>155478.2195269</x:v>
      </x:c>
      <x:c r="I2859" s="13" t="n">
        <x:v>0.06485625</x:v>
      </x:c>
      <x:c r="J2859" s="2" t="n">
        <x:v>0</x:v>
      </x:c>
      <x:c r="K2859" s="2" t="n">
        <x:v>4</x:v>
      </x:c>
      <x:c r="L2859" s="12" t="n">
        <x:v>1009.28315</x:v>
      </x:c>
      <x:c r="M2859" s="13" t="n">
        <x:v>0.4862690126246275</x:v>
      </x:c>
      <x:c r="N2859" s="13" t="n">
        <x:f>H2859/G2859</x:f>
        <x:v>0.07049967114496807</x:v>
      </x:c>
      <x:c r="O2859" s="13" t="n">
        <x:f>F2859/E2859</x:f>
        <x:v>0</x:v>
      </x:c>
      <x:c r="P2859" s="2" t="str">
        <x:f>IF(AND(E2859&gt;='Итоги'!$F$5,N2859&lt;='Итоги'!$B$5,O2859&gt;='Итоги'!$D$5),"Да","Нет")</x:f>
        <x:v>Нет</x:v>
      </x:c>
    </x:row>
    <x:row r="2860" ht="60" customHeight="1">
      <x:c r="A2860" s="14" t="str">
        <x:v>Обувь</x:v>
      </x:c>
      <x:c r="B2860" s="14" t="str">
        <x:v>Специальная обувь</x:v>
      </x:c>
      <x:c r="C2860" s="14" t="str">
        <x:v>Спецобувь мужская</x:v>
      </x:c>
      <x:c r="D2860" s="14" t="str">
        <x:v>Рабочие берцы мужские</x:v>
      </x:c>
      <x:c r="E2860" s="2" t="n">
        <x:v>154</x:v>
      </x:c>
      <x:c r="F2860" s="2" t="n">
        <x:v>0</x:v>
      </x:c>
      <x:c r="G2860" s="12" t="n">
        <x:v>18728824.364</x:v>
      </x:c>
      <x:c r="H2860" s="12" t="n">
        <x:v>1321283.5124345</x:v>
      </x:c>
      <x:c r="I2860" s="13" t="n">
        <x:v>0.067440909090909</x:v>
      </x:c>
      <x:c r="J2860" s="2" t="n">
        <x:v>24</x:v>
      </x:c>
      <x:c r="K2860" s="2" t="n">
        <x:v>9</x:v>
      </x:c>
      <x:c r="L2860" s="12" t="n">
        <x:v>2969.5132000000003</x:v>
      </x:c>
      <x:c r="M2860" s="13" t="n">
        <x:v>0.4057524525408593</x:v>
      </x:c>
      <x:c r="N2860" s="13" t="n">
        <x:f>H2860/G2860</x:f>
        <x:v>0.07054812874289283</x:v>
      </x:c>
      <x:c r="O2860" s="13" t="n">
        <x:f>F2860/E2860</x:f>
        <x:v>0</x:v>
      </x:c>
      <x:c r="P2860" s="2" t="str">
        <x:f>IF(AND(E2860&gt;='Итоги'!$F$5,N2860&lt;='Итоги'!$B$5,O2860&gt;='Итоги'!$D$5),"Да","Нет")</x:f>
        <x:v>Нет</x:v>
      </x:c>
    </x:row>
    <x:row r="2861" ht="60" customHeight="1">
      <x:c r="A2861" s="14" t="str">
        <x:v>Аптека</x:v>
      </x:c>
      <x:c r="B2861" s="14" t="str">
        <x:v>Медицинская техника</x:v>
      </x:c>
      <x:c r="C2861" s="14" t="str">
        <x:v>Приборы и средства диагностики</x:v>
      </x:c>
      <x:c r="D2861" s="14" t="str">
        <x:v>Генетический тест</x:v>
      </x:c>
      <x:c r="E2861" s="2" t="n">
        <x:v>3</x:v>
      </x:c>
      <x:c r="F2861" s="2" t="n">
        <x:v>0</x:v>
      </x:c>
      <x:c r="G2861" s="12" t="n">
        <x:v>1242909</x:v>
      </x:c>
      <x:c r="H2861" s="12" t="n">
        <x:v>87795.4868</x:v>
      </x:c>
      <x:c r="I2861" s="13" t="n">
        <x:v>0.0759333333333333</x:v>
      </x:c>
      <x:c r="J2861" s="2" t="n">
        <x:v>2</x:v>
      </x:c>
      <x:c r="K2861" s="2" t="n">
        <x:v>2</x:v>
      </x:c>
      <x:c r="L2861" s="12" t="n">
        <x:v>9139.9492</x:v>
      </x:c>
      <x:c r="M2861" s="13" t="n">
        <x:v>0.6899161563718663</x:v>
      </x:c>
      <x:c r="N2861" s="13" t="n">
        <x:f>H2861/G2861</x:f>
        <x:v>0.07063709957848885</x:v>
      </x:c>
      <x:c r="O2861" s="13" t="n">
        <x:f>F2861/E2861</x:f>
        <x:v>0</x:v>
      </x:c>
      <x:c r="P2861" s="2" t="str">
        <x:f>IF(AND(E2861&gt;='Итоги'!$F$5,N2861&lt;='Итоги'!$B$5,O2861&gt;='Итоги'!$D$5),"Да","Нет")</x:f>
        <x:v>Нет</x:v>
      </x:c>
    </x:row>
    <x:row r="2862" ht="60" customHeight="1">
      <x:c r="A2862" s="14" t="str">
        <x:v>Аксессуары для электроники</x:v>
      </x:c>
      <x:c r="B2862" s="14" t="str">
        <x:v>Аксессуары для мобильных устройств Access</x:v>
      </x:c>
      <x:c r="C2862" s="14" t="str">
        <x:v>Аксессуары для смартфонов Access</x:v>
      </x:c>
      <x:c r="D2862" s="14" t="str">
        <x:v>Bluetooth метка</x:v>
      </x:c>
      <x:c r="E2862" s="2" t="n">
        <x:v>6</x:v>
      </x:c>
      <x:c r="F2862" s="2" t="n">
        <x:v>0</x:v>
      </x:c>
      <x:c r="G2862" s="12" t="n">
        <x:v>792980.814</x:v>
      </x:c>
      <x:c r="H2862" s="12" t="n">
        <x:v>56200.37636483</x:v>
      </x:c>
      <x:c r="I2862" s="13" t="n">
        <x:v>0.05525</x:v>
      </x:c>
      <x:c r="J2862" s="2" t="n">
        <x:v>3</x:v>
      </x:c>
      <x:c r="K2862" s="2" t="n">
        <x:v>5</x:v>
      </x:c>
      <x:c r="L2862" s="12" t="n">
        <x:v>1131.0919</x:v>
      </x:c>
      <x:c r="M2862" s="13" t="n">
        <x:v>0.3028069769920057</x:v>
      </x:c>
      <x:c r="N2862" s="13" t="n">
        <x:f>H2862/G2862</x:f>
        <x:v>0.07087230280054417</x:v>
      </x:c>
      <x:c r="O2862" s="13" t="n">
        <x:f>F2862/E2862</x:f>
        <x:v>0</x:v>
      </x:c>
      <x:c r="P2862" s="2" t="str">
        <x:f>IF(AND(E2862&gt;='Итоги'!$F$5,N2862&lt;='Итоги'!$B$5,O2862&gt;='Итоги'!$D$5),"Да","Нет")</x:f>
        <x:v>Нет</x:v>
      </x:c>
    </x:row>
    <x:row r="2863" ht="60" customHeight="1">
      <x:c r="A2863" s="14" t="str">
        <x:v>Аптека</x:v>
      </x:c>
      <x:c r="B2863" s="14" t="str">
        <x:v>Ортопедия и компрессионный трикотаж</x:v>
      </x:c>
      <x:c r="C2863" s="14" t="str">
        <x:v>Аппликаторы и массажеры</x:v>
      </x:c>
      <x:c r="D2863" s="14" t="str">
        <x:v>Массажный аппликатор, ортопедический коврик</x:v>
      </x:c>
      <x:c r="E2863" s="2" t="n">
        <x:v>104</x:v>
      </x:c>
      <x:c r="F2863" s="2" t="n">
        <x:v>0</x:v>
      </x:c>
      <x:c r="G2863" s="12" t="n">
        <x:v>19827376.709</x:v>
      </x:c>
      <x:c r="H2863" s="12" t="n">
        <x:v>1406210.04260369</x:v>
      </x:c>
      <x:c r="I2863" s="13" t="n">
        <x:v>0.0678913461538461</x:v>
      </x:c>
      <x:c r="J2863" s="2" t="n">
        <x:v>20</x:v>
      </x:c>
      <x:c r="K2863" s="2" t="n">
        <x:v>20</x:v>
      </x:c>
      <x:c r="L2863" s="12" t="n">
        <x:v>1480.6528</x:v>
      </x:c>
      <x:c r="M2863" s="13" t="n">
        <x:v>0.5506555610074277</x:v>
      </x:c>
      <x:c r="N2863" s="13" t="n">
        <x:f>H2863/G2863</x:f>
        <x:v>0.07092264716821496</x:v>
      </x:c>
      <x:c r="O2863" s="13" t="n">
        <x:f>F2863/E2863</x:f>
        <x:v>0</x:v>
      </x:c>
      <x:c r="P2863" s="2" t="str">
        <x:f>IF(AND(E2863&gt;='Итоги'!$F$5,N2863&lt;='Итоги'!$B$5,O2863&gt;='Итоги'!$D$5),"Да","Нет")</x:f>
        <x:v>Нет</x:v>
      </x:c>
    </x:row>
    <x:row r="2864" ht="60" customHeight="1">
      <x:c r="A2864" s="14" t="str">
        <x:v>Аптека</x:v>
      </x:c>
      <x:c r="B2864" s="14" t="str">
        <x:v>Медицинские изделия</x:v>
      </x:c>
      <x:c r="C2864" s="14" t="str">
        <x:v>Урология</x:v>
      </x:c>
      <x:c r="D2864" s="14" t="str">
        <x:v>Послеродовые одноразовые трусы</x:v>
      </x:c>
      <x:c r="E2864" s="2" t="n">
        <x:v>4</x:v>
      </x:c>
      <x:c r="F2864" s="2" t="n">
        <x:v>0</x:v>
      </x:c>
      <x:c r="G2864" s="12" t="n">
        <x:v>444075.01</x:v>
      </x:c>
      <x:c r="H2864" s="12" t="n">
        <x:v>31498.508438000004</x:v>
      </x:c>
      <x:c r="I2864" s="13" t="n">
        <x:v>0.072125</x:v>
      </x:c>
      <x:c r="J2864" s="2" t="n">
        <x:v>2</x:v>
      </x:c>
      <x:c r="K2864" s="2" t="n">
        <x:v>2</x:v>
      </x:c>
      <x:c r="L2864" s="12" t="n">
        <x:v>1727.02345</x:v>
      </x:c>
      <x:c r="M2864" s="13" t="n">
        <x:v>0.5367426552554714</x:v>
      </x:c>
      <x:c r="N2864" s="13" t="n">
        <x:f>H2864/G2864</x:f>
        <x:v>0.07093060345368231</x:v>
      </x:c>
      <x:c r="O2864" s="13" t="n">
        <x:f>F2864/E2864</x:f>
        <x:v>0</x:v>
      </x:c>
      <x:c r="P2864" s="2" t="str">
        <x:f>IF(AND(E2864&gt;='Итоги'!$F$5,N2864&lt;='Итоги'!$B$5,O2864&gt;='Итоги'!$D$5),"Да","Нет")</x:f>
        <x:v>Нет</x:v>
      </x:c>
    </x:row>
    <x:row r="2865" ht="60" customHeight="1">
      <x:c r="A2865" s="14" t="str">
        <x:v>Хобби и творчество</x:v>
      </x:c>
      <x:c r="B2865" s="14" t="str">
        <x:v>Взрослое творчество и хобби</x:v>
      </x:c>
      <x:c r="C2865" s="14" t="str">
        <x:v>Живопись и аэрография</x:v>
      </x:c>
      <x:c r="D2865" s="14" t="str">
        <x:v>Мольберт художественный</x:v>
      </x:c>
      <x:c r="E2865" s="2" t="n">
        <x:v>11</x:v>
      </x:c>
      <x:c r="F2865" s="2" t="n">
        <x:v>0</x:v>
      </x:c>
      <x:c r="G2865" s="12" t="n">
        <x:v>978570.5333</x:v>
      </x:c>
      <x:c r="H2865" s="12" t="n">
        <x:v>69432.13801496</x:v>
      </x:c>
      <x:c r="I2865" s="13" t="n">
        <x:v>0.083790909090909</x:v>
      </x:c>
      <x:c r="J2865" s="2" t="n">
        <x:v>5</x:v>
      </x:c>
      <x:c r="K2865" s="2" t="n">
        <x:v>4</x:v>
      </x:c>
      <x:c r="L2865" s="12" t="n">
        <x:v>2183.6087</x:v>
      </x:c>
      <x:c r="M2865" s="13" t="n">
        <x:v>0.7556527487153593</x:v>
      </x:c>
      <x:c r="N2865" s="13" t="n">
        <x:f>H2865/G2865</x:f>
        <x:v>0.07095261470914761</x:v>
      </x:c>
      <x:c r="O2865" s="13" t="n">
        <x:f>F2865/E2865</x:f>
        <x:v>0</x:v>
      </x:c>
      <x:c r="P2865" s="2" t="str">
        <x:f>IF(AND(E2865&gt;='Итоги'!$F$5,N2865&lt;='Итоги'!$B$5,O2865&gt;='Итоги'!$D$5),"Да","Нет")</x:f>
        <x:v>Нет</x:v>
      </x:c>
    </x:row>
    <x:row r="2866" ht="60" customHeight="1">
      <x:c r="A2866" s="14" t="str">
        <x:v>Спорт и отдых</x:v>
      </x:c>
      <x:c r="B2866" s="14" t="str">
        <x:v>Товары для охоты</x:v>
      </x:c>
      <x:c r="C2866" s="14" t="str">
        <x:v>Аксессуары для охотничьего оружия</x:v>
      </x:c>
      <x:c r="D2866" s="14" t="str">
        <x:v>ДТК (дульный тормоз-компенсатор), пламегаситель</x:v>
      </x:c>
      <x:c r="E2866" s="2" t="n">
        <x:v>54</x:v>
      </x:c>
      <x:c r="F2866" s="2" t="n">
        <x:v>0</x:v>
      </x:c>
      <x:c r="G2866" s="12" t="n">
        <x:v>9088205.67</x:v>
      </x:c>
      <x:c r="H2866" s="12" t="n">
        <x:v>644905.853386</x:v>
      </x:c>
      <x:c r="I2866" s="13" t="n">
        <x:v>0.06855</x:v>
      </x:c>
      <x:c r="J2866" s="2" t="n">
        <x:v>14</x:v>
      </x:c>
      <x:c r="K2866" s="2" t="n">
        <x:v>10</x:v>
      </x:c>
      <x:c r="L2866" s="12" t="n">
        <x:v>10524.1222</x:v>
      </x:c>
      <x:c r="M2866" s="13" t="n">
        <x:v>0.3781571549755652</x:v>
      </x:c>
      <x:c r="N2866" s="13" t="n">
        <x:f>H2866/G2866</x:f>
        <x:v>0.0709607459165259</x:v>
      </x:c>
      <x:c r="O2866" s="13" t="n">
        <x:f>F2866/E2866</x:f>
        <x:v>0</x:v>
      </x:c>
      <x:c r="P2866" s="2" t="str">
        <x:f>IF(AND(E2866&gt;='Итоги'!$F$5,N2866&lt;='Итоги'!$B$5,O2866&gt;='Итоги'!$D$5),"Да","Нет")</x:f>
        <x:v>Нет</x:v>
      </x:c>
    </x:row>
    <x:row r="2867" ht="60" customHeight="1">
      <x:c r="A2867" s="14" t="str">
        <x:v>Товары для красоты и здоровья</x:v>
      </x:c>
      <x:c r="B2867" s="14" t="str">
        <x:v>Косметика для ухода за кожей</x:v>
      </x:c>
      <x:c r="C2867" s="14" t="str">
        <x:v>Лицо</x:v>
      </x:c>
      <x:c r="D2867" s="14" t="str">
        <x:v>Пилинг для лица</x:v>
      </x:c>
      <x:c r="E2867" s="2" t="n">
        <x:v>31</x:v>
      </x:c>
      <x:c r="F2867" s="2" t="n">
        <x:v>0</x:v>
      </x:c>
      <x:c r="G2867" s="12" t="n">
        <x:v>4858249.1441</x:v>
      </x:c>
      <x:c r="H2867" s="12" t="n">
        <x:v>345002.15968043</x:v>
      </x:c>
      <x:c r="I2867" s="13" t="n">
        <x:v>0.0750354838709677</x:v>
      </x:c>
      <x:c r="J2867" s="2" t="n">
        <x:v>9</x:v>
      </x:c>
      <x:c r="K2867" s="2" t="n">
        <x:v>10</x:v>
      </x:c>
      <x:c r="L2867" s="12" t="n">
        <x:v>1413.1905</x:v>
      </x:c>
      <x:c r="M2867" s="13" t="n">
        <x:v>0.6108253423774838</x:v>
      </x:c>
      <x:c r="N2867" s="13" t="n">
        <x:f>H2867/G2867</x:f>
        <x:v>0.07101368197623432</x:v>
      </x:c>
      <x:c r="O2867" s="13" t="n">
        <x:f>F2867/E2867</x:f>
        <x:v>0</x:v>
      </x:c>
      <x:c r="P2867" s="2" t="str">
        <x:f>IF(AND(E2867&gt;='Итоги'!$F$5,N2867&lt;='Итоги'!$B$5,O2867&gt;='Итоги'!$D$5),"Да","Нет")</x:f>
        <x:v>Нет</x:v>
      </x:c>
    </x:row>
    <x:row r="2868" ht="60" customHeight="1">
      <x:c r="A2868" s="14" t="str">
        <x:v>Напитки</x:v>
      </x:c>
      <x:c r="B2868" s="14" t="str">
        <x:v>Напитки холодные</x:v>
      </x:c>
      <x:c r="C2868" s="14" t="str">
        <x:v>Газированные напитки</x:v>
      </x:c>
      <x:c r="D2868" s="14" t="str">
        <x:v>Безалкогольное вино</x:v>
      </x:c>
      <x:c r="E2868" s="2" t="n">
        <x:v>32</x:v>
      </x:c>
      <x:c r="F2868" s="2" t="n">
        <x:v>0</x:v>
      </x:c>
      <x:c r="G2868" s="12" t="n">
        <x:v>4919203.2902</x:v>
      </x:c>
      <x:c r="H2868" s="12" t="n">
        <x:v>349454.75675602</x:v>
      </x:c>
      <x:c r="I2868" s="13" t="n">
        <x:v>0.061884375</x:v>
      </x:c>
      <x:c r="J2868" s="2" t="n">
        <x:v>10</x:v>
      </x:c>
      <x:c r="K2868" s="2" t="n">
        <x:v>11</x:v>
      </x:c>
      <x:c r="L2868" s="12" t="n">
        <x:v>1275.644</x:v>
      </x:c>
      <x:c r="M2868" s="13" t="n">
        <x:v>0.3643518348124884</x:v>
      </x:c>
      <x:c r="N2868" s="13" t="n">
        <x:f>H2868/G2868</x:f>
        <x:v>0.07103889311755039</x:v>
      </x:c>
      <x:c r="O2868" s="13" t="n">
        <x:f>F2868/E2868</x:f>
        <x:v>0</x:v>
      </x:c>
      <x:c r="P2868" s="2" t="str">
        <x:f>IF(AND(E2868&gt;='Итоги'!$F$5,N2868&lt;='Итоги'!$B$5,O2868&gt;='Итоги'!$D$5),"Да","Нет")</x:f>
        <x:v>Нет</x:v>
      </x:c>
    </x:row>
    <x:row r="2869" ht="60" customHeight="1">
      <x:c r="A2869" s="14" t="str">
        <x:v>Товары для красоты и здоровья</x:v>
      </x:c>
      <x:c r="B2869" s="14" t="str">
        <x:v>Косметика для ухода за кожей</x:v>
      </x:c>
      <x:c r="C2869" s="14" t="str">
        <x:v>Загар</x:v>
      </x:c>
      <x:c r="D2869" s="14" t="str">
        <x:v>Солнцезащитное средство</x:v>
      </x:c>
      <x:c r="E2869" s="2" t="n">
        <x:v>172</x:v>
      </x:c>
      <x:c r="F2869" s="2" t="n">
        <x:v>0</x:v>
      </x:c>
      <x:c r="G2869" s="12" t="n">
        <x:v>26541314.3887</x:v>
      </x:c>
      <x:c r="H2869" s="12" t="n">
        <x:v>1886673.98667428</x:v>
      </x:c>
      <x:c r="I2869" s="13" t="n">
        <x:v>0.0628924418604651</x:v>
      </x:c>
      <x:c r="J2869" s="2" t="n">
        <x:v>79</x:v>
      </x:c>
      <x:c r="K2869" s="2" t="n">
        <x:v>47</x:v>
      </x:c>
      <x:c r="L2869" s="12" t="n">
        <x:v>1421.0818</x:v>
      </x:c>
      <x:c r="M2869" s="13" t="n">
        <x:v>0.4811159394478447</x:v>
      </x:c>
      <x:c r="N2869" s="13" t="n">
        <x:f>H2869/G2869</x:f>
        <x:v>0.0710844217827258</x:v>
      </x:c>
      <x:c r="O2869" s="13" t="n">
        <x:f>F2869/E2869</x:f>
        <x:v>0</x:v>
      </x:c>
      <x:c r="P2869" s="2" t="str">
        <x:f>IF(AND(E2869&gt;='Итоги'!$F$5,N2869&lt;='Итоги'!$B$5,O2869&gt;='Итоги'!$D$5),"Да","Нет")</x:f>
        <x:v>Нет</x:v>
      </x:c>
    </x:row>
    <x:row r="2870" ht="60" customHeight="1">
      <x:c r="A2870" s="14" t="str">
        <x:v>Мебель</x:v>
      </x:c>
      <x:c r="B2870" s="14" t="str">
        <x:v>Столы и стулья</x:v>
      </x:c>
      <x:c r="C2870" s="14" t="str">
        <x:v>Обеденный стул</x:v>
      </x:c>
      <x:c r="D2870" s="14" t="str">
        <x:v>Стул, обеденный стул</x:v>
      </x:c>
      <x:c r="E2870" s="2" t="n">
        <x:v>1067</x:v>
      </x:c>
      <x:c r="F2870" s="2" t="n">
        <x:v>0</x:v>
      </x:c>
      <x:c r="G2870" s="12" t="n">
        <x:v>216150505.5431</x:v>
      </x:c>
      <x:c r="H2870" s="12" t="n">
        <x:v>15368624.27063816</x:v>
      </x:c>
      <x:c r="I2870" s="13" t="n">
        <x:v>0.0699486410496719</x:v>
      </x:c>
      <x:c r="J2870" s="2" t="n">
        <x:v>211</x:v>
      </x:c>
      <x:c r="K2870" s="2" t="n">
        <x:v>87</x:v>
      </x:c>
      <x:c r="L2870" s="12" t="n">
        <x:v>6627.6</x:v>
      </x:c>
      <x:c r="M2870" s="13" t="n">
        <x:v>0.7293317460646226</x:v>
      </x:c>
      <x:c r="N2870" s="13" t="n">
        <x:f>H2870/G2870</x:f>
        <x:v>0.0711014958397758</x:v>
      </x:c>
      <x:c r="O2870" s="13" t="n">
        <x:f>F2870/E2870</x:f>
        <x:v>0</x:v>
      </x:c>
      <x:c r="P2870" s="2" t="str">
        <x:f>IF(AND(E2870&gt;='Итоги'!$F$5,N2870&lt;='Итоги'!$B$5,O2870&gt;='Итоги'!$D$5),"Да","Нет")</x:f>
        <x:v>Нет</x:v>
      </x:c>
    </x:row>
    <x:row r="2871" ht="60" customHeight="1">
      <x:c r="A2871" s="14" t="str">
        <x:v>Игрушки</x:v>
      </x:c>
      <x:c r="B2871" s="14" t="str">
        <x:v>Игрушки</x:v>
      </x:c>
      <x:c r="C2871" s="14" t="str">
        <x:v>Мягкие игрушки</x:v>
      </x:c>
      <x:c r="D2871" s="14" t="str">
        <x:v>Мягкая игрушка</x:v>
      </x:c>
      <x:c r="E2871" s="2" t="n">
        <x:v>158</x:v>
      </x:c>
      <x:c r="F2871" s="2" t="n">
        <x:v>0</x:v>
      </x:c>
      <x:c r="G2871" s="12" t="n">
        <x:v>17014341.1639</x:v>
      </x:c>
      <x:c r="H2871" s="12" t="n">
        <x:v>1210512.68398695</x:v>
      </x:c>
      <x:c r="I2871" s="13" t="n">
        <x:v>0.0701734177215189</x:v>
      </x:c>
      <x:c r="J2871" s="2" t="n">
        <x:v>47</x:v>
      </x:c>
      <x:c r="K2871" s="2" t="n">
        <x:v>46</x:v>
      </x:c>
      <x:c r="L2871" s="12" t="n">
        <x:v>1361.25125</x:v>
      </x:c>
      <x:c r="M2871" s="13" t="n">
        <x:v>0.3448947380020039</x:v>
      </x:c>
      <x:c r="N2871" s="13" t="n">
        <x:f>H2871/G2871</x:f>
        <x:v>0.07114660934126221</x:v>
      </x:c>
      <x:c r="O2871" s="13" t="n">
        <x:f>F2871/E2871</x:f>
        <x:v>0</x:v>
      </x:c>
      <x:c r="P2871" s="2" t="str">
        <x:f>IF(AND(E2871&gt;='Итоги'!$F$5,N2871&lt;='Итоги'!$B$5,O2871&gt;='Итоги'!$D$5),"Да","Нет")</x:f>
        <x:v>Нет</x:v>
      </x:c>
    </x:row>
    <x:row r="2872" ht="60" customHeight="1">
      <x:c r="A2872" s="14" t="str">
        <x:v>Аптека</x:v>
      </x:c>
      <x:c r="B2872" s="14" t="str">
        <x:v>Витамины и БАДы</x:v>
      </x:c>
      <x:c r="C2872" s="14" t="str">
        <x:v>Для нервной системы и головного мозга</x:v>
      </x:c>
      <x:c r="D2872" s="14" t="str">
        <x:v>БАД для стимулирования умственной активности</x:v>
      </x:c>
      <x:c r="E2872" s="2" t="n">
        <x:v>24</x:v>
      </x:c>
      <x:c r="F2872" s="2" t="n">
        <x:v>0</x:v>
      </x:c>
      <x:c r="G2872" s="12" t="n">
        <x:v>4673597.4152</x:v>
      </x:c>
      <x:c r="H2872" s="12" t="n">
        <x:v>332571.91848667</x:v>
      </x:c>
      <x:c r="I2872" s="13" t="n">
        <x:v>0.0533083333333333</x:v>
      </x:c>
      <x:c r="J2872" s="2" t="n">
        <x:v>9</x:v>
      </x:c>
      <x:c r="K2872" s="2" t="n">
        <x:v>9</x:v>
      </x:c>
      <x:c r="L2872" s="12" t="n">
        <x:v>1020.8963</x:v>
      </x:c>
      <x:c r="M2872" s="13" t="n">
        <x:v>0.6815587063490551</x:v>
      </x:c>
      <x:c r="N2872" s="13" t="n">
        <x:f>H2872/G2872</x:f>
        <x:v>0.07115972749493617</x:v>
      </x:c>
      <x:c r="O2872" s="13" t="n">
        <x:f>F2872/E2872</x:f>
        <x:v>0</x:v>
      </x:c>
      <x:c r="P2872" s="2" t="str">
        <x:f>IF(AND(E2872&gt;='Итоги'!$F$5,N2872&lt;='Итоги'!$B$5,O2872&gt;='Итоги'!$D$5),"Да","Нет")</x:f>
        <x:v>Нет</x:v>
      </x:c>
    </x:row>
    <x:row r="2873" ht="60" customHeight="1">
      <x:c r="A2873" s="14" t="str">
        <x:v>Мебель</x:v>
      </x:c>
      <x:c r="B2873" s="14" t="str">
        <x:v>Столы и стулья</x:v>
      </x:c>
      <x:c r="C2873" s="14" t="str">
        <x:v>Журнальный столик</x:v>
      </x:c>
      <x:c r="D2873" s="14" t="str">
        <x:v>Журнальные столики</x:v>
      </x:c>
      <x:c r="E2873" s="2" t="n">
        <x:v>285</x:v>
      </x:c>
      <x:c r="F2873" s="2" t="n">
        <x:v>0</x:v>
      </x:c>
      <x:c r="G2873" s="12" t="n">
        <x:v>47301322.1251</x:v>
      </x:c>
      <x:c r="H2873" s="12" t="n">
        <x:v>3370572.6195826</x:v>
      </x:c>
      <x:c r="I2873" s="13" t="n">
        <x:v>0.0775705263157894</x:v>
      </x:c>
      <x:c r="J2873" s="2" t="n">
        <x:v>55</x:v>
      </x:c>
      <x:c r="K2873" s="2" t="n">
        <x:v>58</x:v>
      </x:c>
      <x:c r="L2873" s="12" t="n">
        <x:v>2798.6667</x:v>
      </x:c>
      <x:c r="M2873" s="13" t="n">
        <x:v>0.6065595688154212</x:v>
      </x:c>
      <x:c r="N2873" s="13" t="n">
        <x:f>H2873/G2873</x:f>
        <x:v>0.07125747163405476</x:v>
      </x:c>
      <x:c r="O2873" s="13" t="n">
        <x:f>F2873/E2873</x:f>
        <x:v>0</x:v>
      </x:c>
      <x:c r="P2873" s="2" t="str">
        <x:f>IF(AND(E2873&gt;='Итоги'!$F$5,N2873&lt;='Итоги'!$B$5,O2873&gt;='Итоги'!$D$5),"Да","Нет")</x:f>
        <x:v>Нет</x:v>
      </x:c>
    </x:row>
    <x:row r="2874" ht="60" customHeight="1">
      <x:c r="A2874" s="14" t="str">
        <x:v>Товары для дома</x:v>
      </x:c>
      <x:c r="B2874" s="14" t="str">
        <x:v>Кухня</x:v>
      </x:c>
      <x:c r="C2874" s="14" t="str">
        <x:v>Питьевое стекло, аксессуар для бара, сосуд для жидкости</x:v>
      </x:c>
      <x:c r="D2874" s="14" t="str">
        <x:v>Аэратор для вина</x:v>
      </x:c>
      <x:c r="E2874" s="2" t="n">
        <x:v>14</x:v>
      </x:c>
      <x:c r="F2874" s="2" t="n">
        <x:v>0</x:v>
      </x:c>
      <x:c r="G2874" s="12" t="n">
        <x:v>1766808.3989</x:v>
      </x:c>
      <x:c r="H2874" s="12" t="n">
        <x:v>125940.14574888</x:v>
      </x:c>
      <x:c r="I2874" s="13" t="n">
        <x:v>0.07445</x:v>
      </x:c>
      <x:c r="J2874" s="2" t="n">
        <x:v>3</x:v>
      </x:c>
      <x:c r="K2874" s="2" t="n">
        <x:v>3</x:v>
      </x:c>
      <x:c r="L2874" s="12" t="n">
        <x:v>3320.36605</x:v>
      </x:c>
      <x:c r="M2874" s="13" t="n">
        <x:v>0.6771098663809957</x:v>
      </x:c>
      <x:c r="N2874" s="13" t="n">
        <x:f>H2874/G2874</x:f>
        <x:v>0.0712811563649399</x:v>
      </x:c>
      <x:c r="O2874" s="13" t="n">
        <x:f>F2874/E2874</x:f>
        <x:v>0</x:v>
      </x:c>
      <x:c r="P2874" s="2" t="str">
        <x:f>IF(AND(E2874&gt;='Итоги'!$F$5,N2874&lt;='Итоги'!$B$5,O2874&gt;='Итоги'!$D$5),"Да","Нет")</x:f>
        <x:v>Нет</x:v>
      </x:c>
    </x:row>
    <x:row r="2875" ht="60" customHeight="1">
      <x:c r="A2875" s="14" t="str">
        <x:v>Строительство и ремонт (DIY)</x:v>
      </x:c>
      <x:c r="B2875" s="14" t="str">
        <x:v>Сад и огород</x:v>
      </x:c>
      <x:c r="C2875" s="14" t="str">
        <x:v>Садовый инструмент</x:v>
      </x:c>
      <x:c r="D2875" s="14" t="str">
        <x:v>Бур ручной</x:v>
      </x:c>
      <x:c r="E2875" s="2" t="n">
        <x:v>17</x:v>
      </x:c>
      <x:c r="F2875" s="2" t="n">
        <x:v>0</x:v>
      </x:c>
      <x:c r="G2875" s="12" t="n">
        <x:v>4006862.7823</x:v>
      </x:c>
      <x:c r="H2875" s="12" t="n">
        <x:v>285762.87450579</x:v>
      </x:c>
      <x:c r="I2875" s="13" t="n">
        <x:v>0.061135294117647</x:v>
      </x:c>
      <x:c r="J2875" s="2" t="n">
        <x:v>9</x:v>
      </x:c>
      <x:c r="K2875" s="2" t="n">
        <x:v>4</x:v>
      </x:c>
      <x:c r="L2875" s="12" t="n">
        <x:v>1372.5265</x:v>
      </x:c>
      <x:c r="M2875" s="13" t="n">
        <x:v>0.6959246473120732</x:v>
      </x:c>
      <x:c r="N2875" s="13" t="n">
        <x:f>H2875/G2875</x:f>
        <x:v>0.07131835803515033</x:v>
      </x:c>
      <x:c r="O2875" s="13" t="n">
        <x:f>F2875/E2875</x:f>
        <x:v>0</x:v>
      </x:c>
      <x:c r="P2875" s="2" t="str">
        <x:f>IF(AND(E2875&gt;='Итоги'!$F$5,N2875&lt;='Итоги'!$B$5,O2875&gt;='Итоги'!$D$5),"Да","Нет")</x:f>
        <x:v>Нет</x:v>
      </x:c>
    </x:row>
    <x:row r="2876" ht="60" customHeight="1">
      <x:c r="A2876" s="14" t="str">
        <x:v>Аксессуары для электроники</x:v>
      </x:c>
      <x:c r="B2876" s="14" t="str">
        <x:v>Аксессуары для мобильных устройств Access</x:v>
      </x:c>
      <x:c r="C2876" s="14" t="str">
        <x:v>Наушники и аксессуары для наушников Access</x:v>
      </x:c>
      <x:c r="D2876" s="14" t="str">
        <x:v>Гарнитура проводная</x:v>
      </x:c>
      <x:c r="E2876" s="2" t="n">
        <x:v>35</x:v>
      </x:c>
      <x:c r="F2876" s="2" t="n">
        <x:v>0</x:v>
      </x:c>
      <x:c r="G2876" s="12" t="n">
        <x:v>5021169.7033</x:v>
      </x:c>
      <x:c r="H2876" s="12" t="n">
        <x:v>358134.47470232</x:v>
      </x:c>
      <x:c r="I2876" s="13" t="n">
        <x:v>0.0723257142857142</x:v>
      </x:c>
      <x:c r="J2876" s="2" t="n">
        <x:v>8</x:v>
      </x:c>
      <x:c r="K2876" s="2" t="n">
        <x:v>11</x:v>
      </x:c>
      <x:c r="L2876" s="12" t="n">
        <x:v>1960.3333</x:v>
      </x:c>
      <x:c r="M2876" s="13" t="n">
        <x:v>0.499501957572086</x:v>
      </x:c>
      <x:c r="N2876" s="13" t="n">
        <x:f>H2876/G2876</x:f>
        <x:v>0.07132490950603558</x:v>
      </x:c>
      <x:c r="O2876" s="13" t="n">
        <x:f>F2876/E2876</x:f>
        <x:v>0</x:v>
      </x:c>
      <x:c r="P2876" s="2" t="str">
        <x:f>IF(AND(E2876&gt;='Итоги'!$F$5,N2876&lt;='Итоги'!$B$5,O2876&gt;='Итоги'!$D$5),"Да","Нет")</x:f>
        <x:v>Нет</x:v>
      </x:c>
    </x:row>
    <x:row r="2877" ht="60" customHeight="1">
      <x:c r="A2877" s="14" t="str">
        <x:v>Товары для дома</x:v>
      </x:c>
      <x:c r="B2877" s="14" t="str">
        <x:v>Кухня</x:v>
      </x:c>
      <x:c r="C2877" s="14" t="str">
        <x:v>Посуда для приготовления пищи</x:v>
      </x:c>
      <x:c r="D2877" s="14" t="str">
        <x:v>Кастрюля</x:v>
      </x:c>
      <x:c r="E2877" s="2" t="n">
        <x:v>395</x:v>
      </x:c>
      <x:c r="F2877" s="2" t="n">
        <x:v>0</x:v>
      </x:c>
      <x:c r="G2877" s="12" t="n">
        <x:v>65961902.0596</x:v>
      </x:c>
      <x:c r="H2877" s="12" t="n">
        <x:v>4706416.91852242</x:v>
      </x:c>
      <x:c r="I2877" s="13" t="n">
        <x:v>0.0702134177215189</x:v>
      </x:c>
      <x:c r="J2877" s="2" t="n">
        <x:v>127</x:v>
      </x:c>
      <x:c r="K2877" s="2" t="n">
        <x:v>37</x:v>
      </x:c>
      <x:c r="L2877" s="12" t="n">
        <x:v>1990.7</x:v>
      </x:c>
      <x:c r="M2877" s="13" t="n">
        <x:v>0.7176872516718187</x:v>
      </x:c>
      <x:c r="N2877" s="13" t="n">
        <x:f>H2877/G2877</x:f>
        <x:v>0.07135053374097564</x:v>
      </x:c>
      <x:c r="O2877" s="13" t="n">
        <x:f>F2877/E2877</x:f>
        <x:v>0</x:v>
      </x:c>
      <x:c r="P2877" s="2" t="str">
        <x:f>IF(AND(E2877&gt;='Итоги'!$F$5,N2877&lt;='Итоги'!$B$5,O2877&gt;='Итоги'!$D$5),"Да","Нет")</x:f>
        <x:v>Нет</x:v>
      </x:c>
    </x:row>
    <x:row r="2878" ht="60" customHeight="1">
      <x:c r="A2878" s="14" t="str">
        <x:v>Спорт и отдых</x:v>
      </x:c>
      <x:c r="B2878" s="14" t="str">
        <x:v>Тренажеры и фитнес</x:v>
      </x:c>
      <x:c r="C2878" s="14" t="str">
        <x:v>Кардиотренажеры</x:v>
      </x:c>
      <x:c r="D2878" s="14" t="str">
        <x:v>Велотренажер</x:v>
      </x:c>
      <x:c r="E2878" s="2" t="n">
        <x:v>69</x:v>
      </x:c>
      <x:c r="F2878" s="2" t="n">
        <x:v>0</x:v>
      </x:c>
      <x:c r="G2878" s="12" t="n">
        <x:v>14227536.4466</x:v>
      </x:c>
      <x:c r="H2878" s="12" t="n">
        <x:v>1015447.31965117</x:v>
      </x:c>
      <x:c r="I2878" s="13" t="n">
        <x:v>0.0638869565217391</x:v>
      </x:c>
      <x:c r="J2878" s="2" t="n">
        <x:v>12</x:v>
      </x:c>
      <x:c r="K2878" s="2" t="n">
        <x:v>18</x:v>
      </x:c>
      <x:c r="L2878" s="12" t="n">
        <x:v>14374.25</x:v>
      </x:c>
      <x:c r="M2878" s="13" t="n">
        <x:v>0.7431343323830779</x:v>
      </x:c>
      <x:c r="N2878" s="13" t="n">
        <x:f>H2878/G2878</x:f>
        <x:v>0.0713719710690908</x:v>
      </x:c>
      <x:c r="O2878" s="13" t="n">
        <x:f>F2878/E2878</x:f>
        <x:v>0</x:v>
      </x:c>
      <x:c r="P2878" s="2" t="str">
        <x:f>IF(AND(E2878&gt;='Итоги'!$F$5,N2878&lt;='Итоги'!$B$5,O2878&gt;='Итоги'!$D$5),"Да","Нет")</x:f>
        <x:v>Нет</x:v>
      </x:c>
    </x:row>
    <x:row r="2879" ht="60" customHeight="1">
      <x:c r="A2879" s="14" t="str">
        <x:v>Бакалея и кондитерские изделия</x:v>
      </x:c>
      <x:c r="B2879" s="14" t="str">
        <x:v>Бакалея</x:v>
      </x:c>
      <x:c r="C2879" s="14" t="str">
        <x:v>Снэки, чипсы, готовые завтраки</x:v>
      </x:c>
      <x:c r="D2879" s="14" t="str">
        <x:v>Снэки</x:v>
      </x:c>
      <x:c r="E2879" s="2" t="n">
        <x:v>15</x:v>
      </x:c>
      <x:c r="F2879" s="2" t="n">
        <x:v>0</x:v>
      </x:c>
      <x:c r="G2879" s="12" t="n">
        <x:v>1565642.906</x:v>
      </x:c>
      <x:c r="H2879" s="12" t="n">
        <x:v>111756.17106318</x:v>
      </x:c>
      <x:c r="I2879" s="13" t="n">
        <x:v>0.0614266666666666</x:v>
      </x:c>
      <x:c r="J2879" s="2" t="n">
        <x:v>7</x:v>
      </x:c>
      <x:c r="K2879" s="2" t="n">
        <x:v>10</x:v>
      </x:c>
      <x:c r="L2879" s="12" t="n">
        <x:v>1387.9778</x:v>
      </x:c>
      <x:c r="M2879" s="13" t="n">
        <x:v>0.284120014081934</x:v>
      </x:c>
      <x:c r="N2879" s="13" t="n">
        <x:f>H2879/G2879</x:f>
        <x:v>0.07138037073134479</x:v>
      </x:c>
      <x:c r="O2879" s="13" t="n">
        <x:f>F2879/E2879</x:f>
        <x:v>0</x:v>
      </x:c>
      <x:c r="P2879" s="2" t="str">
        <x:f>IF(AND(E2879&gt;='Итоги'!$F$5,N2879&lt;='Итоги'!$B$5,O2879&gt;='Итоги'!$D$5),"Да","Нет")</x:f>
        <x:v>Нет</x:v>
      </x:c>
    </x:row>
    <x:row r="2880" ht="60" customHeight="1">
      <x:c r="A2880" s="14" t="str">
        <x:v>Бакалея и кондитерские изделия</x:v>
      </x:c>
      <x:c r="B2880" s="14" t="str">
        <x:v>Бакалея</x:v>
      </x:c>
      <x:c r="C2880" s="14" t="str">
        <x:v>Сахар, соль</x:v>
      </x:c>
      <x:c r="D2880" s="14" t="str">
        <x:v>Сахарозаменитель</x:v>
      </x:c>
      <x:c r="E2880" s="2" t="n">
        <x:v>24</x:v>
      </x:c>
      <x:c r="F2880" s="2" t="n">
        <x:v>0</x:v>
      </x:c>
      <x:c r="G2880" s="12" t="n">
        <x:v>3547368.07</x:v>
      </x:c>
      <x:c r="H2880" s="12" t="n">
        <x:v>253223.353104</x:v>
      </x:c>
      <x:c r="I2880" s="13" t="n">
        <x:v>0.0660541666666666</x:v>
      </x:c>
      <x:c r="J2880" s="2" t="n">
        <x:v>4</x:v>
      </x:c>
      <x:c r="K2880" s="2" t="n">
        <x:v>11</x:v>
      </x:c>
      <x:c r="L2880" s="12" t="n">
        <x:v>1065.32155</x:v>
      </x:c>
      <x:c r="M2880" s="13" t="n">
        <x:v>0.580027422978975</x:v>
      </x:c>
      <x:c r="N2880" s="13" t="n">
        <x:f>H2880/G2880</x:f>
        <x:v>0.0713834448828424</x:v>
      </x:c>
      <x:c r="O2880" s="13" t="n">
        <x:f>F2880/E2880</x:f>
        <x:v>0</x:v>
      </x:c>
      <x:c r="P2880" s="2" t="str">
        <x:f>IF(AND(E2880&gt;='Итоги'!$F$5,N2880&lt;='Итоги'!$B$5,O2880&gt;='Итоги'!$D$5),"Да","Нет")</x:f>
        <x:v>Нет</x:v>
      </x:c>
    </x:row>
    <x:row r="2881" ht="60" customHeight="1">
      <x:c r="A2881" s="14" t="str">
        <x:v>Строительство и ремонт (DIY)</x:v>
      </x:c>
      <x:c r="B2881" s="14" t="str">
        <x:v>Сантехника</x:v>
      </x:c>
      <x:c r="C2881" s="14" t="str">
        <x:v>Аксессуары для сантехники</x:v>
      </x:c>
      <x:c r="D2881" s="14" t="str">
        <x:v>Кран для сантехники</x:v>
      </x:c>
      <x:c r="E2881" s="2" t="n">
        <x:v>41</x:v>
      </x:c>
      <x:c r="F2881" s="2" t="n">
        <x:v>0</x:v>
      </x:c>
      <x:c r="G2881" s="12" t="n">
        <x:v>5376555.4398</x:v>
      </x:c>
      <x:c r="H2881" s="12" t="n">
        <x:v>383901.50710163</x:v>
      </x:c>
      <x:c r="I2881" s="13" t="n">
        <x:v>0.069590243902439</x:v>
      </x:c>
      <x:c r="J2881" s="2" t="n">
        <x:v>9</x:v>
      </x:c>
      <x:c r="K2881" s="2" t="n">
        <x:v>9</x:v>
      </x:c>
      <x:c r="L2881" s="12" t="n">
        <x:v>1702.8182</x:v>
      </x:c>
      <x:c r="M2881" s="13" t="n">
        <x:v>0.813332158249384</x:v>
      </x:c>
      <x:c r="N2881" s="13" t="n">
        <x:f>H2881/G2881</x:f>
        <x:v>0.07140287334522688</x:v>
      </x:c>
      <x:c r="O2881" s="13" t="n">
        <x:f>F2881/E2881</x:f>
        <x:v>0</x:v>
      </x:c>
      <x:c r="P2881" s="2" t="str">
        <x:f>IF(AND(E2881&gt;='Итоги'!$F$5,N2881&lt;='Итоги'!$B$5,O2881&gt;='Итоги'!$D$5),"Да","Нет")</x:f>
        <x:v>Нет</x:v>
      </x:c>
    </x:row>
    <x:row r="2882" ht="60" customHeight="1">
      <x:c r="A2882" s="14" t="str">
        <x:v>Ноутбуки и компьютеры</x:v>
      </x:c>
      <x:c r="B2882" s="14" t="str">
        <x:v>Компьютерная периферия Lap&amp;Comp</x:v>
      </x:c>
      <x:c r="C2882" s="14" t="str">
        <x:v>Периферийное оборудование Lap&amp;Comp</x:v>
      </x:c>
      <x:c r="D2882" s="14" t="str">
        <x:v>Коврик для мыши</x:v>
      </x:c>
      <x:c r="E2882" s="2" t="n">
        <x:v>62</x:v>
      </x:c>
      <x:c r="F2882" s="2" t="n">
        <x:v>0</x:v>
      </x:c>
      <x:c r="G2882" s="12" t="n">
        <x:v>9413612.9411</x:v>
      </x:c>
      <x:c r="H2882" s="12" t="n">
        <x:v>672162.21735832</x:v>
      </x:c>
      <x:c r="I2882" s="13" t="n">
        <x:v>0.0847741935483871</x:v>
      </x:c>
      <x:c r="J2882" s="2" t="n">
        <x:v>16</x:v>
      </x:c>
      <x:c r="K2882" s="2" t="n">
        <x:v>21</x:v>
      </x:c>
      <x:c r="L2882" s="12" t="n">
        <x:v>1554.9114</x:v>
      </x:c>
      <x:c r="M2882" s="13" t="n">
        <x:v>0.236360324895619</x:v>
      </x:c>
      <x:c r="N2882" s="13" t="n">
        <x:f>H2882/G2882</x:f>
        <x:v>0.07140321378879388</x:v>
      </x:c>
      <x:c r="O2882" s="13" t="n">
        <x:f>F2882/E2882</x:f>
        <x:v>0</x:v>
      </x:c>
      <x:c r="P2882" s="2" t="str">
        <x:f>IF(AND(E2882&gt;='Итоги'!$F$5,N2882&lt;='Итоги'!$B$5,O2882&gt;='Итоги'!$D$5),"Да","Нет")</x:f>
        <x:v>Нет</x:v>
      </x:c>
    </x:row>
    <x:row r="2883" ht="60" customHeight="1">
      <x:c r="A2883" s="14" t="str">
        <x:v>Строительство и ремонт (DIY)</x:v>
      </x:c>
      <x:c r="B2883" s="14" t="str">
        <x:v>Ремонт и строительство</x:v>
      </x:c>
      <x:c r="C2883" s="14" t="str">
        <x:v>Спецодежда, средства защиты</x:v>
      </x:c>
      <x:c r="D2883" s="14" t="str">
        <x:v>Защитные очки, щитки строительные</x:v>
      </x:c>
      <x:c r="E2883" s="2" t="n">
        <x:v>6</x:v>
      </x:c>
      <x:c r="F2883" s="2" t="n">
        <x:v>0</x:v>
      </x:c>
      <x:c r="G2883" s="12" t="n">
        <x:v>544104.8695</x:v>
      </x:c>
      <x:c r="H2883" s="12" t="n">
        <x:v>38977.62160735</x:v>
      </x:c>
      <x:c r="I2883" s="13" t="n">
        <x:v>0.07495</x:v>
      </x:c>
      <x:c r="J2883" s="2" t="n">
        <x:v>2</x:v>
      </x:c>
      <x:c r="K2883" s="2" t="n">
        <x:v>5</x:v>
      </x:c>
      <x:c r="L2883" s="12" t="n">
        <x:v>965.4205</x:v>
      </x:c>
      <x:c r="M2883" s="13" t="n">
        <x:v>0.3862968552241563</x:v>
      </x:c>
      <x:c r="N2883" s="13" t="n">
        <x:f>H2883/G2883</x:f>
        <x:v>0.07163623005831232</x:v>
      </x:c>
      <x:c r="O2883" s="13" t="n">
        <x:f>F2883/E2883</x:f>
        <x:v>0</x:v>
      </x:c>
      <x:c r="P2883" s="2" t="str">
        <x:f>IF(AND(E2883&gt;='Итоги'!$F$5,N2883&lt;='Итоги'!$B$5,O2883&gt;='Итоги'!$D$5),"Да","Нет")</x:f>
        <x:v>Нет</x:v>
      </x:c>
    </x:row>
    <x:row r="2884" ht="60" customHeight="1">
      <x:c r="A2884" s="14" t="str">
        <x:v>Бакалея и кондитерские изделия</x:v>
      </x:c>
      <x:c r="B2884" s="14" t="str">
        <x:v>Кондитерские изделия</x:v>
      </x:c>
      <x:c r="C2884" s="14" t="str">
        <x:v>Мучные изделия</x:v>
      </x:c>
      <x:c r="D2884" s="14" t="str">
        <x:v>Хлеб</x:v>
      </x:c>
      <x:c r="E2884" s="2" t="n">
        <x:v>3</x:v>
      </x:c>
      <x:c r="F2884" s="2" t="n">
        <x:v>0</x:v>
      </x:c>
      <x:c r="G2884" s="12" t="n">
        <x:v>520053.99</x:v>
      </x:c>
      <x:c r="H2884" s="12" t="n">
        <x:v>37280.755</x:v>
      </x:c>
      <x:c r="I2884" s="13" t="n">
        <x:v>0.0615666666666666</x:v>
      </x:c>
      <x:c r="J2884" s="2" t="n">
        <x:v>1</x:v>
      </x:c>
      <x:c r="K2884" s="2" t="n">
        <x:v>2</x:v>
      </x:c>
      <x:c r="L2884" s="12" t="n">
        <x:v>2451.346</x:v>
      </x:c>
      <x:c r="M2884" s="13" t="n">
        <x:v>0.7548908527747282</x:v>
      </x:c>
      <x:c r="N2884" s="13" t="n">
        <x:f>H2884/G2884</x:f>
        <x:v>0.07168631664570058</x:v>
      </x:c>
      <x:c r="O2884" s="13" t="n">
        <x:f>F2884/E2884</x:f>
        <x:v>0</x:v>
      </x:c>
      <x:c r="P2884" s="2" t="str">
        <x:f>IF(AND(E2884&gt;='Итоги'!$F$5,N2884&lt;='Итоги'!$B$5,O2884&gt;='Итоги'!$D$5),"Да","Нет")</x:f>
        <x:v>Нет</x:v>
      </x:c>
    </x:row>
    <x:row r="2885" ht="60" customHeight="1">
      <x:c r="A2885" s="14" t="str">
        <x:v>Хобби и творчество</x:v>
      </x:c>
      <x:c r="B2885" s="14" t="str">
        <x:v>Детское творчество и хобби</x:v>
      </x:c>
      <x:c r="C2885" s="14" t="str">
        <x:v>Моделирование</x:v>
      </x:c>
      <x:c r="D2885" s="14" t="str">
        <x:v>Краска для сборных моделей</x:v>
      </x:c>
      <x:c r="E2885" s="2" t="n">
        <x:v>6</x:v>
      </x:c>
      <x:c r="F2885" s="2" t="n">
        <x:v>0</x:v>
      </x:c>
      <x:c r="G2885" s="12" t="n">
        <x:v>382453.7836</x:v>
      </x:c>
      <x:c r="H2885" s="12" t="n">
        <x:v>27435.13455672</x:v>
      </x:c>
      <x:c r="I2885" s="13" t="n">
        <x:v>0.0499166666666666</x:v>
      </x:c>
      <x:c r="J2885" s="2" t="n">
        <x:v>1</x:v>
      </x:c>
      <x:c r="K2885" s="2" t="n">
        <x:v>4</x:v>
      </x:c>
      <x:c r="L2885" s="12" t="n">
        <x:v>2315.9222</x:v>
      </x:c>
      <x:c r="M2885" s="13" t="n">
        <x:v>0.3162834015168572</x:v>
      </x:c>
      <x:c r="N2885" s="13" t="n">
        <x:f>H2885/G2885</x:f>
        <x:v>0.0717345094575239</x:v>
      </x:c>
      <x:c r="O2885" s="13" t="n">
        <x:f>F2885/E2885</x:f>
        <x:v>0</x:v>
      </x:c>
      <x:c r="P2885" s="2" t="str">
        <x:f>IF(AND(E2885&gt;='Итоги'!$F$5,N2885&lt;='Итоги'!$B$5,O2885&gt;='Итоги'!$D$5),"Да","Нет")</x:f>
        <x:v>Нет</x:v>
      </x:c>
    </x:row>
    <x:row r="2886" ht="60" customHeight="1">
      <x:c r="A2886" s="14" t="str">
        <x:v>Хобби и творчество</x:v>
      </x:c>
      <x:c r="B2886" s="14" t="str">
        <x:v>Детское творчество и хобби</x:v>
      </x:c>
      <x:c r="C2886" s="14" t="str">
        <x:v>Спортивная игра для детей</x:v>
      </x:c>
      <x:c r="D2886" s="14" t="str">
        <x:v>Настольный футбол, хоккей для детей</x:v>
      </x:c>
      <x:c r="E2886" s="2" t="n">
        <x:v>12</x:v>
      </x:c>
      <x:c r="F2886" s="2" t="n">
        <x:v>0</x:v>
      </x:c>
      <x:c r="G2886" s="12" t="n">
        <x:v>1263293.7555</x:v>
      </x:c>
      <x:c r="H2886" s="12" t="n">
        <x:v>90642.08699764</x:v>
      </x:c>
      <x:c r="I2886" s="13" t="n">
        <x:v>0.0756083333333333</x:v>
      </x:c>
      <x:c r="J2886" s="2" t="n">
        <x:v>1</x:v>
      </x:c>
      <x:c r="K2886" s="2" t="n">
        <x:v>5</x:v>
      </x:c>
      <x:c r="L2886" s="12" t="n">
        <x:v>2500.66755</x:v>
      </x:c>
      <x:c r="M2886" s="13" t="n">
        <x:v>0.6578072766385965</x:v>
      </x:c>
      <x:c r="N2886" s="13" t="n">
        <x:f>H2886/G2886</x:f>
        <x:v>0.07175060163403144</x:v>
      </x:c>
      <x:c r="O2886" s="13" t="n">
        <x:f>F2886/E2886</x:f>
        <x:v>0</x:v>
      </x:c>
      <x:c r="P2886" s="2" t="str">
        <x:f>IF(AND(E2886&gt;='Итоги'!$F$5,N2886&lt;='Итоги'!$B$5,O2886&gt;='Итоги'!$D$5),"Да","Нет")</x:f>
        <x:v>Нет</x:v>
      </x:c>
    </x:row>
    <x:row r="2887" ht="60" customHeight="1">
      <x:c r="A2887" s="14" t="str">
        <x:v>Строительство и ремонт (DIY)</x:v>
      </x:c>
      <x:c r="B2887" s="14" t="str">
        <x:v>Инструменты</x:v>
      </x:c>
      <x:c r="C2887" s="14" t="str">
        <x:v>Измерительный инструмент</x:v>
      </x:c>
      <x:c r="D2887" s="14" t="str">
        <x:v>Уровень строительный</x:v>
      </x:c>
      <x:c r="E2887" s="2" t="n">
        <x:v>9</x:v>
      </x:c>
      <x:c r="F2887" s="2" t="n">
        <x:v>0</x:v>
      </x:c>
      <x:c r="G2887" s="12" t="n">
        <x:v>930383.2562</x:v>
      </x:c>
      <x:c r="H2887" s="12" t="n">
        <x:v>66763.92121241</x:v>
      </x:c>
      <x:c r="I2887" s="13" t="n">
        <x:v>0.0726111111111111</x:v>
      </x:c>
      <x:c r="J2887" s="2" t="n">
        <x:v>0</x:v>
      </x:c>
      <x:c r="K2887" s="2" t="n">
        <x:v>3</x:v>
      </x:c>
      <x:c r="L2887" s="12" t="n">
        <x:v>1514.8259</x:v>
      </x:c>
      <x:c r="M2887" s="13" t="n">
        <x:v>0.6922272538850964</x:v>
      </x:c>
      <x:c r="N2887" s="13" t="n">
        <x:f>H2887/G2887</x:f>
        <x:v>0.0717595902199449</x:v>
      </x:c>
      <x:c r="O2887" s="13" t="n">
        <x:f>F2887/E2887</x:f>
        <x:v>0</x:v>
      </x:c>
      <x:c r="P2887" s="2" t="str">
        <x:f>IF(AND(E2887&gt;='Итоги'!$F$5,N2887&lt;='Итоги'!$B$5,O2887&gt;='Итоги'!$D$5),"Да","Нет")</x:f>
        <x:v>Нет</x:v>
      </x:c>
    </x:row>
    <x:row r="2888" ht="60" customHeight="1">
      <x:c r="A2888" s="14" t="str">
        <x:v>Товары для дома</x:v>
      </x:c>
      <x:c r="B2888" s="14" t="str">
        <x:v>Домашний текстиль</x:v>
      </x:c>
      <x:c r="C2888" s="14" t="str">
        <x:v>Постельное белье</x:v>
      </x:c>
      <x:c r="D2888" s="14" t="str">
        <x:v>КПБ Евро размер от 200х220</x:v>
      </x:c>
      <x:c r="E2888" s="2" t="n">
        <x:v>592</x:v>
      </x:c>
      <x:c r="F2888" s="2" t="n">
        <x:v>0</x:v>
      </x:c>
      <x:c r="G2888" s="12" t="n">
        <x:v>85996094.4882</x:v>
      </x:c>
      <x:c r="H2888" s="12" t="n">
        <x:v>6176013.31071761</x:v>
      </x:c>
      <x:c r="I2888" s="13" t="n">
        <x:v>0.0724907094594594</x:v>
      </x:c>
      <x:c r="J2888" s="2" t="n">
        <x:v>152</x:v>
      </x:c>
      <x:c r="K2888" s="2" t="n">
        <x:v>45</x:v>
      </x:c>
      <x:c r="L2888" s="12" t="n">
        <x:v>2604.6259</x:v>
      </x:c>
      <x:c r="M2888" s="13" t="n">
        <x:v>0.7949034955893244</x:v>
      </x:c>
      <x:c r="N2888" s="13" t="n">
        <x:f>H2888/G2888</x:f>
        <x:v>0.07181736970119097</x:v>
      </x:c>
      <x:c r="O2888" s="13" t="n">
        <x:f>F2888/E2888</x:f>
        <x:v>0</x:v>
      </x:c>
      <x:c r="P2888" s="2" t="str">
        <x:f>IF(AND(E2888&gt;='Итоги'!$F$5,N2888&lt;='Итоги'!$B$5,O2888&gt;='Итоги'!$D$5),"Да","Нет")</x:f>
        <x:v>Нет</x:v>
      </x:c>
    </x:row>
    <x:row r="2889" ht="60" customHeight="1">
      <x:c r="A2889" s="14" t="str">
        <x:v>Спорт и отдых</x:v>
      </x:c>
      <x:c r="B2889" s="14" t="str">
        <x:v>Колесный транспорт</x:v>
      </x:c>
      <x:c r="C2889" s="14" t="str">
        <x:v>Велоаксессуары</x:v>
      </x:c>
      <x:c r="D2889" s="14" t="str">
        <x:v>Насос велосипедный</x:v>
      </x:c>
      <x:c r="E2889" s="2" t="n">
        <x:v>32</x:v>
      </x:c>
      <x:c r="F2889" s="2" t="n">
        <x:v>0</x:v>
      </x:c>
      <x:c r="G2889" s="12" t="n">
        <x:v>7098522.1315</x:v>
      </x:c>
      <x:c r="H2889" s="12" t="n">
        <x:v>510282.19314293</x:v>
      </x:c>
      <x:c r="I2889" s="13" t="n">
        <x:v>0.0831062499999999</x:v>
      </x:c>
      <x:c r="J2889" s="2" t="n">
        <x:v>7</x:v>
      </x:c>
      <x:c r="K2889" s="2" t="n">
        <x:v>11</x:v>
      </x:c>
      <x:c r="L2889" s="12" t="n">
        <x:v>1559.7359</x:v>
      </x:c>
      <x:c r="M2889" s="13" t="n">
        <x:v>0.7386400078733064</x:v>
      </x:c>
      <x:c r="N2889" s="13" t="n">
        <x:f>H2889/G2889</x:f>
        <x:v>0.07188569447132251</x:v>
      </x:c>
      <x:c r="O2889" s="13" t="n">
        <x:f>F2889/E2889</x:f>
        <x:v>0</x:v>
      </x:c>
      <x:c r="P2889" s="2" t="str">
        <x:f>IF(AND(E2889&gt;='Итоги'!$F$5,N2889&lt;='Итоги'!$B$5,O2889&gt;='Итоги'!$D$5),"Да","Нет")</x:f>
        <x:v>Нет</x:v>
      </x:c>
    </x:row>
    <x:row r="2890" ht="60" customHeight="1">
      <x:c r="A2890" s="14" t="str">
        <x:v>Товары для дома</x:v>
      </x:c>
      <x:c r="B2890" s="14" t="str">
        <x:v>Интерьер и декор</x:v>
      </x:c>
      <x:c r="C2890" s="14" t="str">
        <x:v>Сувенирная продукция</x:v>
      </x:c>
      <x:c r="D2890" s="14" t="str">
        <x:v>Матрешка</x:v>
      </x:c>
      <x:c r="E2890" s="2" t="n">
        <x:v>7</x:v>
      </x:c>
      <x:c r="F2890" s="2" t="n">
        <x:v>0</x:v>
      </x:c>
      <x:c r="G2890" s="12" t="n">
        <x:v>279791</x:v>
      </x:c>
      <x:c r="H2890" s="12" t="n">
        <x:v>20119.7819</x:v>
      </x:c>
      <x:c r="I2890" s="13" t="n">
        <x:v>0.0989428571428571</x:v>
      </x:c>
      <x:c r="J2890" s="2" t="n">
        <x:v>0</x:v>
      </x:c>
      <x:c r="K2890" s="2" t="n">
        <x:v>3</x:v>
      </x:c>
      <x:c r="L2890" s="12" t="n">
        <x:v>2282.625</x:v>
      </x:c>
      <x:c r="M2890" s="13" t="n">
        <x:v>0.4255497853755124</x:v>
      </x:c>
      <x:c r="N2890" s="13" t="n">
        <x:f>H2890/G2890</x:f>
        <x:v>0.07191003963672885</x:v>
      </x:c>
      <x:c r="O2890" s="13" t="n">
        <x:f>F2890/E2890</x:f>
        <x:v>0</x:v>
      </x:c>
      <x:c r="P2890" s="2" t="str">
        <x:f>IF(AND(E2890&gt;='Итоги'!$F$5,N2890&lt;='Итоги'!$B$5,O2890&gt;='Итоги'!$D$5),"Да","Нет")</x:f>
        <x:v>Нет</x:v>
      </x:c>
    </x:row>
    <x:row r="2891" ht="60" customHeight="1">
      <x:c r="A2891" s="14" t="str">
        <x:v>Строительство и ремонт (DIY)</x:v>
      </x:c>
      <x:c r="B2891" s="14" t="str">
        <x:v>Ремонт и строительство</x:v>
      </x:c>
      <x:c r="C2891" s="14" t="str">
        <x:v>Строительная химия</x:v>
      </x:c>
      <x:c r="D2891" s="14" t="str">
        <x:v>Средство для ремонта и реставрации поверхности</x:v>
      </x:c>
      <x:c r="E2891" s="2" t="n">
        <x:v>8</x:v>
      </x:c>
      <x:c r="F2891" s="2" t="n">
        <x:v>0</x:v>
      </x:c>
      <x:c r="G2891" s="12" t="n">
        <x:v>993770.9636</x:v>
      </x:c>
      <x:c r="H2891" s="12" t="n">
        <x:v>71465.48120181</x:v>
      </x:c>
      <x:c r="I2891" s="13" t="n">
        <x:v>0.0758625</x:v>
      </x:c>
      <x:c r="J2891" s="2" t="n">
        <x:v>2</x:v>
      </x:c>
      <x:c r="K2891" s="2" t="n">
        <x:v>6</x:v>
      </x:c>
      <x:c r="L2891" s="12" t="n">
        <x:v>1187.1243</x:v>
      </x:c>
      <x:c r="M2891" s="13" t="n">
        <x:v>0.2509724629068444</x:v>
      </x:c>
      <x:c r="N2891" s="13" t="n">
        <x:f>H2891/G2891</x:f>
        <x:v>0.07191343259106872</x:v>
      </x:c>
      <x:c r="O2891" s="13" t="n">
        <x:f>F2891/E2891</x:f>
        <x:v>0</x:v>
      </x:c>
      <x:c r="P2891" s="2" t="str">
        <x:f>IF(AND(E2891&gt;='Итоги'!$F$5,N2891&lt;='Итоги'!$B$5,O2891&gt;='Итоги'!$D$5),"Да","Нет")</x:f>
        <x:v>Нет</x:v>
      </x:c>
    </x:row>
    <x:row r="2892" ht="60" customHeight="1">
      <x:c r="A2892" s="14" t="str">
        <x:v>Аптека</x:v>
      </x:c>
      <x:c r="B2892" s="14" t="str">
        <x:v>Средства реабилитации</x:v>
      </x:c>
      <x:c r="C2892" s="14" t="str">
        <x:v>Средства реабилитации</x:v>
      </x:c>
      <x:c r="D2892" s="14" t="str">
        <x:v>Приспособление для туалета</x:v>
      </x:c>
      <x:c r="E2892" s="2" t="n">
        <x:v>11</x:v>
      </x:c>
      <x:c r="F2892" s="2" t="n">
        <x:v>0</x:v>
      </x:c>
      <x:c r="G2892" s="12" t="n">
        <x:v>1588089.93</x:v>
      </x:c>
      <x:c r="H2892" s="12" t="n">
        <x:v>114347.688822</x:v>
      </x:c>
      <x:c r="I2892" s="13" t="n">
        <x:v>0.0555727272727272</x:v>
      </x:c>
      <x:c r="J2892" s="2" t="n">
        <x:v>3</x:v>
      </x:c>
      <x:c r="K2892" s="2" t="n">
        <x:v>5</x:v>
      </x:c>
      <x:c r="L2892" s="12" t="n">
        <x:v>3104.9208</x:v>
      </x:c>
      <x:c r="M2892" s="13" t="n">
        <x:v>0.5494082063727965</x:v>
      </x:c>
      <x:c r="N2892" s="13" t="n">
        <x:f>H2892/G2892</x:f>
        <x:v>0.07200328310248778</x:v>
      </x:c>
      <x:c r="O2892" s="13" t="n">
        <x:f>F2892/E2892</x:f>
        <x:v>0</x:v>
      </x:c>
      <x:c r="P2892" s="2" t="str">
        <x:f>IF(AND(E2892&gt;='Итоги'!$F$5,N2892&lt;='Итоги'!$B$5,O2892&gt;='Итоги'!$D$5),"Да","Нет")</x:f>
        <x:v>Нет</x:v>
      </x:c>
    </x:row>
    <x:row r="2893" ht="60" customHeight="1">
      <x:c r="A2893" s="14" t="str">
        <x:v>Аптека</x:v>
      </x:c>
      <x:c r="B2893" s="14" t="str">
        <x:v>Медицинские изделия</x:v>
      </x:c>
      <x:c r="C2893" s="14" t="str">
        <x:v>Медицинские изделия</x:v>
      </x:c>
      <x:c r="D2893" s="14" t="str">
        <x:v>Беруши</x:v>
      </x:c>
      <x:c r="E2893" s="2" t="n">
        <x:v>9</x:v>
      </x:c>
      <x:c r="F2893" s="2" t="n">
        <x:v>0</x:v>
      </x:c>
      <x:c r="G2893" s="12" t="n">
        <x:v>1549819.1</x:v>
      </x:c>
      <x:c r="H2893" s="12" t="n">
        <x:v>111653.01502</x:v>
      </x:c>
      <x:c r="I2893" s="13" t="n">
        <x:v>0.0798888888888888</x:v>
      </x:c>
      <x:c r="J2893" s="2" t="n">
        <x:v>3</x:v>
      </x:c>
      <x:c r="K2893" s="2" t="n">
        <x:v>4</x:v>
      </x:c>
      <x:c r="L2893" s="12" t="n">
        <x:v>1254.2716</x:v>
      </x:c>
      <x:c r="M2893" s="13" t="n">
        <x:v>0.5985641162894431</x:v>
      </x:c>
      <x:c r="N2893" s="13" t="n">
        <x:f>H2893/G2893</x:f>
        <x:v>0.07204261130863596</x:v>
      </x:c>
      <x:c r="O2893" s="13" t="n">
        <x:f>F2893/E2893</x:f>
        <x:v>0</x:v>
      </x:c>
      <x:c r="P2893" s="2" t="str">
        <x:f>IF(AND(E2893&gt;='Итоги'!$F$5,N2893&lt;='Итоги'!$B$5,O2893&gt;='Итоги'!$D$5),"Да","Нет")</x:f>
        <x:v>Нет</x:v>
      </x:c>
    </x:row>
    <x:row r="2894" ht="60" customHeight="1">
      <x:c r="A2894" s="14" t="str">
        <x:v>Товары для детей и спорта</x:v>
      </x:c>
      <x:c r="B2894" s="14" t="str">
        <x:v>Кормление детское</x:v>
      </x:c>
      <x:c r="C2894" s="14" t="str">
        <x:v>Кормление детское</x:v>
      </x:c>
      <x:c r="D2894" s="14" t="str">
        <x:v>Бутылочка для кормления</x:v>
      </x:c>
      <x:c r="E2894" s="2" t="n">
        <x:v>22</x:v>
      </x:c>
      <x:c r="F2894" s="2" t="n">
        <x:v>0</x:v>
      </x:c>
      <x:c r="G2894" s="12" t="n">
        <x:v>2367908.9996</x:v>
      </x:c>
      <x:c r="H2894" s="12" t="n">
        <x:v>170620.28865268</x:v>
      </x:c>
      <x:c r="I2894" s="13" t="n">
        <x:v>0.0784454545454545</x:v>
      </x:c>
      <x:c r="J2894" s="2" t="n">
        <x:v>5</x:v>
      </x:c>
      <x:c r="K2894" s="2" t="n">
        <x:v>9</x:v>
      </x:c>
      <x:c r="L2894" s="12" t="n">
        <x:v>1407.7157000000002</x:v>
      </x:c>
      <x:c r="M2894" s="13" t="n">
        <x:v>0.2884087125456947</x:v>
      </x:c>
      <x:c r="N2894" s="13" t="n">
        <x:f>H2894/G2894</x:f>
        <x:v>0.07205525578960259</x:v>
      </x:c>
      <x:c r="O2894" s="13" t="n">
        <x:f>F2894/E2894</x:f>
        <x:v>0</x:v>
      </x:c>
      <x:c r="P2894" s="2" t="str">
        <x:f>IF(AND(E2894&gt;='Итоги'!$F$5,N2894&lt;='Итоги'!$B$5,O2894&gt;='Итоги'!$D$5),"Да","Нет")</x:f>
        <x:v>Нет</x:v>
      </x:c>
    </x:row>
    <x:row r="2895" ht="60" customHeight="1">
      <x:c r="A2895" s="14" t="str">
        <x:v>Строительство и ремонт (DIY)</x:v>
      </x:c>
      <x:c r="B2895" s="14" t="str">
        <x:v>Ремонт и строительство</x:v>
      </x:c>
      <x:c r="C2895" s="14" t="str">
        <x:v>Аксессуары для ремонта</x:v>
      </x:c>
      <x:c r="D2895" s="14" t="str">
        <x:v>Укрывные полог, тент</x:v>
      </x:c>
      <x:c r="E2895" s="2" t="n">
        <x:v>85</x:v>
      </x:c>
      <x:c r="F2895" s="2" t="n">
        <x:v>0</x:v>
      </x:c>
      <x:c r="G2895" s="12" t="n">
        <x:v>12341512.7656</x:v>
      </x:c>
      <x:c r="H2895" s="12" t="n">
        <x:v>889520.5468146</x:v>
      </x:c>
      <x:c r="I2895" s="13" t="n">
        <x:v>0.0595529411764705</x:v>
      </x:c>
      <x:c r="J2895" s="2" t="n">
        <x:v>24</x:v>
      </x:c>
      <x:c r="K2895" s="2" t="n">
        <x:v>7</x:v>
      </x:c>
      <x:c r="L2895" s="12" t="n">
        <x:v>1611.79</x:v>
      </x:c>
      <x:c r="M2895" s="13" t="n">
        <x:v>0.5982964591489464</x:v>
      </x:c>
      <x:c r="N2895" s="13" t="n">
        <x:f>H2895/G2895</x:f>
        <x:v>0.07207548731740543</x:v>
      </x:c>
      <x:c r="O2895" s="13" t="n">
        <x:f>F2895/E2895</x:f>
        <x:v>0</x:v>
      </x:c>
      <x:c r="P2895" s="2" t="str">
        <x:f>IF(AND(E2895&gt;='Итоги'!$F$5,N2895&lt;='Итоги'!$B$5,O2895&gt;='Итоги'!$D$5),"Да","Нет")</x:f>
        <x:v>Нет</x:v>
      </x:c>
    </x:row>
    <x:row r="2896" ht="60" customHeight="1">
      <x:c r="A2896" s="14" t="str">
        <x:v>Одежда</x:v>
      </x:c>
      <x:c r="B2896" s="14" t="str">
        <x:v>Основная одежда женская</x:v>
      </x:c>
      <x:c r="C2896" s="14" t="str">
        <x:v>Основная одежда для беременных и кормящих</x:v>
      </x:c>
      <x:c r="D2896" s="14" t="str">
        <x:v>Футболка для беременных и кормящих</x:v>
      </x:c>
      <x:c r="E2896" s="2" t="n">
        <x:v>267</x:v>
      </x:c>
      <x:c r="F2896" s="2" t="n">
        <x:v>0</x:v>
      </x:c>
      <x:c r="G2896" s="12" t="n">
        <x:v>32425313.4719</x:v>
      </x:c>
      <x:c r="H2896" s="12" t="n">
        <x:v>2339365.57663563</x:v>
      </x:c>
      <x:c r="I2896" s="13" t="n">
        <x:v>0.0634142322097378</x:v>
      </x:c>
      <x:c r="J2896" s="2" t="n">
        <x:v>52</x:v>
      </x:c>
      <x:c r="K2896" s="2" t="n">
        <x:v>32</x:v>
      </x:c>
      <x:c r="L2896" s="12" t="n">
        <x:v>870.7</x:v>
      </x:c>
      <x:c r="M2896" s="13" t="n">
        <x:v>0.7468423255332988</x:v>
      </x:c>
      <x:c r="N2896" s="13" t="n">
        <x:f>H2896/G2896</x:f>
        <x:v>0.07214627481282301</x:v>
      </x:c>
      <x:c r="O2896" s="13" t="n">
        <x:f>F2896/E2896</x:f>
        <x:v>0</x:v>
      </x:c>
      <x:c r="P2896" s="2" t="str">
        <x:f>IF(AND(E2896&gt;='Итоги'!$F$5,N2896&lt;='Итоги'!$B$5,O2896&gt;='Итоги'!$D$5),"Да","Нет")</x:f>
        <x:v>Нет</x:v>
      </x:c>
    </x:row>
    <x:row r="2897" ht="60" customHeight="1">
      <x:c r="A2897" s="14" t="str">
        <x:v>Товары для красоты и здоровья</x:v>
      </x:c>
      <x:c r="B2897" s="14" t="str">
        <x:v>Декоративная косметика</x:v>
      </x:c>
      <x:c r="C2897" s="14" t="str">
        <x:v>Маникюр и педикюр</x:v>
      </x:c>
      <x:c r="D2897" s="14" t="str">
        <x:v>Средство по уходу за ногтями и кутикулой</x:v>
      </x:c>
      <x:c r="E2897" s="2" t="n">
        <x:v>42</x:v>
      </x:c>
      <x:c r="F2897" s="2" t="n">
        <x:v>0</x:v>
      </x:c>
      <x:c r="G2897" s="12" t="n">
        <x:v>6441565.1874</x:v>
      </x:c>
      <x:c r="H2897" s="12" t="n">
        <x:v>465154.79971273</x:v>
      </x:c>
      <x:c r="I2897" s="13" t="n">
        <x:v>0.0772642857142857</x:v>
      </x:c>
      <x:c r="J2897" s="2" t="n">
        <x:v>14</x:v>
      </x:c>
      <x:c r="K2897" s="2" t="n">
        <x:v>16</x:v>
      </x:c>
      <x:c r="L2897" s="12" t="n">
        <x:v>1619.33725</x:v>
      </x:c>
      <x:c r="M2897" s="13" t="n">
        <x:v>0.5585093660679268</x:v>
      </x:c>
      <x:c r="N2897" s="13" t="n">
        <x:f>H2897/G2897</x:f>
        <x:v>0.07221145578447212</x:v>
      </x:c>
      <x:c r="O2897" s="13" t="n">
        <x:f>F2897/E2897</x:f>
        <x:v>0</x:v>
      </x:c>
      <x:c r="P2897" s="2" t="str">
        <x:f>IF(AND(E2897&gt;='Итоги'!$F$5,N2897&lt;='Итоги'!$B$5,O2897&gt;='Итоги'!$D$5),"Да","Нет")</x:f>
        <x:v>Нет</x:v>
      </x:c>
    </x:row>
    <x:row r="2898" ht="60" customHeight="1">
      <x:c r="A2898" s="14" t="str">
        <x:v>Спорт и отдых</x:v>
      </x:c>
      <x:c r="B2898" s="14" t="str">
        <x:v>Туризм</x:v>
      </x:c>
      <x:c r="C2898" s="14" t="str">
        <x:v>Приготовление пищи, посуда туристическая</x:v>
      </x:c>
      <x:c r="D2898" s="14" t="str">
        <x:v>Жаровня, коптильня</x:v>
      </x:c>
      <x:c r="E2898" s="2" t="n">
        <x:v>102</x:v>
      </x:c>
      <x:c r="F2898" s="2" t="n">
        <x:v>0</x:v>
      </x:c>
      <x:c r="G2898" s="12" t="n">
        <x:v>26191768.0275</x:v>
      </x:c>
      <x:c r="H2898" s="12" t="n">
        <x:v>1891618.66637301</x:v>
      </x:c>
      <x:c r="I2898" s="13" t="n">
        <x:v>0.0701901960784313</x:v>
      </x:c>
      <x:c r="J2898" s="2" t="n">
        <x:v>22</x:v>
      </x:c>
      <x:c r="K2898" s="2" t="n">
        <x:v>26</x:v>
      </x:c>
      <x:c r="L2898" s="12" t="n">
        <x:v>4810.919900000001</x:v>
      </x:c>
      <x:c r="M2898" s="13" t="n">
        <x:v>0.4513136763386448</x:v>
      </x:c>
      <x:c r="N2898" s="13" t="n">
        <x:f>H2898/G2898</x:f>
        <x:v>0.07222187766732312</x:v>
      </x:c>
      <x:c r="O2898" s="13" t="n">
        <x:f>F2898/E2898</x:f>
        <x:v>0</x:v>
      </x:c>
      <x:c r="P2898" s="2" t="str">
        <x:f>IF(AND(E2898&gt;='Итоги'!$F$5,N2898&lt;='Итоги'!$B$5,O2898&gt;='Итоги'!$D$5),"Да","Нет")</x:f>
        <x:v>Нет</x:v>
      </x:c>
    </x:row>
    <x:row r="2899" ht="60" customHeight="1">
      <x:c r="A2899" s="14" t="str">
        <x:v>Товары для красоты и здоровья</x:v>
      </x:c>
      <x:c r="B2899" s="14" t="str">
        <x:v>Декоративная косметика</x:v>
      </x:c>
      <x:c r="C2899" s="14" t="str">
        <x:v>Глаза, ресницы, брови</x:v>
      </x:c>
      <x:c r="D2899" s="14" t="str">
        <x:v>Средство для наращивания ресниц</x:v>
      </x:c>
      <x:c r="E2899" s="2" t="n">
        <x:v>14</x:v>
      </x:c>
      <x:c r="F2899" s="2" t="n">
        <x:v>0</x:v>
      </x:c>
      <x:c r="G2899" s="12" t="n">
        <x:v>1368512.073</x:v>
      </x:c>
      <x:c r="H2899" s="12" t="n">
        <x:v>98870.31796502</x:v>
      </x:c>
      <x:c r="I2899" s="13" t="n">
        <x:v>0.0739285714285714</x:v>
      </x:c>
      <x:c r="J2899" s="2" t="n">
        <x:v>0</x:v>
      </x:c>
      <x:c r="K2899" s="2" t="n">
        <x:v>8</x:v>
      </x:c>
      <x:c r="L2899" s="12" t="n">
        <x:v>819.64525</x:v>
      </x:c>
      <x:c r="M2899" s="13" t="n">
        <x:v>0.3283459158785221</x:v>
      </x:c>
      <x:c r="N2899" s="13" t="n">
        <x:f>H2899/G2899</x:f>
        <x:v>0.07224658073222566</x:v>
      </x:c>
      <x:c r="O2899" s="13" t="n">
        <x:f>F2899/E2899</x:f>
        <x:v>0</x:v>
      </x:c>
      <x:c r="P2899" s="2" t="str">
        <x:f>IF(AND(E2899&gt;='Итоги'!$F$5,N2899&lt;='Итоги'!$B$5,O2899&gt;='Итоги'!$D$5),"Да","Нет")</x:f>
        <x:v>Нет</x:v>
      </x:c>
    </x:row>
    <x:row r="2900" ht="60" customHeight="1">
      <x:c r="A2900" s="14" t="str">
        <x:v>Строительство и ремонт (DIY)</x:v>
      </x:c>
      <x:c r="B2900" s="14" t="str">
        <x:v>Ремонт и строительство</x:v>
      </x:c>
      <x:c r="C2900" s="14" t="str">
        <x:v>Электротовары</x:v>
      </x:c>
      <x:c r="D2900" s="14" t="str">
        <x:v>Гофрированные трубы, кабель-каналы</x:v>
      </x:c>
      <x:c r="E2900" s="2" t="n">
        <x:v>7</x:v>
      </x:c>
      <x:c r="F2900" s="2" t="n">
        <x:v>0</x:v>
      </x:c>
      <x:c r="G2900" s="12" t="n">
        <x:v>575343.2878</x:v>
      </x:c>
      <x:c r="H2900" s="12" t="n">
        <x:v>41573.51660148</x:v>
      </x:c>
      <x:c r="I2900" s="13" t="n">
        <x:v>0.0627857142857142</x:v>
      </x:c>
      <x:c r="J2900" s="2" t="n">
        <x:v>0</x:v>
      </x:c>
      <x:c r="K2900" s="2" t="n">
        <x:v>4</x:v>
      </x:c>
      <x:c r="L2900" s="12" t="n">
        <x:v>1354</x:v>
      </x:c>
      <x:c r="M2900" s="13" t="n">
        <x:v>0.6225210155306516</x:v>
      </x:c>
      <x:c r="N2900" s="13" t="n">
        <x:f>H2900/G2900</x:f>
        <x:v>0.07225862799312212</x:v>
      </x:c>
      <x:c r="O2900" s="13" t="n">
        <x:f>F2900/E2900</x:f>
        <x:v>0</x:v>
      </x:c>
      <x:c r="P2900" s="2" t="str">
        <x:f>IF(AND(E2900&gt;='Итоги'!$F$5,N2900&lt;='Итоги'!$B$5,O2900&gt;='Итоги'!$D$5),"Да","Нет")</x:f>
        <x:v>Нет</x:v>
      </x:c>
    </x:row>
    <x:row r="2901" ht="60" customHeight="1">
      <x:c r="A2901" s="14" t="str">
        <x:v>Одежда</x:v>
      </x:c>
      <x:c r="B2901" s="14" t="str">
        <x:v>Спецодежда и одежда для мероприятий</x:v>
      </x:c>
      <x:c r="C2901" s="14" t="str">
        <x:v>Спецодежда женская</x:v>
      </x:c>
      <x:c r="D2901" s="14" t="str">
        <x:v>Фартук для официанта женский</x:v>
      </x:c>
      <x:c r="E2901" s="2" t="n">
        <x:v>1</x:v>
      </x:c>
      <x:c r="F2901" s="2" t="n">
        <x:v>0</x:v>
      </x:c>
      <x:c r="G2901" s="12" t="n">
        <x:v>495068.69</x:v>
      </x:c>
      <x:c r="H2901" s="12" t="n">
        <x:v>35793.466287</x:v>
      </x:c>
      <x:c r="I2901" s="13" t="n">
        <x:v>0.0723</x:v>
      </x:c>
      <x:c r="J2901" s="2" t="n">
        <x:v>0</x:v>
      </x:c>
      <x:c r="K2901" s="2" t="n">
        <x:v>1</x:v>
      </x:c>
      <x:c r="L2901" s="12" t="n">
        <x:v>855.0409</x:v>
      </x:c>
      <x:c r="M2901" s="13" t="n">
        <x:v>1</x:v>
      </x:c>
      <x:c r="N2901" s="13" t="n">
        <x:f>H2901/G2901</x:f>
        <x:v>0.0723</x:v>
      </x:c>
      <x:c r="O2901" s="13" t="n">
        <x:f>F2901/E2901</x:f>
        <x:v>0</x:v>
      </x:c>
      <x:c r="P2901" s="2" t="str">
        <x:f>IF(AND(E2901&gt;='Итоги'!$F$5,N2901&lt;='Итоги'!$B$5,O2901&gt;='Итоги'!$D$5),"Да","Нет")</x:f>
        <x:v>Нет</x:v>
      </x:c>
    </x:row>
    <x:row r="2902" ht="60" customHeight="1">
      <x:c r="A2902" s="14" t="str">
        <x:v>Аксессуары</x:v>
      </x:c>
      <x:c r="B2902" s="14" t="str">
        <x:v>Сумки и рюкзаки</x:v>
      </x:c>
      <x:c r="C2902" s="14" t="str">
        <x:v>Рюкзак</x:v>
      </x:c>
      <x:c r="D2902" s="14" t="str">
        <x:v>Рюкзак женский</x:v>
      </x:c>
      <x:c r="E2902" s="2" t="n">
        <x:v>495</x:v>
      </x:c>
      <x:c r="F2902" s="2" t="n">
        <x:v>0</x:v>
      </x:c>
      <x:c r="G2902" s="12" t="n">
        <x:v>64386752.0382</x:v>
      </x:c>
      <x:c r="H2902" s="12" t="n">
        <x:v>4656070.42991366</x:v>
      </x:c>
      <x:c r="I2902" s="13" t="n">
        <x:v>0.0716232323232323</x:v>
      </x:c>
      <x:c r="J2902" s="2" t="n">
        <x:v>191</x:v>
      </x:c>
      <x:c r="K2902" s="2" t="n">
        <x:v>119</x:v>
      </x:c>
      <x:c r="L2902" s="12" t="n">
        <x:v>2588.1621</x:v>
      </x:c>
      <x:c r="M2902" s="13" t="n">
        <x:v>0.3980151206912227</x:v>
      </x:c>
      <x:c r="N2902" s="13" t="n">
        <x:f>H2902/G2902</x:f>
        <x:v>0.07231410627998848</x:v>
      </x:c>
      <x:c r="O2902" s="13" t="n">
        <x:f>F2902/E2902</x:f>
        <x:v>0</x:v>
      </x:c>
      <x:c r="P2902" s="2" t="str">
        <x:f>IF(AND(E2902&gt;='Итоги'!$F$5,N2902&lt;='Итоги'!$B$5,O2902&gt;='Итоги'!$D$5),"Да","Нет")</x:f>
        <x:v>Нет</x:v>
      </x:c>
    </x:row>
    <x:row r="2903" ht="60" customHeight="1">
      <x:c r="A2903" s="14" t="str">
        <x:v>Товары для дома</x:v>
      </x:c>
      <x:c r="B2903" s="14" t="str">
        <x:v>Домашний текстиль</x:v>
      </x:c>
      <x:c r="C2903" s="14" t="str">
        <x:v>Ткани</x:v>
      </x:c>
      <x:c r="D2903" s="14" t="str">
        <x:v>Ткань для обивки салона автомобиля</x:v>
      </x:c>
      <x:c r="E2903" s="2" t="n">
        <x:v>11</x:v>
      </x:c>
      <x:c r="F2903" s="2" t="n">
        <x:v>0</x:v>
      </x:c>
      <x:c r="G2903" s="12" t="n">
        <x:v>1422664.3987</x:v>
      </x:c>
      <x:c r="H2903" s="12" t="n">
        <x:v>102889.79148617</x:v>
      </x:c>
      <x:c r="I2903" s="13" t="n">
        <x:v>0.0599454545454545</x:v>
      </x:c>
      <x:c r="J2903" s="2" t="n">
        <x:v>1</x:v>
      </x:c>
      <x:c r="K2903" s="2" t="n">
        <x:v>3</x:v>
      </x:c>
      <x:c r="L2903" s="12" t="n">
        <x:v>1536.1796</x:v>
      </x:c>
      <x:c r="M2903" s="13" t="n">
        <x:v>0.7245872602435005</x:v>
      </x:c>
      <x:c r="N2903" s="13" t="n">
        <x:f>H2903/G2903</x:f>
        <x:v>0.07232189937429268</x:v>
      </x:c>
      <x:c r="O2903" s="13" t="n">
        <x:f>F2903/E2903</x:f>
        <x:v>0</x:v>
      </x:c>
      <x:c r="P2903" s="2" t="str">
        <x:f>IF(AND(E2903&gt;='Итоги'!$F$5,N2903&lt;='Итоги'!$B$5,O2903&gt;='Итоги'!$D$5),"Да","Нет")</x:f>
        <x:v>Нет</x:v>
      </x:c>
    </x:row>
    <x:row r="2904" ht="60" customHeight="1">
      <x:c r="A2904" s="14" t="str">
        <x:v>Строительство и ремонт (DIY)</x:v>
      </x:c>
      <x:c r="B2904" s="14" t="str">
        <x:v>Ремонт и строительство</x:v>
      </x:c>
      <x:c r="C2904" s="14" t="str">
        <x:v>Отделка стен</x:v>
      </x:c>
      <x:c r="D2904" s="14" t="str">
        <x:v>Молдинги и багеты для стен</x:v>
      </x:c>
      <x:c r="E2904" s="2" t="n">
        <x:v>13</x:v>
      </x:c>
      <x:c r="F2904" s="2" t="n">
        <x:v>0</x:v>
      </x:c>
      <x:c r="G2904" s="12" t="n">
        <x:v>1360427.2141</x:v>
      </x:c>
      <x:c r="H2904" s="12" t="n">
        <x:v>98460.82472332</x:v>
      </x:c>
      <x:c r="I2904" s="13" t="n">
        <x:v>0.0716384615384615</x:v>
      </x:c>
      <x:c r="J2904" s="2" t="n">
        <x:v>4</x:v>
      </x:c>
      <x:c r="K2904" s="2" t="n">
        <x:v>3</x:v>
      </x:c>
      <x:c r="L2904" s="12" t="n">
        <x:v>1156.9742</x:v>
      </x:c>
      <x:c r="M2904" s="13" t="n">
        <x:v>0.8087346418807575</x:v>
      </x:c>
      <x:c r="N2904" s="13" t="n">
        <x:f>H2904/G2904</x:f>
        <x:v>0.07237493024458308</x:v>
      </x:c>
      <x:c r="O2904" s="13" t="n">
        <x:f>F2904/E2904</x:f>
        <x:v>0</x:v>
      </x:c>
      <x:c r="P2904" s="2" t="str">
        <x:f>IF(AND(E2904&gt;='Итоги'!$F$5,N2904&lt;='Итоги'!$B$5,O2904&gt;='Итоги'!$D$5),"Да","Нет")</x:f>
        <x:v>Нет</x:v>
      </x:c>
    </x:row>
    <x:row r="2905" ht="60" customHeight="1">
      <x:c r="A2905" s="14" t="str">
        <x:v>Товары для дома</x:v>
      </x:c>
      <x:c r="B2905" s="14" t="str">
        <x:v>Интерьер и декор</x:v>
      </x:c>
      <x:c r="C2905" s="14" t="str">
        <x:v>Принадлежности для праздника</x:v>
      </x:c>
      <x:c r="D2905" s="14" t="str">
        <x:v>Карнавальные маски, повязки</x:v>
      </x:c>
      <x:c r="E2905" s="2" t="n">
        <x:v>5</x:v>
      </x:c>
      <x:c r="F2905" s="2" t="n">
        <x:v>0</x:v>
      </x:c>
      <x:c r="G2905" s="12" t="n">
        <x:v>530418.4131</x:v>
      </x:c>
      <x:c r="H2905" s="12" t="n">
        <x:v>38394.454809400006</x:v>
      </x:c>
      <x:c r="I2905" s="13" t="n">
        <x:v>0.09566</x:v>
      </x:c>
      <x:c r="J2905" s="2" t="n">
        <x:v>2</x:v>
      </x:c>
      <x:c r="K2905" s="2" t="n">
        <x:v>5</x:v>
      </x:c>
      <x:c r="L2905" s="12" t="n">
        <x:v>2680.4046</x:v>
      </x:c>
      <x:c r="M2905" s="13" t="n">
        <x:v>0.3840567087583257</x:v>
      </x:c>
      <x:c r="N2905" s="13" t="n">
        <x:f>H2905/G2905</x:f>
        <x:v>0.07238522242281488</x:v>
      </x:c>
      <x:c r="O2905" s="13" t="n">
        <x:f>F2905/E2905</x:f>
        <x:v>0</x:v>
      </x:c>
      <x:c r="P2905" s="2" t="str">
        <x:f>IF(AND(E2905&gt;='Итоги'!$F$5,N2905&lt;='Итоги'!$B$5,O2905&gt;='Итоги'!$D$5),"Да","Нет")</x:f>
        <x:v>Нет</x:v>
      </x:c>
    </x:row>
    <x:row r="2906" ht="60" customHeight="1">
      <x:c r="A2906" s="14" t="str">
        <x:v>Бытовая химия и гигиена рта</x:v>
      </x:c>
      <x:c r="B2906" s="14" t="str">
        <x:v>Средства для стирки</x:v>
      </x:c>
      <x:c r="C2906" s="14" t="str">
        <x:v>Стиральный порошок</x:v>
      </x:c>
      <x:c r="D2906" s="14" t="str">
        <x:v>Стиральный порошок для цветного белья</x:v>
      </x:c>
      <x:c r="E2906" s="2" t="n">
        <x:v>24</x:v>
      </x:c>
      <x:c r="F2906" s="2" t="n">
        <x:v>0</x:v>
      </x:c>
      <x:c r="G2906" s="12" t="n">
        <x:v>4932026.284</x:v>
      </x:c>
      <x:c r="H2906" s="12" t="n">
        <x:v>357075.4464918</x:v>
      </x:c>
      <x:c r="I2906" s="13" t="n">
        <x:v>0.0534583333333333</x:v>
      </x:c>
      <x:c r="J2906" s="2" t="n">
        <x:v>9</x:v>
      </x:c>
      <x:c r="K2906" s="2" t="n">
        <x:v>11</x:v>
      </x:c>
      <x:c r="L2906" s="12" t="n">
        <x:v>1281.0543</x:v>
      </x:c>
      <x:c r="M2906" s="13" t="n">
        <x:v>0.3767832265064222</x:v>
      </x:c>
      <x:c r="N2906" s="13" t="n">
        <x:f>H2906/G2906</x:f>
        <x:v>0.07239933972983668</x:v>
      </x:c>
      <x:c r="O2906" s="13" t="n">
        <x:f>F2906/E2906</x:f>
        <x:v>0</x:v>
      </x:c>
      <x:c r="P2906" s="2" t="str">
        <x:f>IF(AND(E2906&gt;='Итоги'!$F$5,N2906&lt;='Итоги'!$B$5,O2906&gt;='Итоги'!$D$5),"Да","Нет")</x:f>
        <x:v>Нет</x:v>
      </x:c>
    </x:row>
    <x:row r="2907" ht="60" customHeight="1">
      <x:c r="A2907" s="14" t="str">
        <x:v>Товары для дома</x:v>
      </x:c>
      <x:c r="B2907" s="14" t="str">
        <x:v>Кухня</x:v>
      </x:c>
      <x:c r="C2907" s="14" t="str">
        <x:v>Питьевое стекло, аксессуар для бара, сосуд для жидкости</x:v>
      </x:c>
      <x:c r="D2907" s="14" t="str">
        <x:v>Фужер</x:v>
      </x:c>
      <x:c r="E2907" s="2" t="n">
        <x:v>3</x:v>
      </x:c>
      <x:c r="F2907" s="2" t="n">
        <x:v>0</x:v>
      </x:c>
      <x:c r="G2907" s="12" t="n">
        <x:v>383977.47</x:v>
      </x:c>
      <x:c r="H2907" s="12" t="n">
        <x:v>27814.490353</x:v>
      </x:c>
      <x:c r="I2907" s="13" t="n">
        <x:v>0.0734333333333333</x:v>
      </x:c>
      <x:c r="J2907" s="2" t="n">
        <x:v>1</x:v>
      </x:c>
      <x:c r="K2907" s="2" t="n">
        <x:v>3</x:v>
      </x:c>
      <x:c r="L2907" s="12" t="n">
        <x:v>896.3498</x:v>
      </x:c>
      <x:c r="M2907" s="13" t="n">
        <x:v>0.5882041464568221</x:v>
      </x:c>
      <x:c r="N2907" s="13" t="n">
        <x:f>H2907/G2907</x:f>
        <x:v>0.07243781869024764</x:v>
      </x:c>
      <x:c r="O2907" s="13" t="n">
        <x:f>F2907/E2907</x:f>
        <x:v>0</x:v>
      </x:c>
      <x:c r="P2907" s="2" t="str">
        <x:f>IF(AND(E2907&gt;='Итоги'!$F$5,N2907&lt;='Итоги'!$B$5,O2907&gt;='Итоги'!$D$5),"Да","Нет")</x:f>
        <x:v>Нет</x:v>
      </x:c>
    </x:row>
    <x:row r="2908" ht="60" customHeight="1">
      <x:c r="A2908" s="14" t="str">
        <x:v>Аксессуары</x:v>
      </x:c>
      <x:c r="B2908" s="14" t="str">
        <x:v>Сумки и рюкзаки</x:v>
      </x:c>
      <x:c r="C2908" s="14" t="str">
        <x:v>Сумка мужская</x:v>
      </x:c>
      <x:c r="D2908" s="14" t="str">
        <x:v>Мужская Сумка</x:v>
      </x:c>
      <x:c r="E2908" s="2" t="n">
        <x:v>29</x:v>
      </x:c>
      <x:c r="F2908" s="2" t="n">
        <x:v>0</x:v>
      </x:c>
      <x:c r="G2908" s="12" t="n">
        <x:v>3644050.1238</x:v>
      </x:c>
      <x:c r="H2908" s="12" t="n">
        <x:v>264225.86881922</x:v>
      </x:c>
      <x:c r="I2908" s="13" t="n">
        <x:v>0.0809137931034482</x:v>
      </x:c>
      <x:c r="J2908" s="2" t="n">
        <x:v>6</x:v>
      </x:c>
      <x:c r="K2908" s="2" t="n">
        <x:v>12</x:v>
      </x:c>
      <x:c r="L2908" s="12" t="n">
        <x:v>3253.9706</x:v>
      </x:c>
      <x:c r="M2908" s="13" t="n">
        <x:v>0.3225445076683881</x:v>
      </x:c>
      <x:c r="N2908" s="13" t="n">
        <x:f>H2908/G2908</x:f>
        <x:v>0.07250884588373509</x:v>
      </x:c>
      <x:c r="O2908" s="13" t="n">
        <x:f>F2908/E2908</x:f>
        <x:v>0</x:v>
      </x:c>
      <x:c r="P2908" s="2" t="str">
        <x:f>IF(AND(E2908&gt;='Итоги'!$F$5,N2908&lt;='Итоги'!$B$5,O2908&gt;='Итоги'!$D$5),"Да","Нет")</x:f>
        <x:v>Нет</x:v>
      </x:c>
    </x:row>
    <x:row r="2909" ht="60" customHeight="1">
      <x:c r="A2909" s="14" t="str">
        <x:v>Детская одежда</x:v>
      </x:c>
      <x:c r="B2909" s="14" t="str">
        <x:v>Одежда для новорожденных</x:v>
      </x:c>
      <x:c r="C2909" s="14" t="str">
        <x:v>Одежда для новорожденных</x:v>
      </x:c>
      <x:c r="D2909" s="14" t="str">
        <x:v>Комбинезон бельевой для новорожденных</x:v>
      </x:c>
      <x:c r="E2909" s="2" t="n">
        <x:v>21</x:v>
      </x:c>
      <x:c r="F2909" s="2" t="n">
        <x:v>0</x:v>
      </x:c>
      <x:c r="G2909" s="12" t="n">
        <x:v>1398850.5719</x:v>
      </x:c>
      <x:c r="H2909" s="12" t="n">
        <x:v>101485.35658843</x:v>
      </x:c>
      <x:c r="I2909" s="13" t="n">
        <x:v>0.058147619047619</x:v>
      </x:c>
      <x:c r="J2909" s="2" t="n">
        <x:v>6</x:v>
      </x:c>
      <x:c r="K2909" s="2" t="n">
        <x:v>12</x:v>
      </x:c>
      <x:c r="L2909" s="12" t="n">
        <x:v>1383.9592</x:v>
      </x:c>
      <x:c r="M2909" s="13" t="n">
        <x:v>0.2125498194536642</x:v>
      </x:c>
      <x:c r="N2909" s="13" t="n">
        <x:f>H2909/G2909</x:f>
        <x:v>0.07254910469142298</x:v>
      </x:c>
      <x:c r="O2909" s="13" t="n">
        <x:f>F2909/E2909</x:f>
        <x:v>0</x:v>
      </x:c>
      <x:c r="P2909" s="2" t="str">
        <x:f>IF(AND(E2909&gt;='Итоги'!$F$5,N2909&lt;='Итоги'!$B$5,O2909&gt;='Итоги'!$D$5),"Да","Нет")</x:f>
        <x:v>Нет</x:v>
      </x:c>
    </x:row>
    <x:row r="2910" ht="60" customHeight="1">
      <x:c r="A2910" s="14" t="str">
        <x:v>Строительство и ремонт (DIY)</x:v>
      </x:c>
      <x:c r="B2910" s="14" t="str">
        <x:v>Освещение</x:v>
      </x:c>
      <x:c r="C2910" s="14" t="str">
        <x:v>Светильник домашний</x:v>
      </x:c>
      <x:c r="D2910" s="14" t="str">
        <x:v>Диско-светильник</x:v>
      </x:c>
      <x:c r="E2910" s="2" t="n">
        <x:v>8</x:v>
      </x:c>
      <x:c r="F2910" s="2" t="n">
        <x:v>0</x:v>
      </x:c>
      <x:c r="G2910" s="12" t="n">
        <x:v>996527.015</x:v>
      </x:c>
      <x:c r="H2910" s="12" t="n">
        <x:v>72305.2826628</x:v>
      </x:c>
      <x:c r="I2910" s="13" t="n">
        <x:v>0.0751</x:v>
      </x:c>
      <x:c r="J2910" s="2" t="n">
        <x:v>1</x:v>
      </x:c>
      <x:c r="K2910" s="2" t="n">
        <x:v>4</x:v>
      </x:c>
      <x:c r="L2910" s="12" t="n">
        <x:v>1909.61475</x:v>
      </x:c>
      <x:c r="M2910" s="13" t="n">
        <x:v>0.3757970766101107</x:v>
      </x:c>
      <x:c r="N2910" s="13" t="n">
        <x:f>H2910/G2910</x:f>
        <x:v>0.07255727298351265</x:v>
      </x:c>
      <x:c r="O2910" s="13" t="n">
        <x:f>F2910/E2910</x:f>
        <x:v>0</x:v>
      </x:c>
      <x:c r="P2910" s="2" t="str">
        <x:f>IF(AND(E2910&gt;='Итоги'!$F$5,N2910&lt;='Итоги'!$B$5,O2910&gt;='Итоги'!$D$5),"Да","Нет")</x:f>
        <x:v>Нет</x:v>
      </x:c>
    </x:row>
    <x:row r="2911" ht="60" customHeight="1">
      <x:c r="A2911" s="14" t="str">
        <x:v>Аптека</x:v>
      </x:c>
      <x:c r="B2911" s="14" t="str">
        <x:v>Ортопедия и компрессионный трикотаж</x:v>
      </x:c>
      <x:c r="C2911" s="14" t="str">
        <x:v>Специальная медицинская обувь</x:v>
      </x:c>
      <x:c r="D2911" s="14" t="str">
        <x:v>Ортопедическая медицинская обувь мужская</x:v>
      </x:c>
      <x:c r="E2911" s="2" t="n">
        <x:v>7</x:v>
      </x:c>
      <x:c r="F2911" s="2" t="n">
        <x:v>0</x:v>
      </x:c>
      <x:c r="G2911" s="12" t="n">
        <x:v>646607.2620999999</x:v>
      </x:c>
      <x:c r="H2911" s="12" t="n">
        <x:v>46946.492366</x:v>
      </x:c>
      <x:c r="I2911" s="13" t="n">
        <x:v>0.0524857142857142</x:v>
      </x:c>
      <x:c r="J2911" s="2" t="n">
        <x:v>3</x:v>
      </x:c>
      <x:c r="K2911" s="2" t="n">
        <x:v>3</x:v>
      </x:c>
      <x:c r="L2911" s="12" t="n">
        <x:v>2640.3811</x:v>
      </x:c>
      <x:c r="M2911" s="13" t="n">
        <x:v>0.5573220457339495</x:v>
      </x:c>
      <x:c r="N2911" s="13" t="n">
        <x:f>H2911/G2911</x:f>
        <x:v>0.0726043382400793</x:v>
      </x:c>
      <x:c r="O2911" s="13" t="n">
        <x:f>F2911/E2911</x:f>
        <x:v>0</x:v>
      </x:c>
      <x:c r="P2911" s="2" t="str">
        <x:f>IF(AND(E2911&gt;='Итоги'!$F$5,N2911&lt;='Итоги'!$B$5,O2911&gt;='Итоги'!$D$5),"Да","Нет")</x:f>
        <x:v>Нет</x:v>
      </x:c>
    </x:row>
    <x:row r="2912" ht="60" customHeight="1">
      <x:c r="A2912" s="14" t="str">
        <x:v>Бытовая химия и гигиена рта</x:v>
      </x:c>
      <x:c r="B2912" s="14" t="str">
        <x:v>Бытовая химия</x:v>
      </x:c>
      <x:c r="C2912" s="14" t="str">
        <x:v>Товары для защиты от насекомых и грызунов</x:v>
      </x:c>
      <x:c r="D2912" s="14" t="str">
        <x:v>Средство от мух</x:v>
      </x:c>
      <x:c r="E2912" s="2" t="n">
        <x:v>10</x:v>
      </x:c>
      <x:c r="F2912" s="2" t="n">
        <x:v>0</x:v>
      </x:c>
      <x:c r="G2912" s="12" t="n">
        <x:v>1503233.0098</x:v>
      </x:c>
      <x:c r="H2912" s="12" t="n">
        <x:v>109162.26409862</x:v>
      </x:c>
      <x:c r="I2912" s="13" t="n">
        <x:v>0.06068</x:v>
      </x:c>
      <x:c r="J2912" s="2" t="n">
        <x:v>2</x:v>
      </x:c>
      <x:c r="K2912" s="2" t="n">
        <x:v>4</x:v>
      </x:c>
      <x:c r="L2912" s="12" t="n">
        <x:v>1141.9777</x:v>
      </x:c>
      <x:c r="M2912" s="13" t="n">
        <x:v>0.5908909377383739</x:v>
      </x:c>
      <x:c r="N2912" s="13" t="n">
        <x:f>H2912/G2912</x:f>
        <x:v>0.07261832556028266</x:v>
      </x:c>
      <x:c r="O2912" s="13" t="n">
        <x:f>F2912/E2912</x:f>
        <x:v>0</x:v>
      </x:c>
      <x:c r="P2912" s="2" t="str">
        <x:f>IF(AND(E2912&gt;='Итоги'!$F$5,N2912&lt;='Итоги'!$B$5,O2912&gt;='Итоги'!$D$5),"Да","Нет")</x:f>
        <x:v>Нет</x:v>
      </x:c>
    </x:row>
    <x:row r="2913" ht="60" customHeight="1">
      <x:c r="A2913" s="14" t="str">
        <x:v>Товары для красоты и здоровья</x:v>
      </x:c>
      <x:c r="B2913" s="14" t="str">
        <x:v>Косметика для ухода за кожей</x:v>
      </x:c>
      <x:c r="C2913" s="14" t="str">
        <x:v>Лицо</x:v>
      </x:c>
      <x:c r="D2913" s="14" t="str">
        <x:v>Салфетки матирующие</x:v>
      </x:c>
      <x:c r="E2913" s="2" t="n">
        <x:v>9</x:v>
      </x:c>
      <x:c r="F2913" s="2" t="n">
        <x:v>0</x:v>
      </x:c>
      <x:c r="G2913" s="12" t="n">
        <x:v>2060340.3722</x:v>
      </x:c>
      <x:c r="H2913" s="12" t="n">
        <x:v>149677.06906932002</x:v>
      </x:c>
      <x:c r="I2913" s="13" t="n">
        <x:v>0.0555444444444444</x:v>
      </x:c>
      <x:c r="J2913" s="2" t="n">
        <x:v>3</x:v>
      </x:c>
      <x:c r="K2913" s="2" t="n">
        <x:v>2</x:v>
      </x:c>
      <x:c r="L2913" s="12" t="n">
        <x:v>4364.3529</x:v>
      </x:c>
      <x:c r="M2913" s="13" t="n">
        <x:v>0.7068758830585224</x:v>
      </x:c>
      <x:c r="N2913" s="13" t="n">
        <x:f>H2913/G2913</x:f>
        <x:v>0.07264676802381789</x:v>
      </x:c>
      <x:c r="O2913" s="13" t="n">
        <x:f>F2913/E2913</x:f>
        <x:v>0</x:v>
      </x:c>
      <x:c r="P2913" s="2" t="str">
        <x:f>IF(AND(E2913&gt;='Итоги'!$F$5,N2913&lt;='Итоги'!$B$5,O2913&gt;='Итоги'!$D$5),"Да","Нет")</x:f>
        <x:v>Нет</x:v>
      </x:c>
    </x:row>
    <x:row r="2914" ht="60" customHeight="1">
      <x:c r="A2914" s="14" t="str">
        <x:v>Товары для красоты и здоровья</x:v>
      </x:c>
      <x:c r="B2914" s="14" t="str">
        <x:v>Косметика для ухода за кожей</x:v>
      </x:c>
      <x:c r="C2914" s="14" t="str">
        <x:v>Лицо</x:v>
      </x:c>
      <x:c r="D2914" s="14" t="str">
        <x:v>Средство для умывания</x:v>
      </x:c>
      <x:c r="E2914" s="2" t="n">
        <x:v>174</x:v>
      </x:c>
      <x:c r="F2914" s="2" t="n">
        <x:v>0</x:v>
      </x:c>
      <x:c r="G2914" s="12" t="n">
        <x:v>30357465.1353</x:v>
      </x:c>
      <x:c r="H2914" s="12" t="n">
        <x:v>2206910.59091494</x:v>
      </x:c>
      <x:c r="I2914" s="13" t="n">
        <x:v>0.0667155172413793</x:v>
      </x:c>
      <x:c r="J2914" s="2" t="n">
        <x:v>58</x:v>
      </x:c>
      <x:c r="K2914" s="2" t="n">
        <x:v>33</x:v>
      </x:c>
      <x:c r="L2914" s="12" t="n">
        <x:v>1223.45685</x:v>
      </x:c>
      <x:c r="M2914" s="13" t="n">
        <x:v>0.7020865002926857</x:v>
      </x:c>
      <x:c r="N2914" s="13" t="n">
        <x:f>H2914/G2914</x:f>
        <x:v>0.07269745945779642</x:v>
      </x:c>
      <x:c r="O2914" s="13" t="n">
        <x:f>F2914/E2914</x:f>
        <x:v>0</x:v>
      </x:c>
      <x:c r="P2914" s="2" t="str">
        <x:f>IF(AND(E2914&gt;='Итоги'!$F$5,N2914&lt;='Итоги'!$B$5,O2914&gt;='Итоги'!$D$5),"Да","Нет")</x:f>
        <x:v>Нет</x:v>
      </x:c>
    </x:row>
    <x:row r="2915" ht="60" customHeight="1">
      <x:c r="A2915" s="14" t="str">
        <x:v>Товары для детей и спорта</x:v>
      </x:c>
      <x:c r="B2915" s="14" t="str">
        <x:v>Электроника детская</x:v>
      </x:c>
      <x:c r="C2915" s="14" t="str">
        <x:v>Электроника детская</x:v>
      </x:c>
      <x:c r="D2915" s="14" t="str">
        <x:v>Стерилизатор для бутылочек</x:v>
      </x:c>
      <x:c r="E2915" s="2" t="n">
        <x:v>18</x:v>
      </x:c>
      <x:c r="F2915" s="2" t="n">
        <x:v>0</x:v>
      </x:c>
      <x:c r="G2915" s="12" t="n">
        <x:v>2234417.5861</x:v>
      </x:c>
      <x:c r="H2915" s="12" t="n">
        <x:v>162683.30633972</x:v>
      </x:c>
      <x:c r="I2915" s="13" t="n">
        <x:v>0.0714777777777777</x:v>
      </x:c>
      <x:c r="J2915" s="2" t="n">
        <x:v>3</x:v>
      </x:c>
      <x:c r="K2915" s="2" t="n">
        <x:v>12</x:v>
      </x:c>
      <x:c r="L2915" s="12" t="n">
        <x:v>2153.07665</x:v>
      </x:c>
      <x:c r="M2915" s="13" t="n">
        <x:v>0.4119580925366043</x:v>
      </x:c>
      <x:c r="N2915" s="13" t="n">
        <x:f>H2915/G2915</x:f>
        <x:v>0.07280792424466678</x:v>
      </x:c>
      <x:c r="O2915" s="13" t="n">
        <x:f>F2915/E2915</x:f>
        <x:v>0</x:v>
      </x:c>
      <x:c r="P2915" s="2" t="str">
        <x:f>IF(AND(E2915&gt;='Итоги'!$F$5,N2915&lt;='Итоги'!$B$5,O2915&gt;='Итоги'!$D$5),"Да","Нет")</x:f>
        <x:v>Нет</x:v>
      </x:c>
    </x:row>
    <x:row r="2916" ht="60" customHeight="1">
      <x:c r="A2916" s="14" t="str">
        <x:v>Аксессуары для электроники</x:v>
      </x:c>
      <x:c r="B2916" s="14" t="str">
        <x:v>Фото и видео Access</x:v>
      </x:c>
      <x:c r="C2916" s="14" t="str">
        <x:v>Аксессуар к фото и видео Access</x:v>
      </x:c>
      <x:c r="D2916" s="14" t="str">
        <x:v>Студийный свет для фото/видео</x:v>
      </x:c>
      <x:c r="E2916" s="2" t="n">
        <x:v>73</x:v>
      </x:c>
      <x:c r="F2916" s="2" t="n">
        <x:v>0</x:v>
      </x:c>
      <x:c r="G2916" s="12" t="n">
        <x:v>11262179.4647</x:v>
      </x:c>
      <x:c r="H2916" s="12" t="n">
        <x:v>820378.92093757</x:v>
      </x:c>
      <x:c r="I2916" s="13" t="n">
        <x:v>0.0766534246575342</x:v>
      </x:c>
      <x:c r="J2916" s="2" t="n">
        <x:v>6</x:v>
      </x:c>
      <x:c r="K2916" s="2" t="n">
        <x:v>24</x:v>
      </x:c>
      <x:c r="L2916" s="12" t="n">
        <x:v>2962.1947</x:v>
      </x:c>
      <x:c r="M2916" s="13" t="n">
        <x:v>0.5927212284285701</x:v>
      </x:c>
      <x:c r="N2916" s="13" t="n">
        <x:f>H2916/G2916</x:f>
        <x:v>0.07284370876072016</x:v>
      </x:c>
      <x:c r="O2916" s="13" t="n">
        <x:f>F2916/E2916</x:f>
        <x:v>0</x:v>
      </x:c>
      <x:c r="P2916" s="2" t="str">
        <x:f>IF(AND(E2916&gt;='Итоги'!$F$5,N2916&lt;='Итоги'!$B$5,O2916&gt;='Итоги'!$D$5),"Да","Нет")</x:f>
        <x:v>Нет</x:v>
      </x:c>
    </x:row>
    <x:row r="2917" ht="60" customHeight="1">
      <x:c r="A2917" s="14" t="str">
        <x:v>Одежда</x:v>
      </x:c>
      <x:c r="B2917" s="14" t="str">
        <x:v>Спецодежда и одежда для мероприятий</x:v>
      </x:c>
      <x:c r="C2917" s="14" t="str">
        <x:v>Спецодежда мужская</x:v>
      </x:c>
      <x:c r="D2917" s="14" t="str">
        <x:v>Рабочие брюки, бриджи, капри мужские</x:v>
      </x:c>
      <x:c r="E2917" s="2" t="n">
        <x:v>11</x:v>
      </x:c>
      <x:c r="F2917" s="2" t="n">
        <x:v>0</x:v>
      </x:c>
      <x:c r="G2917" s="12" t="n">
        <x:v>1387797.449</x:v>
      </x:c>
      <x:c r="H2917" s="12" t="n">
        <x:v>101095.96170606</x:v>
      </x:c>
      <x:c r="I2917" s="13" t="n">
        <x:v>0.0746454545454545</x:v>
      </x:c>
      <x:c r="J2917" s="2" t="n">
        <x:v>1</x:v>
      </x:c>
      <x:c r="K2917" s="2" t="n">
        <x:v>3</x:v>
      </x:c>
      <x:c r="L2917" s="12" t="n">
        <x:v>985.1784</x:v>
      </x:c>
      <x:c r="M2917" s="13" t="n">
        <x:v>0.8123588566994117</x:v>
      </x:c>
      <x:c r="N2917" s="13" t="n">
        <x:f>H2917/G2917</x:f>
        <x:v>0.07284633775548899</x:v>
      </x:c>
      <x:c r="O2917" s="13" t="n">
        <x:f>F2917/E2917</x:f>
        <x:v>0</x:v>
      </x:c>
      <x:c r="P2917" s="2" t="str">
        <x:f>IF(AND(E2917&gt;='Итоги'!$F$5,N2917&lt;='Итоги'!$B$5,O2917&gt;='Итоги'!$D$5),"Да","Нет")</x:f>
        <x:v>Нет</x:v>
      </x:c>
    </x:row>
    <x:row r="2918" ht="60" customHeight="1">
      <x:c r="A2918" s="14" t="str">
        <x:v>Строительство и ремонт (DIY)</x:v>
      </x:c>
      <x:c r="B2918" s="14" t="str">
        <x:v>Сад и огород</x:v>
      </x:c>
      <x:c r="C2918" s="14" t="str">
        <x:v>Садовый инструмент</x:v>
      </x:c>
      <x:c r="D2918" s="14" t="str">
        <x:v>Кусторез ручной</x:v>
      </x:c>
      <x:c r="E2918" s="2" t="n">
        <x:v>4</x:v>
      </x:c>
      <x:c r="F2918" s="2" t="n">
        <x:v>0</x:v>
      </x:c>
      <x:c r="G2918" s="12" t="n">
        <x:v>598056.37</x:v>
      </x:c>
      <x:c r="H2918" s="12" t="n">
        <x:v>43568.9762</x:v>
      </x:c>
      <x:c r="I2918" s="13" t="n">
        <x:v>0.071425</x:v>
      </x:c>
      <x:c r="J2918" s="2" t="n">
        <x:v>1</x:v>
      </x:c>
      <x:c r="K2918" s="2" t="n">
        <x:v>1</x:v>
      </x:c>
      <x:c r="L2918" s="12" t="n">
        <x:v>6341.440049999999</x:v>
      </x:c>
      <x:c r="M2918" s="13" t="n">
        <x:v>1</x:v>
      </x:c>
      <x:c r="N2918" s="13" t="n">
        <x:f>H2918/G2918</x:f>
        <x:v>0.072850952494662</x:v>
      </x:c>
      <x:c r="O2918" s="13" t="n">
        <x:f>F2918/E2918</x:f>
        <x:v>0</x:v>
      </x:c>
      <x:c r="P2918" s="2" t="str">
        <x:f>IF(AND(E2918&gt;='Итоги'!$F$5,N2918&lt;='Итоги'!$B$5,O2918&gt;='Итоги'!$D$5),"Да","Нет")</x:f>
        <x:v>Нет</x:v>
      </x:c>
    </x:row>
    <x:row r="2919" ht="60" customHeight="1">
      <x:c r="A2919" s="14" t="str">
        <x:v>Спорт и отдых</x:v>
      </x:c>
      <x:c r="B2919" s="14" t="str">
        <x:v>Товары для охоты</x:v>
      </x:c>
      <x:c r="C2919" s="14" t="str">
        <x:v>Тактическая экипировка</x:v>
      </x:c>
      <x:c r="D2919" s="14" t="str">
        <x:v>Костюм тактический</x:v>
      </x:c>
      <x:c r="E2919" s="2" t="n">
        <x:v>106</x:v>
      </x:c>
      <x:c r="F2919" s="2" t="n">
        <x:v>0</x:v>
      </x:c>
      <x:c r="G2919" s="12" t="n">
        <x:v>12022351.5288</x:v>
      </x:c>
      <x:c r="H2919" s="12" t="n">
        <x:v>877209.03095055</x:v>
      </x:c>
      <x:c r="I2919" s="13" t="n">
        <x:v>0.0573707547169811</x:v>
      </x:c>
      <x:c r="J2919" s="2" t="n">
        <x:v>42</x:v>
      </x:c>
      <x:c r="K2919" s="2" t="n">
        <x:v>19</x:v>
      </x:c>
      <x:c r="L2919" s="12" t="n">
        <x:v>3633.04675</x:v>
      </x:c>
      <x:c r="M2919" s="13" t="n">
        <x:v>0.3164894965003396</x:v>
      </x:c>
      <x:c r="N2919" s="13" t="n">
        <x:f>H2919/G2919</x:f>
        <x:v>0.0729648462573368</x:v>
      </x:c>
      <x:c r="O2919" s="13" t="n">
        <x:f>F2919/E2919</x:f>
        <x:v>0</x:v>
      </x:c>
      <x:c r="P2919" s="2" t="str">
        <x:f>IF(AND(E2919&gt;='Итоги'!$F$5,N2919&lt;='Итоги'!$B$5,O2919&gt;='Итоги'!$D$5),"Да","Нет")</x:f>
        <x:v>Нет</x:v>
      </x:c>
    </x:row>
    <x:row r="2920" ht="60" customHeight="1">
      <x:c r="A2920" s="14" t="str">
        <x:v>Аптека</x:v>
      </x:c>
      <x:c r="B2920" s="14" t="str">
        <x:v>Медицинская техника</x:v>
      </x:c>
      <x:c r="C2920" s="14" t="str">
        <x:v>Медицинская техника</x:v>
      </x:c>
      <x:c r="D2920" s="14" t="str">
        <x:v>Небулайзер, ингалятор</x:v>
      </x:c>
      <x:c r="E2920" s="2" t="n">
        <x:v>45</x:v>
      </x:c>
      <x:c r="F2920" s="2" t="n">
        <x:v>0</x:v>
      </x:c>
      <x:c r="G2920" s="12" t="n">
        <x:v>8903298.49</x:v>
      </x:c>
      <x:c r="H2920" s="12" t="n">
        <x:v>649628.467618</x:v>
      </x:c>
      <x:c r="I2920" s="13" t="n">
        <x:v>0.0745977777777777</x:v>
      </x:c>
      <x:c r="J2920" s="2" t="n">
        <x:v>15</x:v>
      </x:c>
      <x:c r="K2920" s="2" t="n">
        <x:v>11</x:v>
      </x:c>
      <x:c r="L2920" s="12" t="n">
        <x:v>2256.6488</x:v>
      </x:c>
      <x:c r="M2920" s="13" t="n">
        <x:v>0.6173294387662386</x:v>
      </x:c>
      <x:c r="N2920" s="13" t="n">
        <x:f>H2920/G2920</x:f>
        <x:v>0.07296492062437862</x:v>
      </x:c>
      <x:c r="O2920" s="13" t="n">
        <x:f>F2920/E2920</x:f>
        <x:v>0</x:v>
      </x:c>
      <x:c r="P2920" s="2" t="str">
        <x:f>IF(AND(E2920&gt;='Итоги'!$F$5,N2920&lt;='Итоги'!$B$5,O2920&gt;='Итоги'!$D$5),"Да","Нет")</x:f>
        <x:v>Нет</x:v>
      </x:c>
    </x:row>
    <x:row r="2921" ht="60" customHeight="1">
      <x:c r="A2921" s="14" t="str">
        <x:v>Одежда</x:v>
      </x:c>
      <x:c r="B2921" s="14" t="str">
        <x:v>Белье, домашняя одежда и ЧНИ</x:v>
      </x:c>
      <x:c r="C2921" s="14" t="str">
        <x:v>Домашняя одежда женская</x:v>
      </x:c>
      <x:c r="D2921" s="14" t="str">
        <x:v>Комплект домашний женский</x:v>
      </x:c>
      <x:c r="E2921" s="2" t="n">
        <x:v>124</x:v>
      </x:c>
      <x:c r="F2921" s="2" t="n">
        <x:v>0</x:v>
      </x:c>
      <x:c r="G2921" s="12" t="n">
        <x:v>10893881.2751</x:v>
      </x:c>
      <x:c r="H2921" s="12" t="n">
        <x:v>795471.13717514</x:v>
      </x:c>
      <x:c r="I2921" s="13" t="n">
        <x:v>0.067408064516129</x:v>
      </x:c>
      <x:c r="J2921" s="2" t="n">
        <x:v>34</x:v>
      </x:c>
      <x:c r="K2921" s="2" t="n">
        <x:v>24</x:v>
      </x:c>
      <x:c r="L2921" s="12" t="n">
        <x:v>1216.4508</x:v>
      </x:c>
      <x:c r="M2921" s="13" t="n">
        <x:v>0.3725116277405684</x:v>
      </x:c>
      <x:c r="N2921" s="13" t="n">
        <x:f>H2921/G2921</x:f>
        <x:v>0.07301999325009514</x:v>
      </x:c>
      <x:c r="O2921" s="13" t="n">
        <x:f>F2921/E2921</x:f>
        <x:v>0</x:v>
      </x:c>
      <x:c r="P2921" s="2" t="str">
        <x:f>IF(AND(E2921&gt;='Итоги'!$F$5,N2921&lt;='Итоги'!$B$5,O2921&gt;='Итоги'!$D$5),"Да","Нет")</x:f>
        <x:v>Нет</x:v>
      </x:c>
    </x:row>
    <x:row r="2922" ht="60" customHeight="1">
      <x:c r="A2922" s="14" t="str">
        <x:v>Одежда</x:v>
      </x:c>
      <x:c r="B2922" s="14" t="str">
        <x:v>Основная одежда женская</x:v>
      </x:c>
      <x:c r="C2922" s="14" t="str">
        <x:v>Спортивная основная одежда женская верха</x:v>
      </x:c>
      <x:c r="D2922" s="14" t="str">
        <x:v>Спортивная рубашка женская</x:v>
      </x:c>
      <x:c r="E2922" s="2" t="n">
        <x:v>27</x:v>
      </x:c>
      <x:c r="F2922" s="2" t="n">
        <x:v>0</x:v>
      </x:c>
      <x:c r="G2922" s="12" t="n">
        <x:v>3351727.28</x:v>
      </x:c>
      <x:c r="H2922" s="12" t="n">
        <x:v>245267.29770515</x:v>
      </x:c>
      <x:c r="I2922" s="13" t="n">
        <x:v>0.0577888888888888</x:v>
      </x:c>
      <x:c r="J2922" s="2" t="n">
        <x:v>8</x:v>
      </x:c>
      <x:c r="K2922" s="2" t="n">
        <x:v>11</x:v>
      </x:c>
      <x:c r="L2922" s="12" t="n">
        <x:v>2151.98</x:v>
      </x:c>
      <x:c r="M2922" s="13" t="n">
        <x:v>0.3536394066345398</x:v>
      </x:c>
      <x:c r="N2922" s="13" t="n">
        <x:f>H2922/G2922</x:f>
        <x:v>0.07317638853515254</x:v>
      </x:c>
      <x:c r="O2922" s="13" t="n">
        <x:f>F2922/E2922</x:f>
        <x:v>0</x:v>
      </x:c>
      <x:c r="P2922" s="2" t="str">
        <x:f>IF(AND(E2922&gt;='Итоги'!$F$5,N2922&lt;='Итоги'!$B$5,O2922&gt;='Итоги'!$D$5),"Да","Нет")</x:f>
        <x:v>Нет</x:v>
      </x:c>
    </x:row>
    <x:row r="2923" ht="60" customHeight="1">
      <x:c r="A2923" s="14" t="str">
        <x:v>Автотовары</x:v>
      </x:c>
      <x:c r="B2923" s="14" t="str">
        <x:v>Универсальные авто и мото аксессуары</x:v>
      </x:c>
      <x:c r="C2923" s="14" t="str">
        <x:v>Автотовары в дорогу</x:v>
      </x:c>
      <x:c r="D2923" s="14" t="str">
        <x:v>Аптечка автомобильная</x:v>
      </x:c>
      <x:c r="E2923" s="2" t="n">
        <x:v>7</x:v>
      </x:c>
      <x:c r="F2923" s="2" t="n">
        <x:v>0</x:v>
      </x:c>
      <x:c r="G2923" s="12" t="n">
        <x:v>1262638.7991</x:v>
      </x:c>
      <x:c r="H2923" s="12" t="n">
        <x:v>92431.62198344</x:v>
      </x:c>
      <x:c r="I2923" s="13" t="n">
        <x:v>0.0677428571428571</x:v>
      </x:c>
      <x:c r="J2923" s="2" t="n">
        <x:v>1</x:v>
      </x:c>
      <x:c r="K2923" s="2" t="n">
        <x:v>3</x:v>
      </x:c>
      <x:c r="L2923" s="12" t="n">
        <x:v>2478.1813</x:v>
      </x:c>
      <x:c r="M2923" s="13" t="n">
        <x:v>0.6663627821351019</x:v>
      </x:c>
      <x:c r="N2923" s="13" t="n">
        <x:f>H2923/G2923</x:f>
        <x:v>0.07320511776552772</x:v>
      </x:c>
      <x:c r="O2923" s="13" t="n">
        <x:f>F2923/E2923</x:f>
        <x:v>0</x:v>
      </x:c>
      <x:c r="P2923" s="2" t="str">
        <x:f>IF(AND(E2923&gt;='Итоги'!$F$5,N2923&lt;='Итоги'!$B$5,O2923&gt;='Итоги'!$D$5),"Да","Нет")</x:f>
        <x:v>Нет</x:v>
      </x:c>
    </x:row>
    <x:row r="2924" ht="60" customHeight="1">
      <x:c r="A2924" s="14" t="str">
        <x:v>Товары для красоты и здоровья</x:v>
      </x:c>
      <x:c r="B2924" s="14" t="str">
        <x:v>Косметика для ухода за кожей</x:v>
      </x:c>
      <x:c r="C2924" s="14" t="str">
        <x:v>Тело</x:v>
      </x:c>
      <x:c r="D2924" s="14" t="str">
        <x:v>Соль для ванны</x:v>
      </x:c>
      <x:c r="E2924" s="2" t="n">
        <x:v>16</x:v>
      </x:c>
      <x:c r="F2924" s="2" t="n">
        <x:v>0</x:v>
      </x:c>
      <x:c r="G2924" s="12" t="n">
        <x:v>2905281.7634</x:v>
      </x:c>
      <x:c r="H2924" s="12" t="n">
        <x:v>212769.57464985</x:v>
      </x:c>
      <x:c r="I2924" s="13" t="n">
        <x:v>0.0738</x:v>
      </x:c>
      <x:c r="J2924" s="2" t="n">
        <x:v>0</x:v>
      </x:c>
      <x:c r="K2924" s="2" t="n">
        <x:v>4</x:v>
      </x:c>
      <x:c r="L2924" s="12" t="n">
        <x:v>1185.8247</x:v>
      </x:c>
      <x:c r="M2924" s="13" t="n">
        <x:v>0.8121623743435638</x:v>
      </x:c>
      <x:c r="N2924" s="13" t="n">
        <x:f>H2924/G2924</x:f>
        <x:v>0.07323543531311383</x:v>
      </x:c>
      <x:c r="O2924" s="13" t="n">
        <x:f>F2924/E2924</x:f>
        <x:v>0</x:v>
      </x:c>
      <x:c r="P2924" s="2" t="str">
        <x:f>IF(AND(E2924&gt;='Итоги'!$F$5,N2924&lt;='Итоги'!$B$5,O2924&gt;='Итоги'!$D$5),"Да","Нет")</x:f>
        <x:v>Нет</x:v>
      </x:c>
    </x:row>
    <x:row r="2925" ht="60" customHeight="1">
      <x:c r="A2925" s="14" t="str">
        <x:v>Школьные принадлежности и канцелярия</x:v>
      </x:c>
      <x:c r="B2925" s="14" t="str">
        <x:v>Товары для школы, канцелярия, оборудование</x:v>
      </x:c>
      <x:c r="C2925" s="14" t="str">
        <x:v>Бумага офисная и бумажная продукция</x:v>
      </x:c>
      <x:c r="D2925" s="14" t="str">
        <x:v>Блокнот</x:v>
      </x:c>
      <x:c r="E2925" s="2" t="n">
        <x:v>10</x:v>
      </x:c>
      <x:c r="F2925" s="2" t="n">
        <x:v>0</x:v>
      </x:c>
      <x:c r="G2925" s="12" t="n">
        <x:v>838145.8732</x:v>
      </x:c>
      <x:c r="H2925" s="12" t="n">
        <x:v>61384.32899858</x:v>
      </x:c>
      <x:c r="I2925" s="13" t="n">
        <x:v>0.06983</x:v>
      </x:c>
      <x:c r="J2925" s="2" t="n">
        <x:v>6</x:v>
      </x:c>
      <x:c r="K2925" s="2" t="n">
        <x:v>8</x:v>
      </x:c>
      <x:c r="L2925" s="12" t="n">
        <x:v>1587.88735</x:v>
      </x:c>
      <x:c r="M2925" s="13" t="n">
        <x:v>0.3817186862455102</x:v>
      </x:c>
      <x:c r="N2925" s="13" t="n">
        <x:f>H2925/G2925</x:f>
        <x:v>0.07323824045594549</x:v>
      </x:c>
      <x:c r="O2925" s="13" t="n">
        <x:f>F2925/E2925</x:f>
        <x:v>0</x:v>
      </x:c>
      <x:c r="P2925" s="2" t="str">
        <x:f>IF(AND(E2925&gt;='Итоги'!$F$5,N2925&lt;='Итоги'!$B$5,O2925&gt;='Итоги'!$D$5),"Да","Нет")</x:f>
        <x:v>Нет</x:v>
      </x:c>
    </x:row>
    <x:row r="2926" ht="60" customHeight="1">
      <x:c r="A2926" s="14" t="str">
        <x:v>Товары для дома</x:v>
      </x:c>
      <x:c r="B2926" s="14" t="str">
        <x:v>Аксессуары для уборки и стирки</x:v>
      </x:c>
      <x:c r="C2926" s="14" t="str">
        <x:v>Аксессуар для уборки</x:v>
      </x:c>
      <x:c r="D2926" s="14" t="str">
        <x:v>Мешки, пакеты для мусора</x:v>
      </x:c>
      <x:c r="E2926" s="2" t="n">
        <x:v>27</x:v>
      </x:c>
      <x:c r="F2926" s="2" t="n">
        <x:v>0</x:v>
      </x:c>
      <x:c r="G2926" s="12" t="n">
        <x:v>5089954.5212</x:v>
      </x:c>
      <x:c r="H2926" s="12" t="n">
        <x:v>373440.8038932</x:v>
      </x:c>
      <x:c r="I2926" s="13" t="n">
        <x:v>0.0763111111111111</x:v>
      </x:c>
      <x:c r="J2926" s="2" t="n">
        <x:v>2</x:v>
      </x:c>
      <x:c r="K2926" s="2" t="n">
        <x:v>9</x:v>
      </x:c>
      <x:c r="L2926" s="12" t="n">
        <x:v>1296.5692</x:v>
      </x:c>
      <x:c r="M2926" s="13" t="n">
        <x:v>0.4633858270592046</x:v>
      </x:c>
      <x:c r="N2926" s="13" t="n">
        <x:f>H2926/G2926</x:f>
        <x:v>0.07336820050902108</x:v>
      </x:c>
      <x:c r="O2926" s="13" t="n">
        <x:f>F2926/E2926</x:f>
        <x:v>0</x:v>
      </x:c>
      <x:c r="P2926" s="2" t="str">
        <x:f>IF(AND(E2926&gt;='Итоги'!$F$5,N2926&lt;='Итоги'!$B$5,O2926&gt;='Итоги'!$D$5),"Да","Нет")</x:f>
        <x:v>Нет</x:v>
      </x:c>
    </x:row>
    <x:row r="2927" ht="60" customHeight="1">
      <x:c r="A2927" s="14" t="str">
        <x:v>Аксессуары для электроники</x:v>
      </x:c>
      <x:c r="B2927" s="14" t="str">
        <x:v>Электропитание Access</x:v>
      </x:c>
      <x:c r="C2927" s="14" t="str">
        <x:v>Кабели и переходники Access</x:v>
      </x:c>
      <x:c r="D2927" s="14" t="str">
        <x:v>Кабель для интернет-соединения</x:v>
      </x:c>
      <x:c r="E2927" s="2" t="n">
        <x:v>48</x:v>
      </x:c>
      <x:c r="F2927" s="2" t="n">
        <x:v>0</x:v>
      </x:c>
      <x:c r="G2927" s="12" t="n">
        <x:v>6975510.93</x:v>
      </x:c>
      <x:c r="H2927" s="12" t="n">
        <x:v>511945.06979</x:v>
      </x:c>
      <x:c r="I2927" s="13" t="n">
        <x:v>0.0695041666666666</x:v>
      </x:c>
      <x:c r="J2927" s="2" t="n">
        <x:v>12</x:v>
      </x:c>
      <x:c r="K2927" s="2" t="n">
        <x:v>10</x:v>
      </x:c>
      <x:c r="L2927" s="12" t="n">
        <x:v>3723.72105</x:v>
      </x:c>
      <x:c r="M2927" s="13" t="n">
        <x:v>0.663907125438337</x:v>
      </x:c>
      <x:c r="N2927" s="13" t="n">
        <x:f>H2927/G2927</x:f>
        <x:v>0.07339176655694811</x:v>
      </x:c>
      <x:c r="O2927" s="13" t="n">
        <x:f>F2927/E2927</x:f>
        <x:v>0</x:v>
      </x:c>
      <x:c r="P2927" s="2" t="str">
        <x:f>IF(AND(E2927&gt;='Итоги'!$F$5,N2927&lt;='Итоги'!$B$5,O2927&gt;='Итоги'!$D$5),"Да","Нет")</x:f>
        <x:v>Нет</x:v>
      </x:c>
    </x:row>
    <x:row r="2928" ht="60" customHeight="1">
      <x:c r="A2928" s="14" t="str">
        <x:v>Детская одежда</x:v>
      </x:c>
      <x:c r="B2928" s="14" t="str">
        <x:v>Детская одежда</x:v>
      </x:c>
      <x:c r="C2928" s="14" t="str">
        <x:v>Верхняя одежда для девочки</x:v>
      </x:c>
      <x:c r="D2928" s="14" t="str">
        <x:v>Тренчкот для девочки</x:v>
      </x:c>
      <x:c r="E2928" s="2" t="n">
        <x:v>1</x:v>
      </x:c>
      <x:c r="F2928" s="2" t="n">
        <x:v>0</x:v>
      </x:c>
      <x:c r="G2928" s="12" t="n">
        <x:v>92494</x:v>
      </x:c>
      <x:c r="H2928" s="12" t="n">
        <x:v>6789.0596000000005</x:v>
      </x:c>
      <x:c r="I2928" s="13" t="n">
        <x:v>0.0734</x:v>
      </x:c>
      <x:c r="J2928" s="2" t="n">
        <x:v>0</x:v>
      </x:c>
      <x:c r="K2928" s="2" t="n">
        <x:v>1</x:v>
      </x:c>
      <x:c r="L2928" s="12" t="n">
        <x:v>4204.2727</x:v>
      </x:c>
      <x:c r="M2928" s="13" t="n">
        <x:v>1</x:v>
      </x:c>
      <x:c r="N2928" s="13" t="n">
        <x:f>H2928/G2928</x:f>
        <x:v>0.0734</x:v>
      </x:c>
      <x:c r="O2928" s="13" t="n">
        <x:f>F2928/E2928</x:f>
        <x:v>0</x:v>
      </x:c>
      <x:c r="P2928" s="2" t="str">
        <x:f>IF(AND(E2928&gt;='Итоги'!$F$5,N2928&lt;='Итоги'!$B$5,O2928&gt;='Итоги'!$D$5),"Да","Нет")</x:f>
        <x:v>Нет</x:v>
      </x:c>
    </x:row>
    <x:row r="2929" ht="60" customHeight="1">
      <x:c r="A2929" s="14" t="str">
        <x:v>Мебель</x:v>
      </x:c>
      <x:c r="B2929" s="14" t="str">
        <x:v>Мебель для сада</x:v>
      </x:c>
      <x:c r="C2929" s="14" t="str">
        <x:v>Садовый, пляжный зонты</x:v>
      </x:c>
      <x:c r="D2929" s="14" t="str">
        <x:v>Основание для cадового, пляжного зонтов</x:v>
      </x:c>
      <x:c r="E2929" s="2" t="n">
        <x:v>5</x:v>
      </x:c>
      <x:c r="F2929" s="2" t="n">
        <x:v>0</x:v>
      </x:c>
      <x:c r="G2929" s="12" t="n">
        <x:v>1034225.8394</x:v>
      </x:c>
      <x:c r="H2929" s="12" t="n">
        <x:v>75998.86103334</x:v>
      </x:c>
      <x:c r="I2929" s="13" t="n">
        <x:v>0.06978</x:v>
      </x:c>
      <x:c r="J2929" s="2" t="n">
        <x:v>0</x:v>
      </x:c>
      <x:c r="K2929" s="2" t="n">
        <x:v>3</x:v>
      </x:c>
      <x:c r="L2929" s="12" t="n">
        <x:v>1032.2447</x:v>
      </x:c>
      <x:c r="M2929" s="13" t="n">
        <x:v>0.4351196309899506</x:v>
      </x:c>
      <x:c r="N2929" s="13" t="n">
        <x:f>H2929/G2929</x:f>
        <x:v>0.07348381575675027</x:v>
      </x:c>
      <x:c r="O2929" s="13" t="n">
        <x:f>F2929/E2929</x:f>
        <x:v>0</x:v>
      </x:c>
      <x:c r="P2929" s="2" t="str">
        <x:f>IF(AND(E2929&gt;='Итоги'!$F$5,N2929&lt;='Итоги'!$B$5,O2929&gt;='Итоги'!$D$5),"Да","Нет")</x:f>
        <x:v>Нет</x:v>
      </x:c>
    </x:row>
    <x:row r="2930" ht="60" customHeight="1">
      <x:c r="A2930" s="14" t="str">
        <x:v>Одежда</x:v>
      </x:c>
      <x:c r="B2930" s="14" t="str">
        <x:v>Белье, домашняя одежда и ЧНИ</x:v>
      </x:c>
      <x:c r="C2930" s="14" t="str">
        <x:v>Домашняя одежда мужская</x:v>
      </x:c>
      <x:c r="D2930" s="14" t="str">
        <x:v>Халат домашний мужской</x:v>
      </x:c>
      <x:c r="E2930" s="2" t="n">
        <x:v>70</x:v>
      </x:c>
      <x:c r="F2930" s="2" t="n">
        <x:v>0</x:v>
      </x:c>
      <x:c r="G2930" s="12" t="n">
        <x:v>7579556.438</x:v>
      </x:c>
      <x:c r="H2930" s="12" t="n">
        <x:v>557317.77802729</x:v>
      </x:c>
      <x:c r="I2930" s="13" t="n">
        <x:v>0.0725557142857142</x:v>
      </x:c>
      <x:c r="J2930" s="2" t="n">
        <x:v>10</x:v>
      </x:c>
      <x:c r="K2930" s="2" t="n">
        <x:v>13</x:v>
      </x:c>
      <x:c r="L2930" s="12" t="n">
        <x:v>2066.89685</x:v>
      </x:c>
      <x:c r="M2930" s="13" t="n">
        <x:v>0.6690988004224424</x:v>
      </x:c>
      <x:c r="N2930" s="13" t="n">
        <x:f>H2930/G2930</x:f>
        <x:v>0.07352907555819298</x:v>
      </x:c>
      <x:c r="O2930" s="13" t="n">
        <x:f>F2930/E2930</x:f>
        <x:v>0</x:v>
      </x:c>
      <x:c r="P2930" s="2" t="str">
        <x:f>IF(AND(E2930&gt;='Итоги'!$F$5,N2930&lt;='Итоги'!$B$5,O2930&gt;='Итоги'!$D$5),"Да","Нет")</x:f>
        <x:v>Нет</x:v>
      </x:c>
    </x:row>
    <x:row r="2931" ht="60" customHeight="1">
      <x:c r="A2931" s="14" t="str">
        <x:v>Аксессуары</x:v>
      </x:c>
      <x:c r="B2931" s="14" t="str">
        <x:v>Аксессуары</x:v>
      </x:c>
      <x:c r="C2931" s="14" t="str">
        <x:v>Аксессуары для путешествий</x:v>
      </x:c>
      <x:c r="D2931" s="14" t="str">
        <x:v>Прочие аксессуары для путешествий</x:v>
      </x:c>
      <x:c r="E2931" s="2" t="n">
        <x:v>3</x:v>
      </x:c>
      <x:c r="F2931" s="2" t="n">
        <x:v>0</x:v>
      </x:c>
      <x:c r="G2931" s="12" t="n">
        <x:v>280415.5842</x:v>
      </x:c>
      <x:c r="H2931" s="12" t="n">
        <x:v>20619.63789086</x:v>
      </x:c>
      <x:c r="I2931" s="13" t="n">
        <x:v>0.0742</x:v>
      </x:c>
      <x:c r="J2931" s="2" t="n">
        <x:v>0</x:v>
      </x:c>
      <x:c r="K2931" s="2" t="n">
        <x:v>2</x:v>
      </x:c>
      <x:c r="L2931" s="12" t="n">
        <x:v>1019.6833</x:v>
      </x:c>
      <x:c r="M2931" s="13" t="n">
        <x:v>0.5818221568015121</x:v>
      </x:c>
      <x:c r="N2931" s="13" t="n">
        <x:f>H2931/G2931</x:f>
        <x:v>0.07353242491741657</x:v>
      </x:c>
      <x:c r="O2931" s="13" t="n">
        <x:f>F2931/E2931</x:f>
        <x:v>0</x:v>
      </x:c>
      <x:c r="P2931" s="2" t="str">
        <x:f>IF(AND(E2931&gt;='Итоги'!$F$5,N2931&lt;='Итоги'!$B$5,O2931&gt;='Итоги'!$D$5),"Да","Нет")</x:f>
        <x:v>Нет</x:v>
      </x:c>
    </x:row>
    <x:row r="2932" ht="60" customHeight="1">
      <x:c r="A2932" s="14" t="str">
        <x:v>Автотовары</x:v>
      </x:c>
      <x:c r="B2932" s="14" t="str">
        <x:v>Автоинструменты и гаражное оборудование</x:v>
      </x:c>
      <x:c r="C2932" s="14" t="str">
        <x:v>Оборудование для детейлинга</x:v>
      </x:c>
      <x:c r="D2932" s="14" t="str">
        <x:v>Ручной инструмент для детейлинга</x:v>
      </x:c>
      <x:c r="E2932" s="2" t="n">
        <x:v>21</x:v>
      </x:c>
      <x:c r="F2932" s="2" t="n">
        <x:v>0</x:v>
      </x:c>
      <x:c r="G2932" s="12" t="n">
        <x:v>3620580.3028</x:v>
      </x:c>
      <x:c r="H2932" s="12" t="n">
        <x:v>266322.35459872</x:v>
      </x:c>
      <x:c r="I2932" s="13" t="n">
        <x:v>0.0686809523809523</x:v>
      </x:c>
      <x:c r="J2932" s="2" t="n">
        <x:v>5</x:v>
      </x:c>
      <x:c r="K2932" s="2" t="n">
        <x:v>15</x:v>
      </x:c>
      <x:c r="L2932" s="12" t="n">
        <x:v>1418.4357</x:v>
      </x:c>
      <x:c r="M2932" s="13" t="n">
        <x:v>0.2015299520730741</x:v>
      </x:c>
      <x:c r="N2932" s="13" t="n">
        <x:f>H2932/G2932</x:f>
        <x:v>0.0735579195392401</x:v>
      </x:c>
      <x:c r="O2932" s="13" t="n">
        <x:f>F2932/E2932</x:f>
        <x:v>0</x:v>
      </x:c>
      <x:c r="P2932" s="2" t="str">
        <x:f>IF(AND(E2932&gt;='Итоги'!$F$5,N2932&lt;='Итоги'!$B$5,O2932&gt;='Итоги'!$D$5),"Да","Нет")</x:f>
        <x:v>Нет</x:v>
      </x:c>
    </x:row>
    <x:row r="2933" ht="60" customHeight="1">
      <x:c r="A2933" s="14" t="str">
        <x:v>Хобби и творчество</x:v>
      </x:c>
      <x:c r="B2933" s="14" t="str">
        <x:v>Детское творчество и хобби</x:v>
      </x:c>
      <x:c r="C2933" s="14" t="str">
        <x:v>Настольные и обучающие игры</x:v>
      </x:c>
      <x:c r="D2933" s="14" t="str">
        <x:v>Мозаика для малышей</x:v>
      </x:c>
      <x:c r="E2933" s="2" t="n">
        <x:v>4</x:v>
      </x:c>
      <x:c r="F2933" s="2" t="n">
        <x:v>0</x:v>
      </x:c>
      <x:c r="G2933" s="12" t="n">
        <x:v>322739.3981</x:v>
      </x:c>
      <x:c r="H2933" s="12" t="n">
        <x:v>23744.04405872</x:v>
      </x:c>
      <x:c r="I2933" s="13" t="n">
        <x:v>0.094025</x:v>
      </x:c>
      <x:c r="J2933" s="2" t="n">
        <x:v>0</x:v>
      </x:c>
      <x:c r="K2933" s="2" t="n">
        <x:v>4</x:v>
      </x:c>
      <x:c r="L2933" s="12" t="n">
        <x:v>1665.9382</x:v>
      </x:c>
      <x:c r="M2933" s="13" t="n">
        <x:v>0.3910647437004066</x:v>
      </x:c>
      <x:c r="N2933" s="13" t="n">
        <x:f>H2933/G2933</x:f>
        <x:v>0.07357033011309938</x:v>
      </x:c>
      <x:c r="O2933" s="13" t="n">
        <x:f>F2933/E2933</x:f>
        <x:v>0</x:v>
      </x:c>
      <x:c r="P2933" s="2" t="str">
        <x:f>IF(AND(E2933&gt;='Итоги'!$F$5,N2933&lt;='Итоги'!$B$5,O2933&gt;='Итоги'!$D$5),"Да","Нет")</x:f>
        <x:v>Нет</x:v>
      </x:c>
    </x:row>
    <x:row r="2934" ht="60" customHeight="1">
      <x:c r="A2934" s="14" t="str">
        <x:v>Строительство и ремонт (DIY)</x:v>
      </x:c>
      <x:c r="B2934" s="14" t="str">
        <x:v>Сад и огород</x:v>
      </x:c>
      <x:c r="C2934" s="14" t="str">
        <x:v>Ландшафт и садовый декор</x:v>
      </x:c>
      <x:c r="D2934" s="14" t="str">
        <x:v>Дорожка, плитка, паркет садовые</x:v>
      </x:c>
      <x:c r="E2934" s="2" t="n">
        <x:v>56</x:v>
      </x:c>
      <x:c r="F2934" s="2" t="n">
        <x:v>0</x:v>
      </x:c>
      <x:c r="G2934" s="12" t="n">
        <x:v>12318026.2917</x:v>
      </x:c>
      <x:c r="H2934" s="12" t="n">
        <x:v>907062.88844625</x:v>
      </x:c>
      <x:c r="I2934" s="13" t="n">
        <x:v>0.0729339285714285</x:v>
      </x:c>
      <x:c r="J2934" s="2" t="n">
        <x:v>16</x:v>
      </x:c>
      <x:c r="K2934" s="2" t="n">
        <x:v>9</x:v>
      </x:c>
      <x:c r="L2934" s="12" t="n">
        <x:v>2177.02975</x:v>
      </x:c>
      <x:c r="M2934" s="13" t="n">
        <x:v>0.7832669765042728</x:v>
      </x:c>
      <x:c r="N2934" s="13" t="n">
        <x:f>H2934/G2934</x:f>
        <x:v>0.07363703136901383</x:v>
      </x:c>
      <x:c r="O2934" s="13" t="n">
        <x:f>F2934/E2934</x:f>
        <x:v>0</x:v>
      </x:c>
      <x:c r="P2934" s="2" t="str">
        <x:f>IF(AND(E2934&gt;='Итоги'!$F$5,N2934&lt;='Итоги'!$B$5,O2934&gt;='Итоги'!$D$5),"Да","Нет")</x:f>
        <x:v>Нет</x:v>
      </x:c>
    </x:row>
    <x:row r="2935" ht="60" customHeight="1">
      <x:c r="A2935" s="14" t="str">
        <x:v>Товары для животных</x:v>
      </x:c>
      <x:c r="B2935" s="14" t="str">
        <x:v>Спальное место животного</x:v>
      </x:c>
      <x:c r="C2935" s="14" t="str">
        <x:v>Аквариум Оборудование</x:v>
      </x:c>
      <x:c r="D2935" s="14" t="str">
        <x:v>Грунтоочиститель для аквариума</x:v>
      </x:c>
      <x:c r="E2935" s="2" t="n">
        <x:v>6</x:v>
      </x:c>
      <x:c r="F2935" s="2" t="n">
        <x:v>0</x:v>
      </x:c>
      <x:c r="G2935" s="12" t="n">
        <x:v>853683.17</x:v>
      </x:c>
      <x:c r="H2935" s="12" t="n">
        <x:v>62881.13151399999</x:v>
      </x:c>
      <x:c r="I2935" s="13" t="n">
        <x:v>0.08665</x:v>
      </x:c>
      <x:c r="J2935" s="2" t="n">
        <x:v>0</x:v>
      </x:c>
      <x:c r="K2935" s="2" t="n">
        <x:v>5</x:v>
      </x:c>
      <x:c r="L2935" s="12" t="n">
        <x:v>1016.56745</x:v>
      </x:c>
      <x:c r="M2935" s="13" t="n">
        <x:v>0.6094907552177701</x:v>
      </x:c>
      <x:c r="N2935" s="13" t="n">
        <x:f>H2935/G2935</x:f>
        <x:v>0.07365862854482652</x:v>
      </x:c>
      <x:c r="O2935" s="13" t="n">
        <x:f>F2935/E2935</x:f>
        <x:v>0</x:v>
      </x:c>
      <x:c r="P2935" s="2" t="str">
        <x:f>IF(AND(E2935&gt;='Итоги'!$F$5,N2935&lt;='Итоги'!$B$5,O2935&gt;='Итоги'!$D$5),"Да","Нет")</x:f>
        <x:v>Нет</x:v>
      </x:c>
    </x:row>
    <x:row r="2936" ht="60" customHeight="1">
      <x:c r="A2936" s="14" t="str">
        <x:v>Товары для дома</x:v>
      </x:c>
      <x:c r="B2936" s="14" t="str">
        <x:v>Кухня</x:v>
      </x:c>
      <x:c r="C2936" s="14" t="str">
        <x:v>Посуда для чая и кофе</x:v>
      </x:c>
      <x:c r="D2936" s="14" t="str">
        <x:v>Чайник для плиты, самовар</x:v>
      </x:c>
      <x:c r="E2936" s="2" t="n">
        <x:v>111</x:v>
      </x:c>
      <x:c r="F2936" s="2" t="n">
        <x:v>0</x:v>
      </x:c>
      <x:c r="G2936" s="12" t="n">
        <x:v>18358163.6258</x:v>
      </x:c>
      <x:c r="H2936" s="12" t="n">
        <x:v>1353205.72585978</x:v>
      </x:c>
      <x:c r="I2936" s="13" t="n">
        <x:v>0.0721036036036036</x:v>
      </x:c>
      <x:c r="J2936" s="2" t="n">
        <x:v>39</x:v>
      </x:c>
      <x:c r="K2936" s="2" t="n">
        <x:v>23</x:v>
      </x:c>
      <x:c r="L2936" s="12" t="n">
        <x:v>1739.9462</x:v>
      </x:c>
      <x:c r="M2936" s="13" t="n">
        <x:v>0.6140273280960464</x:v>
      </x:c>
      <x:c r="N2936" s="13" t="n">
        <x:f>H2936/G2936</x:f>
        <x:v>0.07371138821085713</x:v>
      </x:c>
      <x:c r="O2936" s="13" t="n">
        <x:f>F2936/E2936</x:f>
        <x:v>0</x:v>
      </x:c>
      <x:c r="P2936" s="2" t="str">
        <x:f>IF(AND(E2936&gt;='Итоги'!$F$5,N2936&lt;='Итоги'!$B$5,O2936&gt;='Итоги'!$D$5),"Да","Нет")</x:f>
        <x:v>Нет</x:v>
      </x:c>
    </x:row>
    <x:row r="2937" ht="60" customHeight="1">
      <x:c r="A2937" s="14" t="str">
        <x:v>Школьные принадлежности и канцелярия</x:v>
      </x:c>
      <x:c r="B2937" s="14" t="str">
        <x:v>Товары для школы, канцелярия, оборудование</x:v>
      </x:c>
      <x:c r="C2937" s="14" t="str">
        <x:v>Ранец, рюкзак, сумка школьные</x:v>
      </x:c>
      <x:c r="D2937" s="14" t="str">
        <x:v>Пенал с наполнением</x:v>
      </x:c>
      <x:c r="E2937" s="2" t="n">
        <x:v>3</x:v>
      </x:c>
      <x:c r="F2937" s="2" t="n">
        <x:v>0</x:v>
      </x:c>
      <x:c r="G2937" s="12" t="n">
        <x:v>210820.6379</x:v>
      </x:c>
      <x:c r="H2937" s="12" t="n">
        <x:v>15543.21264105</x:v>
      </x:c>
      <x:c r="I2937" s="13" t="n">
        <x:v>0.1088333333333333</x:v>
      </x:c>
      <x:c r="J2937" s="2" t="n">
        <x:v>0</x:v>
      </x:c>
      <x:c r="K2937" s="2" t="n">
        <x:v>3</x:v>
      </x:c>
      <x:c r="L2937" s="12" t="n">
        <x:v>877.3991</x:v>
      </x:c>
      <x:c r="M2937" s="13" t="n">
        <x:v>0.6284359354933913</x:v>
      </x:c>
      <x:c r="N2937" s="13" t="n">
        <x:f>H2937/G2937</x:f>
        <x:v>0.07372718722359013</x:v>
      </x:c>
      <x:c r="O2937" s="13" t="n">
        <x:f>F2937/E2937</x:f>
        <x:v>0</x:v>
      </x:c>
      <x:c r="P2937" s="2" t="str">
        <x:f>IF(AND(E2937&gt;='Итоги'!$F$5,N2937&lt;='Итоги'!$B$5,O2937&gt;='Итоги'!$D$5),"Да","Нет")</x:f>
        <x:v>Нет</x:v>
      </x:c>
    </x:row>
    <x:row r="2938" ht="60" customHeight="1">
      <x:c r="A2938" s="14" t="str">
        <x:v>Аксессуары для электроники</x:v>
      </x:c>
      <x:c r="B2938" s="14" t="str">
        <x:v>Бытовая техника Access</x:v>
      </x:c>
      <x:c r="C2938" s="14" t="str">
        <x:v>Запчасти для бытовой техники Access</x:v>
      </x:c>
      <x:c r="D2938" s="14" t="str">
        <x:v>Запчасти для электрогриля</x:v>
      </x:c>
      <x:c r="E2938" s="2" t="n">
        <x:v>6</x:v>
      </x:c>
      <x:c r="F2938" s="2" t="n">
        <x:v>0</x:v>
      </x:c>
      <x:c r="G2938" s="12" t="n">
        <x:v>755475.9709</x:v>
      </x:c>
      <x:c r="H2938" s="12" t="n">
        <x:v>55762.42350242</x:v>
      </x:c>
      <x:c r="I2938" s="13" t="n">
        <x:v>0.0602833333333333</x:v>
      </x:c>
      <x:c r="J2938" s="2" t="n">
        <x:v>2</x:v>
      </x:c>
      <x:c r="K2938" s="2" t="n">
        <x:v>2</x:v>
      </x:c>
      <x:c r="L2938" s="12" t="n">
        <x:v>5743.86455</x:v>
      </x:c>
      <x:c r="M2938" s="13" t="n">
        <x:v>0.6441100891935728</x:v>
      </x:c>
      <x:c r="N2938" s="13" t="n">
        <x:f>H2938/G2938</x:f>
        <x:v>0.07381098228179266</x:v>
      </x:c>
      <x:c r="O2938" s="13" t="n">
        <x:f>F2938/E2938</x:f>
        <x:v>0</x:v>
      </x:c>
      <x:c r="P2938" s="2" t="str">
        <x:f>IF(AND(E2938&gt;='Итоги'!$F$5,N2938&lt;='Итоги'!$B$5,O2938&gt;='Итоги'!$D$5),"Да","Нет")</x:f>
        <x:v>Нет</x:v>
      </x:c>
    </x:row>
    <x:row r="2939" ht="60" customHeight="1">
      <x:c r="A2939" s="14" t="str">
        <x:v>Строительство и ремонт (DIY)</x:v>
      </x:c>
      <x:c r="B2939" s="14" t="str">
        <x:v>Ремонт и строительство</x:v>
      </x:c>
      <x:c r="C2939" s="14" t="str">
        <x:v>Спецодежда, средства защиты</x:v>
      </x:c>
      <x:c r="D2939" s="14" t="str">
        <x:v>Рабочие перчатки</x:v>
      </x:c>
      <x:c r="E2939" s="2" t="n">
        <x:v>26</x:v>
      </x:c>
      <x:c r="F2939" s="2" t="n">
        <x:v>0</x:v>
      </x:c>
      <x:c r="G2939" s="12" t="n">
        <x:v>3801768.7938</x:v>
      </x:c>
      <x:c r="H2939" s="12" t="n">
        <x:v>280710.93631309</x:v>
      </x:c>
      <x:c r="I2939" s="13" t="n">
        <x:v>0.0716538461538461</x:v>
      </x:c>
      <x:c r="J2939" s="2" t="n">
        <x:v>1</x:v>
      </x:c>
      <x:c r="K2939" s="2" t="n">
        <x:v>9</x:v>
      </x:c>
      <x:c r="L2939" s="12" t="n">
        <x:v>1209.0952</x:v>
      </x:c>
      <x:c r="M2939" s="13" t="n">
        <x:v>0.4381519265760037</x:v>
      </x:c>
      <x:c r="N2939" s="13" t="n">
        <x:f>H2939/G2939</x:f>
        <x:v>0.07383693000239229</x:v>
      </x:c>
      <x:c r="O2939" s="13" t="n">
        <x:f>F2939/E2939</x:f>
        <x:v>0</x:v>
      </x:c>
      <x:c r="P2939" s="2" t="str">
        <x:f>IF(AND(E2939&gt;='Итоги'!$F$5,N2939&lt;='Итоги'!$B$5,O2939&gt;='Итоги'!$D$5),"Да","Нет")</x:f>
        <x:v>Нет</x:v>
      </x:c>
    </x:row>
    <x:row r="2940" ht="60" customHeight="1">
      <x:c r="A2940" s="14" t="str">
        <x:v>Детская одежда</x:v>
      </x:c>
      <x:c r="B2940" s="14" t="str">
        <x:v>Одежда для новорожденных</x:v>
      </x:c>
      <x:c r="C2940" s="14" t="str">
        <x:v>Одежда для новорожденных</x:v>
      </x:c>
      <x:c r="D2940" s="14" t="str">
        <x:v>Комплект одежды для новорожденных</x:v>
      </x:c>
      <x:c r="E2940" s="2" t="n">
        <x:v>48</x:v>
      </x:c>
      <x:c r="F2940" s="2" t="n">
        <x:v>0</x:v>
      </x:c>
      <x:c r="G2940" s="12" t="n">
        <x:v>3049095.1193</x:v>
      </x:c>
      <x:c r="H2940" s="12" t="n">
        <x:v>225315.84184885</x:v>
      </x:c>
      <x:c r="I2940" s="13" t="n">
        <x:v>0.0525104166666666</x:v>
      </x:c>
      <x:c r="J2940" s="2" t="n">
        <x:v>15</x:v>
      </x:c>
      <x:c r="K2940" s="2" t="n">
        <x:v>23</x:v>
      </x:c>
      <x:c r="L2940" s="12" t="n">
        <x:v>1508.5129499999998</x:v>
      </x:c>
      <x:c r="M2940" s="13" t="n">
        <x:v>0.2494399736124362</x:v>
      </x:c>
      <x:c r="N2940" s="13" t="n">
        <x:f>H2940/G2940</x:f>
        <x:v>0.07389597012656567</x:v>
      </x:c>
      <x:c r="O2940" s="13" t="n">
        <x:f>F2940/E2940</x:f>
        <x:v>0</x:v>
      </x:c>
      <x:c r="P2940" s="2" t="str">
        <x:f>IF(AND(E2940&gt;='Итоги'!$F$5,N2940&lt;='Итоги'!$B$5,O2940&gt;='Итоги'!$D$5),"Да","Нет")</x:f>
        <x:v>Нет</x:v>
      </x:c>
    </x:row>
    <x:row r="2941" ht="60" customHeight="1">
      <x:c r="A2941" s="14" t="str">
        <x:v>Детская одежда</x:v>
      </x:c>
      <x:c r="B2941" s="14" t="str">
        <x:v>Детская одежда</x:v>
      </x:c>
      <x:c r="C2941" s="14" t="str">
        <x:v>Головные уборы, перчатки, шарфы для девочки</x:v>
      </x:c>
      <x:c r="D2941" s="14" t="str">
        <x:v>Балаклава для девочки</x:v>
      </x:c>
      <x:c r="E2941" s="2" t="n">
        <x:v>3</x:v>
      </x:c>
      <x:c r="F2941" s="2" t="n">
        <x:v>0</x:v>
      </x:c>
      <x:c r="G2941" s="12" t="n">
        <x:v>414393.6629</x:v>
      </x:c>
      <x:c r="H2941" s="12" t="n">
        <x:v>30628.222509510004</x:v>
      </x:c>
      <x:c r="I2941" s="13" t="n">
        <x:v>0.0673</x:v>
      </x:c>
      <x:c r="J2941" s="2" t="n">
        <x:v>2</x:v>
      </x:c>
      <x:c r="K2941" s="2" t="n">
        <x:v>2</x:v>
      </x:c>
      <x:c r="L2941" s="12" t="n">
        <x:v>2297.1571</x:v>
      </x:c>
      <x:c r="M2941" s="13" t="n">
        <x:v>0.6339230628229764</x:v>
      </x:c>
      <x:c r="N2941" s="13" t="n">
        <x:f>H2941/G2941</x:f>
        <x:v>0.07391093361604108</x:v>
      </x:c>
      <x:c r="O2941" s="13" t="n">
        <x:f>F2941/E2941</x:f>
        <x:v>0</x:v>
      </x:c>
      <x:c r="P2941" s="2" t="str">
        <x:f>IF(AND(E2941&gt;='Итоги'!$F$5,N2941&lt;='Итоги'!$B$5,O2941&gt;='Итоги'!$D$5),"Да","Нет")</x:f>
        <x:v>Нет</x:v>
      </x:c>
    </x:row>
    <x:row r="2942" ht="60" customHeight="1">
      <x:c r="A2942" s="14" t="str">
        <x:v>Школьные принадлежности и канцелярия</x:v>
      </x:c>
      <x:c r="B2942" s="14" t="str">
        <x:v>Товары для школы, канцелярия, оборудование</x:v>
      </x:c>
      <x:c r="C2942" s="14" t="str">
        <x:v>Папка</x:v>
      </x:c>
      <x:c r="D2942" s="14" t="str">
        <x:v>Папка-портфель пластиковая</x:v>
      </x:c>
      <x:c r="E2942" s="2" t="n">
        <x:v>2</x:v>
      </x:c>
      <x:c r="F2942" s="2" t="n">
        <x:v>0</x:v>
      </x:c>
      <x:c r="G2942" s="12" t="n">
        <x:v>179728.26</x:v>
      </x:c>
      <x:c r="H2942" s="12" t="n">
        <x:v>13286.665313999998</x:v>
      </x:c>
      <x:c r="I2942" s="13" t="n">
        <x:v>0.07645</x:v>
      </x:c>
      <x:c r="J2942" s="2" t="n">
        <x:v>0</x:v>
      </x:c>
      <x:c r="K2942" s="2" t="n">
        <x:v>2</x:v>
      </x:c>
      <x:c r="L2942" s="12" t="n">
        <x:v>767.5865</x:v>
      </x:c>
      <x:c r="M2942" s="13" t="n">
        <x:v>0.5387647997037305</x:v>
      </x:c>
      <x:c r="N2942" s="13" t="n">
        <x:f>H2942/G2942</x:f>
        <x:v>0.07392641153928713</x:v>
      </x:c>
      <x:c r="O2942" s="13" t="n">
        <x:f>F2942/E2942</x:f>
        <x:v>0</x:v>
      </x:c>
      <x:c r="P2942" s="2" t="str">
        <x:f>IF(AND(E2942&gt;='Итоги'!$F$5,N2942&lt;='Итоги'!$B$5,O2942&gt;='Итоги'!$D$5),"Да","Нет")</x:f>
        <x:v>Нет</x:v>
      </x:c>
    </x:row>
    <x:row r="2943" ht="60" customHeight="1">
      <x:c r="A2943" s="14" t="str">
        <x:v>Спорт и отдых</x:v>
      </x:c>
      <x:c r="B2943" s="14" t="str">
        <x:v>Единоборства</x:v>
      </x:c>
      <x:c r="C2943" s="14" t="str">
        <x:v>Бокс</x:v>
      </x:c>
      <x:c r="D2943" s="14" t="str">
        <x:v>Перчатки для бокса</x:v>
      </x:c>
      <x:c r="E2943" s="2" t="n">
        <x:v>23</x:v>
      </x:c>
      <x:c r="F2943" s="2" t="n">
        <x:v>0</x:v>
      </x:c>
      <x:c r="G2943" s="12" t="n">
        <x:v>2195728.6422</x:v>
      </x:c>
      <x:c r="H2943" s="12" t="n">
        <x:v>162376.35317215</x:v>
      </x:c>
      <x:c r="I2943" s="13" t="n">
        <x:v>0.0672695652173913</x:v>
      </x:c>
      <x:c r="J2943" s="2" t="n">
        <x:v>10</x:v>
      </x:c>
      <x:c r="K2943" s="2" t="n">
        <x:v>4</x:v>
      </x:c>
      <x:c r="L2943" s="12" t="n">
        <x:v>1879.9691</x:v>
      </x:c>
      <x:c r="M2943" s="13" t="n">
        <x:v>0.8934586972616028</x:v>
      </x:c>
      <x:c r="N2943" s="13" t="n">
        <x:f>H2943/G2943</x:f>
        <x:v>0.0739510110909961</x:v>
      </x:c>
      <x:c r="O2943" s="13" t="n">
        <x:f>F2943/E2943</x:f>
        <x:v>0</x:v>
      </x:c>
      <x:c r="P2943" s="2" t="str">
        <x:f>IF(AND(E2943&gt;='Итоги'!$F$5,N2943&lt;='Итоги'!$B$5,O2943&gt;='Итоги'!$D$5),"Да","Нет")</x:f>
        <x:v>Нет</x:v>
      </x:c>
    </x:row>
    <x:row r="2944" ht="60" customHeight="1">
      <x:c r="A2944" s="14" t="str">
        <x:v>Строительство и ремонт (DIY)</x:v>
      </x:c>
      <x:c r="B2944" s="14" t="str">
        <x:v>Освещение</x:v>
      </x:c>
      <x:c r="C2944" s="14" t="str">
        <x:v>Светильник домашний</x:v>
      </x:c>
      <x:c r="D2944" s="14" t="str">
        <x:v>Светильник трековый, спот</x:v>
      </x:c>
      <x:c r="E2944" s="2" t="n">
        <x:v>43</x:v>
      </x:c>
      <x:c r="F2944" s="2" t="n">
        <x:v>0</x:v>
      </x:c>
      <x:c r="G2944" s="12" t="n">
        <x:v>7209415.7811</x:v>
      </x:c>
      <x:c r="H2944" s="12" t="n">
        <x:v>533542.70791604</x:v>
      </x:c>
      <x:c r="I2944" s="13" t="n">
        <x:v>0.0675627906976744</x:v>
      </x:c>
      <x:c r="J2944" s="2" t="n">
        <x:v>10</x:v>
      </x:c>
      <x:c r="K2944" s="2" t="n">
        <x:v>7</x:v>
      </x:c>
      <x:c r="L2944" s="12" t="n">
        <x:v>1768.7909</x:v>
      </x:c>
      <x:c r="M2944" s="13" t="n">
        <x:v>0.7485746364564047</x:v>
      </x:c>
      <x:c r="N2944" s="13" t="n">
        <x:f>H2944/G2944</x:f>
        <x:v>0.07400637223819999</x:v>
      </x:c>
      <x:c r="O2944" s="13" t="n">
        <x:f>F2944/E2944</x:f>
        <x:v>0</x:v>
      </x:c>
      <x:c r="P2944" s="2" t="str">
        <x:f>IF(AND(E2944&gt;='Итоги'!$F$5,N2944&lt;='Итоги'!$B$5,O2944&gt;='Итоги'!$D$5),"Да","Нет")</x:f>
        <x:v>Нет</x:v>
      </x:c>
    </x:row>
    <x:row r="2945" ht="60" customHeight="1">
      <x:c r="A2945" s="14" t="str">
        <x:v>Товары для красоты и здоровья</x:v>
      </x:c>
      <x:c r="B2945" s="14" t="str">
        <x:v>Уход и гигиена</x:v>
      </x:c>
      <x:c r="C2945" s="14" t="str">
        <x:v>Гигиена тела</x:v>
      </x:c>
      <x:c r="D2945" s="14" t="str">
        <x:v>Дезодорант женский</x:v>
      </x:c>
      <x:c r="E2945" s="2" t="n">
        <x:v>60</x:v>
      </x:c>
      <x:c r="F2945" s="2" t="n">
        <x:v>0</x:v>
      </x:c>
      <x:c r="G2945" s="12" t="n">
        <x:v>7621994.1222</x:v>
      </x:c>
      <x:c r="H2945" s="12" t="n">
        <x:v>564461.79233896</x:v>
      </x:c>
      <x:c r="I2945" s="13" t="n">
        <x:v>0.0687983333333333</x:v>
      </x:c>
      <x:c r="J2945" s="2" t="n">
        <x:v>27</x:v>
      </x:c>
      <x:c r="K2945" s="2" t="n">
        <x:v>27</x:v>
      </x:c>
      <x:c r="L2945" s="12" t="n">
        <x:v>1091.0315</x:v>
      </x:c>
      <x:c r="M2945" s="13" t="n">
        <x:v>0.2344708229037789</x:v>
      </x:c>
      <x:c r="N2945" s="13" t="n">
        <x:f>H2945/G2945</x:f>
        <x:v>0.07405697030057991</x:v>
      </x:c>
      <x:c r="O2945" s="13" t="n">
        <x:f>F2945/E2945</x:f>
        <x:v>0</x:v>
      </x:c>
      <x:c r="P2945" s="2" t="str">
        <x:f>IF(AND(E2945&gt;='Итоги'!$F$5,N2945&lt;='Итоги'!$B$5,O2945&gt;='Итоги'!$D$5),"Да","Нет")</x:f>
        <x:v>Нет</x:v>
      </x:c>
    </x:row>
    <x:row r="2946" ht="60" customHeight="1">
      <x:c r="A2946" s="14" t="str">
        <x:v>Аптека</x:v>
      </x:c>
      <x:c r="B2946" s="14" t="str">
        <x:v>Спортивное питание</x:v>
      </x:c>
      <x:c r="C2946" s="14" t="str">
        <x:v>Гейнеры</x:v>
      </x:c>
      <x:c r="D2946" s="14" t="str">
        <x:v>Гейнер</x:v>
      </x:c>
      <x:c r="E2946" s="2" t="n">
        <x:v>187</x:v>
      </x:c>
      <x:c r="F2946" s="2" t="n">
        <x:v>0</x:v>
      </x:c>
      <x:c r="G2946" s="12" t="n">
        <x:v>36927715.2673</x:v>
      </x:c>
      <x:c r="H2946" s="12" t="n">
        <x:v>2736365.82139822</x:v>
      </x:c>
      <x:c r="I2946" s="13" t="n">
        <x:v>0.0828379679144385</x:v>
      </x:c>
      <x:c r="J2946" s="2" t="n">
        <x:v>44</x:v>
      </x:c>
      <x:c r="K2946" s="2" t="n">
        <x:v>10</x:v>
      </x:c>
      <x:c r="L2946" s="12" t="n">
        <x:v>2492.6569</x:v>
      </x:c>
      <x:c r="M2946" s="13" t="n">
        <x:v>0.8620925007372557</x:v>
      </x:c>
      <x:c r="N2946" s="13" t="n">
        <x:f>H2946/G2946</x:f>
        <x:v>0.07410059901055698</x:v>
      </x:c>
      <x:c r="O2946" s="13" t="n">
        <x:f>F2946/E2946</x:f>
        <x:v>0</x:v>
      </x:c>
      <x:c r="P2946" s="2" t="str">
        <x:f>IF(AND(E2946&gt;='Итоги'!$F$5,N2946&lt;='Итоги'!$B$5,O2946&gt;='Итоги'!$D$5),"Да","Нет")</x:f>
        <x:v>Нет</x:v>
      </x:c>
    </x:row>
    <x:row r="2947" ht="60" customHeight="1">
      <x:c r="A2947" s="14" t="str">
        <x:v>Товары для красоты и здоровья</x:v>
      </x:c>
      <x:c r="B2947" s="14" t="str">
        <x:v>Парфюмерия, ароматерапия</x:v>
      </x:c>
      <x:c r="C2947" s="14" t="str">
        <x:v>Парфюмерия для мужчин</x:v>
      </x:c>
      <x:c r="D2947" s="14" t="str">
        <x:v>Туалетная вода мужская</x:v>
      </x:c>
      <x:c r="E2947" s="2" t="n">
        <x:v>87</x:v>
      </x:c>
      <x:c r="F2947" s="2" t="n">
        <x:v>0</x:v>
      </x:c>
      <x:c r="G2947" s="12" t="n">
        <x:v>11637318.2971</x:v>
      </x:c>
      <x:c r="H2947" s="12" t="n">
        <x:v>862549.90468996</x:v>
      </x:c>
      <x:c r="I2947" s="13" t="n">
        <x:v>0.0628735632183908</x:v>
      </x:c>
      <x:c r="J2947" s="2" t="n">
        <x:v>40</x:v>
      </x:c>
      <x:c r="K2947" s="2" t="n">
        <x:v>16</x:v>
      </x:c>
      <x:c r="L2947" s="12" t="n">
        <x:v>1823.2128</x:v>
      </x:c>
      <x:c r="M2947" s="13" t="n">
        <x:v>0.5065051945145185</x:v>
      </x:c>
      <x:c r="N2947" s="13" t="n">
        <x:f>H2947/G2947</x:f>
        <x:v>0.07411930160103174</x:v>
      </x:c>
      <x:c r="O2947" s="13" t="n">
        <x:f>F2947/E2947</x:f>
        <x:v>0</x:v>
      </x:c>
      <x:c r="P2947" s="2" t="str">
        <x:f>IF(AND(E2947&gt;='Итоги'!$F$5,N2947&lt;='Итоги'!$B$5,O2947&gt;='Итоги'!$D$5),"Да","Нет")</x:f>
        <x:v>Нет</x:v>
      </x:c>
    </x:row>
    <x:row r="2948" ht="60" customHeight="1">
      <x:c r="A2948" s="14" t="str">
        <x:v>Хобби и творчество</x:v>
      </x:c>
      <x:c r="B2948" s="14" t="str">
        <x:v>Детское творчество и хобби</x:v>
      </x:c>
      <x:c r="C2948" s="14" t="str">
        <x:v>Настольные и обучающие игры</x:v>
      </x:c>
      <x:c r="D2948" s="14" t="str">
        <x:v>Пирамидка для малышей</x:v>
      </x:c>
      <x:c r="E2948" s="2" t="n">
        <x:v>2</x:v>
      </x:c>
      <x:c r="F2948" s="2" t="n">
        <x:v>0</x:v>
      </x:c>
      <x:c r="G2948" s="12" t="n">
        <x:v>88205.03</x:v>
      </x:c>
      <x:c r="H2948" s="12" t="n">
        <x:v>6543.541913000001</x:v>
      </x:c>
      <x:c r="I2948" s="13" t="n">
        <x:v>0.04265</x:v>
      </x:c>
      <x:c r="J2948" s="2" t="n">
        <x:v>0</x:v>
      </x:c>
      <x:c r="K2948" s="2" t="n">
        <x:v>2</x:v>
      </x:c>
      <x:c r="L2948" s="12" t="n">
        <x:v>1177.5835499999998</x:v>
      </x:c>
      <x:c r="M2948" s="13" t="n">
        <x:v>0.9577008249983022</x:v>
      </x:c>
      <x:c r="N2948" s="13" t="n">
        <x:f>H2948/G2948</x:f>
        <x:v>0.07418558684238304</x:v>
      </x:c>
      <x:c r="O2948" s="13" t="n">
        <x:f>F2948/E2948</x:f>
        <x:v>0</x:v>
      </x:c>
      <x:c r="P2948" s="2" t="str">
        <x:f>IF(AND(E2948&gt;='Итоги'!$F$5,N2948&lt;='Итоги'!$B$5,O2948&gt;='Итоги'!$D$5),"Да","Нет")</x:f>
        <x:v>Нет</x:v>
      </x:c>
    </x:row>
    <x:row r="2949" ht="60" customHeight="1">
      <x:c r="A2949" s="14" t="str">
        <x:v>Спорт и отдых</x:v>
      </x:c>
      <x:c r="B2949" s="14" t="str">
        <x:v>Тренажеры и фитнес</x:v>
      </x:c>
      <x:c r="C2949" s="14" t="str">
        <x:v>Спортивная гимнастика</x:v>
      </x:c>
      <x:c r="D2949" s="14" t="str">
        <x:v>Конь гимнастический</x:v>
      </x:c>
      <x:c r="E2949" s="2" t="n">
        <x:v>1</x:v>
      </x:c>
      <x:c r="F2949" s="2" t="n">
        <x:v>0</x:v>
      </x:c>
      <x:c r="G2949" s="12" t="n">
        <x:v>118914</x:v>
      </x:c>
      <x:c r="H2949" s="12" t="n">
        <x:v>8823.4188</x:v>
      </x:c>
      <x:c r="I2949" s="13" t="n">
        <x:v>0.0742</x:v>
      </x:c>
      <x:c r="J2949" s="2" t="n">
        <x:v>0</x:v>
      </x:c>
      <x:c r="K2949" s="2" t="n">
        <x:v>1</x:v>
      </x:c>
      <x:c r="L2949" s="12" t="n">
        <x:v>59457</x:v>
      </x:c>
      <x:c r="M2949" s="13" t="n">
        <x:v>1</x:v>
      </x:c>
      <x:c r="N2949" s="13" t="n">
        <x:f>H2949/G2949</x:f>
        <x:v>0.0742</x:v>
      </x:c>
      <x:c r="O2949" s="13" t="n">
        <x:f>F2949/E2949</x:f>
        <x:v>0</x:v>
      </x:c>
      <x:c r="P2949" s="2" t="str">
        <x:f>IF(AND(E2949&gt;='Итоги'!$F$5,N2949&lt;='Итоги'!$B$5,O2949&gt;='Итоги'!$D$5),"Да","Нет")</x:f>
        <x:v>Нет</x:v>
      </x:c>
    </x:row>
    <x:row r="2950" ht="60" customHeight="1">
      <x:c r="A2950" s="14" t="str">
        <x:v>Спорт и отдых</x:v>
      </x:c>
      <x:c r="B2950" s="14" t="str">
        <x:v>Туризм</x:v>
      </x:c>
      <x:c r="C2950" s="14" t="str">
        <x:v>Снаряжение для альпинизма и скалолазания</x:v>
      </x:c>
      <x:c r="D2950" s="14" t="str">
        <x:v>Вспомогательное оборудование и аксессуары для альпинизма</x:v>
      </x:c>
      <x:c r="E2950" s="2" t="n">
        <x:v>7</x:v>
      </x:c>
      <x:c r="F2950" s="2" t="n">
        <x:v>0</x:v>
      </x:c>
      <x:c r="G2950" s="12" t="n">
        <x:v>1110485.4622</x:v>
      </x:c>
      <x:c r="H2950" s="12" t="n">
        <x:v>82422.28520366999</x:v>
      </x:c>
      <x:c r="I2950" s="13" t="n">
        <x:v>0.0964857142857142</x:v>
      </x:c>
      <x:c r="J2950" s="2" t="n">
        <x:v>2</x:v>
      </x:c>
      <x:c r="K2950" s="2" t="n">
        <x:v>5</x:v>
      </x:c>
      <x:c r="L2950" s="12" t="n">
        <x:v>1606.8148</x:v>
      </x:c>
      <x:c r="M2950" s="13" t="n">
        <x:v>0.2480908122418822</x:v>
      </x:c>
      <x:c r="N2950" s="13" t="n">
        <x:f>H2950/G2950</x:f>
        <x:v>0.07422184982087197</x:v>
      </x:c>
      <x:c r="O2950" s="13" t="n">
        <x:f>F2950/E2950</x:f>
        <x:v>0</x:v>
      </x:c>
      <x:c r="P2950" s="2" t="str">
        <x:f>IF(AND(E2950&gt;='Итоги'!$F$5,N2950&lt;='Итоги'!$B$5,O2950&gt;='Итоги'!$D$5),"Да","Нет")</x:f>
        <x:v>Нет</x:v>
      </x:c>
    </x:row>
    <x:row r="2951" ht="60" customHeight="1">
      <x:c r="A2951" s="14" t="str">
        <x:v>Мебель</x:v>
      </x:c>
      <x:c r="B2951" s="14" t="str">
        <x:v>Столы и стулья</x:v>
      </x:c>
      <x:c r="C2951" s="14" t="str">
        <x:v>Туалетный столик, трюмо</x:v>
      </x:c>
      <x:c r="D2951" s="14" t="str">
        <x:v>Туалетный столик, трюмо</x:v>
      </x:c>
      <x:c r="E2951" s="2" t="n">
        <x:v>128</x:v>
      </x:c>
      <x:c r="F2951" s="2" t="n">
        <x:v>0</x:v>
      </x:c>
      <x:c r="G2951" s="12" t="n">
        <x:v>22042211.5775</x:v>
      </x:c>
      <x:c r="H2951" s="12" t="n">
        <x:v>1637520.49774409</x:v>
      </x:c>
      <x:c r="I2951" s="13" t="n">
        <x:v>0.07801328125</x:v>
      </x:c>
      <x:c r="J2951" s="2" t="n">
        <x:v>19</x:v>
      </x:c>
      <x:c r="K2951" s="2" t="n">
        <x:v>28</x:v>
      </x:c>
      <x:c r="L2951" s="12" t="n">
        <x:v>5250.1204</x:v>
      </x:c>
      <x:c r="M2951" s="13" t="n">
        <x:v>0.5675036153799028</x:v>
      </x:c>
      <x:c r="N2951" s="13" t="n">
        <x:f>H2951/G2951</x:f>
        <x:v>0.0742902086746876</x:v>
      </x:c>
      <x:c r="O2951" s="13" t="n">
        <x:f>F2951/E2951</x:f>
        <x:v>0</x:v>
      </x:c>
      <x:c r="P2951" s="2" t="str">
        <x:f>IF(AND(E2951&gt;='Итоги'!$F$5,N2951&lt;='Итоги'!$B$5,O2951&gt;='Итоги'!$D$5),"Да","Нет")</x:f>
        <x:v>Нет</x:v>
      </x:c>
    </x:row>
    <x:row r="2952" ht="60" customHeight="1">
      <x:c r="A2952" s="14" t="str">
        <x:v>Спорт и отдых</x:v>
      </x:c>
      <x:c r="B2952" s="14" t="str">
        <x:v>Единоборства</x:v>
      </x:c>
      <x:c r="C2952" s="14" t="str">
        <x:v>Бокс</x:v>
      </x:c>
      <x:c r="D2952" s="14" t="str">
        <x:v>Груша для бокса</x:v>
      </x:c>
      <x:c r="E2952" s="2" t="n">
        <x:v>77</x:v>
      </x:c>
      <x:c r="F2952" s="2" t="n">
        <x:v>0</x:v>
      </x:c>
      <x:c r="G2952" s="12" t="n">
        <x:v>10740361.3553</x:v>
      </x:c>
      <x:c r="H2952" s="12" t="n">
        <x:v>798280.3270037</x:v>
      </x:c>
      <x:c r="I2952" s="13" t="n">
        <x:v>0.0792610389610389</x:v>
      </x:c>
      <x:c r="J2952" s="2" t="n">
        <x:v>15</x:v>
      </x:c>
      <x:c r="K2952" s="2" t="n">
        <x:v>13</x:v>
      </x:c>
      <x:c r="L2952" s="12" t="n">
        <x:v>3689.1732</x:v>
      </x:c>
      <x:c r="M2952" s="13" t="n">
        <x:v>0.8321111012330894</x:v>
      </x:c>
      <x:c r="N2952" s="13" t="n">
        <x:f>H2952/G2952</x:f>
        <x:v>0.07432527645913664</x:v>
      </x:c>
      <x:c r="O2952" s="13" t="n">
        <x:f>F2952/E2952</x:f>
        <x:v>0</x:v>
      </x:c>
      <x:c r="P2952" s="2" t="str">
        <x:f>IF(AND(E2952&gt;='Итоги'!$F$5,N2952&lt;='Итоги'!$B$5,O2952&gt;='Итоги'!$D$5),"Да","Нет")</x:f>
        <x:v>Нет</x:v>
      </x:c>
    </x:row>
    <x:row r="2953" ht="60" customHeight="1">
      <x:c r="A2953" s="14" t="str">
        <x:v>Аптека</x:v>
      </x:c>
      <x:c r="B2953" s="14" t="str">
        <x:v>Спортивное питание</x:v>
      </x:c>
      <x:c r="C2953" s="14" t="str">
        <x:v>Заменители питания для спортсменов</x:v>
      </x:c>
      <x:c r="D2953" s="14" t="str">
        <x:v>Заменители питания</x:v>
      </x:c>
      <x:c r="E2953" s="2" t="n">
        <x:v>104</x:v>
      </x:c>
      <x:c r="F2953" s="2" t="n">
        <x:v>0</x:v>
      </x:c>
      <x:c r="G2953" s="12" t="n">
        <x:v>22398054.9761</x:v>
      </x:c>
      <x:c r="H2953" s="12" t="n">
        <x:v>1665400.29172196</x:v>
      </x:c>
      <x:c r="I2953" s="13" t="n">
        <x:v>0.0762884615384615</x:v>
      </x:c>
      <x:c r="J2953" s="2" t="n">
        <x:v>23</x:v>
      </x:c>
      <x:c r="K2953" s="2" t="n">
        <x:v>10</x:v>
      </x:c>
      <x:c r="L2953" s="12" t="n">
        <x:v>912.48785</x:v>
      </x:c>
      <x:c r="M2953" s="13" t="n">
        <x:v>0.893387848384691</x:v>
      </x:c>
      <x:c r="N2953" s="13" t="n">
        <x:f>H2953/G2953</x:f>
        <x:v>0.07435468363208488</x:v>
      </x:c>
      <x:c r="O2953" s="13" t="n">
        <x:f>F2953/E2953</x:f>
        <x:v>0</x:v>
      </x:c>
      <x:c r="P2953" s="2" t="str">
        <x:f>IF(AND(E2953&gt;='Итоги'!$F$5,N2953&lt;='Итоги'!$B$5,O2953&gt;='Итоги'!$D$5),"Да","Нет")</x:f>
        <x:v>Нет</x:v>
      </x:c>
    </x:row>
    <x:row r="2954" ht="60" customHeight="1">
      <x:c r="A2954" s="14" t="str">
        <x:v>Товары для дома</x:v>
      </x:c>
      <x:c r="B2954" s="14" t="str">
        <x:v>Хранение</x:v>
      </x:c>
      <x:c r="C2954" s="14" t="str">
        <x:v>Товары для хранения</x:v>
      </x:c>
      <x:c r="D2954" s="14" t="str">
        <x:v>Корзина для хранения</x:v>
      </x:c>
      <x:c r="E2954" s="2" t="n">
        <x:v>66</x:v>
      </x:c>
      <x:c r="F2954" s="2" t="n">
        <x:v>0</x:v>
      </x:c>
      <x:c r="G2954" s="12" t="n">
        <x:v>7880391.6084</x:v>
      </x:c>
      <x:c r="H2954" s="12" t="n">
        <x:v>586101.82304805</x:v>
      </x:c>
      <x:c r="I2954" s="13" t="n">
        <x:v>0.0616666666666666</x:v>
      </x:c>
      <x:c r="J2954" s="2" t="n">
        <x:v>21</x:v>
      </x:c>
      <x:c r="K2954" s="2" t="n">
        <x:v>30</x:v>
      </x:c>
      <x:c r="L2954" s="12" t="n">
        <x:v>1471.97135</x:v>
      </x:c>
      <x:c r="M2954" s="13" t="n">
        <x:v>0.2043969529360781</x:v>
      </x:c>
      <x:c r="N2954" s="13" t="n">
        <x:f>H2954/G2954</x:f>
        <x:v>0.07437470777763157</x:v>
      </x:c>
      <x:c r="O2954" s="13" t="n">
        <x:f>F2954/E2954</x:f>
        <x:v>0</x:v>
      </x:c>
      <x:c r="P2954" s="2" t="str">
        <x:f>IF(AND(E2954&gt;='Итоги'!$F$5,N2954&lt;='Итоги'!$B$5,O2954&gt;='Итоги'!$D$5),"Да","Нет")</x:f>
        <x:v>Нет</x:v>
      </x:c>
    </x:row>
    <x:row r="2955" ht="60" customHeight="1">
      <x:c r="A2955" s="14" t="str">
        <x:v>Товары для детей и спорта</x:v>
      </x:c>
      <x:c r="B2955" s="14" t="str">
        <x:v>Текстиль детский</x:v>
      </x:c>
      <x:c r="C2955" s="14" t="str">
        <x:v>Переноска детей и аксессуары для кормления</x:v>
      </x:c>
      <x:c r="D2955" s="14" t="str">
        <x:v>Рюкзак для переноски детей</x:v>
      </x:c>
      <x:c r="E2955" s="2" t="n">
        <x:v>24</x:v>
      </x:c>
      <x:c r="F2955" s="2" t="n">
        <x:v>0</x:v>
      </x:c>
      <x:c r="G2955" s="12" t="n">
        <x:v>2639798.0718</x:v>
      </x:c>
      <x:c r="H2955" s="12" t="n">
        <x:v>196344.56637766</x:v>
      </x:c>
      <x:c r="I2955" s="13" t="n">
        <x:v>0.0678041666666666</x:v>
      </x:c>
      <x:c r="J2955" s="2" t="n">
        <x:v>7</x:v>
      </x:c>
      <x:c r="K2955" s="2" t="n">
        <x:v>11</x:v>
      </x:c>
      <x:c r="L2955" s="12" t="n">
        <x:v>2380.5361000000003</x:v>
      </x:c>
      <x:c r="M2955" s="13" t="n">
        <x:v>0.2677454773342031</x:v>
      </x:c>
      <x:c r="N2955" s="13" t="n">
        <x:f>H2955/G2955</x:f>
        <x:v>0.07437863087905752</x:v>
      </x:c>
      <x:c r="O2955" s="13" t="n">
        <x:f>F2955/E2955</x:f>
        <x:v>0</x:v>
      </x:c>
      <x:c r="P2955" s="2" t="str">
        <x:f>IF(AND(E2955&gt;='Итоги'!$F$5,N2955&lt;='Итоги'!$B$5,O2955&gt;='Итоги'!$D$5),"Да","Нет")</x:f>
        <x:v>Нет</x:v>
      </x:c>
    </x:row>
    <x:row r="2956" ht="60" customHeight="1">
      <x:c r="A2956" s="14" t="str">
        <x:v>Товары для красоты и здоровья</x:v>
      </x:c>
      <x:c r="B2956" s="14" t="str">
        <x:v>Косметика для ухода за кожей</x:v>
      </x:c>
      <x:c r="C2956" s="14" t="str">
        <x:v>Загар</x:v>
      </x:c>
      <x:c r="D2956" s="14" t="str">
        <x:v>Средство для загара в солярии</x:v>
      </x:c>
      <x:c r="E2956" s="2" t="n">
        <x:v>6</x:v>
      </x:c>
      <x:c r="F2956" s="2" t="n">
        <x:v>0</x:v>
      </x:c>
      <x:c r="G2956" s="12" t="n">
        <x:v>637421.598</x:v>
      </x:c>
      <x:c r="H2956" s="12" t="n">
        <x:v>47444.0398112</x:v>
      </x:c>
      <x:c r="I2956" s="13" t="n">
        <x:v>0.0919833333333333</x:v>
      </x:c>
      <x:c r="J2956" s="2" t="n">
        <x:v>3</x:v>
      </x:c>
      <x:c r="K2956" s="2" t="n">
        <x:v>4</x:v>
      </x:c>
      <x:c r="L2956" s="12" t="n">
        <x:v>1064.70525</x:v>
      </x:c>
      <x:c r="M2956" s="13" t="n">
        <x:v>0.3248197874838875</x:v>
      </x:c>
      <x:c r="N2956" s="13" t="n">
        <x:f>H2956/G2956</x:f>
        <x:v>0.0744311770421058</x:v>
      </x:c>
      <x:c r="O2956" s="13" t="n">
        <x:f>F2956/E2956</x:f>
        <x:v>0</x:v>
      </x:c>
      <x:c r="P2956" s="2" t="str">
        <x:f>IF(AND(E2956&gt;='Итоги'!$F$5,N2956&lt;='Итоги'!$B$5,O2956&gt;='Итоги'!$D$5),"Да","Нет")</x:f>
        <x:v>Нет</x:v>
      </x:c>
    </x:row>
    <x:row r="2957" ht="60" customHeight="1">
      <x:c r="A2957" s="14" t="str">
        <x:v>Одежда</x:v>
      </x:c>
      <x:c r="B2957" s="14" t="str">
        <x:v>Спецодежда и одежда для мероприятий</x:v>
      </x:c>
      <x:c r="C2957" s="14" t="str">
        <x:v>Спецодежда мужская</x:v>
      </x:c>
      <x:c r="D2957" s="14" t="str">
        <x:v>Фартук для официанта мужской</x:v>
      </x:c>
      <x:c r="E2957" s="2" t="n">
        <x:v>1</x:v>
      </x:c>
      <x:c r="F2957" s="2" t="n">
        <x:v>0</x:v>
      </x:c>
      <x:c r="G2957" s="12" t="n">
        <x:v>93030.25</x:v>
      </x:c>
      <x:c r="H2957" s="12" t="n">
        <x:v>6930.753624999999</x:v>
      </x:c>
      <x:c r="I2957" s="13" t="n">
        <x:v>0.0745</x:v>
      </x:c>
      <x:c r="J2957" s="2" t="n">
        <x:v>0</x:v>
      </x:c>
      <x:c r="K2957" s="2" t="n">
        <x:v>1</x:v>
      </x:c>
      <x:c r="L2957" s="12" t="n">
        <x:v>894.5216</x:v>
      </x:c>
      <x:c r="M2957" s="13" t="n">
        <x:v>1</x:v>
      </x:c>
      <x:c r="N2957" s="13" t="n">
        <x:f>H2957/G2957</x:f>
        <x:v>0.0745</x:v>
      </x:c>
      <x:c r="O2957" s="13" t="n">
        <x:f>F2957/E2957</x:f>
        <x:v>0</x:v>
      </x:c>
      <x:c r="P2957" s="2" t="str">
        <x:f>IF(AND(E2957&gt;='Итоги'!$F$5,N2957&lt;='Итоги'!$B$5,O2957&gt;='Итоги'!$D$5),"Да","Нет")</x:f>
        <x:v>Нет</x:v>
      </x:c>
    </x:row>
    <x:row r="2958" ht="60" customHeight="1">
      <x:c r="A2958" s="14" t="str">
        <x:v>Товары для животных</x:v>
      </x:c>
      <x:c r="B2958" s="14" t="str">
        <x:v>Спальное место животного</x:v>
      </x:c>
      <x:c r="C2958" s="14" t="str">
        <x:v>Посуда для животных</x:v>
      </x:c>
      <x:c r="D2958" s="14" t="str">
        <x:v>Емкость для корма</x:v>
      </x:c>
      <x:c r="E2958" s="2" t="n">
        <x:v>10</x:v>
      </x:c>
      <x:c r="F2958" s="2" t="n">
        <x:v>0</x:v>
      </x:c>
      <x:c r="G2958" s="12" t="n">
        <x:v>1722598.393</x:v>
      </x:c>
      <x:c r="H2958" s="12" t="n">
        <x:v>128590.5235581</x:v>
      </x:c>
      <x:c r="I2958" s="13" t="n">
        <x:v>0.07725</x:v>
      </x:c>
      <x:c r="J2958" s="2" t="n">
        <x:v>0</x:v>
      </x:c>
      <x:c r="K2958" s="2" t="n">
        <x:v>4</x:v>
      </x:c>
      <x:c r="L2958" s="12" t="n">
        <x:v>1598.26585</x:v>
      </x:c>
      <x:c r="M2958" s="13" t="n">
        <x:v>0.6914520647065296</x:v>
      </x:c>
      <x:c r="N2958" s="13" t="n">
        <x:f>H2958/G2958</x:f>
        <x:v>0.07464916029217497</x:v>
      </x:c>
      <x:c r="O2958" s="13" t="n">
        <x:f>F2958/E2958</x:f>
        <x:v>0</x:v>
      </x:c>
      <x:c r="P2958" s="2" t="str">
        <x:f>IF(AND(E2958&gt;='Итоги'!$F$5,N2958&lt;='Итоги'!$B$5,O2958&gt;='Итоги'!$D$5),"Да","Нет")</x:f>
        <x:v>Нет</x:v>
      </x:c>
    </x:row>
    <x:row r="2959" ht="60" customHeight="1">
      <x:c r="A2959" s="14" t="str">
        <x:v>Аксессуары</x:v>
      </x:c>
      <x:c r="B2959" s="14" t="str">
        <x:v>Сумки и рюкзаки</x:v>
      </x:c>
      <x:c r="C2959" s="14" t="str">
        <x:v>Сумка женская</x:v>
      </x:c>
      <x:c r="D2959" s="14" t="str">
        <x:v>Женская Сумка на пояс</x:v>
      </x:c>
      <x:c r="E2959" s="2" t="n">
        <x:v>8</x:v>
      </x:c>
      <x:c r="F2959" s="2" t="n">
        <x:v>0</x:v>
      </x:c>
      <x:c r="G2959" s="12" t="n">
        <x:v>694577.878</x:v>
      </x:c>
      <x:c r="H2959" s="12" t="n">
        <x:v>51894.743319</x:v>
      </x:c>
      <x:c r="I2959" s="13" t="n">
        <x:v>0.0532125</x:v>
      </x:c>
      <x:c r="J2959" s="2" t="n">
        <x:v>3</x:v>
      </x:c>
      <x:c r="K2959" s="2" t="n">
        <x:v>6</x:v>
      </x:c>
      <x:c r="L2959" s="12" t="n">
        <x:v>2382.9603</x:v>
      </x:c>
      <x:c r="M2959" s="13" t="n">
        <x:v>0.4519225675655624</x:v>
      </x:c>
      <x:c r="N2959" s="13" t="n">
        <x:f>H2959/G2959</x:f>
        <x:v>0.07471407449432185</x:v>
      </x:c>
      <x:c r="O2959" s="13" t="n">
        <x:f>F2959/E2959</x:f>
        <x:v>0</x:v>
      </x:c>
      <x:c r="P2959" s="2" t="str">
        <x:f>IF(AND(E2959&gt;='Итоги'!$F$5,N2959&lt;='Итоги'!$B$5,O2959&gt;='Итоги'!$D$5),"Да","Нет")</x:f>
        <x:v>Нет</x:v>
      </x:c>
    </x:row>
    <x:row r="2960" ht="60" customHeight="1">
      <x:c r="A2960" s="14" t="str">
        <x:v>Строительство и ремонт (DIY)</x:v>
      </x:c>
      <x:c r="B2960" s="14" t="str">
        <x:v>Ремонт и строительство</x:v>
      </x:c>
      <x:c r="C2960" s="14" t="str">
        <x:v>Строительная химия</x:v>
      </x:c>
      <x:c r="D2960" s="14" t="str">
        <x:v>Лак хозяйственный</x:v>
      </x:c>
      <x:c r="E2960" s="2" t="n">
        <x:v>66</x:v>
      </x:c>
      <x:c r="F2960" s="2" t="n">
        <x:v>0</x:v>
      </x:c>
      <x:c r="G2960" s="12" t="n">
        <x:v>12278261.6162</x:v>
      </x:c>
      <x:c r="H2960" s="12" t="n">
        <x:v>917432.15354165</x:v>
      </x:c>
      <x:c r="I2960" s="13" t="n">
        <x:v>0.0749954545454545</x:v>
      </x:c>
      <x:c r="J2960" s="2" t="n">
        <x:v>14</x:v>
      </x:c>
      <x:c r="K2960" s="2" t="n">
        <x:v>17</x:v>
      </x:c>
      <x:c r="L2960" s="12" t="n">
        <x:v>1396.5459</x:v>
      </x:c>
      <x:c r="M2960" s="13" t="n">
        <x:v>0.7393143968868611</x:v>
      </x:c>
      <x:c r="N2960" s="13" t="n">
        <x:f>H2960/G2960</x:f>
        <x:v>0.0747200362900873</x:v>
      </x:c>
      <x:c r="O2960" s="13" t="n">
        <x:f>F2960/E2960</x:f>
        <x:v>0</x:v>
      </x:c>
      <x:c r="P2960" s="2" t="str">
        <x:f>IF(AND(E2960&gt;='Итоги'!$F$5,N2960&lt;='Итоги'!$B$5,O2960&gt;='Итоги'!$D$5),"Да","Нет")</x:f>
        <x:v>Нет</x:v>
      </x:c>
    </x:row>
    <x:row r="2961" ht="60" customHeight="1">
      <x:c r="A2961" s="14" t="str">
        <x:v>Автотовары</x:v>
      </x:c>
      <x:c r="B2961" s="14" t="str">
        <x:v>Универсальные авто и мото аксессуары</x:v>
      </x:c>
      <x:c r="C2961" s="14" t="str">
        <x:v>Товары для чистоты автомобиля</x:v>
      </x:c>
      <x:c r="D2961" s="14" t="str">
        <x:v>Губки, тряпки, салфетки для ухода за авто</x:v>
      </x:c>
      <x:c r="E2961" s="2" t="n">
        <x:v>11</x:v>
      </x:c>
      <x:c r="F2961" s="2" t="n">
        <x:v>0</x:v>
      </x:c>
      <x:c r="G2961" s="12" t="n">
        <x:v>1780247.2431</x:v>
      </x:c>
      <x:c r="H2961" s="12" t="n">
        <x:v>133049.04907653</x:v>
      </x:c>
      <x:c r="I2961" s="13" t="n">
        <x:v>0.0608636363636363</x:v>
      </x:c>
      <x:c r="J2961" s="2" t="n">
        <x:v>6</x:v>
      </x:c>
      <x:c r="K2961" s="2" t="n">
        <x:v>5</x:v>
      </x:c>
      <x:c r="L2961" s="12" t="n">
        <x:v>1131.5561</x:v>
      </x:c>
      <x:c r="M2961" s="13" t="n">
        <x:v>0.6734335073101172</x:v>
      </x:c>
      <x:c r="N2961" s="13" t="n">
        <x:f>H2961/G2961</x:f>
        <x:v>0.07473627586966378</x:v>
      </x:c>
      <x:c r="O2961" s="13" t="n">
        <x:f>F2961/E2961</x:f>
        <x:v>0</x:v>
      </x:c>
      <x:c r="P2961" s="2" t="str">
        <x:f>IF(AND(E2961&gt;='Итоги'!$F$5,N2961&lt;='Итоги'!$B$5,O2961&gt;='Итоги'!$D$5),"Да","Нет")</x:f>
        <x:v>Нет</x:v>
      </x:c>
    </x:row>
    <x:row r="2962" ht="60" customHeight="1">
      <x:c r="A2962" s="14" t="str">
        <x:v>Товары для дома</x:v>
      </x:c>
      <x:c r="B2962" s="14" t="str">
        <x:v>Аксессуары для уборки и стирки</x:v>
      </x:c>
      <x:c r="C2962" s="14" t="str">
        <x:v>Баки, ведра, корзины</x:v>
      </x:c>
      <x:c r="D2962" s="14" t="str">
        <x:v>Таз</x:v>
      </x:c>
      <x:c r="E2962" s="2" t="n">
        <x:v>27</x:v>
      </x:c>
      <x:c r="F2962" s="2" t="n">
        <x:v>0</x:v>
      </x:c>
      <x:c r="G2962" s="12" t="n">
        <x:v>4958426.4032000005</x:v>
      </x:c>
      <x:c r="H2962" s="12" t="n">
        <x:v>370795.23627774</x:v>
      </x:c>
      <x:c r="I2962" s="13" t="n">
        <x:v>0.082237037037037</x:v>
      </x:c>
      <x:c r="J2962" s="2" t="n">
        <x:v>2</x:v>
      </x:c>
      <x:c r="K2962" s="2" t="n">
        <x:v>14</x:v>
      </x:c>
      <x:c r="L2962" s="12" t="n">
        <x:v>906.1519</x:v>
      </x:c>
      <x:c r="M2962" s="13" t="n">
        <x:v>0.4384612908435877</x:v>
      </x:c>
      <x:c r="N2962" s="13" t="n">
        <x:f>H2962/G2962</x:f>
        <x:v>0.0747808288610357</x:v>
      </x:c>
      <x:c r="O2962" s="13" t="n">
        <x:f>F2962/E2962</x:f>
        <x:v>0</x:v>
      </x:c>
      <x:c r="P2962" s="2" t="str">
        <x:f>IF(AND(E2962&gt;='Итоги'!$F$5,N2962&lt;='Итоги'!$B$5,O2962&gt;='Итоги'!$D$5),"Да","Нет")</x:f>
        <x:v>Нет</x:v>
      </x:c>
    </x:row>
    <x:row r="2963" ht="60" customHeight="1">
      <x:c r="A2963" s="14" t="str">
        <x:v>Хобби и творчество</x:v>
      </x:c>
      <x:c r="B2963" s="14" t="str">
        <x:v>Взрослое творчество и хобби</x:v>
      </x:c>
      <x:c r="C2963" s="14" t="str">
        <x:v>Живопись и аэрография</x:v>
      </x:c>
      <x:c r="D2963" s="14" t="str">
        <x:v>Аэрограф для творчества</x:v>
      </x:c>
      <x:c r="E2963" s="2" t="n">
        <x:v>14</x:v>
      </x:c>
      <x:c r="F2963" s="2" t="n">
        <x:v>0</x:v>
      </x:c>
      <x:c r="G2963" s="12" t="n">
        <x:v>1045682.6515</x:v>
      </x:c>
      <x:c r="H2963" s="12" t="n">
        <x:v>78207.96966693</x:v>
      </x:c>
      <x:c r="I2963" s="13" t="n">
        <x:v>0.0639571428571428</x:v>
      </x:c>
      <x:c r="J2963" s="2" t="n">
        <x:v>4</x:v>
      </x:c>
      <x:c r="K2963" s="2" t="n">
        <x:v>7</x:v>
      </x:c>
      <x:c r="L2963" s="12" t="n">
        <x:v>1901.67105</x:v>
      </x:c>
      <x:c r="M2963" s="13" t="n">
        <x:v>0.2428747769083553</x:v>
      </x:c>
      <x:c r="N2963" s="13" t="n">
        <x:f>H2963/G2963</x:f>
        <x:v>0.07479130456524553</x:v>
      </x:c>
      <x:c r="O2963" s="13" t="n">
        <x:f>F2963/E2963</x:f>
        <x:v>0</x:v>
      </x:c>
      <x:c r="P2963" s="2" t="str">
        <x:f>IF(AND(E2963&gt;='Итоги'!$F$5,N2963&lt;='Итоги'!$B$5,O2963&gt;='Итоги'!$D$5),"Да","Нет")</x:f>
        <x:v>Нет</x:v>
      </x:c>
    </x:row>
    <x:row r="2964" ht="60" customHeight="1">
      <x:c r="A2964" s="14" t="str">
        <x:v>Спорт и отдых</x:v>
      </x:c>
      <x:c r="B2964" s="14" t="str">
        <x:v>Тренажеры и фитнес</x:v>
      </x:c>
      <x:c r="C2964" s="14" t="str">
        <x:v>Кросстренинг и тяжёлая атлетика</x:v>
      </x:c>
      <x:c r="D2964" s="14" t="str">
        <x:v>Стойки, подставки для силовых тренажеров</x:v>
      </x:c>
      <x:c r="E2964" s="2" t="n">
        <x:v>8</x:v>
      </x:c>
      <x:c r="F2964" s="2" t="n">
        <x:v>0</x:v>
      </x:c>
      <x:c r="G2964" s="12" t="n">
        <x:v>811234.9601</x:v>
      </x:c>
      <x:c r="H2964" s="12" t="n">
        <x:v>60690.29397738</x:v>
      </x:c>
      <x:c r="I2964" s="13" t="n">
        <x:v>0.1054375</x:v>
      </x:c>
      <x:c r="J2964" s="2" t="n">
        <x:v>0</x:v>
      </x:c>
      <x:c r="K2964" s="2" t="n">
        <x:v>3</x:v>
      </x:c>
      <x:c r="L2964" s="12" t="n">
        <x:v>7750.4123</x:v>
      </x:c>
      <x:c r="M2964" s="13" t="n">
        <x:v>0.863552478080635</x:v>
      </x:c>
      <x:c r="N2964" s="13" t="n">
        <x:f>H2964/G2964</x:f>
        <x:v>0.07481222699019133</x:v>
      </x:c>
      <x:c r="O2964" s="13" t="n">
        <x:f>F2964/E2964</x:f>
        <x:v>0</x:v>
      </x:c>
      <x:c r="P2964" s="2" t="str">
        <x:f>IF(AND(E2964&gt;='Итоги'!$F$5,N2964&lt;='Итоги'!$B$5,O2964&gt;='Итоги'!$D$5),"Да","Нет")</x:f>
        <x:v>Нет</x:v>
      </x:c>
    </x:row>
    <x:row r="2965" ht="60" customHeight="1">
      <x:c r="A2965" s="14" t="str">
        <x:v>Товары для дома</x:v>
      </x:c>
      <x:c r="B2965" s="14" t="str">
        <x:v>Кухня</x:v>
      </x:c>
      <x:c r="C2965" s="14" t="str">
        <x:v>Питьевое стекло, аксессуар для бара, сосуд для жидкости</x:v>
      </x:c>
      <x:c r="D2965" s="14" t="str">
        <x:v>Дозатор для напитков</x:v>
      </x:c>
      <x:c r="E2965" s="2" t="n">
        <x:v>6</x:v>
      </x:c>
      <x:c r="F2965" s="2" t="n">
        <x:v>0</x:v>
      </x:c>
      <x:c r="G2965" s="12" t="n">
        <x:v>700075.7427000001</x:v>
      </x:c>
      <x:c r="H2965" s="12" t="n">
        <x:v>52505.616237400005</x:v>
      </x:c>
      <x:c r="I2965" s="13" t="n">
        <x:v>0.0789666666666666</x:v>
      </x:c>
      <x:c r="J2965" s="2" t="n">
        <x:v>1</x:v>
      </x:c>
      <x:c r="K2965" s="2" t="n">
        <x:v>3</x:v>
      </x:c>
      <x:c r="L2965" s="12" t="n">
        <x:v>3116.74135</x:v>
      </x:c>
      <x:c r="M2965" s="13" t="n">
        <x:v>0.6881894533895553</x:v>
      </x:c>
      <x:c r="N2965" s="13" t="n">
        <x:f>H2965/G2965</x:f>
        <x:v>0.07499990791696375</x:v>
      </x:c>
      <x:c r="O2965" s="13" t="n">
        <x:f>F2965/E2965</x:f>
        <x:v>0</x:v>
      </x:c>
      <x:c r="P2965" s="2" t="str">
        <x:f>IF(AND(E2965&gt;='Итоги'!$F$5,N2965&lt;='Итоги'!$B$5,O2965&gt;='Итоги'!$D$5),"Да","Нет")</x:f>
        <x:v>Нет</x:v>
      </x:c>
    </x:row>
    <x:row r="2966" ht="60" customHeight="1">
      <x:c r="A2966" s="14" t="str">
        <x:v>Мебель</x:v>
      </x:c>
      <x:c r="B2966" s="14" t="str">
        <x:v>Мебель для сна</x:v>
      </x:c>
      <x:c r="C2966" s="14" t="str">
        <x:v>Матрас</x:v>
      </x:c>
      <x:c r="D2966" s="14" t="str">
        <x:v>Матрас пружинный</x:v>
      </x:c>
      <x:c r="E2966" s="2" t="n">
        <x:v>549</x:v>
      </x:c>
      <x:c r="F2966" s="2" t="n">
        <x:v>0</x:v>
      </x:c>
      <x:c r="G2966" s="12" t="n">
        <x:v>141114689.7272</x:v>
      </x:c>
      <x:c r="H2966" s="12" t="n">
        <x:v>10583766.63874206</x:v>
      </x:c>
      <x:c r="I2966" s="13" t="n">
        <x:v>0.0778094717668488</x:v>
      </x:c>
      <x:c r="J2966" s="2" t="n">
        <x:v>181</x:v>
      </x:c>
      <x:c r="K2966" s="2" t="n">
        <x:v>15</x:v>
      </x:c>
      <x:c r="L2966" s="12" t="n">
        <x:v>8991.3824</x:v>
      </x:c>
      <x:c r="M2966" s="13" t="n">
        <x:v>0.9163572112498156</x:v>
      </x:c>
      <x:c r="N2966" s="13" t="n">
        <x:f>H2966/G2966</x:f>
        <x:v>0.07500116861825214</x:v>
      </x:c>
      <x:c r="O2966" s="13" t="n">
        <x:f>F2966/E2966</x:f>
        <x:v>0</x:v>
      </x:c>
      <x:c r="P2966" s="2" t="str">
        <x:f>IF(AND(E2966&gt;='Итоги'!$F$5,N2966&lt;='Итоги'!$B$5,O2966&gt;='Итоги'!$D$5),"Да","Нет")</x:f>
        <x:v>Нет</x:v>
      </x:c>
    </x:row>
    <x:row r="2967" ht="60" customHeight="1">
      <x:c r="A2967" s="14" t="str">
        <x:v>Спорт и отдых</x:v>
      </x:c>
      <x:c r="B2967" s="14" t="str">
        <x:v>Туризм</x:v>
      </x:c>
      <x:c r="C2967" s="14" t="str">
        <x:v>Приготовление пищи, посуда туристическая</x:v>
      </x:c>
      <x:c r="D2967" s="14" t="str">
        <x:v>Посуда и комплекты посуды для туризма</x:v>
      </x:c>
      <x:c r="E2967" s="2" t="n">
        <x:v>136</x:v>
      </x:c>
      <x:c r="F2967" s="2" t="n">
        <x:v>0</x:v>
      </x:c>
      <x:c r="G2967" s="12" t="n">
        <x:v>21261538.0435</x:v>
      </x:c>
      <x:c r="H2967" s="12" t="n">
        <x:v>1594754.80920564</x:v>
      </x:c>
      <x:c r="I2967" s="13" t="n">
        <x:v>0.0704323529411764</x:v>
      </x:c>
      <x:c r="J2967" s="2" t="n">
        <x:v>44</x:v>
      </x:c>
      <x:c r="K2967" s="2" t="n">
        <x:v>53</x:v>
      </x:c>
      <x:c r="L2967" s="12" t="n">
        <x:v>1698.29915</x:v>
      </x:c>
      <x:c r="M2967" s="13" t="n">
        <x:v>0.3645235354772184</x:v>
      </x:c>
      <x:c r="N2967" s="13" t="n">
        <x:f>H2967/G2967</x:f>
        <x:v>0.07500655907126073</x:v>
      </x:c>
      <x:c r="O2967" s="13" t="n">
        <x:f>F2967/E2967</x:f>
        <x:v>0</x:v>
      </x:c>
      <x:c r="P2967" s="2" t="str">
        <x:f>IF(AND(E2967&gt;='Итоги'!$F$5,N2967&lt;='Итоги'!$B$5,O2967&gt;='Итоги'!$D$5),"Да","Нет")</x:f>
        <x:v>Нет</x:v>
      </x:c>
    </x:row>
    <x:row r="2968" ht="60" customHeight="1">
      <x:c r="A2968" s="14" t="str">
        <x:v>Мебель</x:v>
      </x:c>
      <x:c r="B2968" s="14" t="str">
        <x:v>Компьютерная и офисная мебель</x:v>
      </x:c>
      <x:c r="C2968" s="14" t="str">
        <x:v>Компьютерный, офисный столы</x:v>
      </x:c>
      <x:c r="D2968" s="14" t="str">
        <x:v>Игровые столы</x:v>
      </x:c>
      <x:c r="E2968" s="2" t="n">
        <x:v>81</x:v>
      </x:c>
      <x:c r="F2968" s="2" t="n">
        <x:v>0</x:v>
      </x:c>
      <x:c r="G2968" s="12" t="n">
        <x:v>15226887.2659</x:v>
      </x:c>
      <x:c r="H2968" s="12" t="n">
        <x:v>1142380.62309561</x:v>
      </x:c>
      <x:c r="I2968" s="13" t="n">
        <x:v>0.0801901234567901</x:v>
      </x:c>
      <x:c r="J2968" s="2" t="n">
        <x:v>10</x:v>
      </x:c>
      <x:c r="K2968" s="2" t="n">
        <x:v>7</x:v>
      </x:c>
      <x:c r="L2968" s="12" t="n">
        <x:v>5966.7143</x:v>
      </x:c>
      <x:c r="M2968" s="13" t="n">
        <x:v>0.7783289745462961</x:v>
      </x:c>
      <x:c r="N2968" s="13" t="n">
        <x:f>H2968/G2968</x:f>
        <x:v>0.07502391021531532</x:v>
      </x:c>
      <x:c r="O2968" s="13" t="n">
        <x:f>F2968/E2968</x:f>
        <x:v>0</x:v>
      </x:c>
      <x:c r="P2968" s="2" t="str">
        <x:f>IF(AND(E2968&gt;='Итоги'!$F$5,N2968&lt;='Итоги'!$B$5,O2968&gt;='Итоги'!$D$5),"Да","Нет")</x:f>
        <x:v>Нет</x:v>
      </x:c>
    </x:row>
    <x:row r="2969" ht="60" customHeight="1">
      <x:c r="A2969" s="14" t="str">
        <x:v>Товары для дома</x:v>
      </x:c>
      <x:c r="B2969" s="14" t="str">
        <x:v>Кухня</x:v>
      </x:c>
      <x:c r="C2969" s="14" t="str">
        <x:v>Питьевое стекло, аксессуар для бара, сосуд для жидкости</x:v>
      </x:c>
      <x:c r="D2969" s="14" t="str">
        <x:v>Кувшин</x:v>
      </x:c>
      <x:c r="E2969" s="2" t="n">
        <x:v>33</x:v>
      </x:c>
      <x:c r="F2969" s="2" t="n">
        <x:v>0</x:v>
      </x:c>
      <x:c r="G2969" s="12" t="n">
        <x:v>4775133.8844</x:v>
      </x:c>
      <x:c r="H2969" s="12" t="n">
        <x:v>358285.0854529</x:v>
      </x:c>
      <x:c r="I2969" s="13" t="n">
        <x:v>0.0716575757575757</x:v>
      </x:c>
      <x:c r="J2969" s="2" t="n">
        <x:v>11</x:v>
      </x:c>
      <x:c r="K2969" s="2" t="n">
        <x:v>8</x:v>
      </x:c>
      <x:c r="L2969" s="12" t="n">
        <x:v>945.3947</x:v>
      </x:c>
      <x:c r="M2969" s="13" t="n">
        <x:v>0.656753872921838</x:v>
      </x:c>
      <x:c r="N2969" s="13" t="n">
        <x:f>H2969/G2969</x:f>
        <x:v>0.07503142197193469</x:v>
      </x:c>
      <x:c r="O2969" s="13" t="n">
        <x:f>F2969/E2969</x:f>
        <x:v>0</x:v>
      </x:c>
      <x:c r="P2969" s="2" t="str">
        <x:f>IF(AND(E2969&gt;='Итоги'!$F$5,N2969&lt;='Итоги'!$B$5,O2969&gt;='Итоги'!$D$5),"Да","Нет")</x:f>
        <x:v>Нет</x:v>
      </x:c>
    </x:row>
    <x:row r="2970" ht="60" customHeight="1">
      <x:c r="A2970" s="14" t="str">
        <x:v>Строительство и ремонт (DIY)</x:v>
      </x:c>
      <x:c r="B2970" s="14" t="str">
        <x:v>Сантехника</x:v>
      </x:c>
      <x:c r="C2970" s="14" t="str">
        <x:v>Системы отопления</x:v>
      </x:c>
      <x:c r="D2970" s="14" t="str">
        <x:v>Гидроаккумулятор системы отопления</x:v>
      </x:c>
      <x:c r="E2970" s="2" t="n">
        <x:v>93</x:v>
      </x:c>
      <x:c r="F2970" s="2" t="n">
        <x:v>0</x:v>
      </x:c>
      <x:c r="G2970" s="12" t="n">
        <x:v>19781761.7739</x:v>
      </x:c>
      <x:c r="H2970" s="12" t="n">
        <x:v>1484438.96548524</x:v>
      </x:c>
      <x:c r="I2970" s="13" t="n">
        <x:v>0.0684795698924731</x:v>
      </x:c>
      <x:c r="J2970" s="2" t="n">
        <x:v>20</x:v>
      </x:c>
      <x:c r="K2970" s="2" t="n">
        <x:v>8</x:v>
      </x:c>
      <x:c r="L2970" s="12" t="n">
        <x:v>6596.5625</x:v>
      </x:c>
      <x:c r="M2970" s="13" t="n">
        <x:v>0.8969272635114736</x:v>
      </x:c>
      <x:c r="N2970" s="13" t="n">
        <x:f>H2970/G2970</x:f>
        <x:v>0.07504078668280217</x:v>
      </x:c>
      <x:c r="O2970" s="13" t="n">
        <x:f>F2970/E2970</x:f>
        <x:v>0</x:v>
      </x:c>
      <x:c r="P2970" s="2" t="str">
        <x:f>IF(AND(E2970&gt;='Итоги'!$F$5,N2970&lt;='Итоги'!$B$5,O2970&gt;='Итоги'!$D$5),"Да","Нет")</x:f>
        <x:v>Нет</x:v>
      </x:c>
    </x:row>
    <x:row r="2971" ht="60" customHeight="1">
      <x:c r="A2971" s="14" t="str">
        <x:v>Строительство и ремонт (DIY)</x:v>
      </x:c>
      <x:c r="B2971" s="14" t="str">
        <x:v>Инструменты</x:v>
      </x:c>
      <x:c r="C2971" s="14" t="str">
        <x:v>Техника для строительства, ремонта</x:v>
      </x:c>
      <x:c r="D2971" s="14" t="str">
        <x:v>Электродвигатель промышленный</x:v>
      </x:c>
      <x:c r="E2971" s="2" t="n">
        <x:v>6</x:v>
      </x:c>
      <x:c r="F2971" s="2" t="n">
        <x:v>0</x:v>
      </x:c>
      <x:c r="G2971" s="12" t="n">
        <x:v>727517.1451</x:v>
      </x:c>
      <x:c r="H2971" s="12" t="n">
        <x:v>54602.05702028</x:v>
      </x:c>
      <x:c r="I2971" s="13" t="n">
        <x:v>0.0818333333333333</x:v>
      </x:c>
      <x:c r="J2971" s="2" t="n">
        <x:v>0</x:v>
      </x:c>
      <x:c r="K2971" s="2" t="n">
        <x:v>3</x:v>
      </x:c>
      <x:c r="L2971" s="12" t="n">
        <x:v>9840.9091</x:v>
      </x:c>
      <x:c r="M2971" s="13" t="n">
        <x:v>0.6251770189381342</x:v>
      </x:c>
      <x:c r="N2971" s="13" t="n">
        <x:f>H2971/G2971</x:f>
        <x:v>0.07505260513520233</x:v>
      </x:c>
      <x:c r="O2971" s="13" t="n">
        <x:f>F2971/E2971</x:f>
        <x:v>0</x:v>
      </x:c>
      <x:c r="P2971" s="2" t="str">
        <x:f>IF(AND(E2971&gt;='Итоги'!$F$5,N2971&lt;='Итоги'!$B$5,O2971&gt;='Итоги'!$D$5),"Да","Нет")</x:f>
        <x:v>Нет</x:v>
      </x:c>
    </x:row>
    <x:row r="2972" ht="60" customHeight="1">
      <x:c r="A2972" s="14" t="str">
        <x:v>Строительство и ремонт (DIY)</x:v>
      </x:c>
      <x:c r="B2972" s="14" t="str">
        <x:v>Инструменты</x:v>
      </x:c>
      <x:c r="C2972" s="14" t="str">
        <x:v>Инструмент ручной для строительства, ремонта</x:v>
      </x:c>
      <x:c r="D2972" s="14" t="str">
        <x:v>Инструмент для работы с гипсокартоном</x:v>
      </x:c>
      <x:c r="E2972" s="2" t="n">
        <x:v>5</x:v>
      </x:c>
      <x:c r="F2972" s="2" t="n">
        <x:v>0</x:v>
      </x:c>
      <x:c r="G2972" s="12" t="n">
        <x:v>614538.171</x:v>
      </x:c>
      <x:c r="H2972" s="12" t="n">
        <x:v>46126.2637</x:v>
      </x:c>
      <x:c r="I2972" s="13" t="n">
        <x:v>0.05636</x:v>
      </x:c>
      <x:c r="J2972" s="2" t="n">
        <x:v>3</x:v>
      </x:c>
      <x:c r="K2972" s="2" t="n">
        <x:v>3</x:v>
      </x:c>
      <x:c r="L2972" s="12" t="n">
        <x:v>1649.4306</x:v>
      </x:c>
      <x:c r="M2972" s="13" t="n">
        <x:v>0.5888587366528286</x:v>
      </x:c>
      <x:c r="N2972" s="13" t="n">
        <x:f>H2972/G2972</x:f>
        <x:v>0.07505841927596066</x:v>
      </x:c>
      <x:c r="O2972" s="13" t="n">
        <x:f>F2972/E2972</x:f>
        <x:v>0</x:v>
      </x:c>
      <x:c r="P2972" s="2" t="str">
        <x:f>IF(AND(E2972&gt;='Итоги'!$F$5,N2972&lt;='Итоги'!$B$5,O2972&gt;='Итоги'!$D$5),"Да","Нет")</x:f>
        <x:v>Нет</x:v>
      </x:c>
    </x:row>
    <x:row r="2973" ht="60" customHeight="1">
      <x:c r="A2973" s="14" t="str">
        <x:v>Товары для красоты и здоровья</x:v>
      </x:c>
      <x:c r="B2973" s="14" t="str">
        <x:v>Косметика для ухода за волосами</x:v>
      </x:c>
      <x:c r="C2973" s="14" t="str">
        <x:v>Уход за волосами для мужчин</x:v>
      </x:c>
      <x:c r="D2973" s="14" t="str">
        <x:v>Маска для волос мужская</x:v>
      </x:c>
      <x:c r="E2973" s="2" t="n">
        <x:v>22</x:v>
      </x:c>
      <x:c r="F2973" s="2" t="n">
        <x:v>0</x:v>
      </x:c>
      <x:c r="G2973" s="12" t="n">
        <x:v>2750458.0266</x:v>
      </x:c>
      <x:c r="H2973" s="12" t="n">
        <x:v>206785.351667</x:v>
      </x:c>
      <x:c r="I2973" s="13" t="n">
        <x:v>0.0695</x:v>
      </x:c>
      <x:c r="J2973" s="2" t="n">
        <x:v>10</x:v>
      </x:c>
      <x:c r="K2973" s="2" t="n">
        <x:v>9</x:v>
      </x:c>
      <x:c r="L2973" s="12" t="n">
        <x:v>1908.6635</x:v>
      </x:c>
      <x:c r="M2973" s="13" t="n">
        <x:v>0.3117856891494073</x:v>
      </x:c>
      <x:c r="N2973" s="13" t="n">
        <x:f>H2973/G2973</x:f>
        <x:v>0.07518215136066604</x:v>
      </x:c>
      <x:c r="O2973" s="13" t="n">
        <x:f>F2973/E2973</x:f>
        <x:v>0</x:v>
      </x:c>
      <x:c r="P2973" s="2" t="str">
        <x:f>IF(AND(E2973&gt;='Итоги'!$F$5,N2973&lt;='Итоги'!$B$5,O2973&gt;='Итоги'!$D$5),"Да","Нет")</x:f>
        <x:v>Нет</x:v>
      </x:c>
    </x:row>
    <x:row r="2974" ht="60" customHeight="1">
      <x:c r="A2974" s="14" t="str">
        <x:v>Автотовары</x:v>
      </x:c>
      <x:c r="B2974" s="14" t="str">
        <x:v>Авто и мото запчасти</x:v>
      </x:c>
      <x:c r="C2974" s="14" t="str">
        <x:v>Электрооборудование автомобиля</x:v>
      </x:c>
      <x:c r="D2974" s="14" t="str">
        <x:v>Насос топливный и составляющие</x:v>
      </x:c>
      <x:c r="E2974" s="2" t="n">
        <x:v>29</x:v>
      </x:c>
      <x:c r="F2974" s="2" t="n">
        <x:v>0</x:v>
      </x:c>
      <x:c r="G2974" s="12" t="n">
        <x:v>4291175.6157</x:v>
      </x:c>
      <x:c r="H2974" s="12" t="n">
        <x:v>322880.87021795</x:v>
      </x:c>
      <x:c r="I2974" s="13" t="n">
        <x:v>0.0637275862068965</x:v>
      </x:c>
      <x:c r="J2974" s="2" t="n">
        <x:v>9</x:v>
      </x:c>
      <x:c r="K2974" s="2" t="n">
        <x:v>8</x:v>
      </x:c>
      <x:c r="L2974" s="12" t="n">
        <x:v>3136.878</x:v>
      </x:c>
      <x:c r="M2974" s="13" t="n">
        <x:v>0.7096652771231863</x:v>
      </x:c>
      <x:c r="N2974" s="13" t="n">
        <x:f>H2974/G2974</x:f>
        <x:v>0.0752429868021796</x:v>
      </x:c>
      <x:c r="O2974" s="13" t="n">
        <x:f>F2974/E2974</x:f>
        <x:v>0</x:v>
      </x:c>
      <x:c r="P2974" s="2" t="str">
        <x:f>IF(AND(E2974&gt;='Итоги'!$F$5,N2974&lt;='Итоги'!$B$5,O2974&gt;='Итоги'!$D$5),"Да","Нет")</x:f>
        <x:v>Нет</x:v>
      </x:c>
    </x:row>
    <x:row r="2975" ht="60" customHeight="1">
      <x:c r="A2975" s="14" t="str">
        <x:v>Строительство и ремонт (DIY)</x:v>
      </x:c>
      <x:c r="B2975" s="14" t="str">
        <x:v>Сад и огород</x:v>
      </x:c>
      <x:c r="C2975" s="14" t="str">
        <x:v>Садовый инструмент</x:v>
      </x:c>
      <x:c r="D2975" s="14" t="str">
        <x:v>Черенок для садового инструмента</x:v>
      </x:c>
      <x:c r="E2975" s="2" t="n">
        <x:v>9</x:v>
      </x:c>
      <x:c r="F2975" s="2" t="n">
        <x:v>0</x:v>
      </x:c>
      <x:c r="G2975" s="12" t="n">
        <x:v>822652.2199</x:v>
      </x:c>
      <x:c r="H2975" s="12" t="n">
        <x:v>61954.95077744</x:v>
      </x:c>
      <x:c r="I2975" s="13" t="n">
        <x:v>0.0540777777777777</x:v>
      </x:c>
      <x:c r="J2975" s="2" t="n">
        <x:v>5</x:v>
      </x:c>
      <x:c r="K2975" s="2" t="n">
        <x:v>3</x:v>
      </x:c>
      <x:c r="L2975" s="12" t="n">
        <x:v>1888.9744</x:v>
      </x:c>
      <x:c r="M2975" s="13" t="n">
        <x:v>0.7134080201854202</x:v>
      </x:c>
      <x:c r="N2975" s="13" t="n">
        <x:f>H2975/G2975</x:f>
        <x:v>0.07531123028510288</x:v>
      </x:c>
      <x:c r="O2975" s="13" t="n">
        <x:f>F2975/E2975</x:f>
        <x:v>0</x:v>
      </x:c>
      <x:c r="P2975" s="2" t="str">
        <x:f>IF(AND(E2975&gt;='Итоги'!$F$5,N2975&lt;='Итоги'!$B$5,O2975&gt;='Итоги'!$D$5),"Да","Нет")</x:f>
        <x:v>Нет</x:v>
      </x:c>
    </x:row>
    <x:row r="2976" ht="60" customHeight="1">
      <x:c r="A2976" s="14" t="str">
        <x:v>Товары для дома</x:v>
      </x:c>
      <x:c r="B2976" s="14" t="str">
        <x:v>Интерьер и декор</x:v>
      </x:c>
      <x:c r="C2976" s="14" t="str">
        <x:v>Украшение интерьера</x:v>
      </x:c>
      <x:c r="D2976" s="14" t="str">
        <x:v>Ограничитель, стоппер интерьерные</x:v>
      </x:c>
      <x:c r="E2976" s="2" t="n">
        <x:v>8</x:v>
      </x:c>
      <x:c r="F2976" s="2" t="n">
        <x:v>0</x:v>
      </x:c>
      <x:c r="G2976" s="12" t="n">
        <x:v>1458643.6373</x:v>
      </x:c>
      <x:c r="H2976" s="12" t="n">
        <x:v>109938.34007327</x:v>
      </x:c>
      <x:c r="I2976" s="13" t="n">
        <x:v>0.0762125</x:v>
      </x:c>
      <x:c r="J2976" s="2" t="n">
        <x:v>0</x:v>
      </x:c>
      <x:c r="K2976" s="2" t="n">
        <x:v>5</x:v>
      </x:c>
      <x:c r="L2976" s="12" t="n">
        <x:v>1594.4546</x:v>
      </x:c>
      <x:c r="M2976" s="13" t="n">
        <x:v>0.3882711002999552</x:v>
      </x:c>
      <x:c r="N2976" s="13" t="n">
        <x:f>H2976/G2976</x:f>
        <x:v>0.07537025306384613</x:v>
      </x:c>
      <x:c r="O2976" s="13" t="n">
        <x:f>F2976/E2976</x:f>
        <x:v>0</x:v>
      </x:c>
      <x:c r="P2976" s="2" t="str">
        <x:f>IF(AND(E2976&gt;='Итоги'!$F$5,N2976&lt;='Итоги'!$B$5,O2976&gt;='Итоги'!$D$5),"Да","Нет")</x:f>
        <x:v>Нет</x:v>
      </x:c>
    </x:row>
    <x:row r="2977" ht="60" customHeight="1">
      <x:c r="A2977" s="14" t="str">
        <x:v>Строительство и ремонт (DIY)</x:v>
      </x:c>
      <x:c r="B2977" s="14" t="str">
        <x:v>Инструменты</x:v>
      </x:c>
      <x:c r="C2977" s="14" t="str">
        <x:v>Инструмент ручной для строительства, ремонта</x:v>
      </x:c>
      <x:c r="D2977" s="14" t="str">
        <x:v>Малярный инструмент</x:v>
      </x:c>
      <x:c r="E2977" s="2" t="n">
        <x:v>32</x:v>
      </x:c>
      <x:c r="F2977" s="2" t="n">
        <x:v>0</x:v>
      </x:c>
      <x:c r="G2977" s="12" t="n">
        <x:v>5146502.2952</x:v>
      </x:c>
      <x:c r="H2977" s="12" t="n">
        <x:v>388135.4068417101</x:v>
      </x:c>
      <x:c r="I2977" s="13" t="n">
        <x:v>0.077428125</x:v>
      </x:c>
      <x:c r="J2977" s="2" t="n">
        <x:v>10</x:v>
      </x:c>
      <x:c r="K2977" s="2" t="n">
        <x:v>12</x:v>
      </x:c>
      <x:c r="L2977" s="12" t="n">
        <x:v>1135.579</x:v>
      </x:c>
      <x:c r="M2977" s="13" t="n">
        <x:v>0.289967030888501</x:v>
      </x:c>
      <x:c r="N2977" s="13" t="n">
        <x:f>H2977/G2977</x:f>
        <x:v>0.0754173192934769</x:v>
      </x:c>
      <x:c r="O2977" s="13" t="n">
        <x:f>F2977/E2977</x:f>
        <x:v>0</x:v>
      </x:c>
      <x:c r="P2977" s="2" t="str">
        <x:f>IF(AND(E2977&gt;='Итоги'!$F$5,N2977&lt;='Итоги'!$B$5,O2977&gt;='Итоги'!$D$5),"Да","Нет")</x:f>
        <x:v>Нет</x:v>
      </x:c>
    </x:row>
    <x:row r="2978" ht="60" customHeight="1">
      <x:c r="A2978" s="14" t="str">
        <x:v>Автотовары</x:v>
      </x:c>
      <x:c r="B2978" s="14" t="str">
        <x:v>Авто и мото запчасти</x:v>
      </x:c>
      <x:c r="C2978" s="14" t="str">
        <x:v>Автомобильная оптика</x:v>
      </x:c>
      <x:c r="D2978" s="14" t="str">
        <x:v>Фары, фонари и составляющие</x:v>
      </x:c>
      <x:c r="E2978" s="2" t="n">
        <x:v>446</x:v>
      </x:c>
      <x:c r="F2978" s="2" t="n">
        <x:v>0</x:v>
      </x:c>
      <x:c r="G2978" s="12" t="n">
        <x:v>74536092.9864</x:v>
      </x:c>
      <x:c r="H2978" s="12" t="n">
        <x:v>5621489.8532555</x:v>
      </x:c>
      <x:c r="I2978" s="13" t="n">
        <x:v>0.0711047085201793</x:v>
      </x:c>
      <x:c r="J2978" s="2" t="n">
        <x:v>131</x:v>
      </x:c>
      <x:c r="K2978" s="2" t="n">
        <x:v>83</x:v>
      </x:c>
      <x:c r="L2978" s="12" t="n">
        <x:v>2392.89655</x:v>
      </x:c>
      <x:c r="M2978" s="13" t="n">
        <x:v>0.4962837380294331</x:v>
      </x:c>
      <x:c r="N2978" s="13" t="n">
        <x:f>H2978/G2978</x:f>
        <x:v>0.07541970108738069</x:v>
      </x:c>
      <x:c r="O2978" s="13" t="n">
        <x:f>F2978/E2978</x:f>
        <x:v>0</x:v>
      </x:c>
      <x:c r="P2978" s="2" t="str">
        <x:f>IF(AND(E2978&gt;='Итоги'!$F$5,N2978&lt;='Итоги'!$B$5,O2978&gt;='Итоги'!$D$5),"Да","Нет")</x:f>
        <x:v>Нет</x:v>
      </x:c>
    </x:row>
    <x:row r="2979" ht="60" customHeight="1">
      <x:c r="A2979" s="14" t="str">
        <x:v>Одежда</x:v>
      </x:c>
      <x:c r="B2979" s="14" t="str">
        <x:v>Основная одежда мужская</x:v>
      </x:c>
      <x:c r="C2979" s="14" t="str">
        <x:v>Спортивная основная одежда мужская комплект</x:v>
      </x:c>
      <x:c r="D2979" s="14" t="str">
        <x:v>Спортивный комплект мужской - футболка, шорты</x:v>
      </x:c>
      <x:c r="E2979" s="2" t="n">
        <x:v>40</x:v>
      </x:c>
      <x:c r="F2979" s="2" t="n">
        <x:v>0</x:v>
      </x:c>
      <x:c r="G2979" s="12" t="n">
        <x:v>3696702.2169</x:v>
      </x:c>
      <x:c r="H2979" s="12" t="n">
        <x:v>278824.41915505</x:v>
      </x:c>
      <x:c r="I2979" s="13" t="n">
        <x:v>0.065585</x:v>
      </x:c>
      <x:c r="J2979" s="2" t="n">
        <x:v>8</x:v>
      </x:c>
      <x:c r="K2979" s="2" t="n">
        <x:v>8</x:v>
      </x:c>
      <x:c r="L2979" s="12" t="n">
        <x:v>1261.63985</x:v>
      </x:c>
      <x:c r="M2979" s="13" t="n">
        <x:v>0.463101869248104</x:v>
      </x:c>
      <x:c r="N2979" s="13" t="n">
        <x:f>H2979/G2979</x:f>
        <x:v>0.07542517703491629</x:v>
      </x:c>
      <x:c r="O2979" s="13" t="n">
        <x:f>F2979/E2979</x:f>
        <x:v>0</x:v>
      </x:c>
      <x:c r="P2979" s="2" t="str">
        <x:f>IF(AND(E2979&gt;='Итоги'!$F$5,N2979&lt;='Итоги'!$B$5,O2979&gt;='Итоги'!$D$5),"Да","Нет")</x:f>
        <x:v>Нет</x:v>
      </x:c>
    </x:row>
    <x:row r="2980" ht="60" customHeight="1">
      <x:c r="A2980" s="14" t="str">
        <x:v>Спорт и отдых</x:v>
      </x:c>
      <x:c r="B2980" s="14" t="str">
        <x:v>Товары для рыбалки</x:v>
      </x:c>
      <x:c r="C2980" s="14" t="str">
        <x:v>Подводная камера для рыбалки</x:v>
      </x:c>
      <x:c r="D2980" s="14" t="str">
        <x:v>Подводная камера для рыбалки</x:v>
      </x:c>
      <x:c r="E2980" s="2" t="n">
        <x:v>23</x:v>
      </x:c>
      <x:c r="F2980" s="2" t="n">
        <x:v>0</x:v>
      </x:c>
      <x:c r="G2980" s="12" t="n">
        <x:v>4608324.9646</x:v>
      </x:c>
      <x:c r="H2980" s="12" t="n">
        <x:v>347776.36466213</x:v>
      </x:c>
      <x:c r="I2980" s="13" t="n">
        <x:v>0.0858565217391304</x:v>
      </x:c>
      <x:c r="J2980" s="2" t="n">
        <x:v>5</x:v>
      </x:c>
      <x:c r="K2980" s="2" t="n">
        <x:v>19</x:v>
      </x:c>
      <x:c r="L2980" s="12" t="n">
        <x:v>5249.3226</x:v>
      </x:c>
      <x:c r="M2980" s="13" t="n">
        <x:v>0.1996296695799212</x:v>
      </x:c>
      <x:c r="N2980" s="13" t="n">
        <x:f>H2980/G2980</x:f>
        <x:v>0.07546697928936459</x:v>
      </x:c>
      <x:c r="O2980" s="13" t="n">
        <x:f>F2980/E2980</x:f>
        <x:v>0</x:v>
      </x:c>
      <x:c r="P2980" s="2" t="str">
        <x:f>IF(AND(E2980&gt;='Итоги'!$F$5,N2980&lt;='Итоги'!$B$5,O2980&gt;='Итоги'!$D$5),"Да","Нет")</x:f>
        <x:v>Нет</x:v>
      </x:c>
    </x:row>
    <x:row r="2981" ht="60" customHeight="1">
      <x:c r="A2981" s="14" t="str">
        <x:v>Товары для дома</x:v>
      </x:c>
      <x:c r="B2981" s="14" t="str">
        <x:v>Ванная комната</x:v>
      </x:c>
      <x:c r="C2981" s="14" t="str">
        <x:v>Держатели для ванной</x:v>
      </x:c>
      <x:c r="D2981" s="14" t="str">
        <x:v>Мыльница, держатель для мыла</x:v>
      </x:c>
      <x:c r="E2981" s="2" t="n">
        <x:v>1</x:v>
      </x:c>
      <x:c r="F2981" s="2" t="n">
        <x:v>0</x:v>
      </x:c>
      <x:c r="G2981" s="12" t="n">
        <x:v>351964.3103</x:v>
      </x:c>
      <x:c r="H2981" s="12" t="n">
        <x:v>26573.30542765</x:v>
      </x:c>
      <x:c r="I2981" s="13" t="n">
        <x:v>0.0755</x:v>
      </x:c>
      <x:c r="J2981" s="2" t="n">
        <x:v>0</x:v>
      </x:c>
      <x:c r="K2981" s="2" t="n">
        <x:v>1</x:v>
      </x:c>
      <x:c r="L2981" s="12" t="n">
        <x:v>182.3649</x:v>
      </x:c>
      <x:c r="M2981" s="13" t="n">
        <x:v>1</x:v>
      </x:c>
      <x:c r="N2981" s="13" t="n">
        <x:f>H2981/G2981</x:f>
        <x:v>0.0755</x:v>
      </x:c>
      <x:c r="O2981" s="13" t="n">
        <x:f>F2981/E2981</x:f>
        <x:v>0</x:v>
      </x:c>
      <x:c r="P2981" s="2" t="str">
        <x:f>IF(AND(E2981&gt;='Итоги'!$F$5,N2981&lt;='Итоги'!$B$5,O2981&gt;='Итоги'!$D$5),"Да","Нет")</x:f>
        <x:v>Нет</x:v>
      </x:c>
    </x:row>
    <x:row r="2982" ht="60" customHeight="1">
      <x:c r="A2982" s="14" t="str">
        <x:v>Школьные принадлежности и канцелярия</x:v>
      </x:c>
      <x:c r="B2982" s="14" t="str">
        <x:v>Товары для школы, канцелярия, оборудование</x:v>
      </x:c>
      <x:c r="C2982" s="14" t="str">
        <x:v>Школьные принадлежности</x:v>
      </x:c>
      <x:c r="D2982" s="14" t="str">
        <x:v>Краска - акварель</x:v>
      </x:c>
      <x:c r="E2982" s="2" t="n">
        <x:v>6</x:v>
      </x:c>
      <x:c r="F2982" s="2" t="n">
        <x:v>0</x:v>
      </x:c>
      <x:c r="G2982" s="12" t="n">
        <x:v>825056.0119</x:v>
      </x:c>
      <x:c r="H2982" s="12" t="n">
        <x:v>62294.64009852</x:v>
      </x:c>
      <x:c r="I2982" s="13" t="n">
        <x:v>0.0845833333333333</x:v>
      </x:c>
      <x:c r="J2982" s="2" t="n">
        <x:v>3</x:v>
      </x:c>
      <x:c r="K2982" s="2" t="n">
        <x:v>2</x:v>
      </x:c>
      <x:c r="L2982" s="12" t="n">
        <x:v>1808.26745</x:v>
      </x:c>
      <x:c r="M2982" s="13" t="n">
        <x:v>0.60150221165851</x:v>
      </x:c>
      <x:c r="N2982" s="13" t="n">
        <x:f>H2982/G2982</x:f>
        <x:v>0.0755035284877972</x:v>
      </x:c>
      <x:c r="O2982" s="13" t="n">
        <x:f>F2982/E2982</x:f>
        <x:v>0</x:v>
      </x:c>
      <x:c r="P2982" s="2" t="str">
        <x:f>IF(AND(E2982&gt;='Итоги'!$F$5,N2982&lt;='Итоги'!$B$5,O2982&gt;='Итоги'!$D$5),"Да","Нет")</x:f>
        <x:v>Нет</x:v>
      </x:c>
    </x:row>
    <x:row r="2983" ht="60" customHeight="1">
      <x:c r="A2983" s="14" t="str">
        <x:v>Товары для красоты и здоровья</x:v>
      </x:c>
      <x:c r="B2983" s="14" t="str">
        <x:v>Декоративная косметика</x:v>
      </x:c>
      <x:c r="C2983" s="14" t="str">
        <x:v>Глаза, ресницы, брови</x:v>
      </x:c>
      <x:c r="D2983" s="14" t="str">
        <x:v>Карандаш для бровей</x:v>
      </x:c>
      <x:c r="E2983" s="2" t="n">
        <x:v>2</x:v>
      </x:c>
      <x:c r="F2983" s="2" t="n">
        <x:v>0</x:v>
      </x:c>
      <x:c r="G2983" s="12" t="n">
        <x:v>178752.9401</x:v>
      </x:c>
      <x:c r="H2983" s="12" t="n">
        <x:v>13501.87763064</x:v>
      </x:c>
      <x:c r="I2983" s="13" t="n">
        <x:v>0.0732</x:v>
      </x:c>
      <x:c r="J2983" s="2" t="n">
        <x:v>1</x:v>
      </x:c>
      <x:c r="K2983" s="2" t="n">
        <x:v>1</x:v>
      </x:c>
      <x:c r="L2983" s="12" t="n">
        <x:v>1043.1822499999998</x:v>
      </x:c>
      <x:c r="M2983" s="13" t="n">
        <x:v>1</x:v>
      </x:c>
      <x:c r="N2983" s="13" t="n">
        <x:f>H2983/G2983</x:f>
        <x:v>0.07553373736446867</x:v>
      </x:c>
      <x:c r="O2983" s="13" t="n">
        <x:f>F2983/E2983</x:f>
        <x:v>0</x:v>
      </x:c>
      <x:c r="P2983" s="2" t="str">
        <x:f>IF(AND(E2983&gt;='Итоги'!$F$5,N2983&lt;='Итоги'!$B$5,O2983&gt;='Итоги'!$D$5),"Да","Нет")</x:f>
        <x:v>Нет</x:v>
      </x:c>
    </x:row>
    <x:row r="2984" ht="60" customHeight="1">
      <x:c r="A2984" s="14" t="str">
        <x:v>Спорт и отдых</x:v>
      </x:c>
      <x:c r="B2984" s="14" t="str">
        <x:v>Колесный транспорт</x:v>
      </x:c>
      <x:c r="C2984" s="14" t="str">
        <x:v>Велоаксессуары</x:v>
      </x:c>
      <x:c r="D2984" s="14" t="str">
        <x:v>Велокомпьютер</x:v>
      </x:c>
      <x:c r="E2984" s="2" t="n">
        <x:v>27</x:v>
      </x:c>
      <x:c r="F2984" s="2" t="n">
        <x:v>0</x:v>
      </x:c>
      <x:c r="G2984" s="12" t="n">
        <x:v>4307327.634</x:v>
      </x:c>
      <x:c r="H2984" s="12" t="n">
        <x:v>325441.35425502</x:v>
      </x:c>
      <x:c r="I2984" s="13" t="n">
        <x:v>0.0872555555555555</x:v>
      </x:c>
      <x:c r="J2984" s="2" t="n">
        <x:v>8</x:v>
      </x:c>
      <x:c r="K2984" s="2" t="n">
        <x:v>10</x:v>
      </x:c>
      <x:c r="L2984" s="12" t="n">
        <x:v>1876.6685</x:v>
      </x:c>
      <x:c r="M2984" s="13" t="n">
        <x:v>0.5389124602635231</x:v>
      </x:c>
      <x:c r="N2984" s="13" t="n">
        <x:f>H2984/G2984</x:f>
        <x:v>0.07555528204684046</x:v>
      </x:c>
      <x:c r="O2984" s="13" t="n">
        <x:f>F2984/E2984</x:f>
        <x:v>0</x:v>
      </x:c>
      <x:c r="P2984" s="2" t="str">
        <x:f>IF(AND(E2984&gt;='Итоги'!$F$5,N2984&lt;='Итоги'!$B$5,O2984&gt;='Итоги'!$D$5),"Да","Нет")</x:f>
        <x:v>Нет</x:v>
      </x:c>
    </x:row>
    <x:row r="2985" ht="60" customHeight="1">
      <x:c r="A2985" s="14" t="str">
        <x:v>Товары для дома</x:v>
      </x:c>
      <x:c r="B2985" s="14" t="str">
        <x:v>Принадлежности для Нового года</x:v>
      </x:c>
      <x:c r="C2985" s="14" t="str">
        <x:v>Украшение интерьера новогодние</x:v>
      </x:c>
      <x:c r="D2985" s="14" t="str">
        <x:v>Украшение новогоднее интерьерное</x:v>
      </x:c>
      <x:c r="E2985" s="2" t="n">
        <x:v>1</x:v>
      </x:c>
      <x:c r="F2985" s="2" t="n">
        <x:v>0</x:v>
      </x:c>
      <x:c r="G2985" s="12" t="n">
        <x:v>151965.7361</x:v>
      </x:c>
      <x:c r="H2985" s="12" t="n">
        <x:v>11488.60964916</x:v>
      </x:c>
      <x:c r="I2985" s="13" t="n">
        <x:v>0.0756</x:v>
      </x:c>
      <x:c r="J2985" s="2" t="n">
        <x:v>0</x:v>
      </x:c>
      <x:c r="K2985" s="2" t="n">
        <x:v>1</x:v>
      </x:c>
      <x:c r="L2985" s="12" t="n">
        <x:v>1019.9043</x:v>
      </x:c>
      <x:c r="M2985" s="13" t="n">
        <x:v>1</x:v>
      </x:c>
      <x:c r="N2985" s="13" t="n">
        <x:f>H2985/G2985</x:f>
        <x:v>0.0756</x:v>
      </x:c>
      <x:c r="O2985" s="13" t="n">
        <x:f>F2985/E2985</x:f>
        <x:v>0</x:v>
      </x:c>
      <x:c r="P2985" s="2" t="str">
        <x:f>IF(AND(E2985&gt;='Итоги'!$F$5,N2985&lt;='Итоги'!$B$5,O2985&gt;='Итоги'!$D$5),"Да","Нет")</x:f>
        <x:v>Нет</x:v>
      </x:c>
    </x:row>
    <x:row r="2986" ht="60" customHeight="1">
      <x:c r="A2986" s="14" t="str">
        <x:v>Товары для дома</x:v>
      </x:c>
      <x:c r="B2986" s="14" t="str">
        <x:v>Аксессуары для уборки и стирки</x:v>
      </x:c>
      <x:c r="C2986" s="14" t="str">
        <x:v>Аксессуар для уборки</x:v>
      </x:c>
      <x:c r="D2986" s="14" t="str">
        <x:v>Ведро, отжим на ведро</x:v>
      </x:c>
      <x:c r="E2986" s="2" t="n">
        <x:v>15</x:v>
      </x:c>
      <x:c r="F2986" s="2" t="n">
        <x:v>0</x:v>
      </x:c>
      <x:c r="G2986" s="12" t="n">
        <x:v>2192017.2024</x:v>
      </x:c>
      <x:c r="H2986" s="12" t="n">
        <x:v>165750.5942695</x:v>
      </x:c>
      <x:c r="I2986" s="13" t="n">
        <x:v>0.0933333333333333</x:v>
      </x:c>
      <x:c r="J2986" s="2" t="n">
        <x:v>3</x:v>
      </x:c>
      <x:c r="K2986" s="2" t="n">
        <x:v>6</x:v>
      </x:c>
      <x:c r="L2986" s="12" t="n">
        <x:v>919.1016</x:v>
      </x:c>
      <x:c r="M2986" s="13" t="n">
        <x:v>0.7341484184695467</x:v>
      </x:c>
      <x:c r="N2986" s="13" t="n">
        <x:f>H2986/G2986</x:f>
        <x:v>0.07561555360424302</x:v>
      </x:c>
      <x:c r="O2986" s="13" t="n">
        <x:f>F2986/E2986</x:f>
        <x:v>0</x:v>
      </x:c>
      <x:c r="P2986" s="2" t="str">
        <x:f>IF(AND(E2986&gt;='Итоги'!$F$5,N2986&lt;='Итоги'!$B$5,O2986&gt;='Итоги'!$D$5),"Да","Нет")</x:f>
        <x:v>Нет</x:v>
      </x:c>
    </x:row>
    <x:row r="2987" ht="60" customHeight="1">
      <x:c r="A2987" s="14" t="str">
        <x:v>Аптека</x:v>
      </x:c>
      <x:c r="B2987" s="14" t="str">
        <x:v>Витамины и БАДы</x:v>
      </x:c>
      <x:c r="C2987" s="14" t="str">
        <x:v>Контроль веса</x:v>
      </x:c>
      <x:c r="D2987" s="14" t="str">
        <x:v>БАД комплексы для контроля веса</x:v>
      </x:c>
      <x:c r="E2987" s="2" t="n">
        <x:v>21</x:v>
      </x:c>
      <x:c r="F2987" s="2" t="n">
        <x:v>0</x:v>
      </x:c>
      <x:c r="G2987" s="12" t="n">
        <x:v>5063285.4079</x:v>
      </x:c>
      <x:c r="H2987" s="12" t="n">
        <x:v>382984.76516183</x:v>
      </x:c>
      <x:c r="I2987" s="13" t="n">
        <x:v>0.0830761904761904</x:v>
      </x:c>
      <x:c r="J2987" s="2" t="n">
        <x:v>8</x:v>
      </x:c>
      <x:c r="K2987" s="2" t="n">
        <x:v>10</x:v>
      </x:c>
      <x:c r="L2987" s="12" t="n">
        <x:v>1381.7072</x:v>
      </x:c>
      <x:c r="M2987" s="13" t="n">
        <x:v>0.5702552701048579</x:v>
      </x:c>
      <x:c r="N2987" s="13" t="n">
        <x:f>H2987/G2987</x:f>
        <x:v>0.075639576738905</x:v>
      </x:c>
      <x:c r="O2987" s="13" t="n">
        <x:f>F2987/E2987</x:f>
        <x:v>0</x:v>
      </x:c>
      <x:c r="P2987" s="2" t="str">
        <x:f>IF(AND(E2987&gt;='Итоги'!$F$5,N2987&lt;='Итоги'!$B$5,O2987&gt;='Итоги'!$D$5),"Да","Нет")</x:f>
        <x:v>Нет</x:v>
      </x:c>
    </x:row>
    <x:row r="2988" ht="60" customHeight="1">
      <x:c r="A2988" s="14" t="str">
        <x:v>Строительство и ремонт (DIY)</x:v>
      </x:c>
      <x:c r="B2988" s="14" t="str">
        <x:v>Сад и огород</x:v>
      </x:c>
      <x:c r="C2988" s="14" t="str">
        <x:v>Аксессуары для садовых растений</x:v>
      </x:c>
      <x:c r="D2988" s="14" t="str">
        <x:v>Аксессуары для садовых растений</x:v>
      </x:c>
      <x:c r="E2988" s="2" t="n">
        <x:v>8</x:v>
      </x:c>
      <x:c r="F2988" s="2" t="n">
        <x:v>0</x:v>
      </x:c>
      <x:c r="G2988" s="12" t="n">
        <x:v>707864.982</x:v>
      </x:c>
      <x:c r="H2988" s="12" t="n">
        <x:v>53559.01586704</x:v>
      </x:c>
      <x:c r="I2988" s="13" t="n">
        <x:v>0.0675</x:v>
      </x:c>
      <x:c r="J2988" s="2" t="n">
        <x:v>5</x:v>
      </x:c>
      <x:c r="K2988" s="2" t="n">
        <x:v>3</x:v>
      </x:c>
      <x:c r="L2988" s="12" t="n">
        <x:v>3717.2649</x:v>
      </x:c>
      <x:c r="M2988" s="13" t="n">
        <x:v>0.6667040348098474</x:v>
      </x:c>
      <x:c r="N2988" s="13" t="n">
        <x:f>H2988/G2988</x:f>
        <x:v>0.07566275663999437</x:v>
      </x:c>
      <x:c r="O2988" s="13" t="n">
        <x:f>F2988/E2988</x:f>
        <x:v>0</x:v>
      </x:c>
      <x:c r="P2988" s="2" t="str">
        <x:f>IF(AND(E2988&gt;='Итоги'!$F$5,N2988&lt;='Итоги'!$B$5,O2988&gt;='Итоги'!$D$5),"Да","Нет")</x:f>
        <x:v>Нет</x:v>
      </x:c>
    </x:row>
    <x:row r="2989" ht="60" customHeight="1">
      <x:c r="A2989" s="14" t="str">
        <x:v>Строительство и ремонт (DIY)</x:v>
      </x:c>
      <x:c r="B2989" s="14" t="str">
        <x:v>Сад и огород</x:v>
      </x:c>
      <x:c r="C2989" s="14" t="str">
        <x:v>Аксессуары для садовых растений</x:v>
      </x:c>
      <x:c r="D2989" s="14" t="str">
        <x:v>Горшок, корзина, ящик для садовых растений</x:v>
      </x:c>
      <x:c r="E2989" s="2" t="n">
        <x:v>4</x:v>
      </x:c>
      <x:c r="F2989" s="2" t="n">
        <x:v>0</x:v>
      </x:c>
      <x:c r="G2989" s="12" t="n">
        <x:v>393353</x:v>
      </x:c>
      <x:c r="H2989" s="12" t="n">
        <x:v>29810.0527</x:v>
      </x:c>
      <x:c r="I2989" s="13" t="n">
        <x:v>0.0747</x:v>
      </x:c>
      <x:c r="J2989" s="2" t="n">
        <x:v>0</x:v>
      </x:c>
      <x:c r="K2989" s="2" t="n">
        <x:v>3</x:v>
      </x:c>
      <x:c r="L2989" s="12" t="n">
        <x:v>3538.60945</x:v>
      </x:c>
      <x:c r="M2989" s="13" t="n">
        <x:v>0.5400238462653139</x:v>
      </x:c>
      <x:c r="N2989" s="13" t="n">
        <x:f>H2989/G2989</x:f>
        <x:v>0.07578448035225357</x:v>
      </x:c>
      <x:c r="O2989" s="13" t="n">
        <x:f>F2989/E2989</x:f>
        <x:v>0</x:v>
      </x:c>
      <x:c r="P2989" s="2" t="str">
        <x:f>IF(AND(E2989&gt;='Итоги'!$F$5,N2989&lt;='Итоги'!$B$5,O2989&gt;='Итоги'!$D$5),"Да","Нет")</x:f>
        <x:v>Нет</x:v>
      </x:c>
    </x:row>
    <x:row r="2990" ht="60" customHeight="1">
      <x:c r="A2990" s="14" t="str">
        <x:v>Строительство и ремонт (DIY)</x:v>
      </x:c>
      <x:c r="B2990" s="14" t="str">
        <x:v>Ремонт и строительство</x:v>
      </x:c>
      <x:c r="C2990" s="14" t="str">
        <x:v>Отделка пола</x:v>
      </x:c>
      <x:c r="D2990" s="14" t="str">
        <x:v>Ламинат</x:v>
      </x:c>
      <x:c r="E2990" s="2" t="n">
        <x:v>15</x:v>
      </x:c>
      <x:c r="F2990" s="2" t="n">
        <x:v>0</x:v>
      </x:c>
      <x:c r="G2990" s="12" t="n">
        <x:v>2929667.1625</x:v>
      </x:c>
      <x:c r="H2990" s="12" t="n">
        <x:v>222186.11117592</x:v>
      </x:c>
      <x:c r="I2990" s="13" t="n">
        <x:v>0.0893133333333333</x:v>
      </x:c>
      <x:c r="J2990" s="2" t="n">
        <x:v>1</x:v>
      </x:c>
      <x:c r="K2990" s="2" t="n">
        <x:v>2</x:v>
      </x:c>
      <x:c r="L2990" s="12" t="n">
        <x:v>3297.7</x:v>
      </x:c>
      <x:c r="M2990" s="13" t="n">
        <x:v>0.9259373205334208</x:v>
      </x:c>
      <x:c r="N2990" s="13" t="n">
        <x:f>H2990/G2990</x:f>
        <x:v>0.07584005241957925</x:v>
      </x:c>
      <x:c r="O2990" s="13" t="n">
        <x:f>F2990/E2990</x:f>
        <x:v>0</x:v>
      </x:c>
      <x:c r="P2990" s="2" t="str">
        <x:f>IF(AND(E2990&gt;='Итоги'!$F$5,N2990&lt;='Итоги'!$B$5,O2990&gt;='Итоги'!$D$5),"Да","Нет")</x:f>
        <x:v>Нет</x:v>
      </x:c>
    </x:row>
    <x:row r="2991" ht="60" customHeight="1">
      <x:c r="A2991" s="14" t="str">
        <x:v>Аудио и видеотехника</x:v>
      </x:c>
      <x:c r="B2991" s="14" t="str">
        <x:v>Система безопасности TV&amp;Audio</x:v>
      </x:c>
      <x:c r="C2991" s="14" t="str">
        <x:v>Умный дом TV&amp;Audio</x:v>
      </x:c>
      <x:c r="D2991" s="14" t="str">
        <x:v>Умный датчик для умного дома</x:v>
      </x:c>
      <x:c r="E2991" s="2" t="n">
        <x:v>40</x:v>
      </x:c>
      <x:c r="F2991" s="2" t="n">
        <x:v>0</x:v>
      </x:c>
      <x:c r="G2991" s="12" t="n">
        <x:v>6651313.6147</x:v>
      </x:c>
      <x:c r="H2991" s="12" t="n">
        <x:v>504640.96269263</x:v>
      </x:c>
      <x:c r="I2991" s="13" t="n">
        <x:v>0.064755</x:v>
      </x:c>
      <x:c r="J2991" s="2" t="n">
        <x:v>12</x:v>
      </x:c>
      <x:c r="K2991" s="2" t="n">
        <x:v>8</x:v>
      </x:c>
      <x:c r="L2991" s="12" t="n">
        <x:v>1067.6987</x:v>
      </x:c>
      <x:c r="M2991" s="13" t="n">
        <x:v>0.7925391052603016</x:v>
      </x:c>
      <x:c r="N2991" s="13" t="n">
        <x:f>H2991/G2991</x:f>
        <x:v>0.07587087181956481</x:v>
      </x:c>
      <x:c r="O2991" s="13" t="n">
        <x:f>F2991/E2991</x:f>
        <x:v>0</x:v>
      </x:c>
      <x:c r="P2991" s="2" t="str">
        <x:f>IF(AND(E2991&gt;='Итоги'!$F$5,N2991&lt;='Итоги'!$B$5,O2991&gt;='Итоги'!$D$5),"Да","Нет")</x:f>
        <x:v>Нет</x:v>
      </x:c>
    </x:row>
    <x:row r="2992" ht="60" customHeight="1">
      <x:c r="A2992" s="14" t="str">
        <x:v>Строительство и ремонт (DIY)</x:v>
      </x:c>
      <x:c r="B2992" s="14" t="str">
        <x:v>Инструменты</x:v>
      </x:c>
      <x:c r="C2992" s="14" t="str">
        <x:v>Оснастка для инструмента</x:v>
      </x:c>
      <x:c r="D2992" s="14" t="str">
        <x:v>Оснастка для пневмоинструмента</x:v>
      </x:c>
      <x:c r="E2992" s="2" t="n">
        <x:v>113</x:v>
      </x:c>
      <x:c r="F2992" s="2" t="n">
        <x:v>0</x:v>
      </x:c>
      <x:c r="G2992" s="12" t="n">
        <x:v>20239521.1346</x:v>
      </x:c>
      <x:c r="H2992" s="12" t="n">
        <x:v>1536321.05439157</x:v>
      </x:c>
      <x:c r="I2992" s="13" t="n">
        <x:v>0.0642619469026548</x:v>
      </x:c>
      <x:c r="J2992" s="2" t="n">
        <x:v>30</x:v>
      </x:c>
      <x:c r="K2992" s="2" t="n">
        <x:v>30</x:v>
      </x:c>
      <x:c r="L2992" s="12" t="n">
        <x:v>1470.267</x:v>
      </x:c>
      <x:c r="M2992" s="13" t="n">
        <x:v>0.7169608913519774</x:v>
      </x:c>
      <x:c r="N2992" s="13" t="n">
        <x:f>H2992/G2992</x:f>
        <x:v>0.07590698634490854</x:v>
      </x:c>
      <x:c r="O2992" s="13" t="n">
        <x:f>F2992/E2992</x:f>
        <x:v>0</x:v>
      </x:c>
      <x:c r="P2992" s="2" t="str">
        <x:f>IF(AND(E2992&gt;='Итоги'!$F$5,N2992&lt;='Итоги'!$B$5,O2992&gt;='Итоги'!$D$5),"Да","Нет")</x:f>
        <x:v>Нет</x:v>
      </x:c>
    </x:row>
    <x:row r="2993" ht="60" customHeight="1">
      <x:c r="A2993" s="14" t="str">
        <x:v>Мебель</x:v>
      </x:c>
      <x:c r="B2993" s="14" t="str">
        <x:v>Мебель для сада</x:v>
      </x:c>
      <x:c r="C2993" s="14" t="str">
        <x:v>Комплект садовой мебели</x:v>
      </x:c>
      <x:c r="D2993" s="14" t="str">
        <x:v>Садовая кухня</x:v>
      </x:c>
      <x:c r="E2993" s="2" t="n">
        <x:v>4</x:v>
      </x:c>
      <x:c r="F2993" s="2" t="n">
        <x:v>0</x:v>
      </x:c>
      <x:c r="G2993" s="12" t="n">
        <x:v>801938.1421</x:v>
      </x:c>
      <x:c r="H2993" s="12" t="n">
        <x:v>60885.0777519</x:v>
      </x:c>
      <x:c r="I2993" s="13" t="n">
        <x:v>0.03475</x:v>
      </x:c>
      <x:c r="J2993" s="2" t="n">
        <x:v>3</x:v>
      </x:c>
      <x:c r="K2993" s="2" t="n">
        <x:v>1</x:v>
      </x:c>
      <x:c r="L2993" s="12" t="n">
        <x:v>14618.9246</x:v>
      </x:c>
      <x:c r="M2993" s="13" t="n">
        <x:v>1</x:v>
      </x:c>
      <x:c r="N2993" s="13" t="n">
        <x:f>H2993/G2993</x:f>
        <x:v>0.07592241166190565</x:v>
      </x:c>
      <x:c r="O2993" s="13" t="n">
        <x:f>F2993/E2993</x:f>
        <x:v>0</x:v>
      </x:c>
      <x:c r="P2993" s="2" t="str">
        <x:f>IF(AND(E2993&gt;='Итоги'!$F$5,N2993&lt;='Итоги'!$B$5,O2993&gt;='Итоги'!$D$5),"Да","Нет")</x:f>
        <x:v>Нет</x:v>
      </x:c>
    </x:row>
    <x:row r="2994" ht="60" customHeight="1">
      <x:c r="A2994" s="14" t="str">
        <x:v>Аптека</x:v>
      </x:c>
      <x:c r="B2994" s="14" t="str">
        <x:v>Витамины и БАДы</x:v>
      </x:c>
      <x:c r="C2994" s="14" t="str">
        <x:v>Мужское здоровье</x:v>
      </x:c>
      <x:c r="D2994" s="14" t="str">
        <x:v>БАД для поддержания эрекции</x:v>
      </x:c>
      <x:c r="E2994" s="2" t="n">
        <x:v>43</x:v>
      </x:c>
      <x:c r="F2994" s="2" t="n">
        <x:v>0</x:v>
      </x:c>
      <x:c r="G2994" s="12" t="n">
        <x:v>9017778.8329</x:v>
      </x:c>
      <x:c r="H2994" s="12" t="n">
        <x:v>684893.81627791</x:v>
      </x:c>
      <x:c r="I2994" s="13" t="n">
        <x:v>0.0861860465116279</x:v>
      </x:c>
      <x:c r="J2994" s="2" t="n">
        <x:v>10</x:v>
      </x:c>
      <x:c r="K2994" s="2" t="n">
        <x:v>13</x:v>
      </x:c>
      <x:c r="L2994" s="12" t="n">
        <x:v>1745.3778</x:v>
      </x:c>
      <x:c r="M2994" s="13" t="n">
        <x:v>0.5705506383710458</x:v>
      </x:c>
      <x:c r="N2994" s="13" t="n">
        <x:f>H2994/G2994</x:f>
        <x:v>0.07594928074518513</x:v>
      </x:c>
      <x:c r="O2994" s="13" t="n">
        <x:f>F2994/E2994</x:f>
        <x:v>0</x:v>
      </x:c>
      <x:c r="P2994" s="2" t="str">
        <x:f>IF(AND(E2994&gt;='Итоги'!$F$5,N2994&lt;='Итоги'!$B$5,O2994&gt;='Итоги'!$D$5),"Да","Нет")</x:f>
        <x:v>Нет</x:v>
      </x:c>
    </x:row>
    <x:row r="2995" ht="60" customHeight="1">
      <x:c r="A2995" s="14" t="str">
        <x:v>Спорт и отдых</x:v>
      </x:c>
      <x:c r="B2995" s="14" t="str">
        <x:v>Тренажеры и фитнес</x:v>
      </x:c>
      <x:c r="C2995" s="14" t="str">
        <x:v>Кросстренинг и тяжёлая атлетика</x:v>
      </x:c>
      <x:c r="D2995" s="14" t="str">
        <x:v>Инверсионный стол</x:v>
      </x:c>
      <x:c r="E2995" s="2" t="n">
        <x:v>12</x:v>
      </x:c>
      <x:c r="F2995" s="2" t="n">
        <x:v>0</x:v>
      </x:c>
      <x:c r="G2995" s="12" t="n">
        <x:v>4111057.4056</x:v>
      </x:c>
      <x:c r="H2995" s="12" t="n">
        <x:v>312347.41739453</x:v>
      </x:c>
      <x:c r="I2995" s="13" t="n">
        <x:v>0.0773166666666666</x:v>
      </x:c>
      <x:c r="J2995" s="2" t="n">
        <x:v>0</x:v>
      </x:c>
      <x:c r="K2995" s="2" t="n">
        <x:v>3</x:v>
      </x:c>
      <x:c r="L2995" s="12" t="n">
        <x:v>14369.1437</x:v>
      </x:c>
      <x:c r="M2995" s="13" t="n">
        <x:v>0.5783350945820711</x:v>
      </x:c>
      <x:c r="N2995" s="13" t="n">
        <x:f>H2995/G2995</x:f>
        <x:v>0.07597739135655382</x:v>
      </x:c>
      <x:c r="O2995" s="13" t="n">
        <x:f>F2995/E2995</x:f>
        <x:v>0</x:v>
      </x:c>
      <x:c r="P2995" s="2" t="str">
        <x:f>IF(AND(E2995&gt;='Итоги'!$F$5,N2995&lt;='Итоги'!$B$5,O2995&gt;='Итоги'!$D$5),"Да","Нет")</x:f>
        <x:v>Нет</x:v>
      </x:c>
    </x:row>
    <x:row r="2996" ht="60" customHeight="1">
      <x:c r="A2996" s="14" t="str">
        <x:v>Строительство и ремонт (DIY)</x:v>
      </x:c>
      <x:c r="B2996" s="14" t="str">
        <x:v>Инструменты</x:v>
      </x:c>
      <x:c r="C2996" s="14" t="str">
        <x:v>Измерительный инструмент</x:v>
      </x:c>
      <x:c r="D2996" s="14" t="str">
        <x:v>Мультиметр (тестер)</x:v>
      </x:c>
      <x:c r="E2996" s="2" t="n">
        <x:v>86</x:v>
      </x:c>
      <x:c r="F2996" s="2" t="n">
        <x:v>0</x:v>
      </x:c>
      <x:c r="G2996" s="12" t="n">
        <x:v>15241078.3768</x:v>
      </x:c>
      <x:c r="H2996" s="12" t="n">
        <x:v>1158026.92884183</x:v>
      </x:c>
      <x:c r="I2996" s="13" t="n">
        <x:v>0.0769744186046511</x:v>
      </x:c>
      <x:c r="J2996" s="2" t="n">
        <x:v>18</x:v>
      </x:c>
      <x:c r="K2996" s="2" t="n">
        <x:v>32</x:v>
      </x:c>
      <x:c r="L2996" s="12" t="n">
        <x:v>1459.23105</x:v>
      </x:c>
      <x:c r="M2996" s="13" t="n">
        <x:v>0.4146968835499834</x:v>
      </x:c>
      <x:c r="N2996" s="13" t="n">
        <x:f>H2996/G2996</x:f>
        <x:v>0.07598064259052567</x:v>
      </x:c>
      <x:c r="O2996" s="13" t="n">
        <x:f>F2996/E2996</x:f>
        <x:v>0</x:v>
      </x:c>
      <x:c r="P2996" s="2" t="str">
        <x:f>IF(AND(E2996&gt;='Итоги'!$F$5,N2996&lt;='Итоги'!$B$5,O2996&gt;='Итоги'!$D$5),"Да","Нет")</x:f>
        <x:v>Нет</x:v>
      </x:c>
    </x:row>
    <x:row r="2997" ht="60" customHeight="1">
      <x:c r="A2997" s="14" t="str">
        <x:v>Ноутбуки и компьютеры</x:v>
      </x:c>
      <x:c r="B2997" s="14" t="str">
        <x:v>Компьютерная периферия Lap&amp;Comp</x:v>
      </x:c>
      <x:c r="C2997" s="14" t="str">
        <x:v>Сетевое оборудование Lap&amp;Comp</x:v>
      </x:c>
      <x:c r="D2997" s="14" t="str">
        <x:v>Модем</x:v>
      </x:c>
      <x:c r="E2997" s="2" t="n">
        <x:v>44</x:v>
      </x:c>
      <x:c r="F2997" s="2" t="n">
        <x:v>0</x:v>
      </x:c>
      <x:c r="G2997" s="12" t="n">
        <x:v>8791496.7</x:v>
      </x:c>
      <x:c r="H2997" s="12" t="n">
        <x:v>668069.602201</x:v>
      </x:c>
      <x:c r="I2997" s="13" t="n">
        <x:v>0.0602272727272727</x:v>
      </x:c>
      <x:c r="J2997" s="2" t="n">
        <x:v>23</x:v>
      </x:c>
      <x:c r="K2997" s="2" t="n">
        <x:v>17</x:v>
      </x:c>
      <x:c r="L2997" s="12" t="n">
        <x:v>2067.9878</x:v>
      </x:c>
      <x:c r="M2997" s="13" t="n">
        <x:v>0.3975346882630349</x:v>
      </x:c>
      <x:c r="N2997" s="13" t="n">
        <x:f>H2997/G2997</x:f>
        <x:v>0.07599042859232377</x:v>
      </x:c>
      <x:c r="O2997" s="13" t="n">
        <x:f>F2997/E2997</x:f>
        <x:v>0</x:v>
      </x:c>
      <x:c r="P2997" s="2" t="str">
        <x:f>IF(AND(E2997&gt;='Итоги'!$F$5,N2997&lt;='Итоги'!$B$5,O2997&gt;='Итоги'!$D$5),"Да","Нет")</x:f>
        <x:v>Нет</x:v>
      </x:c>
    </x:row>
    <x:row r="2998" ht="60" customHeight="1">
      <x:c r="A2998" s="14" t="str">
        <x:v>Бытовая химия и гигиена рта</x:v>
      </x:c>
      <x:c r="B2998" s="14" t="str">
        <x:v>Бритвы и лезвия</x:v>
      </x:c>
      <x:c r="C2998" s="14" t="str">
        <x:v>Наборы для бритья</x:v>
      </x:c>
      <x:c r="D2998" s="14" t="str">
        <x:v>Набор принадлежностей для бритья</x:v>
      </x:c>
      <x:c r="E2998" s="2" t="n">
        <x:v>9</x:v>
      </x:c>
      <x:c r="F2998" s="2" t="n">
        <x:v>0</x:v>
      </x:c>
      <x:c r="G2998" s="12" t="n">
        <x:v>1408815.3883</x:v>
      </x:c>
      <x:c r="H2998" s="12" t="n">
        <x:v>107070.22971913</x:v>
      </x:c>
      <x:c r="I2998" s="13" t="n">
        <x:v>0.0856</x:v>
      </x:c>
      <x:c r="J2998" s="2" t="n">
        <x:v>3</x:v>
      </x:c>
      <x:c r="K2998" s="2" t="n">
        <x:v>3</x:v>
      </x:c>
      <x:c r="L2998" s="12" t="n">
        <x:v>1228.5528</x:v>
      </x:c>
      <x:c r="M2998" s="13" t="n">
        <x:v>0.7080473116521537</x:v>
      </x:c>
      <x:c r="N2998" s="13" t="n">
        <x:f>H2998/G2998</x:f>
        <x:v>0.0760001847000907</x:v>
      </x:c>
      <x:c r="O2998" s="13" t="n">
        <x:f>F2998/E2998</x:f>
        <x:v>0</x:v>
      </x:c>
      <x:c r="P2998" s="2" t="str">
        <x:f>IF(AND(E2998&gt;='Итоги'!$F$5,N2998&lt;='Итоги'!$B$5,O2998&gt;='Итоги'!$D$5),"Да","Нет")</x:f>
        <x:v>Нет</x:v>
      </x:c>
    </x:row>
    <x:row r="2999" ht="60" customHeight="1">
      <x:c r="A2999" s="14" t="str">
        <x:v>Спорт и отдых</x:v>
      </x:c>
      <x:c r="B2999" s="14" t="str">
        <x:v>Всесезонные виды спорта</x:v>
      </x:c>
      <x:c r="C2999" s="14" t="str">
        <x:v>Теннис настольный</x:v>
      </x:c>
      <x:c r="D2999" s="14" t="str">
        <x:v>Набор для настольного тенниса</x:v>
      </x:c>
      <x:c r="E2999" s="2" t="n">
        <x:v>16</x:v>
      </x:c>
      <x:c r="F2999" s="2" t="n">
        <x:v>0</x:v>
      </x:c>
      <x:c r="G2999" s="12" t="n">
        <x:v>3729357.7542</x:v>
      </x:c>
      <x:c r="H2999" s="12" t="n">
        <x:v>283606.04931088</x:v>
      </x:c>
      <x:c r="I2999" s="13" t="n">
        <x:v>0.07225625</x:v>
      </x:c>
      <x:c r="J2999" s="2" t="n">
        <x:v>1</x:v>
      </x:c>
      <x:c r="K2999" s="2" t="n">
        <x:v>8</x:v>
      </x:c>
      <x:c r="L2999" s="12" t="n">
        <x:v>1521.59705</x:v>
      </x:c>
      <x:c r="M2999" s="13" t="n">
        <x:v>0.3126440327659354</x:v>
      </x:c>
      <x:c r="N2999" s="13" t="n">
        <x:f>H2999/G2999</x:f>
        <x:v>0.0760468874275961</x:v>
      </x:c>
      <x:c r="O2999" s="13" t="n">
        <x:f>F2999/E2999</x:f>
        <x:v>0</x:v>
      </x:c>
      <x:c r="P2999" s="2" t="str">
        <x:f>IF(AND(E2999&gt;='Итоги'!$F$5,N2999&lt;='Итоги'!$B$5,O2999&gt;='Итоги'!$D$5),"Да","Нет")</x:f>
        <x:v>Нет</x:v>
      </x:c>
    </x:row>
    <x:row r="3000" ht="60" customHeight="1">
      <x:c r="A3000" s="14" t="str">
        <x:v>Спорт и отдых</x:v>
      </x:c>
      <x:c r="B3000" s="14" t="str">
        <x:v>Колесный транспорт</x:v>
      </x:c>
      <x:c r="C3000" s="14" t="str">
        <x:v>Велоаксессуары</x:v>
      </x:c>
      <x:c r="D3000" s="14" t="str">
        <x:v>Сирена для велосипеда</x:v>
      </x:c>
      <x:c r="E3000" s="2" t="n">
        <x:v>1</x:v>
      </x:c>
      <x:c r="F3000" s="2" t="n">
        <x:v>0</x:v>
      </x:c>
      <x:c r="G3000" s="12" t="n">
        <x:v>54676.1861</x:v>
      </x:c>
      <x:c r="H3000" s="12" t="n">
        <x:v>4160.85776221</x:v>
      </x:c>
      <x:c r="I3000" s="13" t="n">
        <x:v>0.0761</x:v>
      </x:c>
      <x:c r="J3000" s="2" t="n">
        <x:v>0</x:v>
      </x:c>
      <x:c r="K3000" s="2" t="n">
        <x:v>1</x:v>
      </x:c>
      <x:c r="L3000" s="12" t="n">
        <x:v>1656.8541</x:v>
      </x:c>
      <x:c r="M3000" s="13" t="n">
        <x:v>1</x:v>
      </x:c>
      <x:c r="N3000" s="13" t="n">
        <x:f>H3000/G3000</x:f>
        <x:v>0.0761</x:v>
      </x:c>
      <x:c r="O3000" s="13" t="n">
        <x:f>F3000/E3000</x:f>
        <x:v>0</x:v>
      </x:c>
      <x:c r="P3000" s="2" t="str">
        <x:f>IF(AND(E3000&gt;='Итоги'!$F$5,N3000&lt;='Итоги'!$B$5,O3000&gt;='Итоги'!$D$5),"Да","Нет")</x:f>
        <x:v>Нет</x:v>
      </x:c>
    </x:row>
    <x:row r="3001" ht="60" customHeight="1">
      <x:c r="A3001" s="14" t="str">
        <x:v>Товары для красоты и здоровья</x:v>
      </x:c>
      <x:c r="B3001" s="14" t="str">
        <x:v>Уход и гигиена</x:v>
      </x:c>
      <x:c r="C3001" s="14" t="str">
        <x:v>Гигиена тела</x:v>
      </x:c>
      <x:c r="D3001" s="14" t="str">
        <x:v>Гель для душа</x:v>
      </x:c>
      <x:c r="E3001" s="2" t="n">
        <x:v>85</x:v>
      </x:c>
      <x:c r="F3001" s="2" t="n">
        <x:v>0</x:v>
      </x:c>
      <x:c r="G3001" s="12" t="n">
        <x:v>12742975.8119</x:v>
      </x:c>
      <x:c r="H3001" s="12" t="n">
        <x:v>970052.86090713</x:v>
      </x:c>
      <x:c r="I3001" s="13" t="n">
        <x:v>0.0774105882352941</x:v>
      </x:c>
      <x:c r="J3001" s="2" t="n">
        <x:v>25</x:v>
      </x:c>
      <x:c r="K3001" s="2" t="n">
        <x:v>14</x:v>
      </x:c>
      <x:c r="L3001" s="12" t="n">
        <x:v>825.5655</x:v>
      </x:c>
      <x:c r="M3001" s="13" t="n">
        <x:v>0.7080889767972205</x:v>
      </x:c>
      <x:c r="N3001" s="13" t="n">
        <x:f>H3001/G3001</x:f>
        <x:v>0.07612451559401441</x:v>
      </x:c>
      <x:c r="O3001" s="13" t="n">
        <x:f>F3001/E3001</x:f>
        <x:v>0</x:v>
      </x:c>
      <x:c r="P3001" s="2" t="str">
        <x:f>IF(AND(E3001&gt;='Итоги'!$F$5,N3001&lt;='Итоги'!$B$5,O3001&gt;='Итоги'!$D$5),"Да","Нет")</x:f>
        <x:v>Нет</x:v>
      </x:c>
    </x:row>
    <x:row r="3002" ht="60" customHeight="1">
      <x:c r="A3002" s="14" t="str">
        <x:v>Аксессуары для электроники</x:v>
      </x:c>
      <x:c r="B3002" s="14" t="str">
        <x:v>Компьютеры Access</x:v>
      </x:c>
      <x:c r="C3002" s="14" t="str">
        <x:v>Аксессуар к компьютерной технике Access</x:v>
      </x:c>
      <x:c r="D3002" s="14" t="str">
        <x:v>Кабель для моддинга ПК</x:v>
      </x:c>
      <x:c r="E3002" s="2" t="n">
        <x:v>3</x:v>
      </x:c>
      <x:c r="F3002" s="2" t="n">
        <x:v>0</x:v>
      </x:c>
      <x:c r="G3002" s="12" t="n">
        <x:v>356173.35</x:v>
      </x:c>
      <x:c r="H3002" s="12" t="n">
        <x:v>27122.8776</x:v>
      </x:c>
      <x:c r="I3002" s="13" t="n">
        <x:v>0.0765333333333333</x:v>
      </x:c>
      <x:c r="J3002" s="2" t="n">
        <x:v>2</x:v>
      </x:c>
      <x:c r="K3002" s="2" t="n">
        <x:v>2</x:v>
      </x:c>
      <x:c r="L3002" s="12" t="n">
        <x:v>1717.0787</x:v>
      </x:c>
      <x:c r="M3002" s="13" t="n">
        <x:v>0.6683328497205083</x:v>
      </x:c>
      <x:c r="N3002" s="13" t="n">
        <x:f>H3002/G3002</x:f>
        <x:v>0.07615077770417131</x:v>
      </x:c>
      <x:c r="O3002" s="13" t="n">
        <x:f>F3002/E3002</x:f>
        <x:v>0</x:v>
      </x:c>
      <x:c r="P3002" s="2" t="str">
        <x:f>IF(AND(E3002&gt;='Итоги'!$F$5,N3002&lt;='Итоги'!$B$5,O3002&gt;='Итоги'!$D$5),"Да","Нет")</x:f>
        <x:v>Нет</x:v>
      </x:c>
    </x:row>
    <x:row r="3003" ht="60" customHeight="1">
      <x:c r="A3003" s="14" t="str">
        <x:v>Аптека</x:v>
      </x:c>
      <x:c r="B3003" s="14" t="str">
        <x:v>Витамины и БАДы</x:v>
      </x:c>
      <x:c r="C3003" s="14" t="str">
        <x:v>Для желудочно-кишечного тракта и печени</x:v>
      </x:c>
      <x:c r="D3003" s="14" t="str">
        <x:v>БАД для восстановления работы кишечника</x:v>
      </x:c>
      <x:c r="E3003" s="2" t="n">
        <x:v>110</x:v>
      </x:c>
      <x:c r="F3003" s="2" t="n">
        <x:v>0</x:v>
      </x:c>
      <x:c r="G3003" s="12" t="n">
        <x:v>22731114.0539</x:v>
      </x:c>
      <x:c r="H3003" s="12" t="n">
        <x:v>1731047.70121809</x:v>
      </x:c>
      <x:c r="I3003" s="13" t="n">
        <x:v>0.0656427272727272</x:v>
      </x:c>
      <x:c r="J3003" s="2" t="n">
        <x:v>41</x:v>
      </x:c>
      <x:c r="K3003" s="2" t="n">
        <x:v>39</x:v>
      </x:c>
      <x:c r="L3003" s="12" t="n">
        <x:v>1549.9686000000002</x:v>
      </x:c>
      <x:c r="M3003" s="13" t="n">
        <x:v>0.5222416383619024</x:v>
      </x:c>
      <x:c r="N3003" s="13" t="n">
        <x:f>H3003/G3003</x:f>
        <x:v>0.07615322755908184</x:v>
      </x:c>
      <x:c r="O3003" s="13" t="n">
        <x:f>F3003/E3003</x:f>
        <x:v>0</x:v>
      </x:c>
      <x:c r="P3003" s="2" t="str">
        <x:f>IF(AND(E3003&gt;='Итоги'!$F$5,N3003&lt;='Итоги'!$B$5,O3003&gt;='Итоги'!$D$5),"Да","Нет")</x:f>
        <x:v>Нет</x:v>
      </x:c>
    </x:row>
    <x:row r="3004" ht="60" customHeight="1">
      <x:c r="A3004" s="14" t="str">
        <x:v>Товары для дома</x:v>
      </x:c>
      <x:c r="B3004" s="14" t="str">
        <x:v>Интерьер и декор</x:v>
      </x:c>
      <x:c r="C3004" s="14" t="str">
        <x:v>Домашние растения</x:v>
      </x:c>
      <x:c r="D3004" s="14" t="str">
        <x:v>Кашпо подвесное</x:v>
      </x:c>
      <x:c r="E3004" s="2" t="n">
        <x:v>4</x:v>
      </x:c>
      <x:c r="F3004" s="2" t="n">
        <x:v>0</x:v>
      </x:c>
      <x:c r="G3004" s="12" t="n">
        <x:v>504905.7591</x:v>
      </x:c>
      <x:c r="H3004" s="12" t="n">
        <x:v>38454.03971999</x:v>
      </x:c>
      <x:c r="I3004" s="13" t="n">
        <x:v>0.08355</x:v>
      </x:c>
      <x:c r="J3004" s="2" t="n">
        <x:v>1</x:v>
      </x:c>
      <x:c r="K3004" s="2" t="n">
        <x:v>3</x:v>
      </x:c>
      <x:c r="L3004" s="12" t="n">
        <x:v>1556.9899</x:v>
      </x:c>
      <x:c r="M3004" s="13" t="n">
        <x:v>0.6480873969100266</x:v>
      </x:c>
      <x:c r="N3004" s="13" t="n">
        <x:f>H3004/G3004</x:f>
        <x:v>0.07616082610848952</x:v>
      </x:c>
      <x:c r="O3004" s="13" t="n">
        <x:f>F3004/E3004</x:f>
        <x:v>0</x:v>
      </x:c>
      <x:c r="P3004" s="2" t="str">
        <x:f>IF(AND(E3004&gt;='Итоги'!$F$5,N3004&lt;='Итоги'!$B$5,O3004&gt;='Итоги'!$D$5),"Да","Нет")</x:f>
        <x:v>Нет</x:v>
      </x:c>
    </x:row>
    <x:row r="3005" ht="60" customHeight="1">
      <x:c r="A3005" s="14" t="str">
        <x:v>Бакалея и кондитерские изделия</x:v>
      </x:c>
      <x:c r="B3005" s="14" t="str">
        <x:v>Бакалея</x:v>
      </x:c>
      <x:c r="C3005" s="14" t="str">
        <x:v>Консервы</x:v>
      </x:c>
      <x:c r="D3005" s="14" t="str">
        <x:v>Орехи в меду</x:v>
      </x:c>
      <x:c r="E3005" s="2" t="n">
        <x:v>3</x:v>
      </x:c>
      <x:c r="F3005" s="2" t="n">
        <x:v>0</x:v>
      </x:c>
      <x:c r="G3005" s="12" t="n">
        <x:v>477461.5985</x:v>
      </x:c>
      <x:c r="H3005" s="12" t="n">
        <x:v>36364.56097574</x:v>
      </x:c>
      <x:c r="I3005" s="13" t="n">
        <x:v>0.0840666666666666</x:v>
      </x:c>
      <x:c r="J3005" s="2" t="n">
        <x:v>0</x:v>
      </x:c>
      <x:c r="K3005" s="2" t="n">
        <x:v>2</x:v>
      </x:c>
      <x:c r="L3005" s="12" t="n">
        <x:v>1289.2024</x:v>
      </x:c>
      <x:c r="M3005" s="13" t="n">
        <x:v>0.5301795723368526</x:v>
      </x:c>
      <x:c r="N3005" s="13" t="n">
        <x:f>H3005/G3005</x:f>
        <x:v>0.07616227376187616</x:v>
      </x:c>
      <x:c r="O3005" s="13" t="n">
        <x:f>F3005/E3005</x:f>
        <x:v>0</x:v>
      </x:c>
      <x:c r="P3005" s="2" t="str">
        <x:f>IF(AND(E3005&gt;='Итоги'!$F$5,N3005&lt;='Итоги'!$B$5,O3005&gt;='Итоги'!$D$5),"Да","Нет")</x:f>
        <x:v>Нет</x:v>
      </x:c>
    </x:row>
    <x:row r="3006" ht="60" customHeight="1">
      <x:c r="A3006" s="14" t="str">
        <x:v>Обувь</x:v>
      </x:c>
      <x:c r="B3006" s="14" t="str">
        <x:v>Специальная обувь</x:v>
      </x:c>
      <x:c r="C3006" s="14" t="str">
        <x:v>Спецобувь мужская</x:v>
      </x:c>
      <x:c r="D3006" s="14" t="str">
        <x:v>Медицинское сабо мужское</x:v>
      </x:c>
      <x:c r="E3006" s="2" t="n">
        <x:v>10</x:v>
      </x:c>
      <x:c r="F3006" s="2" t="n">
        <x:v>0</x:v>
      </x:c>
      <x:c r="G3006" s="12" t="n">
        <x:v>972499.4024</x:v>
      </x:c>
      <x:c r="H3006" s="12" t="n">
        <x:v>74174.75147157999</x:v>
      </x:c>
      <x:c r="I3006" s="13" t="n">
        <x:v>0.04142</x:v>
      </x:c>
      <x:c r="J3006" s="2" t="n">
        <x:v>4</x:v>
      </x:c>
      <x:c r="K3006" s="2" t="n">
        <x:v>1</x:v>
      </x:c>
      <x:c r="L3006" s="12" t="n">
        <x:v>2941.8036</x:v>
      </x:c>
      <x:c r="M3006" s="13" t="n">
        <x:v>1</x:v>
      </x:c>
      <x:c r="N3006" s="13" t="n">
        <x:f>H3006/G3006</x:f>
        <x:v>0.07627228488626986</x:v>
      </x:c>
      <x:c r="O3006" s="13" t="n">
        <x:f>F3006/E3006</x:f>
        <x:v>0</x:v>
      </x:c>
      <x:c r="P3006" s="2" t="str">
        <x:f>IF(AND(E3006&gt;='Итоги'!$F$5,N3006&lt;='Итоги'!$B$5,O3006&gt;='Итоги'!$D$5),"Да","Нет")</x:f>
        <x:v>Нет</x:v>
      </x:c>
    </x:row>
    <x:row r="3007" ht="60" customHeight="1">
      <x:c r="A3007" s="14" t="str">
        <x:v>Товары для детей и спорта</x:v>
      </x:c>
      <x:c r="B3007" s="14" t="str">
        <x:v>Текстиль детский</x:v>
      </x:c>
      <x:c r="C3007" s="14" t="str">
        <x:v>Остальной текстиль для малышей</x:v>
      </x:c>
      <x:c r="D3007" s="14" t="str">
        <x:v>Полотенце для новорожденных и малышей</x:v>
      </x:c>
      <x:c r="E3007" s="2" t="n">
        <x:v>31</x:v>
      </x:c>
      <x:c r="F3007" s="2" t="n">
        <x:v>0</x:v>
      </x:c>
      <x:c r="G3007" s="12" t="n">
        <x:v>2993328.1927</x:v>
      </x:c>
      <x:c r="H3007" s="12" t="n">
        <x:v>228311.76883175</x:v>
      </x:c>
      <x:c r="I3007" s="13" t="n">
        <x:v>0.0768290322580645</x:v>
      </x:c>
      <x:c r="J3007" s="2" t="n">
        <x:v>4</x:v>
      </x:c>
      <x:c r="K3007" s="2" t="n">
        <x:v>12</x:v>
      </x:c>
      <x:c r="L3007" s="12" t="n">
        <x:v>1092.3483</x:v>
      </x:c>
      <x:c r="M3007" s="13" t="n">
        <x:v>0.3946233765414533</x:v>
      </x:c>
      <x:c r="N3007" s="13" t="n">
        <x:f>H3007/G3007</x:f>
        <x:v>0.07627355042074802</x:v>
      </x:c>
      <x:c r="O3007" s="13" t="n">
        <x:f>F3007/E3007</x:f>
        <x:v>0</x:v>
      </x:c>
      <x:c r="P3007" s="2" t="str">
        <x:f>IF(AND(E3007&gt;='Итоги'!$F$5,N3007&lt;='Итоги'!$B$5,O3007&gt;='Итоги'!$D$5),"Да","Нет")</x:f>
        <x:v>Нет</x:v>
      </x:c>
    </x:row>
    <x:row r="3008" ht="60" customHeight="1">
      <x:c r="A3008" s="14" t="str">
        <x:v>Мебель</x:v>
      </x:c>
      <x:c r="B3008" s="14" t="str">
        <x:v>Корпусная мебель и мебель для хранения</x:v>
      </x:c>
      <x:c r="C3008" s="14" t="str">
        <x:v>Обувница, этажерка для обуви</x:v>
      </x:c>
      <x:c r="D3008" s="14" t="str">
        <x:v>Мебель для хранения обуви в прихожей</x:v>
      </x:c>
      <x:c r="E3008" s="2" t="n">
        <x:v>329</x:v>
      </x:c>
      <x:c r="F3008" s="2" t="n">
        <x:v>0</x:v>
      </x:c>
      <x:c r="G3008" s="12" t="n">
        <x:v>55858453.4172</x:v>
      </x:c>
      <x:c r="H3008" s="12" t="n">
        <x:v>4260901.87993318</x:v>
      </x:c>
      <x:c r="I3008" s="13" t="n">
        <x:v>0.0793003039513677</x:v>
      </x:c>
      <x:c r="J3008" s="2" t="n">
        <x:v>46</x:v>
      </x:c>
      <x:c r="K3008" s="2" t="n">
        <x:v>39</x:v>
      </x:c>
      <x:c r="L3008" s="12" t="n">
        <x:v>2976.4643</x:v>
      </x:c>
      <x:c r="M3008" s="13" t="n">
        <x:v>0.7906258514472446</x:v>
      </x:c>
      <x:c r="N3008" s="13" t="n">
        <x:f>H3008/G3008</x:f>
        <x:v>0.07628034109911748</x:v>
      </x:c>
      <x:c r="O3008" s="13" t="n">
        <x:f>F3008/E3008</x:f>
        <x:v>0</x:v>
      </x:c>
      <x:c r="P3008" s="2" t="str">
        <x:f>IF(AND(E3008&gt;='Итоги'!$F$5,N3008&lt;='Итоги'!$B$5,O3008&gt;='Итоги'!$D$5),"Да","Нет")</x:f>
        <x:v>Нет</x:v>
      </x:c>
    </x:row>
    <x:row r="3009" ht="60" customHeight="1">
      <x:c r="A3009" s="14" t="str">
        <x:v>Аптека</x:v>
      </x:c>
      <x:c r="B3009" s="14" t="str">
        <x:v>Спортивное питание</x:v>
      </x:c>
      <x:c r="C3009" s="14" t="str">
        <x:v>Креатин</x:v>
      </x:c>
      <x:c r="D3009" s="14" t="str">
        <x:v>Креатин моногидрат</x:v>
      </x:c>
      <x:c r="E3009" s="2" t="n">
        <x:v>93</x:v>
      </x:c>
      <x:c r="F3009" s="2" t="n">
        <x:v>0</x:v>
      </x:c>
      <x:c r="G3009" s="12" t="n">
        <x:v>20689292.2865</x:v>
      </x:c>
      <x:c r="H3009" s="12" t="n">
        <x:v>1579287.30818618</x:v>
      </x:c>
      <x:c r="I3009" s="13" t="n">
        <x:v>0.0762397849462365</x:v>
      </x:c>
      <x:c r="J3009" s="2" t="n">
        <x:v>23</x:v>
      </x:c>
      <x:c r="K3009" s="2" t="n">
        <x:v>7</x:v>
      </x:c>
      <x:c r="L3009" s="12" t="n">
        <x:v>1272.2969</x:v>
      </x:c>
      <x:c r="M3009" s="13" t="n">
        <x:v>0.8414126216564242</x:v>
      </x:c>
      <x:c r="N3009" s="13" t="n">
        <x:f>H3009/G3009</x:f>
        <x:v>0.07633355874703762</x:v>
      </x:c>
      <x:c r="O3009" s="13" t="n">
        <x:f>F3009/E3009</x:f>
        <x:v>0</x:v>
      </x:c>
      <x:c r="P3009" s="2" t="str">
        <x:f>IF(AND(E3009&gt;='Итоги'!$F$5,N3009&lt;='Итоги'!$B$5,O3009&gt;='Итоги'!$D$5),"Да","Нет")</x:f>
        <x:v>Нет</x:v>
      </x:c>
    </x:row>
    <x:row r="3010" ht="60" customHeight="1">
      <x:c r="A3010" s="14" t="str">
        <x:v>Строительство и ремонт (DIY)</x:v>
      </x:c>
      <x:c r="B3010" s="14" t="str">
        <x:v>Сад и огород</x:v>
      </x:c>
      <x:c r="C3010" s="14" t="str">
        <x:v>Садовый инструмент</x:v>
      </x:c>
      <x:c r="D3010" s="14" t="str">
        <x:v>Инвентарь садовый</x:v>
      </x:c>
      <x:c r="E3010" s="2" t="n">
        <x:v>25</x:v>
      </x:c>
      <x:c r="F3010" s="2" t="n">
        <x:v>0</x:v>
      </x:c>
      <x:c r="G3010" s="12" t="n">
        <x:v>3839429.0623</x:v>
      </x:c>
      <x:c r="H3010" s="12" t="n">
        <x:v>293226.08965085</x:v>
      </x:c>
      <x:c r="I3010" s="13" t="n">
        <x:v>0.063192</x:v>
      </x:c>
      <x:c r="J3010" s="2" t="n">
        <x:v>5</x:v>
      </x:c>
      <x:c r="K3010" s="2" t="n">
        <x:v>6</x:v>
      </x:c>
      <x:c r="L3010" s="12" t="n">
        <x:v>1250.994</x:v>
      </x:c>
      <x:c r="M3010" s="13" t="n">
        <x:v>0.5798025519363169</x:v>
      </x:c>
      <x:c r="N3010" s="13" t="n">
        <x:f>H3010/G3010</x:f>
        <x:v>0.07637231601179621</x:v>
      </x:c>
      <x:c r="O3010" s="13" t="n">
        <x:f>F3010/E3010</x:f>
        <x:v>0</x:v>
      </x:c>
      <x:c r="P3010" s="2" t="str">
        <x:f>IF(AND(E3010&gt;='Итоги'!$F$5,N3010&lt;='Итоги'!$B$5,O3010&gt;='Итоги'!$D$5),"Да","Нет")</x:f>
        <x:v>Нет</x:v>
      </x:c>
    </x:row>
    <x:row r="3011" ht="60" customHeight="1">
      <x:c r="A3011" s="14" t="str">
        <x:v>Спорт и отдых</x:v>
      </x:c>
      <x:c r="B3011" s="14" t="str">
        <x:v>Товары для рыбалки</x:v>
      </x:c>
      <x:c r="C3011" s="14" t="str">
        <x:v>Аксесcуары для рыбалки</x:v>
      </x:c>
      <x:c r="D3011" s="14" t="str">
        <x:v>Сумка рыболовная</x:v>
      </x:c>
      <x:c r="E3011" s="2" t="n">
        <x:v>83</x:v>
      </x:c>
      <x:c r="F3011" s="2" t="n">
        <x:v>0</x:v>
      </x:c>
      <x:c r="G3011" s="12" t="n">
        <x:v>10961187.655</x:v>
      </x:c>
      <x:c r="H3011" s="12" t="n">
        <x:v>837258.72419884</x:v>
      </x:c>
      <x:c r="I3011" s="13" t="n">
        <x:v>0.0715795180722891</x:v>
      </x:c>
      <x:c r="J3011" s="2" t="n">
        <x:v>23</x:v>
      </x:c>
      <x:c r="K3011" s="2" t="n">
        <x:v>22</x:v>
      </x:c>
      <x:c r="L3011" s="12" t="n">
        <x:v>1482.4127</x:v>
      </x:c>
      <x:c r="M3011" s="13" t="n">
        <x:v>0.3213131121419525</x:v>
      </x:c>
      <x:c r="N3011" s="13" t="n">
        <x:f>H3011/G3011</x:f>
        <x:v>0.07638394219233353</x:v>
      </x:c>
      <x:c r="O3011" s="13" t="n">
        <x:f>F3011/E3011</x:f>
        <x:v>0</x:v>
      </x:c>
      <x:c r="P3011" s="2" t="str">
        <x:f>IF(AND(E3011&gt;='Итоги'!$F$5,N3011&lt;='Итоги'!$B$5,O3011&gt;='Итоги'!$D$5),"Да","Нет")</x:f>
        <x:v>Нет</x:v>
      </x:c>
    </x:row>
    <x:row r="3012" ht="60" customHeight="1">
      <x:c r="A3012" s="14" t="str">
        <x:v>Школьные принадлежности и канцелярия</x:v>
      </x:c>
      <x:c r="B3012" s="14" t="str">
        <x:v>Товары для школы, канцелярия, оборудование</x:v>
      </x:c>
      <x:c r="C3012" s="14" t="str">
        <x:v>Глобус</x:v>
      </x:c>
      <x:c r="D3012" s="14" t="str">
        <x:v>Глобус для обучения</x:v>
      </x:c>
      <x:c r="E3012" s="2" t="n">
        <x:v>12</x:v>
      </x:c>
      <x:c r="F3012" s="2" t="n">
        <x:v>0</x:v>
      </x:c>
      <x:c r="G3012" s="12" t="n">
        <x:v>1227832.7638</x:v>
      </x:c>
      <x:c r="H3012" s="12" t="n">
        <x:v>93818.52467001</x:v>
      </x:c>
      <x:c r="I3012" s="13" t="n">
        <x:v>0.068075</x:v>
      </x:c>
      <x:c r="J3012" s="2" t="n">
        <x:v>2</x:v>
      </x:c>
      <x:c r="K3012" s="2" t="n">
        <x:v>4</x:v>
      </x:c>
      <x:c r="L3012" s="12" t="n">
        <x:v>2161.76865</x:v>
      </x:c>
      <x:c r="M3012" s="13" t="n">
        <x:v>0.7148891612758574</x:v>
      </x:c>
      <x:c r="N3012" s="13" t="n">
        <x:f>H3012/G3012</x:f>
        <x:v>0.07640985599671778</x:v>
      </x:c>
      <x:c r="O3012" s="13" t="n">
        <x:f>F3012/E3012</x:f>
        <x:v>0</x:v>
      </x:c>
      <x:c r="P3012" s="2" t="str">
        <x:f>IF(AND(E3012&gt;='Итоги'!$F$5,N3012&lt;='Итоги'!$B$5,O3012&gt;='Итоги'!$D$5),"Да","Нет")</x:f>
        <x:v>Нет</x:v>
      </x:c>
    </x:row>
    <x:row r="3013" ht="60" customHeight="1">
      <x:c r="A3013" s="14" t="str">
        <x:v>Товары для дома</x:v>
      </x:c>
      <x:c r="B3013" s="14" t="str">
        <x:v>Кухня</x:v>
      </x:c>
      <x:c r="C3013" s="14" t="str">
        <x:v>Нож, ножницы кухонные</x:v>
      </x:c>
      <x:c r="D3013" s="14" t="str">
        <x:v>Рыбочистка, нож для морепродуктов</x:v>
      </x:c>
      <x:c r="E3013" s="2" t="n">
        <x:v>18</x:v>
      </x:c>
      <x:c r="F3013" s="2" t="n">
        <x:v>0</x:v>
      </x:c>
      <x:c r="G3013" s="12" t="n">
        <x:v>2732526.7178</x:v>
      </x:c>
      <x:c r="H3013" s="12" t="n">
        <x:v>208863.04286818</x:v>
      </x:c>
      <x:c r="I3013" s="13" t="n">
        <x:v>0.0910555555555555</x:v>
      </x:c>
      <x:c r="J3013" s="2" t="n">
        <x:v>3</x:v>
      </x:c>
      <x:c r="K3013" s="2" t="n">
        <x:v>10</x:v>
      </x:c>
      <x:c r="L3013" s="12" t="n">
        <x:v>1811.85835</x:v>
      </x:c>
      <x:c r="M3013" s="13" t="n">
        <x:v>0.3407484800915859</x:v>
      </x:c>
      <x:c r="N3013" s="13" t="n">
        <x:f>H3013/G3013</x:f>
        <x:v>0.07643586483807151</x:v>
      </x:c>
      <x:c r="O3013" s="13" t="n">
        <x:f>F3013/E3013</x:f>
        <x:v>0</x:v>
      </x:c>
      <x:c r="P3013" s="2" t="str">
        <x:f>IF(AND(E3013&gt;='Итоги'!$F$5,N3013&lt;='Итоги'!$B$5,O3013&gt;='Итоги'!$D$5),"Да","Нет")</x:f>
        <x:v>Нет</x:v>
      </x:c>
    </x:row>
    <x:row r="3014" ht="60" customHeight="1">
      <x:c r="A3014" s="14" t="str">
        <x:v>Товары для животных</x:v>
      </x:c>
      <x:c r="B3014" s="14" t="str">
        <x:v>Спальное место животного</x:v>
      </x:c>
      <x:c r="C3014" s="14" t="str">
        <x:v>Домик, игровой комплекс для животных</x:v>
      </x:c>
      <x:c r="D3014" s="14" t="str">
        <x:v>Когтеточка</x:v>
      </x:c>
      <x:c r="E3014" s="2" t="n">
        <x:v>125</x:v>
      </x:c>
      <x:c r="F3014" s="2" t="n">
        <x:v>0</x:v>
      </x:c>
      <x:c r="G3014" s="12" t="n">
        <x:v>23106128.0903</x:v>
      </x:c>
      <x:c r="H3014" s="12" t="n">
        <x:v>1767905.05383903</x:v>
      </x:c>
      <x:c r="I3014" s="13" t="n">
        <x:v>0.062444</x:v>
      </x:c>
      <x:c r="J3014" s="2" t="n">
        <x:v>35</x:v>
      </x:c>
      <x:c r="K3014" s="2" t="n">
        <x:v>28</x:v>
      </x:c>
      <x:c r="L3014" s="12" t="n">
        <x:v>1761.0396</x:v>
      </x:c>
      <x:c r="M3014" s="13" t="n">
        <x:v>0.2667430919327158</x:v>
      </x:c>
      <x:c r="N3014" s="13" t="n">
        <x:f>H3014/G3014</x:f>
        <x:v>0.07651238870181802</x:v>
      </x:c>
      <x:c r="O3014" s="13" t="n">
        <x:f>F3014/E3014</x:f>
        <x:v>0</x:v>
      </x:c>
      <x:c r="P3014" s="2" t="str">
        <x:f>IF(AND(E3014&gt;='Итоги'!$F$5,N3014&lt;='Итоги'!$B$5,O3014&gt;='Итоги'!$D$5),"Да","Нет")</x:f>
        <x:v>Нет</x:v>
      </x:c>
    </x:row>
    <x:row r="3015" ht="60" customHeight="1">
      <x:c r="A3015" s="14" t="str">
        <x:v>Спорт и отдых</x:v>
      </x:c>
      <x:c r="B3015" s="14" t="str">
        <x:v>Всесезонные виды спорта</x:v>
      </x:c>
      <x:c r="C3015" s="14" t="str">
        <x:v>Спортивные аксессуары</x:v>
      </x:c>
      <x:c r="D3015" s="14" t="str">
        <x:v>Костюм-сауна</x:v>
      </x:c>
      <x:c r="E3015" s="2" t="n">
        <x:v>6</x:v>
      </x:c>
      <x:c r="F3015" s="2" t="n">
        <x:v>0</x:v>
      </x:c>
      <x:c r="G3015" s="12" t="n">
        <x:v>651515.3066</x:v>
      </x:c>
      <x:c r="H3015" s="12" t="n">
        <x:v>49862.35918688</x:v>
      </x:c>
      <x:c r="I3015" s="13" t="n">
        <x:v>0.0573666666666666</x:v>
      </x:c>
      <x:c r="J3015" s="2" t="n">
        <x:v>0</x:v>
      </x:c>
      <x:c r="K3015" s="2" t="n">
        <x:v>2</x:v>
      </x:c>
      <x:c r="L3015" s="12" t="n">
        <x:v>1876.8658</x:v>
      </x:c>
      <x:c r="M3015" s="13" t="n">
        <x:v>0.6597420540173077</x:v>
      </x:c>
      <x:c r="N3015" s="13" t="n">
        <x:f>H3015/G3015</x:f>
        <x:v>0.07653290518543897</x:v>
      </x:c>
      <x:c r="O3015" s="13" t="n">
        <x:f>F3015/E3015</x:f>
        <x:v>0</x:v>
      </x:c>
      <x:c r="P3015" s="2" t="str">
        <x:f>IF(AND(E3015&gt;='Итоги'!$F$5,N3015&lt;='Итоги'!$B$5,O3015&gt;='Итоги'!$D$5),"Да","Нет")</x:f>
        <x:v>Нет</x:v>
      </x:c>
    </x:row>
    <x:row r="3016" ht="60" customHeight="1">
      <x:c r="A3016" s="14" t="str">
        <x:v>Мебель</x:v>
      </x:c>
      <x:c r="B3016" s="14" t="str">
        <x:v>Корпусная мебель и мебель для хранения</x:v>
      </x:c>
      <x:c r="C3016" s="14" t="str">
        <x:v>Настенная полка, кронштейн для полки</x:v>
      </x:c>
      <x:c r="D3016" s="14" t="str">
        <x:v>Кронштейны для полок</x:v>
      </x:c>
      <x:c r="E3016" s="2" t="n">
        <x:v>4</x:v>
      </x:c>
      <x:c r="F3016" s="2" t="n">
        <x:v>0</x:v>
      </x:c>
      <x:c r="G3016" s="12" t="n">
        <x:v>423287.16</x:v>
      </x:c>
      <x:c r="H3016" s="12" t="n">
        <x:v>32439.920456</x:v>
      </x:c>
      <x:c r="I3016" s="13" t="n">
        <x:v>0.079825</x:v>
      </x:c>
      <x:c r="J3016" s="2" t="n">
        <x:v>0</x:v>
      </x:c>
      <x:c r="K3016" s="2" t="n">
        <x:v>2</x:v>
      </x:c>
      <x:c r="L3016" s="12" t="n">
        <x:v>976.98225</x:v>
      </x:c>
      <x:c r="M3016" s="13" t="n">
        <x:v>0.7194812145967291</x:v>
      </x:c>
      <x:c r="N3016" s="13" t="n">
        <x:f>H3016/G3016</x:f>
        <x:v>0.0766380923437413</x:v>
      </x:c>
      <x:c r="O3016" s="13" t="n">
        <x:f>F3016/E3016</x:f>
        <x:v>0</x:v>
      </x:c>
      <x:c r="P3016" s="2" t="str">
        <x:f>IF(AND(E3016&gt;='Итоги'!$F$5,N3016&lt;='Итоги'!$B$5,O3016&gt;='Итоги'!$D$5),"Да","Нет")</x:f>
        <x:v>Нет</x:v>
      </x:c>
    </x:row>
    <x:row r="3017" ht="60" customHeight="1">
      <x:c r="A3017" s="14" t="str">
        <x:v>Автотовары</x:v>
      </x:c>
      <x:c r="B3017" s="14" t="str">
        <x:v>Авто и мото запчасти</x:v>
      </x:c>
      <x:c r="C3017" s="14" t="str">
        <x:v>Подвеска автомобиля</x:v>
      </x:c>
      <x:c r="D3017" s="14" t="str">
        <x:v>Рычаг, тяга подвески и составляющие</x:v>
      </x:c>
      <x:c r="E3017" s="2" t="n">
        <x:v>177</x:v>
      </x:c>
      <x:c r="F3017" s="2" t="n">
        <x:v>0</x:v>
      </x:c>
      <x:c r="G3017" s="12" t="n">
        <x:v>27138754.4202</x:v>
      </x:c>
      <x:c r="H3017" s="12" t="n">
        <x:v>2084553.44248059</x:v>
      </x:c>
      <x:c r="I3017" s="13" t="n">
        <x:v>0.0723926553672316</x:v>
      </x:c>
      <x:c r="J3017" s="2" t="n">
        <x:v>54</x:v>
      </x:c>
      <x:c r="K3017" s="2" t="n">
        <x:v>42</x:v>
      </x:c>
      <x:c r="L3017" s="12" t="n">
        <x:v>1785.75</x:v>
      </x:c>
      <x:c r="M3017" s="13" t="n">
        <x:v>0.6353427906980902</x:v>
      </x:c>
      <x:c r="N3017" s="13" t="n">
        <x:f>H3017/G3017</x:f>
        <x:v>0.07681094755509518</x:v>
      </x:c>
      <x:c r="O3017" s="13" t="n">
        <x:f>F3017/E3017</x:f>
        <x:v>0</x:v>
      </x:c>
      <x:c r="P3017" s="2" t="str">
        <x:f>IF(AND(E3017&gt;='Итоги'!$F$5,N3017&lt;='Итоги'!$B$5,O3017&gt;='Итоги'!$D$5),"Да","Нет")</x:f>
        <x:v>Нет</x:v>
      </x:c>
    </x:row>
    <x:row r="3018" ht="60" customHeight="1">
      <x:c r="A3018" s="14" t="str">
        <x:v>Хобби и творчество</x:v>
      </x:c>
      <x:c r="B3018" s="14" t="str">
        <x:v>Детское творчество и хобби</x:v>
      </x:c>
      <x:c r="C3018" s="14" t="str">
        <x:v>Настольные и обучающие игры</x:v>
      </x:c>
      <x:c r="D3018" s="14" t="str">
        <x:v>Аксессуары для настольных игр</x:v>
      </x:c>
      <x:c r="E3018" s="2" t="n">
        <x:v>4</x:v>
      </x:c>
      <x:c r="F3018" s="2" t="n">
        <x:v>0</x:v>
      </x:c>
      <x:c r="G3018" s="12" t="n">
        <x:v>292899.9822</x:v>
      </x:c>
      <x:c r="H3018" s="12" t="n">
        <x:v>22500.89174264</x:v>
      </x:c>
      <x:c r="I3018" s="13" t="n">
        <x:v>0.081575</x:v>
      </x:c>
      <x:c r="J3018" s="2" t="n">
        <x:v>0</x:v>
      </x:c>
      <x:c r="K3018" s="2" t="n">
        <x:v>3</x:v>
      </x:c>
      <x:c r="L3018" s="12" t="n">
        <x:v>1695.3256</x:v>
      </x:c>
      <x:c r="M3018" s="13" t="n">
        <x:v>0.6016831441104813</x:v>
      </x:c>
      <x:c r="N3018" s="13" t="n">
        <x:f>H3018/G3018</x:f>
        <x:v>0.0768210758281159</x:v>
      </x:c>
      <x:c r="O3018" s="13" t="n">
        <x:f>F3018/E3018</x:f>
        <x:v>0</x:v>
      </x:c>
      <x:c r="P3018" s="2" t="str">
        <x:f>IF(AND(E3018&gt;='Итоги'!$F$5,N3018&lt;='Итоги'!$B$5,O3018&gt;='Итоги'!$D$5),"Да","Нет")</x:f>
        <x:v>Нет</x:v>
      </x:c>
    </x:row>
    <x:row r="3019" ht="60" customHeight="1">
      <x:c r="A3019" s="14" t="str">
        <x:v>Спорт и отдых</x:v>
      </x:c>
      <x:c r="B3019" s="14" t="str">
        <x:v>Товары для охоты</x:v>
      </x:c>
      <x:c r="C3019" s="14" t="str">
        <x:v>Одежда для охоты</x:v>
      </x:c>
      <x:c r="D3019" s="14" t="str">
        <x:v>Экипировочная разгрузочная система</x:v>
      </x:c>
      <x:c r="E3019" s="2" t="n">
        <x:v>35</x:v>
      </x:c>
      <x:c r="F3019" s="2" t="n">
        <x:v>0</x:v>
      </x:c>
      <x:c r="G3019" s="12" t="n">
        <x:v>4825345.4827</x:v>
      </x:c>
      <x:c r="H3019" s="12" t="n">
        <x:v>370956.9395245</x:v>
      </x:c>
      <x:c r="I3019" s="13" t="n">
        <x:v>0.0779885714285714</x:v>
      </x:c>
      <x:c r="J3019" s="2" t="n">
        <x:v>7</x:v>
      </x:c>
      <x:c r="K3019" s="2" t="n">
        <x:v>13</x:v>
      </x:c>
      <x:c r="L3019" s="12" t="n">
        <x:v>4017.4987</x:v>
      </x:c>
      <x:c r="M3019" s="13" t="n">
        <x:v>0.3081184236300693</x:v>
      </x:c>
      <x:c r="N3019" s="13" t="n">
        <x:f>H3019/G3019</x:f>
        <x:v>0.07687676268040662</x:v>
      </x:c>
      <x:c r="O3019" s="13" t="n">
        <x:f>F3019/E3019</x:f>
        <x:v>0</x:v>
      </x:c>
      <x:c r="P3019" s="2" t="str">
        <x:f>IF(AND(E3019&gt;='Итоги'!$F$5,N3019&lt;='Итоги'!$B$5,O3019&gt;='Итоги'!$D$5),"Да","Нет")</x:f>
        <x:v>Нет</x:v>
      </x:c>
    </x:row>
    <x:row r="3020" ht="60" customHeight="1">
      <x:c r="A3020" s="14" t="str">
        <x:v>Спорт и отдых</x:v>
      </x:c>
      <x:c r="B3020" s="14" t="str">
        <x:v>Страйкбол и пневматика</x:v>
      </x:c>
      <x:c r="C3020" s="14" t="str">
        <x:v>Принадлежности для страйкбола и пневматики</x:v>
      </x:c>
      <x:c r="D3020" s="14" t="str">
        <x:v>Каска, шлем для страйкбола</x:v>
      </x:c>
      <x:c r="E3020" s="2" t="n">
        <x:v>12</x:v>
      </x:c>
      <x:c r="F3020" s="2" t="n">
        <x:v>0</x:v>
      </x:c>
      <x:c r="G3020" s="12" t="n">
        <x:v>1910862.9168</x:v>
      </x:c>
      <x:c r="H3020" s="12" t="n">
        <x:v>146909.84381302</x:v>
      </x:c>
      <x:c r="I3020" s="13" t="n">
        <x:v>0.081025</x:v>
      </x:c>
      <x:c r="J3020" s="2" t="n">
        <x:v>2</x:v>
      </x:c>
      <x:c r="K3020" s="2" t="n">
        <x:v>7</x:v>
      </x:c>
      <x:c r="L3020" s="12" t="n">
        <x:v>2124.74505</x:v>
      </x:c>
      <x:c r="M3020" s="13" t="n">
        <x:v>0.4027114991527895</x:v>
      </x:c>
      <x:c r="N3020" s="13" t="n">
        <x:f>H3020/G3020</x:f>
        <x:v>0.0768814144235111</x:v>
      </x:c>
      <x:c r="O3020" s="13" t="n">
        <x:f>F3020/E3020</x:f>
        <x:v>0</x:v>
      </x:c>
      <x:c r="P3020" s="2" t="str">
        <x:f>IF(AND(E3020&gt;='Итоги'!$F$5,N3020&lt;='Итоги'!$B$5,O3020&gt;='Итоги'!$D$5),"Да","Нет")</x:f>
        <x:v>Нет</x:v>
      </x:c>
    </x:row>
    <x:row r="3021" ht="60" customHeight="1">
      <x:c r="A3021" s="14" t="str">
        <x:v>Аптека</x:v>
      </x:c>
      <x:c r="B3021" s="14" t="str">
        <x:v>Товары для взрослых</x:v>
      </x:c>
      <x:c r="C3021" s="14" t="str">
        <x:v>Секс игрушки</x:v>
      </x:c>
      <x:c r="D3021" s="14" t="str">
        <x:v>Вибропуля</x:v>
      </x:c>
      <x:c r="E3021" s="2" t="n">
        <x:v>2</x:v>
      </x:c>
      <x:c r="F3021" s="2" t="n">
        <x:v>0</x:v>
      </x:c>
      <x:c r="G3021" s="12" t="n">
        <x:v>194888.3423</x:v>
      </x:c>
      <x:c r="H3021" s="12" t="n">
        <x:v>14985.4615602</x:v>
      </x:c>
      <x:c r="I3021" s="13" t="n">
        <x:v>0.087</x:v>
      </x:c>
      <x:c r="J3021" s="2" t="n">
        <x:v>1</x:v>
      </x:c>
      <x:c r="K3021" s="2" t="n">
        <x:v>2</x:v>
      </x:c>
      <x:c r="L3021" s="12" t="n">
        <x:v>6632.3859</x:v>
      </x:c>
      <x:c r="M3021" s="13" t="n">
        <x:v>0.5580887944163092</x:v>
      </x:c>
      <x:c r="N3021" s="13" t="n">
        <x:f>H3021/G3021</x:f>
        <x:v>0.0768925497715622</x:v>
      </x:c>
      <x:c r="O3021" s="13" t="n">
        <x:f>F3021/E3021</x:f>
        <x:v>0</x:v>
      </x:c>
      <x:c r="P3021" s="2" t="str">
        <x:f>IF(AND(E3021&gt;='Итоги'!$F$5,N3021&lt;='Итоги'!$B$5,O3021&gt;='Итоги'!$D$5),"Да","Нет")</x:f>
        <x:v>Нет</x:v>
      </x:c>
    </x:row>
    <x:row r="3022" ht="60" customHeight="1">
      <x:c r="A3022" s="14" t="str">
        <x:v>Строительство и ремонт (DIY)</x:v>
      </x:c>
      <x:c r="B3022" s="14" t="str">
        <x:v>Ремонт и строительство</x:v>
      </x:c>
      <x:c r="C3022" s="14" t="str">
        <x:v>Электротовары</x:v>
      </x:c>
      <x:c r="D3022" s="14" t="str">
        <x:v>Провод электрический</x:v>
      </x:c>
      <x:c r="E3022" s="2" t="n">
        <x:v>33</x:v>
      </x:c>
      <x:c r="F3022" s="2" t="n">
        <x:v>0</x:v>
      </x:c>
      <x:c r="G3022" s="12" t="n">
        <x:v>4905150.8121</x:v>
      </x:c>
      <x:c r="H3022" s="12" t="n">
        <x:v>377215.04441252</x:v>
      </x:c>
      <x:c r="I3022" s="13" t="n">
        <x:v>0.0744424242424242</x:v>
      </x:c>
      <x:c r="J3022" s="2" t="n">
        <x:v>2</x:v>
      </x:c>
      <x:c r="K3022" s="2" t="n">
        <x:v>6</x:v>
      </x:c>
      <x:c r="L3022" s="12" t="n">
        <x:v>3462.8846</x:v>
      </x:c>
      <x:c r="M3022" s="13" t="n">
        <x:v>0.7173750583406655</x:v>
      </x:c>
      <x:c r="N3022" s="13" t="n">
        <x:f>H3022/G3022</x:f>
        <x:v>0.07690182399326194</x:v>
      </x:c>
      <x:c r="O3022" s="13" t="n">
        <x:f>F3022/E3022</x:f>
        <x:v>0</x:v>
      </x:c>
      <x:c r="P3022" s="2" t="str">
        <x:f>IF(AND(E3022&gt;='Итоги'!$F$5,N3022&lt;='Итоги'!$B$5,O3022&gt;='Итоги'!$D$5),"Да","Нет")</x:f>
        <x:v>Нет</x:v>
      </x:c>
    </x:row>
    <x:row r="3023" ht="60" customHeight="1">
      <x:c r="A3023" s="14" t="str">
        <x:v>Товары для красоты и здоровья</x:v>
      </x:c>
      <x:c r="B3023" s="14" t="str">
        <x:v>Косметика для ухода за кожей</x:v>
      </x:c>
      <x:c r="C3023" s="14" t="str">
        <x:v>Лицо</x:v>
      </x:c>
      <x:c r="D3023" s="14" t="str">
        <x:v>Средство увлажняющее для лица</x:v>
      </x:c>
      <x:c r="E3023" s="2" t="n">
        <x:v>486</x:v>
      </x:c>
      <x:c r="F3023" s="2" t="n">
        <x:v>0</x:v>
      </x:c>
      <x:c r="G3023" s="12" t="n">
        <x:v>74905115.4234</x:v>
      </x:c>
      <x:c r="H3023" s="12" t="n">
        <x:v>5762593.87868699</x:v>
      </x:c>
      <x:c r="I3023" s="13" t="n">
        <x:v>0.0771576131687242</x:v>
      </x:c>
      <x:c r="J3023" s="2" t="n">
        <x:v>151</x:v>
      </x:c>
      <x:c r="K3023" s="2" t="n">
        <x:v>91</x:v>
      </x:c>
      <x:c r="L3023" s="12" t="n">
        <x:v>1664.3932</x:v>
      </x:c>
      <x:c r="M3023" s="13" t="n">
        <x:v>0.6287450892931588</x:v>
      </x:c>
      <x:c r="N3023" s="13" t="n">
        <x:f>H3023/G3023</x:f>
        <x:v>0.07693191374332738</x:v>
      </x:c>
      <x:c r="O3023" s="13" t="n">
        <x:f>F3023/E3023</x:f>
        <x:v>0</x:v>
      </x:c>
      <x:c r="P3023" s="2" t="str">
        <x:f>IF(AND(E3023&gt;='Итоги'!$F$5,N3023&lt;='Итоги'!$B$5,O3023&gt;='Итоги'!$D$5),"Да","Нет")</x:f>
        <x:v>Нет</x:v>
      </x:c>
    </x:row>
    <x:row r="3024" ht="60" customHeight="1">
      <x:c r="A3024" s="14" t="str">
        <x:v>Аксессуары для электроники</x:v>
      </x:c>
      <x:c r="B3024" s="14" t="str">
        <x:v>Домашняя Аудио и Видеотехника Access</x:v>
      </x:c>
      <x:c r="C3024" s="14" t="str">
        <x:v>Аксессуар к TV и аудиотехнике Access</x:v>
      </x:c>
      <x:c r="D3024" s="14" t="str">
        <x:v>Аксессуар для музыкального инструмента</x:v>
      </x:c>
      <x:c r="E3024" s="2" t="n">
        <x:v>80</x:v>
      </x:c>
      <x:c r="F3024" s="2" t="n">
        <x:v>0</x:v>
      </x:c>
      <x:c r="G3024" s="12" t="n">
        <x:v>9466351.9066</x:v>
      </x:c>
      <x:c r="H3024" s="12" t="n">
        <x:v>728269.41679671</x:v>
      </x:c>
      <x:c r="I3024" s="13" t="n">
        <x:v>0.07180125</x:v>
      </x:c>
      <x:c r="J3024" s="2" t="n">
        <x:v>19</x:v>
      </x:c>
      <x:c r="K3024" s="2" t="n">
        <x:v>29</x:v>
      </x:c>
      <x:c r="L3024" s="12" t="n">
        <x:v>2097.79125</x:v>
      </x:c>
      <x:c r="M3024" s="13" t="n">
        <x:v>0.4619131878830083</x:v>
      </x:c>
      <x:c r="N3024" s="13" t="n">
        <x:f>H3024/G3024</x:f>
        <x:v>0.07693242592100934</x:v>
      </x:c>
      <x:c r="O3024" s="13" t="n">
        <x:f>F3024/E3024</x:f>
        <x:v>0</x:v>
      </x:c>
      <x:c r="P3024" s="2" t="str">
        <x:f>IF(AND(E3024&gt;='Итоги'!$F$5,N3024&lt;='Итоги'!$B$5,O3024&gt;='Итоги'!$D$5),"Да","Нет")</x:f>
        <x:v>Нет</x:v>
      </x:c>
    </x:row>
    <x:row r="3025" ht="60" customHeight="1">
      <x:c r="A3025" s="14" t="str">
        <x:v>Аптека</x:v>
      </x:c>
      <x:c r="B3025" s="14" t="str">
        <x:v>Товары для взрослых</x:v>
      </x:c>
      <x:c r="C3025" s="14" t="str">
        <x:v>Презервативы и лубриканты</x:v>
      </x:c>
      <x:c r="D3025" s="14" t="str">
        <x:v>Лубриканты</x:v>
      </x:c>
      <x:c r="E3025" s="2" t="n">
        <x:v>37</x:v>
      </x:c>
      <x:c r="F3025" s="2" t="n">
        <x:v>0</x:v>
      </x:c>
      <x:c r="G3025" s="12" t="n">
        <x:v>5347476.2968</x:v>
      </x:c>
      <x:c r="H3025" s="12" t="n">
        <x:v>411695.19823409</x:v>
      </x:c>
      <x:c r="I3025" s="13" t="n">
        <x:v>0.0803729729729729</x:v>
      </x:c>
      <x:c r="J3025" s="2" t="n">
        <x:v>15</x:v>
      </x:c>
      <x:c r="K3025" s="2" t="n">
        <x:v>8</x:v>
      </x:c>
      <x:c r="L3025" s="12" t="n">
        <x:v>1355.4216</x:v>
      </x:c>
      <x:c r="M3025" s="13" t="n">
        <x:v>0.7800043330899875</x:v>
      </x:c>
      <x:c r="N3025" s="13" t="n">
        <x:f>H3025/G3025</x:f>
        <x:v>0.07698869062410876</x:v>
      </x:c>
      <x:c r="O3025" s="13" t="n">
        <x:f>F3025/E3025</x:f>
        <x:v>0</x:v>
      </x:c>
      <x:c r="P3025" s="2" t="str">
        <x:f>IF(AND(E3025&gt;='Итоги'!$F$5,N3025&lt;='Итоги'!$B$5,O3025&gt;='Итоги'!$D$5),"Да","Нет")</x:f>
        <x:v>Нет</x:v>
      </x:c>
    </x:row>
    <x:row r="3026" ht="60" customHeight="1">
      <x:c r="A3026" s="14" t="str">
        <x:v>Детская одежда</x:v>
      </x:c>
      <x:c r="B3026" s="14" t="str">
        <x:v>Детская одежда</x:v>
      </x:c>
      <x:c r="C3026" s="14" t="str">
        <x:v>Белье и ЧНИ для девочек</x:v>
      </x:c>
      <x:c r="D3026" s="14" t="str">
        <x:v>Трусы для девочки</x:v>
      </x:c>
      <x:c r="E3026" s="2" t="n">
        <x:v>13</x:v>
      </x:c>
      <x:c r="F3026" s="2" t="n">
        <x:v>0</x:v>
      </x:c>
      <x:c r="G3026" s="12" t="n">
        <x:v>1412322.0762</x:v>
      </x:c>
      <x:c r="H3026" s="12" t="n">
        <x:v>108761.67289556</x:v>
      </x:c>
      <x:c r="I3026" s="13" t="n">
        <x:v>0.0802461538461538</x:v>
      </x:c>
      <x:c r="J3026" s="2" t="n">
        <x:v>3</x:v>
      </x:c>
      <x:c r="K3026" s="2" t="n">
        <x:v>3</x:v>
      </x:c>
      <x:c r="L3026" s="12" t="n">
        <x:v>902.6486</x:v>
      </x:c>
      <x:c r="M3026" s="13" t="n">
        <x:v>0.6447441348860224</x:v>
      </x:c>
      <x:c r="N3026" s="13" t="n">
        <x:f>H3026/G3026</x:f>
        <x:v>0.07700911479638882</x:v>
      </x:c>
      <x:c r="O3026" s="13" t="n">
        <x:f>F3026/E3026</x:f>
        <x:v>0</x:v>
      </x:c>
      <x:c r="P3026" s="2" t="str">
        <x:f>IF(AND(E3026&gt;='Итоги'!$F$5,N3026&lt;='Итоги'!$B$5,O3026&gt;='Итоги'!$D$5),"Да","Нет")</x:f>
        <x:v>Нет</x:v>
      </x:c>
    </x:row>
    <x:row r="3027" ht="60" customHeight="1">
      <x:c r="A3027" s="14" t="str">
        <x:v>Хобби и творчество</x:v>
      </x:c>
      <x:c r="B3027" s="14" t="str">
        <x:v>Детское творчество и хобби</x:v>
      </x:c>
      <x:c r="C3027" s="14" t="str">
        <x:v>Рукоделие для детей</x:v>
      </x:c>
      <x:c r="D3027" s="14" t="str">
        <x:v>Набор для выжигания детский</x:v>
      </x:c>
      <x:c r="E3027" s="2" t="n">
        <x:v>3</x:v>
      </x:c>
      <x:c r="F3027" s="2" t="n">
        <x:v>0</x:v>
      </x:c>
      <x:c r="G3027" s="12" t="n">
        <x:v>333662.0584</x:v>
      </x:c>
      <x:c r="H3027" s="12" t="n">
        <x:v>25695.53488448</x:v>
      </x:c>
      <x:c r="I3027" s="13" t="n">
        <x:v>0.0767</x:v>
      </x:c>
      <x:c r="J3027" s="2" t="n">
        <x:v>0</x:v>
      </x:c>
      <x:c r="K3027" s="2" t="n">
        <x:v>3</x:v>
      </x:c>
      <x:c r="L3027" s="12" t="n">
        <x:v>1359.8625</x:v>
      </x:c>
      <x:c r="M3027" s="13" t="n">
        <x:v>0.346752216763283</x:v>
      </x:c>
      <x:c r="N3027" s="13" t="n">
        <x:f>H3027/G3027</x:f>
        <x:v>0.07701065865174199</x:v>
      </x:c>
      <x:c r="O3027" s="13" t="n">
        <x:f>F3027/E3027</x:f>
        <x:v>0</x:v>
      </x:c>
      <x:c r="P3027" s="2" t="str">
        <x:f>IF(AND(E3027&gt;='Итоги'!$F$5,N3027&lt;='Итоги'!$B$5,O3027&gt;='Итоги'!$D$5),"Да","Нет")</x:f>
        <x:v>Нет</x:v>
      </x:c>
    </x:row>
    <x:row r="3028" ht="60" customHeight="1">
      <x:c r="A3028" s="14" t="str">
        <x:v>Автотовары</x:v>
      </x:c>
      <x:c r="B3028" s="14" t="str">
        <x:v>Универсальные авто и мото аксессуары</x:v>
      </x:c>
      <x:c r="C3028" s="14" t="str">
        <x:v>Аксессуары для шин и дисков</x:v>
      </x:c>
      <x:c r="D3028" s="14" t="str">
        <x:v>Болты/гайки крепления колеса</x:v>
      </x:c>
      <x:c r="E3028" s="2" t="n">
        <x:v>13</x:v>
      </x:c>
      <x:c r="F3028" s="2" t="n">
        <x:v>0</x:v>
      </x:c>
      <x:c r="G3028" s="12" t="n">
        <x:v>2446070.38</x:v>
      </x:c>
      <x:c r="H3028" s="12" t="n">
        <x:v>188379.501592</x:v>
      </x:c>
      <x:c r="I3028" s="13" t="n">
        <x:v>0.0846846153846153</x:v>
      </x:c>
      <x:c r="J3028" s="2" t="n">
        <x:v>0</x:v>
      </x:c>
      <x:c r="K3028" s="2" t="n">
        <x:v>2</x:v>
      </x:c>
      <x:c r="L3028" s="12" t="n">
        <x:v>826.4926</x:v>
      </x:c>
      <x:c r="M3028" s="13" t="n">
        <x:v>0.962527652209255</x:v>
      </x:c>
      <x:c r="N3028" s="13" t="n">
        <x:f>H3028/G3028</x:f>
        <x:v>0.07701311586627364</x:v>
      </x:c>
      <x:c r="O3028" s="13" t="n">
        <x:f>F3028/E3028</x:f>
        <x:v>0</x:v>
      </x:c>
      <x:c r="P3028" s="2" t="str">
        <x:f>IF(AND(E3028&gt;='Итоги'!$F$5,N3028&lt;='Итоги'!$B$5,O3028&gt;='Итоги'!$D$5),"Да","Нет")</x:f>
        <x:v>Нет</x:v>
      </x:c>
    </x:row>
    <x:row r="3029" ht="60" customHeight="1">
      <x:c r="A3029" s="14" t="str">
        <x:v>Аптека</x:v>
      </x:c>
      <x:c r="B3029" s="14" t="str">
        <x:v>Медицинские изделия</x:v>
      </x:c>
      <x:c r="C3029" s="14" t="str">
        <x:v>Перевязочные средства</x:v>
      </x:c>
      <x:c r="D3029" s="14" t="str">
        <x:v>Повязка на рану</x:v>
      </x:c>
      <x:c r="E3029" s="2" t="n">
        <x:v>89</x:v>
      </x:c>
      <x:c r="F3029" s="2" t="n">
        <x:v>0</x:v>
      </x:c>
      <x:c r="G3029" s="12" t="n">
        <x:v>15101335.7942</x:v>
      </x:c>
      <x:c r="H3029" s="12" t="n">
        <x:v>1163219.76996634</x:v>
      </x:c>
      <x:c r="I3029" s="13" t="n">
        <x:v>0.0779449438202247</x:v>
      </x:c>
      <x:c r="J3029" s="2" t="n">
        <x:v>31</x:v>
      </x:c>
      <x:c r="K3029" s="2" t="n">
        <x:v>27</x:v>
      </x:c>
      <x:c r="L3029" s="12" t="n">
        <x:v>1466.2958</x:v>
      </x:c>
      <x:c r="M3029" s="13" t="n">
        <x:v>0.5250680486189437</x:v>
      </x:c>
      <x:c r="N3029" s="13" t="n">
        <x:f>H3029/G3029</x:f>
        <x:v>0.07702760774401825</x:v>
      </x:c>
      <x:c r="O3029" s="13" t="n">
        <x:f>F3029/E3029</x:f>
        <x:v>0</x:v>
      </x:c>
      <x:c r="P3029" s="2" t="str">
        <x:f>IF(AND(E3029&gt;='Итоги'!$F$5,N3029&lt;='Итоги'!$B$5,O3029&gt;='Итоги'!$D$5),"Да","Нет")</x:f>
        <x:v>Нет</x:v>
      </x:c>
    </x:row>
    <x:row r="3030" ht="60" customHeight="1">
      <x:c r="A3030" s="14" t="str">
        <x:v>Товары для дома</x:v>
      </x:c>
      <x:c r="B3030" s="14" t="str">
        <x:v>Домашний текстиль</x:v>
      </x:c>
      <x:c r="C3030" s="14" t="str">
        <x:v>Шторы</x:v>
      </x:c>
      <x:c r="D3030" s="14" t="str">
        <x:v>Рулонные шторы</x:v>
      </x:c>
      <x:c r="E3030" s="2" t="n">
        <x:v>287</x:v>
      </x:c>
      <x:c r="F3030" s="2" t="n">
        <x:v>0</x:v>
      </x:c>
      <x:c r="G3030" s="12" t="n">
        <x:v>37253114.9886</x:v>
      </x:c>
      <x:c r="H3030" s="12" t="n">
        <x:v>2871255.97567313</x:v>
      </x:c>
      <x:c r="I3030" s="13" t="n">
        <x:v>0.0737198606271777</x:v>
      </x:c>
      <x:c r="J3030" s="2" t="n">
        <x:v>67</x:v>
      </x:c>
      <x:c r="K3030" s="2" t="n">
        <x:v>13</x:v>
      </x:c>
      <x:c r="L3030" s="12" t="n">
        <x:v>1165.4118</x:v>
      </x:c>
      <x:c r="M3030" s="13" t="n">
        <x:v>0.7621427298063109</x:v>
      </x:c>
      <x:c r="N3030" s="13" t="n">
        <x:f>H3030/G3030</x:f>
        <x:v>0.07707425208742345</x:v>
      </x:c>
      <x:c r="O3030" s="13" t="n">
        <x:f>F3030/E3030</x:f>
        <x:v>0</x:v>
      </x:c>
      <x:c r="P3030" s="2" t="str">
        <x:f>IF(AND(E3030&gt;='Итоги'!$F$5,N3030&lt;='Итоги'!$B$5,O3030&gt;='Итоги'!$D$5),"Да","Нет")</x:f>
        <x:v>Нет</x:v>
      </x:c>
    </x:row>
    <x:row r="3031" ht="60" customHeight="1">
      <x:c r="A3031" s="14" t="str">
        <x:v>Товары для красоты и здоровья</x:v>
      </x:c>
      <x:c r="B3031" s="14" t="str">
        <x:v>Косметические аксессуары</x:v>
      </x:c>
      <x:c r="C3031" s="14" t="str">
        <x:v>Аксессуары для маникюра и педикюра</x:v>
      </x:c>
      <x:c r="D3031" s="14" t="str">
        <x:v>Маникюрные ножницы</x:v>
      </x:c>
      <x:c r="E3031" s="2" t="n">
        <x:v>21</x:v>
      </x:c>
      <x:c r="F3031" s="2" t="n">
        <x:v>0</x:v>
      </x:c>
      <x:c r="G3031" s="12" t="n">
        <x:v>3443768.8041</x:v>
      </x:c>
      <x:c r="H3031" s="12" t="n">
        <x:v>265467.59042694</x:v>
      </x:c>
      <x:c r="I3031" s="13" t="n">
        <x:v>0.071047619047619</x:v>
      </x:c>
      <x:c r="J3031" s="2" t="n">
        <x:v>7</x:v>
      </x:c>
      <x:c r="K3031" s="2" t="n">
        <x:v>14</x:v>
      </x:c>
      <x:c r="L3031" s="12" t="n">
        <x:v>965.9783</x:v>
      </x:c>
      <x:c r="M3031" s="13" t="n">
        <x:v>0.2481012455548075</x:v>
      </x:c>
      <x:c r="N3031" s="13" t="n">
        <x:f>H3031/G3031</x:f>
        <x:v>0.07708635670050962</x:v>
      </x:c>
      <x:c r="O3031" s="13" t="n">
        <x:f>F3031/E3031</x:f>
        <x:v>0</x:v>
      </x:c>
      <x:c r="P3031" s="2" t="str">
        <x:f>IF(AND(E3031&gt;='Итоги'!$F$5,N3031&lt;='Итоги'!$B$5,O3031&gt;='Итоги'!$D$5),"Да","Нет")</x:f>
        <x:v>Нет</x:v>
      </x:c>
    </x:row>
    <x:row r="3032" ht="60" customHeight="1">
      <x:c r="A3032" s="14" t="str">
        <x:v>Автотовары</x:v>
      </x:c>
      <x:c r="B3032" s="14" t="str">
        <x:v>Универсальные авто и мото аксессуары</x:v>
      </x:c>
      <x:c r="C3032" s="14" t="str">
        <x:v>Аксессуар для салона авто</x:v>
      </x:c>
      <x:c r="D3032" s="14" t="str">
        <x:v>Солнцезащитная шторка, экран</x:v>
      </x:c>
      <x:c r="E3032" s="2" t="n">
        <x:v>97</x:v>
      </x:c>
      <x:c r="F3032" s="2" t="n">
        <x:v>0</x:v>
      </x:c>
      <x:c r="G3032" s="12" t="n">
        <x:v>15547716.736</x:v>
      </x:c>
      <x:c r="H3032" s="12" t="n">
        <x:v>1198566.11457413</x:v>
      </x:c>
      <x:c r="I3032" s="13" t="n">
        <x:v>0.058420618556701</x:v>
      </x:c>
      <x:c r="J3032" s="2" t="n">
        <x:v>29</x:v>
      </x:c>
      <x:c r="K3032" s="2" t="n">
        <x:v>31</x:v>
      </x:c>
      <x:c r="L3032" s="12" t="n">
        <x:v>1329.6041</x:v>
      </x:c>
      <x:c r="M3032" s="13" t="n">
        <x:v>0.2056447055210872</x:v>
      </x:c>
      <x:c r="N3032" s="13" t="n">
        <x:f>H3032/G3032</x:f>
        <x:v>0.07708952606519431</x:v>
      </x:c>
      <x:c r="O3032" s="13" t="n">
        <x:f>F3032/E3032</x:f>
        <x:v>0</x:v>
      </x:c>
      <x:c r="P3032" s="2" t="str">
        <x:f>IF(AND(E3032&gt;='Итоги'!$F$5,N3032&lt;='Итоги'!$B$5,O3032&gt;='Итоги'!$D$5),"Да","Нет")</x:f>
        <x:v>Нет</x:v>
      </x:c>
    </x:row>
    <x:row r="3033" ht="60" customHeight="1">
      <x:c r="A3033" s="14" t="str">
        <x:v>Товары для красоты и здоровья</x:v>
      </x:c>
      <x:c r="B3033" s="14" t="str">
        <x:v>Косметическая техника</x:v>
      </x:c>
      <x:c r="C3033" s="14" t="str">
        <x:v>Приборы для косметических процедур</x:v>
      </x:c>
      <x:c r="D3033" s="14" t="str">
        <x:v>Разогреватель воска</x:v>
      </x:c>
      <x:c r="E3033" s="2" t="n">
        <x:v>28</x:v>
      </x:c>
      <x:c r="F3033" s="2" t="n">
        <x:v>0</x:v>
      </x:c>
      <x:c r="G3033" s="12" t="n">
        <x:v>4650996.9451</x:v>
      </x:c>
      <x:c r="H3033" s="12" t="n">
        <x:v>358611.64538885</x:v>
      </x:c>
      <x:c r="I3033" s="13" t="n">
        <x:v>0.1039035714285714</x:v>
      </x:c>
      <x:c r="J3033" s="2" t="n">
        <x:v>7</x:v>
      </x:c>
      <x:c r="K3033" s="2" t="n">
        <x:v>14</x:v>
      </x:c>
      <x:c r="L3033" s="12" t="n">
        <x:v>1484.3363</x:v>
      </x:c>
      <x:c r="M3033" s="13" t="n">
        <x:v>0.439322229517411</x:v>
      </x:c>
      <x:c r="N3033" s="13" t="n">
        <x:f>H3033/G3033</x:f>
        <x:v>0.07710425304980276</x:v>
      </x:c>
      <x:c r="O3033" s="13" t="n">
        <x:f>F3033/E3033</x:f>
        <x:v>0</x:v>
      </x:c>
      <x:c r="P3033" s="2" t="str">
        <x:f>IF(AND(E3033&gt;='Итоги'!$F$5,N3033&lt;='Итоги'!$B$5,O3033&gt;='Итоги'!$D$5),"Да","Нет")</x:f>
        <x:v>Нет</x:v>
      </x:c>
    </x:row>
    <x:row r="3034" ht="60" customHeight="1">
      <x:c r="A3034" s="14" t="str">
        <x:v>Детская одежда</x:v>
      </x:c>
      <x:c r="B3034" s="14" t="str">
        <x:v>Детская одежда</x:v>
      </x:c>
      <x:c r="C3034" s="14" t="str">
        <x:v>Одежда для девочки</x:v>
      </x:c>
      <x:c r="D3034" s="14" t="str">
        <x:v>Легинсы для девочки</x:v>
      </x:c>
      <x:c r="E3034" s="2" t="n">
        <x:v>2</x:v>
      </x:c>
      <x:c r="F3034" s="2" t="n">
        <x:v>0</x:v>
      </x:c>
      <x:c r="G3034" s="12" t="n">
        <x:v>146248.03999999998</x:v>
      </x:c>
      <x:c r="H3034" s="12" t="n">
        <x:v>11280.257303</x:v>
      </x:c>
      <x:c r="I3034" s="13" t="n">
        <x:v>0.07715</x:v>
      </x:c>
      <x:c r="J3034" s="2" t="n">
        <x:v>0</x:v>
      </x:c>
      <x:c r="K3034" s="2" t="n">
        <x:v>1</x:v>
      </x:c>
      <x:c r="L3034" s="12" t="n">
        <x:v>970.3995</x:v>
      </x:c>
      <x:c r="M3034" s="13" t="n">
        <x:v>1</x:v>
      </x:c>
      <x:c r="N3034" s="13" t="n">
        <x:f>H3034/G3034</x:f>
        <x:v>0.07713099815218037</x:v>
      </x:c>
      <x:c r="O3034" s="13" t="n">
        <x:f>F3034/E3034</x:f>
        <x:v>0</x:v>
      </x:c>
      <x:c r="P3034" s="2" t="str">
        <x:f>IF(AND(E3034&gt;='Итоги'!$F$5,N3034&lt;='Итоги'!$B$5,O3034&gt;='Итоги'!$D$5),"Да","Нет")</x:f>
        <x:v>Нет</x:v>
      </x:c>
    </x:row>
    <x:row r="3035" ht="60" customHeight="1">
      <x:c r="A3035" s="14" t="str">
        <x:v>Одежда</x:v>
      </x:c>
      <x:c r="B3035" s="14" t="str">
        <x:v>Белье, домашняя одежда и ЧНИ</x:v>
      </x:c>
      <x:c r="C3035" s="14" t="str">
        <x:v>Домашняя одежда женская</x:v>
      </x:c>
      <x:c r="D3035" s="14" t="str">
        <x:v>Платье, туника домашние</x:v>
      </x:c>
      <x:c r="E3035" s="2" t="n">
        <x:v>59</x:v>
      </x:c>
      <x:c r="F3035" s="2" t="n">
        <x:v>0</x:v>
      </x:c>
      <x:c r="G3035" s="12" t="n">
        <x:v>6717335.9331</x:v>
      </x:c>
      <x:c r="H3035" s="12" t="n">
        <x:v>518230.74966811</x:v>
      </x:c>
      <x:c r="I3035" s="13" t="n">
        <x:v>0.0631728813559322</x:v>
      </x:c>
      <x:c r="J3035" s="2" t="n">
        <x:v>17</x:v>
      </x:c>
      <x:c r="K3035" s="2" t="n">
        <x:v>5</x:v>
      </x:c>
      <x:c r="L3035" s="12" t="n">
        <x:v>1090.2866</x:v>
      </x:c>
      <x:c r="M3035" s="13" t="n">
        <x:v>0.5809390849832172</x:v>
      </x:c>
      <x:c r="N3035" s="13" t="n">
        <x:f>H3035/G3035</x:f>
        <x:v>0.077148255622367</x:v>
      </x:c>
      <x:c r="O3035" s="13" t="n">
        <x:f>F3035/E3035</x:f>
        <x:v>0</x:v>
      </x:c>
      <x:c r="P3035" s="2" t="str">
        <x:f>IF(AND(E3035&gt;='Итоги'!$F$5,N3035&lt;='Итоги'!$B$5,O3035&gt;='Итоги'!$D$5),"Да","Нет")</x:f>
        <x:v>Нет</x:v>
      </x:c>
    </x:row>
    <x:row r="3036" ht="60" customHeight="1">
      <x:c r="A3036" s="14" t="str">
        <x:v>Школьные принадлежности и канцелярия</x:v>
      </x:c>
      <x:c r="B3036" s="14" t="str">
        <x:v>Товары для школы, канцелярия, оборудование</x:v>
      </x:c>
      <x:c r="C3036" s="14" t="str">
        <x:v>Папка</x:v>
      </x:c>
      <x:c r="D3036" s="14" t="str">
        <x:v>Папка - конверт</x:v>
      </x:c>
      <x:c r="E3036" s="2" t="n">
        <x:v>3</x:v>
      </x:c>
      <x:c r="F3036" s="2" t="n">
        <x:v>0</x:v>
      </x:c>
      <x:c r="G3036" s="12" t="n">
        <x:v>294192.0249</x:v>
      </x:c>
      <x:c r="H3036" s="12" t="n">
        <x:v>22703.25053292</x:v>
      </x:c>
      <x:c r="I3036" s="13" t="n">
        <x:v>0.0780666666666666</x:v>
      </x:c>
      <x:c r="J3036" s="2" t="n">
        <x:v>1</x:v>
      </x:c>
      <x:c r="K3036" s="2" t="n">
        <x:v>3</x:v>
      </x:c>
      <x:c r="L3036" s="12" t="n">
        <x:v>1009.7683</x:v>
      </x:c>
      <x:c r="M3036" s="13" t="n">
        <x:v>0.4824095325093906</x:v>
      </x:c>
      <x:c r="N3036" s="13" t="n">
        <x:f>H3036/G3036</x:f>
        <x:v>0.0771715363142055</x:v>
      </x:c>
      <x:c r="O3036" s="13" t="n">
        <x:f>F3036/E3036</x:f>
        <x:v>0</x:v>
      </x:c>
      <x:c r="P3036" s="2" t="str">
        <x:f>IF(AND(E3036&gt;='Итоги'!$F$5,N3036&lt;='Итоги'!$B$5,O3036&gt;='Итоги'!$D$5),"Да","Нет")</x:f>
        <x:v>Нет</x:v>
      </x:c>
    </x:row>
    <x:row r="3037" ht="60" customHeight="1">
      <x:c r="A3037" s="14" t="str">
        <x:v>Строительство и ремонт (DIY)</x:v>
      </x:c>
      <x:c r="B3037" s="14" t="str">
        <x:v>Инструменты</x:v>
      </x:c>
      <x:c r="C3037" s="14" t="str">
        <x:v>Инструмент ручной для строительства, ремонта</x:v>
      </x:c>
      <x:c r="D3037" s="14" t="str">
        <x:v>Инструмент для скрепления, фиксации</x:v>
      </x:c>
      <x:c r="E3037" s="2" t="n">
        <x:v>126</x:v>
      </x:c>
      <x:c r="F3037" s="2" t="n">
        <x:v>0</x:v>
      </x:c>
      <x:c r="G3037" s="12" t="n">
        <x:v>23147989.947</x:v>
      </x:c>
      <x:c r="H3037" s="12" t="n">
        <x:v>1788704.11413645</x:v>
      </x:c>
      <x:c r="I3037" s="13" t="n">
        <x:v>0.0677563492063492</x:v>
      </x:c>
      <x:c r="J3037" s="2" t="n">
        <x:v>40</x:v>
      </x:c>
      <x:c r="K3037" s="2" t="n">
        <x:v>47</x:v>
      </x:c>
      <x:c r="L3037" s="12" t="n">
        <x:v>2935.84935</x:v>
      </x:c>
      <x:c r="M3037" s="13" t="n">
        <x:v>0.5165922125238255</x:v>
      </x:c>
      <x:c r="N3037" s="13" t="n">
        <x:f>H3037/G3037</x:f>
        <x:v>0.077272545833651</x:v>
      </x:c>
      <x:c r="O3037" s="13" t="n">
        <x:f>F3037/E3037</x:f>
        <x:v>0</x:v>
      </x:c>
      <x:c r="P3037" s="2" t="str">
        <x:f>IF(AND(E3037&gt;='Итоги'!$F$5,N3037&lt;='Итоги'!$B$5,O3037&gt;='Итоги'!$D$5),"Да","Нет")</x:f>
        <x:v>Нет</x:v>
      </x:c>
    </x:row>
    <x:row r="3038" ht="60" customHeight="1">
      <x:c r="A3038" s="14" t="str">
        <x:v>Строительство и ремонт (DIY)</x:v>
      </x:c>
      <x:c r="B3038" s="14" t="str">
        <x:v>Инструменты</x:v>
      </x:c>
      <x:c r="C3038" s="14" t="str">
        <x:v>Техника для строительства, ремонта</x:v>
      </x:c>
      <x:c r="D3038" s="14" t="str">
        <x:v>Аппарат для сварки труб</x:v>
      </x:c>
      <x:c r="E3038" s="2" t="n">
        <x:v>53</x:v>
      </x:c>
      <x:c r="F3038" s="2" t="n">
        <x:v>0</x:v>
      </x:c>
      <x:c r="G3038" s="12" t="n">
        <x:v>13436203.8641</x:v>
      </x:c>
      <x:c r="H3038" s="12" t="n">
        <x:v>1038924.06267577</x:v>
      </x:c>
      <x:c r="I3038" s="13" t="n">
        <x:v>0.0818490566037735</x:v>
      </x:c>
      <x:c r="J3038" s="2" t="n">
        <x:v>15</x:v>
      </x:c>
      <x:c r="K3038" s="2" t="n">
        <x:v>14</x:v>
      </x:c>
      <x:c r="L3038" s="12" t="n">
        <x:v>1526.5</x:v>
      </x:c>
      <x:c r="M3038" s="13" t="n">
        <x:v>0.6175940910640414</x:v>
      </x:c>
      <x:c r="N3038" s="13" t="n">
        <x:f>H3038/G3038</x:f>
        <x:v>0.07732273737313977</x:v>
      </x:c>
      <x:c r="O3038" s="13" t="n">
        <x:f>F3038/E3038</x:f>
        <x:v>0</x:v>
      </x:c>
      <x:c r="P3038" s="2" t="str">
        <x:f>IF(AND(E3038&gt;='Итоги'!$F$5,N3038&lt;='Итоги'!$B$5,O3038&gt;='Итоги'!$D$5),"Да","Нет")</x:f>
        <x:v>Нет</x:v>
      </x:c>
    </x:row>
    <x:row r="3039" ht="60" customHeight="1">
      <x:c r="A3039" s="14" t="str">
        <x:v>Мебель</x:v>
      </x:c>
      <x:c r="B3039" s="14" t="str">
        <x:v>Корпусная мебель и мебель для хранения</x:v>
      </x:c>
      <x:c r="C3039" s="14" t="str">
        <x:v>Мебель для кухни</x:v>
      </x:c>
      <x:c r="D3039" s="14" t="str">
        <x:v>Фасад для кухонной мебели</x:v>
      </x:c>
      <x:c r="E3039" s="2" t="n">
        <x:v>6</x:v>
      </x:c>
      <x:c r="F3039" s="2" t="n">
        <x:v>0</x:v>
      </x:c>
      <x:c r="G3039" s="12" t="n">
        <x:v>351331.46</x:v>
      </x:c>
      <x:c r="H3039" s="12" t="n">
        <x:v>27188.371264</x:v>
      </x:c>
      <x:c r="I3039" s="13" t="n">
        <x:v>0.0961166666666666</x:v>
      </x:c>
      <x:c r="J3039" s="2" t="n">
        <x:v>2</x:v>
      </x:c>
      <x:c r="K3039" s="2" t="n">
        <x:v>1</x:v>
      </x:c>
      <x:c r="L3039" s="12" t="n">
        <x:v>1596.05145</x:v>
      </x:c>
      <x:c r="M3039" s="13" t="n">
        <x:v>1</x:v>
      </x:c>
      <x:c r="N3039" s="13" t="n">
        <x:f>H3039/G3039</x:f>
        <x:v>0.07738666860064282</x:v>
      </x:c>
      <x:c r="O3039" s="13" t="n">
        <x:f>F3039/E3039</x:f>
        <x:v>0</x:v>
      </x:c>
      <x:c r="P3039" s="2" t="str">
        <x:f>IF(AND(E3039&gt;='Итоги'!$F$5,N3039&lt;='Итоги'!$B$5,O3039&gt;='Итоги'!$D$5),"Да","Нет")</x:f>
        <x:v>Нет</x:v>
      </x:c>
    </x:row>
    <x:row r="3040" ht="60" customHeight="1">
      <x:c r="A3040" s="14" t="str">
        <x:v>Товары для дома</x:v>
      </x:c>
      <x:c r="B3040" s="14" t="str">
        <x:v>Кухня</x:v>
      </x:c>
      <x:c r="C3040" s="14" t="str">
        <x:v>Питьевое стекло, аксессуар для бара, сосуд для жидкости</x:v>
      </x:c>
      <x:c r="D3040" s="14" t="str">
        <x:v>Пробка для бутылок</x:v>
      </x:c>
      <x:c r="E3040" s="2" t="n">
        <x:v>2</x:v>
      </x:c>
      <x:c r="F3040" s="2" t="n">
        <x:v>0</x:v>
      </x:c>
      <x:c r="G3040" s="12" t="n">
        <x:v>106218.7961</x:v>
      </x:c>
      <x:c r="H3040" s="12" t="n">
        <x:v>8231.139</x:v>
      </x:c>
      <x:c r="I3040" s="13" t="n">
        <x:v>0.08065</x:v>
      </x:c>
      <x:c r="J3040" s="2" t="n">
        <x:v>1</x:v>
      </x:c>
      <x:c r="K3040" s="2" t="n">
        <x:v>2</x:v>
      </x:c>
      <x:c r="L3040" s="12" t="n">
        <x:v>718.797</x:v>
      </x:c>
      <x:c r="M3040" s="13" t="n">
        <x:v>0.5195765544926939</x:v>
      </x:c>
      <x:c r="N3040" s="13" t="n">
        <x:f>H3040/G3040</x:f>
        <x:v>0.07749230176032845</x:v>
      </x:c>
      <x:c r="O3040" s="13" t="n">
        <x:f>F3040/E3040</x:f>
        <x:v>0</x:v>
      </x:c>
      <x:c r="P3040" s="2" t="str">
        <x:f>IF(AND(E3040&gt;='Итоги'!$F$5,N3040&lt;='Итоги'!$B$5,O3040&gt;='Итоги'!$D$5),"Да","Нет")</x:f>
        <x:v>Нет</x:v>
      </x:c>
    </x:row>
    <x:row r="3041" ht="60" customHeight="1">
      <x:c r="A3041" s="14" t="str">
        <x:v>Товары для животных</x:v>
      </x:c>
      <x:c r="B3041" s="14" t="str">
        <x:v>Спальное место животного</x:v>
      </x:c>
      <x:c r="C3041" s="14" t="str">
        <x:v>Посуда для животных</x:v>
      </x:c>
      <x:c r="D3041" s="14" t="str">
        <x:v>Автоматическая кормушка для домашних животных</x:v>
      </x:c>
      <x:c r="E3041" s="2" t="n">
        <x:v>79</x:v>
      </x:c>
      <x:c r="F3041" s="2" t="n">
        <x:v>0</x:v>
      </x:c>
      <x:c r="G3041" s="12" t="n">
        <x:v>19184306.1324</x:v>
      </x:c>
      <x:c r="H3041" s="12" t="n">
        <x:v>1487076.93744429</x:v>
      </x:c>
      <x:c r="I3041" s="13" t="n">
        <x:v>0.0779556962025316</x:v>
      </x:c>
      <x:c r="J3041" s="2" t="n">
        <x:v>11</x:v>
      </x:c>
      <x:c r="K3041" s="2" t="n">
        <x:v>30</x:v>
      </x:c>
      <x:c r="L3041" s="12" t="n">
        <x:v>3180.8076</x:v>
      </x:c>
      <x:c r="M3041" s="13" t="n">
        <x:v>0.5397810006957248</x:v>
      </x:c>
      <x:c r="N3041" s="13" t="n">
        <x:f>H3041/G3041</x:f>
        <x:v>0.07751528396082018</x:v>
      </x:c>
      <x:c r="O3041" s="13" t="n">
        <x:f>F3041/E3041</x:f>
        <x:v>0</x:v>
      </x:c>
      <x:c r="P3041" s="2" t="str">
        <x:f>IF(AND(E3041&gt;='Итоги'!$F$5,N3041&lt;='Итоги'!$B$5,O3041&gt;='Итоги'!$D$5),"Да","Нет")</x:f>
        <x:v>Нет</x:v>
      </x:c>
    </x:row>
    <x:row r="3042" ht="60" customHeight="1">
      <x:c r="A3042" s="14" t="str">
        <x:v>Игрушки</x:v>
      </x:c>
      <x:c r="B3042" s="14" t="str">
        <x:v>Игрушки</x:v>
      </x:c>
      <x:c r="C3042" s="14" t="str">
        <x:v>Куклы и аксессуары</x:v>
      </x:c>
      <x:c r="D3042" s="14" t="str">
        <x:v>Домик кукольный</x:v>
      </x:c>
      <x:c r="E3042" s="2" t="n">
        <x:v>38</x:v>
      </x:c>
      <x:c r="F3042" s="2" t="n">
        <x:v>0</x:v>
      </x:c>
      <x:c r="G3042" s="12" t="n">
        <x:v>4640615.5626</x:v>
      </x:c>
      <x:c r="H3042" s="12" t="n">
        <x:v>359967.2345958</x:v>
      </x:c>
      <x:c r="I3042" s="13" t="n">
        <x:v>0.0727131578947368</x:v>
      </x:c>
      <x:c r="J3042" s="2" t="n">
        <x:v>10</x:v>
      </x:c>
      <x:c r="K3042" s="2" t="n">
        <x:v>19</x:v>
      </x:c>
      <x:c r="L3042" s="12" t="n">
        <x:v>4035.5543</x:v>
      </x:c>
      <x:c r="M3042" s="13" t="n">
        <x:v>0.226253868939693</x:v>
      </x:c>
      <x:c r="N3042" s="13" t="n">
        <x:f>H3042/G3042</x:f>
        <x:v>0.07756885476506073</x:v>
      </x:c>
      <x:c r="O3042" s="13" t="n">
        <x:f>F3042/E3042</x:f>
        <x:v>0</x:v>
      </x:c>
      <x:c r="P3042" s="2" t="str">
        <x:f>IF(AND(E3042&gt;='Итоги'!$F$5,N3042&lt;='Итоги'!$B$5,O3042&gt;='Итоги'!$D$5),"Да","Нет")</x:f>
        <x:v>Нет</x:v>
      </x:c>
    </x:row>
    <x:row r="3043" ht="60" customHeight="1">
      <x:c r="A3043" s="14" t="str">
        <x:v>Мебель</x:v>
      </x:c>
      <x:c r="B3043" s="14" t="str">
        <x:v>Корпусная мебель и мебель для хранения</x:v>
      </x:c>
      <x:c r="C3043" s="14" t="str">
        <x:v>Шкаф, гардероб</x:v>
      </x:c>
      <x:c r="D3043" s="14" t="str">
        <x:v>Складные шкафы и гардеробы</x:v>
      </x:c>
      <x:c r="E3043" s="2" t="n">
        <x:v>26</x:v>
      </x:c>
      <x:c r="F3043" s="2" t="n">
        <x:v>0</x:v>
      </x:c>
      <x:c r="G3043" s="12" t="n">
        <x:v>4099396.2174</x:v>
      </x:c>
      <x:c r="H3043" s="12" t="n">
        <x:v>318130.96384322003</x:v>
      </x:c>
      <x:c r="I3043" s="13" t="n">
        <x:v>0.09365</x:v>
      </x:c>
      <x:c r="J3043" s="2" t="n">
        <x:v>8</x:v>
      </x:c>
      <x:c r="K3043" s="2" t="n">
        <x:v>6</x:v>
      </x:c>
      <x:c r="L3043" s="12" t="n">
        <x:v>1487.6552</x:v>
      </x:c>
      <x:c r="M3043" s="13" t="n">
        <x:v>0.6588620834297012</x:v>
      </x:c>
      <x:c r="N3043" s="13" t="n">
        <x:f>H3043/G3043</x:f>
        <x:v>0.07760434634078658</x:v>
      </x:c>
      <x:c r="O3043" s="13" t="n">
        <x:f>F3043/E3043</x:f>
        <x:v>0</x:v>
      </x:c>
      <x:c r="P3043" s="2" t="str">
        <x:f>IF(AND(E3043&gt;='Итоги'!$F$5,N3043&lt;='Итоги'!$B$5,O3043&gt;='Итоги'!$D$5),"Да","Нет")</x:f>
        <x:v>Нет</x:v>
      </x:c>
    </x:row>
    <x:row r="3044" ht="60" customHeight="1">
      <x:c r="A3044" s="14" t="str">
        <x:v>Товары для дома</x:v>
      </x:c>
      <x:c r="B3044" s="14" t="str">
        <x:v>Интерьер и декор</x:v>
      </x:c>
      <x:c r="C3044" s="14" t="str">
        <x:v>Сувенирная продукция</x:v>
      </x:c>
      <x:c r="D3044" s="14" t="str">
        <x:v>Букет, подарок из мыльных цветов</x:v>
      </x:c>
      <x:c r="E3044" s="2" t="n">
        <x:v>4</x:v>
      </x:c>
      <x:c r="F3044" s="2" t="n">
        <x:v>0</x:v>
      </x:c>
      <x:c r="G3044" s="12" t="n">
        <x:v>157510.5712</x:v>
      </x:c>
      <x:c r="H3044" s="12" t="n">
        <x:v>12229.752018</x:v>
      </x:c>
      <x:c r="I3044" s="13" t="n">
        <x:v>0.149225</x:v>
      </x:c>
      <x:c r="J3044" s="2" t="n">
        <x:v>1</x:v>
      </x:c>
      <x:c r="K3044" s="2" t="n">
        <x:v>2</x:v>
      </x:c>
      <x:c r="L3044" s="12" t="n">
        <x:v>896.5884</x:v>
      </x:c>
      <x:c r="M3044" s="13" t="n">
        <x:v>0.5690192760852613</x:v>
      </x:c>
      <x:c r="N3044" s="13" t="n">
        <x:f>H3044/G3044</x:f>
        <x:v>0.07764400779469714</x:v>
      </x:c>
      <x:c r="O3044" s="13" t="n">
        <x:f>F3044/E3044</x:f>
        <x:v>0</x:v>
      </x:c>
      <x:c r="P3044" s="2" t="str">
        <x:f>IF(AND(E3044&gt;='Итоги'!$F$5,N3044&lt;='Итоги'!$B$5,O3044&gt;='Итоги'!$D$5),"Да","Нет")</x:f>
        <x:v>Нет</x:v>
      </x:c>
    </x:row>
    <x:row r="3045" ht="60" customHeight="1">
      <x:c r="A3045" s="14" t="str">
        <x:v>Товары для красоты и здоровья</x:v>
      </x:c>
      <x:c r="B3045" s="14" t="str">
        <x:v>Косметика для ухода за волосами</x:v>
      </x:c>
      <x:c r="C3045" s="14" t="str">
        <x:v>Окрашивание волос для женщин</x:v>
      </x:c>
      <x:c r="D3045" s="14" t="str">
        <x:v>Оттеночное средство для волос</x:v>
      </x:c>
      <x:c r="E3045" s="2" t="n">
        <x:v>31</x:v>
      </x:c>
      <x:c r="F3045" s="2" t="n">
        <x:v>0</x:v>
      </x:c>
      <x:c r="G3045" s="12" t="n">
        <x:v>5608285.501</x:v>
      </x:c>
      <x:c r="H3045" s="12" t="n">
        <x:v>435485.03652572</x:v>
      </x:c>
      <x:c r="I3045" s="13" t="n">
        <x:v>0.0633967741935483</x:v>
      </x:c>
      <x:c r="J3045" s="2" t="n">
        <x:v>3</x:v>
      </x:c>
      <x:c r="K3045" s="2" t="n">
        <x:v>5</x:v>
      </x:c>
      <x:c r="L3045" s="12" t="n">
        <x:v>1362.9167</x:v>
      </x:c>
      <x:c r="M3045" s="13" t="n">
        <x:v>0.6828913322827642</x:v>
      </x:c>
      <x:c r="N3045" s="13" t="n">
        <x:f>H3045/G3045</x:f>
        <x:v>0.07765029730531188</x:v>
      </x:c>
      <x:c r="O3045" s="13" t="n">
        <x:f>F3045/E3045</x:f>
        <x:v>0</x:v>
      </x:c>
      <x:c r="P3045" s="2" t="str">
        <x:f>IF(AND(E3045&gt;='Итоги'!$F$5,N3045&lt;='Итоги'!$B$5,O3045&gt;='Итоги'!$D$5),"Да","Нет")</x:f>
        <x:v>Нет</x:v>
      </x:c>
    </x:row>
    <x:row r="3046" ht="60" customHeight="1">
      <x:c r="A3046" s="14" t="str">
        <x:v>Аптека</x:v>
      </x:c>
      <x:c r="B3046" s="14" t="str">
        <x:v>Медицинские изделия</x:v>
      </x:c>
      <x:c r="C3046" s="14" t="str">
        <x:v>Медицинские изделия</x:v>
      </x:c>
      <x:c r="D3046" s="14" t="str">
        <x:v>Аптечка с наполнением</x:v>
      </x:c>
      <x:c r="E3046" s="2" t="n">
        <x:v>33</x:v>
      </x:c>
      <x:c r="F3046" s="2" t="n">
        <x:v>0</x:v>
      </x:c>
      <x:c r="G3046" s="12" t="n">
        <x:v>6454613.88</x:v>
      </x:c>
      <x:c r="H3046" s="12" t="n">
        <x:v>501221.515718</x:v>
      </x:c>
      <x:c r="I3046" s="13" t="n">
        <x:v>0.076660606060606</x:v>
      </x:c>
      <x:c r="J3046" s="2" t="n">
        <x:v>6</x:v>
      </x:c>
      <x:c r="K3046" s="2" t="n">
        <x:v>11</x:v>
      </x:c>
      <x:c r="L3046" s="12" t="n">
        <x:v>1750.6165</x:v>
      </x:c>
      <x:c r="M3046" s="13" t="n">
        <x:v>0.368932268338877</x:v>
      </x:c>
      <x:c r="N3046" s="13" t="n">
        <x:f>H3046/G3046</x:f>
        <x:v>0.07765321443488112</x:v>
      </x:c>
      <x:c r="O3046" s="13" t="n">
        <x:f>F3046/E3046</x:f>
        <x:v>0</x:v>
      </x:c>
      <x:c r="P3046" s="2" t="str">
        <x:f>IF(AND(E3046&gt;='Итоги'!$F$5,N3046&lt;='Итоги'!$B$5,O3046&gt;='Итоги'!$D$5),"Да","Нет")</x:f>
        <x:v>Нет</x:v>
      </x:c>
    </x:row>
    <x:row r="3047" ht="60" customHeight="1">
      <x:c r="A3047" s="14" t="str">
        <x:v>Товары для красоты и здоровья</x:v>
      </x:c>
      <x:c r="B3047" s="14" t="str">
        <x:v>Косметика для ухода за кожей</x:v>
      </x:c>
      <x:c r="C3047" s="14" t="str">
        <x:v>Загар</x:v>
      </x:c>
      <x:c r="D3047" s="14" t="str">
        <x:v>Средство для загара</x:v>
      </x:c>
      <x:c r="E3047" s="2" t="n">
        <x:v>14</x:v>
      </x:c>
      <x:c r="F3047" s="2" t="n">
        <x:v>0</x:v>
      </x:c>
      <x:c r="G3047" s="12" t="n">
        <x:v>2486388.5707</x:v>
      </x:c>
      <x:c r="H3047" s="12" t="n">
        <x:v>193178.56079722</x:v>
      </x:c>
      <x:c r="I3047" s="13" t="n">
        <x:v>0.0691214285714285</x:v>
      </x:c>
      <x:c r="J3047" s="2" t="n">
        <x:v>5</x:v>
      </x:c>
      <x:c r="K3047" s="2" t="n">
        <x:v>7</x:v>
      </x:c>
      <x:c r="L3047" s="12" t="n">
        <x:v>1085.6676</x:v>
      </x:c>
      <x:c r="M3047" s="13" t="n">
        <x:v>0.5959498943412674</x:v>
      </x:c>
      <x:c r="N3047" s="13" t="n">
        <x:f>H3047/G3047</x:f>
        <x:v>0.07769443725476662</x:v>
      </x:c>
      <x:c r="O3047" s="13" t="n">
        <x:f>F3047/E3047</x:f>
        <x:v>0</x:v>
      </x:c>
      <x:c r="P3047" s="2" t="str">
        <x:f>IF(AND(E3047&gt;='Итоги'!$F$5,N3047&lt;='Итоги'!$B$5,O3047&gt;='Итоги'!$D$5),"Да","Нет")</x:f>
        <x:v>Нет</x:v>
      </x:c>
    </x:row>
    <x:row r="3048" ht="60" customHeight="1">
      <x:c r="A3048" s="14" t="str">
        <x:v>Строительство и ремонт (DIY)</x:v>
      </x:c>
      <x:c r="B3048" s="14" t="str">
        <x:v>Сад и огород</x:v>
      </x:c>
      <x:c r="C3048" s="14" t="str">
        <x:v>Садовый инструмент</x:v>
      </x:c>
      <x:c r="D3048" s="14" t="str">
        <x:v>Кусторез аккумуляторный</x:v>
      </x:c>
      <x:c r="E3048" s="2" t="n">
        <x:v>92</x:v>
      </x:c>
      <x:c r="F3048" s="2" t="n">
        <x:v>0</x:v>
      </x:c>
      <x:c r="G3048" s="12" t="n">
        <x:v>29051474.9465</x:v>
      </x:c>
      <x:c r="H3048" s="12" t="n">
        <x:v>2257168.66735858</x:v>
      </x:c>
      <x:c r="I3048" s="13" t="n">
        <x:v>0.0886173913043478</x:v>
      </x:c>
      <x:c r="J3048" s="2" t="n">
        <x:v>22</x:v>
      </x:c>
      <x:c r="K3048" s="2" t="n">
        <x:v>31</x:v>
      </x:c>
      <x:c r="L3048" s="12" t="n">
        <x:v>3361.5947</x:v>
      </x:c>
      <x:c r="M3048" s="13" t="n">
        <x:v>0.5936709514804807</x:v>
      </x:c>
      <x:c r="N3048" s="13" t="n">
        <x:f>H3048/G3048</x:f>
        <x:v>0.07769549296602975</x:v>
      </x:c>
      <x:c r="O3048" s="13" t="n">
        <x:f>F3048/E3048</x:f>
        <x:v>0</x:v>
      </x:c>
      <x:c r="P3048" s="2" t="str">
        <x:f>IF(AND(E3048&gt;='Итоги'!$F$5,N3048&lt;='Итоги'!$B$5,O3048&gt;='Итоги'!$D$5),"Да","Нет")</x:f>
        <x:v>Нет</x:v>
      </x:c>
    </x:row>
    <x:row r="3049" ht="60" customHeight="1">
      <x:c r="A3049" s="14" t="str">
        <x:v>Спорт и отдых</x:v>
      </x:c>
      <x:c r="B3049" s="14" t="str">
        <x:v>Всесезонные виды спорта</x:v>
      </x:c>
      <x:c r="C3049" s="14" t="str">
        <x:v>Бег</x:v>
      </x:c>
      <x:c r="D3049" s="14" t="str">
        <x:v>Козырек для бега</x:v>
      </x:c>
      <x:c r="E3049" s="2" t="n">
        <x:v>1</x:v>
      </x:c>
      <x:c r="F3049" s="2" t="n">
        <x:v>0</x:v>
      </x:c>
      <x:c r="G3049" s="12" t="n">
        <x:v>87903.5893</x:v>
      </x:c>
      <x:c r="H3049" s="12" t="n">
        <x:v>6830.108888610001</x:v>
      </x:c>
      <x:c r="I3049" s="13" t="n">
        <x:v>0.0777</x:v>
      </x:c>
      <x:c r="J3049" s="2" t="n">
        <x:v>0</x:v>
      </x:c>
      <x:c r="K3049" s="2" t="n">
        <x:v>1</x:v>
      </x:c>
      <x:c r="L3049" s="12" t="n">
        <x:v>1046.4713</x:v>
      </x:c>
      <x:c r="M3049" s="13" t="n">
        <x:v>1</x:v>
      </x:c>
      <x:c r="N3049" s="13" t="n">
        <x:f>H3049/G3049</x:f>
        <x:v>0.0777</x:v>
      </x:c>
      <x:c r="O3049" s="13" t="n">
        <x:f>F3049/E3049</x:f>
        <x:v>0</x:v>
      </x:c>
      <x:c r="P3049" s="2" t="str">
        <x:f>IF(AND(E3049&gt;='Итоги'!$F$5,N3049&lt;='Итоги'!$B$5,O3049&gt;='Итоги'!$D$5),"Да","Нет")</x:f>
        <x:v>Нет</x:v>
      </x:c>
    </x:row>
    <x:row r="3050" ht="60" customHeight="1">
      <x:c r="A3050" s="14" t="str">
        <x:v>Строительство и ремонт (DIY)</x:v>
      </x:c>
      <x:c r="B3050" s="14" t="str">
        <x:v>Инструменты</x:v>
      </x:c>
      <x:c r="C3050" s="14" t="str">
        <x:v>Инструмент ручной для строительства, ремонта</x:v>
      </x:c>
      <x:c r="D3050" s="14" t="str">
        <x:v>Резьбонарезной инструмент</x:v>
      </x:c>
      <x:c r="E3050" s="2" t="n">
        <x:v>36</x:v>
      </x:c>
      <x:c r="F3050" s="2" t="n">
        <x:v>0</x:v>
      </x:c>
      <x:c r="G3050" s="12" t="n">
        <x:v>5503697.3518</x:v>
      </x:c>
      <x:c r="H3050" s="12" t="n">
        <x:v>427637.90111917</x:v>
      </x:c>
      <x:c r="I3050" s="13" t="n">
        <x:v>0.08975</x:v>
      </x:c>
      <x:c r="J3050" s="2" t="n">
        <x:v>6</x:v>
      </x:c>
      <x:c r="K3050" s="2" t="n">
        <x:v>14</x:v>
      </x:c>
      <x:c r="L3050" s="12" t="n">
        <x:v>2630.0219500000003</x:v>
      </x:c>
      <x:c r="M3050" s="13" t="n">
        <x:v>0.4589323961416449</x:v>
      </x:c>
      <x:c r="N3050" s="13" t="n">
        <x:f>H3050/G3050</x:f>
        <x:v>0.07770011208543467</x:v>
      </x:c>
      <x:c r="O3050" s="13" t="n">
        <x:f>F3050/E3050</x:f>
        <x:v>0</x:v>
      </x:c>
      <x:c r="P3050" s="2" t="str">
        <x:f>IF(AND(E3050&gt;='Итоги'!$F$5,N3050&lt;='Итоги'!$B$5,O3050&gt;='Итоги'!$D$5),"Да","Нет")</x:f>
        <x:v>Нет</x:v>
      </x:c>
    </x:row>
    <x:row r="3051" ht="60" customHeight="1">
      <x:c r="A3051" s="14" t="str">
        <x:v>Аптека</x:v>
      </x:c>
      <x:c r="B3051" s="14" t="str">
        <x:v>Парафармацевтика</x:v>
      </x:c>
      <x:c r="C3051" s="14" t="str">
        <x:v>Парафармацевтика</x:v>
      </x:c>
      <x:c r="D3051" s="14" t="str">
        <x:v>Лечебные экстракт, смесь, соль для принятия ванны</x:v>
      </x:c>
      <x:c r="E3051" s="2" t="n">
        <x:v>5</x:v>
      </x:c>
      <x:c r="F3051" s="2" t="n">
        <x:v>0</x:v>
      </x:c>
      <x:c r="G3051" s="12" t="n">
        <x:v>786801.3918</x:v>
      </x:c>
      <x:c r="H3051" s="12" t="n">
        <x:v>61141.34839807</x:v>
      </x:c>
      <x:c r="I3051" s="13" t="n">
        <x:v>0.0693999999999999</x:v>
      </x:c>
      <x:c r="J3051" s="2" t="n">
        <x:v>0</x:v>
      </x:c>
      <x:c r="K3051" s="2" t="n">
        <x:v>4</x:v>
      </x:c>
      <x:c r="L3051" s="12" t="n">
        <x:v>1440.0646</x:v>
      </x:c>
      <x:c r="M3051" s="13" t="n">
        <x:v>0.4378882256573049</x:v>
      </x:c>
      <x:c r="N3051" s="13" t="n">
        <x:f>H3051/G3051</x:f>
        <x:v>0.07770874458952629</x:v>
      </x:c>
      <x:c r="O3051" s="13" t="n">
        <x:f>F3051/E3051</x:f>
        <x:v>0</x:v>
      </x:c>
      <x:c r="P3051" s="2" t="str">
        <x:f>IF(AND(E3051&gt;='Итоги'!$F$5,N3051&lt;='Итоги'!$B$5,O3051&gt;='Итоги'!$D$5),"Да","Нет")</x:f>
        <x:v>Нет</x:v>
      </x:c>
    </x:row>
    <x:row r="3052" ht="60" customHeight="1">
      <x:c r="A3052" s="14" t="str">
        <x:v>Товары для дома</x:v>
      </x:c>
      <x:c r="B3052" s="14" t="str">
        <x:v>Домашний текстиль</x:v>
      </x:c>
      <x:c r="C3052" s="14" t="str">
        <x:v>Постельное белье</x:v>
      </x:c>
      <x:c r="D3052" s="14" t="str">
        <x:v>КПБ детский от 110х140</x:v>
      </x:c>
      <x:c r="E3052" s="2" t="n">
        <x:v>105</x:v>
      </x:c>
      <x:c r="F3052" s="2" t="n">
        <x:v>0</x:v>
      </x:c>
      <x:c r="G3052" s="12" t="n">
        <x:v>16833382.4175</x:v>
      </x:c>
      <x:c r="H3052" s="12" t="n">
        <x:v>1308241.99710912</x:v>
      </x:c>
      <x:c r="I3052" s="13" t="n">
        <x:v>0.0680628571428571</x:v>
      </x:c>
      <x:c r="J3052" s="2" t="n">
        <x:v>28</x:v>
      </x:c>
      <x:c r="K3052" s="2" t="n">
        <x:v>7</x:v>
      </x:c>
      <x:c r="L3052" s="12" t="n">
        <x:v>1378.7685</x:v>
      </x:c>
      <x:c r="M3052" s="13" t="n">
        <x:v>0.6980424272714352</x:v>
      </x:c>
      <x:c r="N3052" s="13" t="n">
        <x:f>H3052/G3052</x:f>
        <x:v>0.07771711974826108</x:v>
      </x:c>
      <x:c r="O3052" s="13" t="n">
        <x:f>F3052/E3052</x:f>
        <x:v>0</x:v>
      </x:c>
      <x:c r="P3052" s="2" t="str">
        <x:f>IF(AND(E3052&gt;='Итоги'!$F$5,N3052&lt;='Итоги'!$B$5,O3052&gt;='Итоги'!$D$5),"Да","Нет")</x:f>
        <x:v>Нет</x:v>
      </x:c>
    </x:row>
    <x:row r="3053" ht="60" customHeight="1">
      <x:c r="A3053" s="14" t="str">
        <x:v>Бакалея и кондитерские изделия</x:v>
      </x:c>
      <x:c r="B3053" s="14" t="str">
        <x:v>Бакалея</x:v>
      </x:c>
      <x:c r="C3053" s="14" t="str">
        <x:v>Консервы</x:v>
      </x:c>
      <x:c r="D3053" s="14" t="str">
        <x:v>Мед</x:v>
      </x:c>
      <x:c r="E3053" s="2" t="n">
        <x:v>16</x:v>
      </x:c>
      <x:c r="F3053" s="2" t="n">
        <x:v>0</x:v>
      </x:c>
      <x:c r="G3053" s="12" t="n">
        <x:v>1849787.7917</x:v>
      </x:c>
      <x:c r="H3053" s="12" t="n">
        <x:v>143795.65392772</x:v>
      </x:c>
      <x:c r="I3053" s="13" t="n">
        <x:v>0.06560625</x:v>
      </x:c>
      <x:c r="J3053" s="2" t="n">
        <x:v>6</x:v>
      </x:c>
      <x:c r="K3053" s="2" t="n">
        <x:v>9</x:v>
      </x:c>
      <x:c r="L3053" s="12" t="n">
        <x:v>1505.8635</x:v>
      </x:c>
      <x:c r="M3053" s="13" t="n">
        <x:v>0.3020626605965938</x:v>
      </x:c>
      <x:c r="N3053" s="13" t="n">
        <x:f>H3053/G3053</x:f>
        <x:v>0.07773629741364457</x:v>
      </x:c>
      <x:c r="O3053" s="13" t="n">
        <x:f>F3053/E3053</x:f>
        <x:v>0</x:v>
      </x:c>
      <x:c r="P3053" s="2" t="str">
        <x:f>IF(AND(E3053&gt;='Итоги'!$F$5,N3053&lt;='Итоги'!$B$5,O3053&gt;='Итоги'!$D$5),"Да","Нет")</x:f>
        <x:v>Нет</x:v>
      </x:c>
    </x:row>
    <x:row r="3054" ht="60" customHeight="1">
      <x:c r="A3054" s="14" t="str">
        <x:v>Аксессуары для электроники</x:v>
      </x:c>
      <x:c r="B3054" s="14" t="str">
        <x:v>Оборудование Access</x:v>
      </x:c>
      <x:c r="C3054" s="14" t="str">
        <x:v>Оборудование для кафе, ресторанов Access</x:v>
      </x:c>
      <x:c r="D3054" s="14" t="str">
        <x:v>Запчасти для оборудования предприятий общепита</x:v>
      </x:c>
      <x:c r="E3054" s="2" t="n">
        <x:v>3</x:v>
      </x:c>
      <x:c r="F3054" s="2" t="n">
        <x:v>0</x:v>
      </x:c>
      <x:c r="G3054" s="12" t="n">
        <x:v>393762</x:v>
      </x:c>
      <x:c r="H3054" s="12" t="n">
        <x:v>30610.3952</x:v>
      </x:c>
      <x:c r="I3054" s="13" t="n">
        <x:v>0.0933666666666666</x:v>
      </x:c>
      <x:c r="J3054" s="2" t="n">
        <x:v>1</x:v>
      </x:c>
      <x:c r="K3054" s="2" t="n">
        <x:v>3</x:v>
      </x:c>
      <x:c r="L3054" s="12" t="n">
        <x:v>4291.68</x:v>
      </x:c>
      <x:c r="M3054" s="13" t="n">
        <x:v>0.4413782945027707</x:v>
      </x:c>
      <x:c r="N3054" s="13" t="n">
        <x:f>H3054/G3054</x:f>
        <x:v>0.07773831705446436</x:v>
      </x:c>
      <x:c r="O3054" s="13" t="n">
        <x:f>F3054/E3054</x:f>
        <x:v>0</x:v>
      </x:c>
      <x:c r="P3054" s="2" t="str">
        <x:f>IF(AND(E3054&gt;='Итоги'!$F$5,N3054&lt;='Итоги'!$B$5,O3054&gt;='Итоги'!$D$5),"Да","Нет")</x:f>
        <x:v>Нет</x:v>
      </x:c>
    </x:row>
    <x:row r="3055" ht="60" customHeight="1">
      <x:c r="A3055" s="14" t="str">
        <x:v>Строительство и ремонт (DIY)</x:v>
      </x:c>
      <x:c r="B3055" s="14" t="str">
        <x:v>Сантехника</x:v>
      </x:c>
      <x:c r="C3055" s="14" t="str">
        <x:v>Аксессуары для сантехники</x:v>
      </x:c>
      <x:c r="D3055" s="14" t="str">
        <x:v>Ревизионный люк</x:v>
      </x:c>
      <x:c r="E3055" s="2" t="n">
        <x:v>62</x:v>
      </x:c>
      <x:c r="F3055" s="2" t="n">
        <x:v>0</x:v>
      </x:c>
      <x:c r="G3055" s="12" t="n">
        <x:v>11517450.1954</x:v>
      </x:c>
      <x:c r="H3055" s="12" t="n">
        <x:v>895481.7992600501</x:v>
      </x:c>
      <x:c r="I3055" s="13" t="n">
        <x:v>0.0679645161290322</x:v>
      </x:c>
      <x:c r="J3055" s="2" t="n">
        <x:v>4</x:v>
      </x:c>
      <x:c r="K3055" s="2" t="n">
        <x:v>5</x:v>
      </x:c>
      <x:c r="L3055" s="12" t="n">
        <x:v>4820.555249999999</x:v>
      </x:c>
      <x:c r="M3055" s="13" t="n">
        <x:v>0.9529177030679432</x:v>
      </x:c>
      <x:c r="N3055" s="13" t="n">
        <x:f>H3055/G3055</x:f>
        <x:v>0.07775000404323</x:v>
      </x:c>
      <x:c r="O3055" s="13" t="n">
        <x:f>F3055/E3055</x:f>
        <x:v>0</x:v>
      </x:c>
      <x:c r="P3055" s="2" t="str">
        <x:f>IF(AND(E3055&gt;='Итоги'!$F$5,N3055&lt;='Итоги'!$B$5,O3055&gt;='Итоги'!$D$5),"Да","Нет")</x:f>
        <x:v>Нет</x:v>
      </x:c>
    </x:row>
    <x:row r="3056" ht="60" customHeight="1">
      <x:c r="A3056" s="14" t="str">
        <x:v>Спорт и отдых</x:v>
      </x:c>
      <x:c r="B3056" s="14" t="str">
        <x:v>Товары для рыбалки</x:v>
      </x:c>
      <x:c r="C3056" s="14" t="str">
        <x:v>Аксесcуары для рыбалки</x:v>
      </x:c>
      <x:c r="D3056" s="14" t="str">
        <x:v>Садок рыболовный</x:v>
      </x:c>
      <x:c r="E3056" s="2" t="n">
        <x:v>20</x:v>
      </x:c>
      <x:c r="F3056" s="2" t="n">
        <x:v>0</x:v>
      </x:c>
      <x:c r="G3056" s="12" t="n">
        <x:v>3212652.0043</x:v>
      </x:c>
      <x:c r="H3056" s="12" t="n">
        <x:v>249935.50426253</x:v>
      </x:c>
      <x:c r="I3056" s="13" t="n">
        <x:v>0.0720949999999999</x:v>
      </x:c>
      <x:c r="J3056" s="2" t="n">
        <x:v>6</x:v>
      </x:c>
      <x:c r="K3056" s="2" t="n">
        <x:v>8</x:v>
      </x:c>
      <x:c r="L3056" s="12" t="n">
        <x:v>1480.07235</x:v>
      </x:c>
      <x:c r="M3056" s="13" t="n">
        <x:v>0.3588136756041741</x:v>
      </x:c>
      <x:c r="N3056" s="13" t="n">
        <x:f>H3056/G3056</x:f>
        <x:v>0.0777972540841653</x:v>
      </x:c>
      <x:c r="O3056" s="13" t="n">
        <x:f>F3056/E3056</x:f>
        <x:v>0</x:v>
      </x:c>
      <x:c r="P3056" s="2" t="str">
        <x:f>IF(AND(E3056&gt;='Итоги'!$F$5,N3056&lt;='Итоги'!$B$5,O3056&gt;='Итоги'!$D$5),"Да","Нет")</x:f>
        <x:v>Нет</x:v>
      </x:c>
    </x:row>
    <x:row r="3057" ht="60" customHeight="1">
      <x:c r="A3057" s="14" t="str">
        <x:v>Одежда</x:v>
      </x:c>
      <x:c r="B3057" s="14" t="str">
        <x:v>Основная одежда женская</x:v>
      </x:c>
      <x:c r="C3057" s="14" t="str">
        <x:v>Головные уборы, перчатки, шарфы женские</x:v>
      </x:c>
      <x:c r="D3057" s="14" t="str">
        <x:v>Женская панама</x:v>
      </x:c>
      <x:c r="E3057" s="2" t="n">
        <x:v>22</x:v>
      </x:c>
      <x:c r="F3057" s="2" t="n">
        <x:v>0</x:v>
      </x:c>
      <x:c r="G3057" s="12" t="n">
        <x:v>2479413.1759</x:v>
      </x:c>
      <x:c r="H3057" s="12" t="n">
        <x:v>192972.90468044</x:v>
      </x:c>
      <x:c r="I3057" s="13" t="n">
        <x:v>0.05745</x:v>
      </x:c>
      <x:c r="J3057" s="2" t="n">
        <x:v>11</x:v>
      </x:c>
      <x:c r="K3057" s="2" t="n">
        <x:v>12</x:v>
      </x:c>
      <x:c r="L3057" s="12" t="n">
        <x:v>899.03205</x:v>
      </x:c>
      <x:c r="M3057" s="13" t="n">
        <x:v>0.1661984432467256</x:v>
      </x:c>
      <x:c r="N3057" s="13" t="n">
        <x:f>H3057/G3057</x:f>
        <x:v>0.07783007146858165</x:v>
      </x:c>
      <x:c r="O3057" s="13" t="n">
        <x:f>F3057/E3057</x:f>
        <x:v>0</x:v>
      </x:c>
      <x:c r="P3057" s="2" t="str">
        <x:f>IF(AND(E3057&gt;='Итоги'!$F$5,N3057&lt;='Итоги'!$B$5,O3057&gt;='Итоги'!$D$5),"Да","Нет")</x:f>
        <x:v>Нет</x:v>
      </x:c>
    </x:row>
    <x:row r="3058" ht="60" customHeight="1">
      <x:c r="A3058" s="14" t="str">
        <x:v>Личная гигиена и детская продукция</x:v>
      </x:c>
      <x:c r="B3058" s="14" t="str">
        <x:v>Личная гигиена</x:v>
      </x:c>
      <x:c r="C3058" s="14" t="str">
        <x:v>Женская гигиена</x:v>
      </x:c>
      <x:c r="D3058" s="14" t="str">
        <x:v>Средство для интимной гигиены</x:v>
      </x:c>
      <x:c r="E3058" s="2" t="n">
        <x:v>15</x:v>
      </x:c>
      <x:c r="F3058" s="2" t="n">
        <x:v>0</x:v>
      </x:c>
      <x:c r="G3058" s="12" t="n">
        <x:v>2731469.1265</x:v>
      </x:c>
      <x:c r="H3058" s="12" t="n">
        <x:v>212592.88265617</x:v>
      </x:c>
      <x:c r="I3058" s="13" t="n">
        <x:v>0.07246</x:v>
      </x:c>
      <x:c r="J3058" s="2" t="n">
        <x:v>6</x:v>
      </x:c>
      <x:c r="K3058" s="2" t="n">
        <x:v>6</x:v>
      </x:c>
      <x:c r="L3058" s="12" t="n">
        <x:v>1252.209</x:v>
      </x:c>
      <x:c r="M3058" s="13" t="n">
        <x:v>0.58942919617144</x:v>
      </x:c>
      <x:c r="N3058" s="13" t="n">
        <x:f>H3058/G3058</x:f>
        <x:v>0.07783096671078922</x:v>
      </x:c>
      <x:c r="O3058" s="13" t="n">
        <x:f>F3058/E3058</x:f>
        <x:v>0</x:v>
      </x:c>
      <x:c r="P3058" s="2" t="str">
        <x:f>IF(AND(E3058&gt;='Итоги'!$F$5,N3058&lt;='Итоги'!$B$5,O3058&gt;='Итоги'!$D$5),"Да","Нет")</x:f>
        <x:v>Нет</x:v>
      </x:c>
    </x:row>
    <x:row r="3059" ht="60" customHeight="1">
      <x:c r="A3059" s="14" t="str">
        <x:v>Товары для красоты и здоровья</x:v>
      </x:c>
      <x:c r="B3059" s="14" t="str">
        <x:v>Декоративная косметика</x:v>
      </x:c>
      <x:c r="C3059" s="14" t="str">
        <x:v>Глаза, ресницы, брови</x:v>
      </x:c>
      <x:c r="D3059" s="14" t="str">
        <x:v>Накладные ресницы</x:v>
      </x:c>
      <x:c r="E3059" s="2" t="n">
        <x:v>2</x:v>
      </x:c>
      <x:c r="F3059" s="2" t="n">
        <x:v>0</x:v>
      </x:c>
      <x:c r="G3059" s="12" t="n">
        <x:v>141693.5492</x:v>
      </x:c>
      <x:c r="H3059" s="12" t="n">
        <x:v>11037.779530999998</x:v>
      </x:c>
      <x:c r="I3059" s="13" t="n">
        <x:v>0.05875</x:v>
      </x:c>
      <x:c r="J3059" s="2" t="n">
        <x:v>1</x:v>
      </x:c>
      <x:c r="K3059" s="2" t="n">
        <x:v>2</x:v>
      </x:c>
      <x:c r="L3059" s="12" t="n">
        <x:v>885.41955</x:v>
      </x:c>
      <x:c r="M3059" s="13" t="n">
        <x:v>0.66296983687949</x:v>
      </x:c>
      <x:c r="N3059" s="13" t="n">
        <x:f>H3059/G3059</x:f>
        <x:v>0.07789895583334007</x:v>
      </x:c>
      <x:c r="O3059" s="13" t="n">
        <x:f>F3059/E3059</x:f>
        <x:v>0</x:v>
      </x:c>
      <x:c r="P3059" s="2" t="str">
        <x:f>IF(AND(E3059&gt;='Итоги'!$F$5,N3059&lt;='Итоги'!$B$5,O3059&gt;='Итоги'!$D$5),"Да","Нет")</x:f>
        <x:v>Нет</x:v>
      </x:c>
    </x:row>
    <x:row r="3060" ht="60" customHeight="1">
      <x:c r="A3060" s="14" t="str">
        <x:v>Мебель</x:v>
      </x:c>
      <x:c r="B3060" s="14" t="str">
        <x:v>Корпусная мебель и мебель для хранения</x:v>
      </x:c>
      <x:c r="C3060" s="14" t="str">
        <x:v>Стеллаж, этажерка</x:v>
      </x:c>
      <x:c r="D3060" s="14" t="str">
        <x:v>Стеллажи</x:v>
      </x:c>
      <x:c r="E3060" s="2" t="n">
        <x:v>824</x:v>
      </x:c>
      <x:c r="F3060" s="2" t="n">
        <x:v>0</x:v>
      </x:c>
      <x:c r="G3060" s="12" t="n">
        <x:v>159587562.4752</x:v>
      </x:c>
      <x:c r="H3060" s="12" t="n">
        <x:v>12438371.37032831</x:v>
      </x:c>
      <x:c r="I3060" s="13" t="n">
        <x:v>0.0817557038834951</x:v>
      </x:c>
      <x:c r="J3060" s="2" t="n">
        <x:v>122</x:v>
      </x:c>
      <x:c r="K3060" s="2" t="n">
        <x:v>118</x:v>
      </x:c>
      <x:c r="L3060" s="12" t="n">
        <x:v>3038.47455</x:v>
      </x:c>
      <x:c r="M3060" s="13" t="n">
        <x:v>0.603709364092656</x:v>
      </x:c>
      <x:c r="N3060" s="13" t="n">
        <x:f>H3060/G3060</x:f>
        <x:v>0.07794073157963824</x:v>
      </x:c>
      <x:c r="O3060" s="13" t="n">
        <x:f>F3060/E3060</x:f>
        <x:v>0</x:v>
      </x:c>
      <x:c r="P3060" s="2" t="str">
        <x:f>IF(AND(E3060&gt;='Итоги'!$F$5,N3060&lt;='Итоги'!$B$5,O3060&gt;='Итоги'!$D$5),"Да","Нет")</x:f>
        <x:v>Нет</x:v>
      </x:c>
    </x:row>
    <x:row r="3061" ht="60" customHeight="1">
      <x:c r="A3061" s="14" t="str">
        <x:v>Спорт и отдых</x:v>
      </x:c>
      <x:c r="B3061" s="14" t="str">
        <x:v>Активный отдых</x:v>
      </x:c>
      <x:c r="C3061" s="14" t="str">
        <x:v>Бассейны</x:v>
      </x:c>
      <x:c r="D3061" s="14" t="str">
        <x:v>Водонагреватель для бассейна</x:v>
      </x:c>
      <x:c r="E3061" s="2" t="n">
        <x:v>12</x:v>
      </x:c>
      <x:c r="F3061" s="2" t="n">
        <x:v>0</x:v>
      </x:c>
      <x:c r="G3061" s="12" t="n">
        <x:v>3599393.0321</x:v>
      </x:c>
      <x:c r="H3061" s="12" t="n">
        <x:v>280701.48522525</x:v>
      </x:c>
      <x:c r="I3061" s="13" t="n">
        <x:v>0.07075</x:v>
      </x:c>
      <x:c r="J3061" s="2" t="n">
        <x:v>1</x:v>
      </x:c>
      <x:c r="K3061" s="2" t="n">
        <x:v>3</x:v>
      </x:c>
      <x:c r="L3061" s="12" t="n">
        <x:v>4505.4299</x:v>
      </x:c>
      <x:c r="M3061" s="13" t="n">
        <x:v>0.7314399118464637</x:v>
      </x:c>
      <x:c r="N3061" s="13" t="n">
        <x:f>H3061/G3061</x:f>
        <x:v>0.07798578335900147</x:v>
      </x:c>
      <x:c r="O3061" s="13" t="n">
        <x:f>F3061/E3061</x:f>
        <x:v>0</x:v>
      </x:c>
      <x:c r="P3061" s="2" t="str">
        <x:f>IF(AND(E3061&gt;='Итоги'!$F$5,N3061&lt;='Итоги'!$B$5,O3061&gt;='Итоги'!$D$5),"Да","Нет")</x:f>
        <x:v>Нет</x:v>
      </x:c>
    </x:row>
    <x:row r="3062" ht="60" customHeight="1">
      <x:c r="A3062" s="14" t="str">
        <x:v>Товары для красоты и здоровья</x:v>
      </x:c>
      <x:c r="B3062" s="14" t="str">
        <x:v>Косметика для ухода за кожей</x:v>
      </x:c>
      <x:c r="C3062" s="14" t="str">
        <x:v>Ванно-банные принадлежности</x:v>
      </x:c>
      <x:c r="D3062" s="14" t="str">
        <x:v>Мочалки и губки для душа</x:v>
      </x:c>
      <x:c r="E3062" s="2" t="n">
        <x:v>2</x:v>
      </x:c>
      <x:c r="F3062" s="2" t="n">
        <x:v>0</x:v>
      </x:c>
      <x:c r="G3062" s="12" t="n">
        <x:v>366647.2944</x:v>
      </x:c>
      <x:c r="H3062" s="12" t="n">
        <x:v>28639.31762822</x:v>
      </x:c>
      <x:c r="I3062" s="13" t="n">
        <x:v>0.0758</x:v>
      </x:c>
      <x:c r="J3062" s="2" t="n">
        <x:v>0</x:v>
      </x:c>
      <x:c r="K3062" s="2" t="n">
        <x:v>2</x:v>
      </x:c>
      <x:c r="L3062" s="12" t="n">
        <x:v>910.86285</x:v>
      </x:c>
      <x:c r="M3062" s="13" t="n">
        <x:v>0.6627716047861828</x:v>
      </x:c>
      <x:c r="N3062" s="13" t="n">
        <x:f>H3062/G3062</x:f>
        <x:v>0.0781113567879638</x:v>
      </x:c>
      <x:c r="O3062" s="13" t="n">
        <x:f>F3062/E3062</x:f>
        <x:v>0</x:v>
      </x:c>
      <x:c r="P3062" s="2" t="str">
        <x:f>IF(AND(E3062&gt;='Итоги'!$F$5,N3062&lt;='Итоги'!$B$5,O3062&gt;='Итоги'!$D$5),"Да","Нет")</x:f>
        <x:v>Нет</x:v>
      </x:c>
    </x:row>
    <x:row r="3063" ht="60" customHeight="1">
      <x:c r="A3063" s="14" t="str">
        <x:v>Товары для дома</x:v>
      </x:c>
      <x:c r="B3063" s="14" t="str">
        <x:v>Кухня</x:v>
      </x:c>
      <x:c r="C3063" s="14" t="str">
        <x:v>Посуда для чая и кофе</x:v>
      </x:c>
      <x:c r="D3063" s="14" t="str">
        <x:v>Кофеварка гейзерная</x:v>
      </x:c>
      <x:c r="E3063" s="2" t="n">
        <x:v>48</x:v>
      </x:c>
      <x:c r="F3063" s="2" t="n">
        <x:v>0</x:v>
      </x:c>
      <x:c r="G3063" s="12" t="n">
        <x:v>7047465.2716</x:v>
      </x:c>
      <x:c r="H3063" s="12" t="n">
        <x:v>550706.93273031</x:v>
      </x:c>
      <x:c r="I3063" s="13" t="n">
        <x:v>0.0923645833333333</x:v>
      </x:c>
      <x:c r="J3063" s="2" t="n">
        <x:v>12</x:v>
      </x:c>
      <x:c r="K3063" s="2" t="n">
        <x:v>11</x:v>
      </x:c>
      <x:c r="L3063" s="12" t="n">
        <x:v>2211.88175</x:v>
      </x:c>
      <x:c r="M3063" s="13" t="n">
        <x:v>0.6243317304919573</x:v>
      </x:c>
      <x:c r="N3063" s="13" t="n">
        <x:f>H3063/G3063</x:f>
        <x:v>0.07814255360002391</x:v>
      </x:c>
      <x:c r="O3063" s="13" t="n">
        <x:f>F3063/E3063</x:f>
        <x:v>0</x:v>
      </x:c>
      <x:c r="P3063" s="2" t="str">
        <x:f>IF(AND(E3063&gt;='Итоги'!$F$5,N3063&lt;='Итоги'!$B$5,O3063&gt;='Итоги'!$D$5),"Да","Нет")</x:f>
        <x:v>Нет</x:v>
      </x:c>
    </x:row>
    <x:row r="3064" ht="60" customHeight="1">
      <x:c r="A3064" s="14" t="str">
        <x:v>Строительство и ремонт (DIY)</x:v>
      </x:c>
      <x:c r="B3064" s="14" t="str">
        <x:v>Освещение</x:v>
      </x:c>
      <x:c r="C3064" s="14" t="str">
        <x:v>Светильник уличный, садовый</x:v>
      </x:c>
      <x:c r="D3064" s="14" t="str">
        <x:v>Светильник ландшафтный</x:v>
      </x:c>
      <x:c r="E3064" s="2" t="n">
        <x:v>12</x:v>
      </x:c>
      <x:c r="F3064" s="2" t="n">
        <x:v>0</x:v>
      </x:c>
      <x:c r="G3064" s="12" t="n">
        <x:v>1821085.1742</x:v>
      </x:c>
      <x:c r="H3064" s="12" t="n">
        <x:v>142370.1468307</x:v>
      </x:c>
      <x:c r="I3064" s="13" t="n">
        <x:v>0.07995</x:v>
      </x:c>
      <x:c r="J3064" s="2" t="n">
        <x:v>3</x:v>
      </x:c>
      <x:c r="K3064" s="2" t="n">
        <x:v>5</x:v>
      </x:c>
      <x:c r="L3064" s="12" t="n">
        <x:v>1358.7469999999998</x:v>
      </x:c>
      <x:c r="M3064" s="13" t="n">
        <x:v>0.439557243856892</x:v>
      </x:c>
      <x:c r="N3064" s="13" t="n">
        <x:f>H3064/G3064</x:f>
        <x:v>0.07817874136131112</x:v>
      </x:c>
      <x:c r="O3064" s="13" t="n">
        <x:f>F3064/E3064</x:f>
        <x:v>0</x:v>
      </x:c>
      <x:c r="P3064" s="2" t="str">
        <x:f>IF(AND(E3064&gt;='Итоги'!$F$5,N3064&lt;='Итоги'!$B$5,O3064&gt;='Итоги'!$D$5),"Да","Нет")</x:f>
        <x:v>Нет</x:v>
      </x:c>
    </x:row>
    <x:row r="3065" ht="60" customHeight="1">
      <x:c r="A3065" s="14" t="str">
        <x:v>Товары для красоты и здоровья</x:v>
      </x:c>
      <x:c r="B3065" s="14" t="str">
        <x:v>Косметика для ухода за кожей</x:v>
      </x:c>
      <x:c r="C3065" s="14" t="str">
        <x:v>Лицо</x:v>
      </x:c>
      <x:c r="D3065" s="14" t="str">
        <x:v>Средство увлажняющее для глаз</x:v>
      </x:c>
      <x:c r="E3065" s="2" t="n">
        <x:v>47</x:v>
      </x:c>
      <x:c r="F3065" s="2" t="n">
        <x:v>0</x:v>
      </x:c>
      <x:c r="G3065" s="12" t="n">
        <x:v>7729533.1954</x:v>
      </x:c>
      <x:c r="H3065" s="12" t="n">
        <x:v>604458.50826371</x:v>
      </x:c>
      <x:c r="I3065" s="13" t="n">
        <x:v>0.0824659574468085</x:v>
      </x:c>
      <x:c r="J3065" s="2" t="n">
        <x:v>6</x:v>
      </x:c>
      <x:c r="K3065" s="2" t="n">
        <x:v>12</x:v>
      </x:c>
      <x:c r="L3065" s="12" t="n">
        <x:v>1509.7247</x:v>
      </x:c>
      <x:c r="M3065" s="13" t="n">
        <x:v>0.4885924377875141</x:v>
      </x:c>
      <x:c r="N3065" s="13" t="n">
        <x:f>H3065/G3065</x:f>
        <x:v>0.07820116596736208</x:v>
      </x:c>
      <x:c r="O3065" s="13" t="n">
        <x:f>F3065/E3065</x:f>
        <x:v>0</x:v>
      </x:c>
      <x:c r="P3065" s="2" t="str">
        <x:f>IF(AND(E3065&gt;='Итоги'!$F$5,N3065&lt;='Итоги'!$B$5,O3065&gt;='Итоги'!$D$5),"Да","Нет")</x:f>
        <x:v>Нет</x:v>
      </x:c>
    </x:row>
    <x:row r="3066" ht="60" customHeight="1">
      <x:c r="A3066" s="14" t="str">
        <x:v>Товары для дома</x:v>
      </x:c>
      <x:c r="B3066" s="14" t="str">
        <x:v>Интерьер и декор</x:v>
      </x:c>
      <x:c r="C3066" s="14" t="str">
        <x:v>Домашние растения</x:v>
      </x:c>
      <x:c r="D3066" s="14" t="str">
        <x:v>Горшок, кашпо</x:v>
      </x:c>
      <x:c r="E3066" s="2" t="n">
        <x:v>107</x:v>
      </x:c>
      <x:c r="F3066" s="2" t="n">
        <x:v>0</x:v>
      </x:c>
      <x:c r="G3066" s="12" t="n">
        <x:v>13969586.1141</x:v>
      </x:c>
      <x:c r="H3066" s="12" t="n">
        <x:v>1093539.28259553</x:v>
      </x:c>
      <x:c r="I3066" s="13" t="n">
        <x:v>0.0801785046728972</x:v>
      </x:c>
      <x:c r="J3066" s="2" t="n">
        <x:v>18</x:v>
      </x:c>
      <x:c r="K3066" s="2" t="n">
        <x:v>31</x:v>
      </x:c>
      <x:c r="L3066" s="12" t="n">
        <x:v>1459.8059</x:v>
      </x:c>
      <x:c r="M3066" s="13" t="n">
        <x:v>0.4800770978412104</x:v>
      </x:c>
      <x:c r="N3066" s="13" t="n">
        <x:f>H3066/G3066</x:f>
        <x:v>0.07828000584010014</x:v>
      </x:c>
      <x:c r="O3066" s="13" t="n">
        <x:f>F3066/E3066</x:f>
        <x:v>0</x:v>
      </x:c>
      <x:c r="P3066" s="2" t="str">
        <x:f>IF(AND(E3066&gt;='Итоги'!$F$5,N3066&lt;='Итоги'!$B$5,O3066&gt;='Итоги'!$D$5),"Да","Нет")</x:f>
        <x:v>Нет</x:v>
      </x:c>
    </x:row>
    <x:row r="3067" ht="60" customHeight="1">
      <x:c r="A3067" s="14" t="str">
        <x:v>Аксессуары</x:v>
      </x:c>
      <x:c r="B3067" s="14" t="str">
        <x:v>Аксессуары</x:v>
      </x:c>
      <x:c r="C3067" s="14" t="str">
        <x:v>Мелкие аксессуары</x:v>
      </x:c>
      <x:c r="D3067" s="14" t="str">
        <x:v>Женский зонт-трость</x:v>
      </x:c>
      <x:c r="E3067" s="2" t="n">
        <x:v>15</x:v>
      </x:c>
      <x:c r="F3067" s="2" t="n">
        <x:v>0</x:v>
      </x:c>
      <x:c r="G3067" s="12" t="n">
        <x:v>2133827.995</x:v>
      </x:c>
      <x:c r="H3067" s="12" t="n">
        <x:v>167085.15430732002</x:v>
      </x:c>
      <x:c r="I3067" s="13" t="n">
        <x:v>0.0781466666666666</x:v>
      </x:c>
      <x:c r="J3067" s="2" t="n">
        <x:v>2</x:v>
      </x:c>
      <x:c r="K3067" s="2" t="n">
        <x:v>4</x:v>
      </x:c>
      <x:c r="L3067" s="12" t="n">
        <x:v>944.7061</x:v>
      </x:c>
      <x:c r="M3067" s="13" t="n">
        <x:v>0.5228086200546825</x:v>
      </x:c>
      <x:c r="N3067" s="13" t="n">
        <x:f>H3067/G3067</x:f>
        <x:v>0.07830300975469207</x:v>
      </x:c>
      <x:c r="O3067" s="13" t="n">
        <x:f>F3067/E3067</x:f>
        <x:v>0</x:v>
      </x:c>
      <x:c r="P3067" s="2" t="str">
        <x:f>IF(AND(E3067&gt;='Итоги'!$F$5,N3067&lt;='Итоги'!$B$5,O3067&gt;='Итоги'!$D$5),"Да","Нет")</x:f>
        <x:v>Нет</x:v>
      </x:c>
    </x:row>
    <x:row r="3068" ht="60" customHeight="1">
      <x:c r="A3068" s="14" t="str">
        <x:v>Спорт и отдых</x:v>
      </x:c>
      <x:c r="B3068" s="14" t="str">
        <x:v>Туризм</x:v>
      </x:c>
      <x:c r="C3068" s="14" t="str">
        <x:v>Палатка, тент туристические</x:v>
      </x:c>
      <x:c r="D3068" s="14" t="str">
        <x:v>Палатка туристическая</x:v>
      </x:c>
      <x:c r="E3068" s="2" t="n">
        <x:v>405</x:v>
      </x:c>
      <x:c r="F3068" s="2" t="n">
        <x:v>0</x:v>
      </x:c>
      <x:c r="G3068" s="12" t="n">
        <x:v>90795216.274</x:v>
      </x:c>
      <x:c r="H3068" s="12" t="n">
        <x:v>7112091.39949021</x:v>
      </x:c>
      <x:c r="I3068" s="13" t="n">
        <x:v>0.0649716049382716</x:v>
      </x:c>
      <x:c r="J3068" s="2" t="n">
        <x:v>165</x:v>
      </x:c>
      <x:c r="K3068" s="2" t="n">
        <x:v>73</x:v>
      </x:c>
      <x:c r="L3068" s="12" t="n">
        <x:v>5123.7442</x:v>
      </x:c>
      <x:c r="M3068" s="13" t="n">
        <x:v>0.5211488000183316</x:v>
      </x:c>
      <x:c r="N3068" s="13" t="n">
        <x:f>H3068/G3068</x:f>
        <x:v>0.07833112460492943</x:v>
      </x:c>
      <x:c r="O3068" s="13" t="n">
        <x:f>F3068/E3068</x:f>
        <x:v>0</x:v>
      </x:c>
      <x:c r="P3068" s="2" t="str">
        <x:f>IF(AND(E3068&gt;='Итоги'!$F$5,N3068&lt;='Итоги'!$B$5,O3068&gt;='Итоги'!$D$5),"Да","Нет")</x:f>
        <x:v>Нет</x:v>
      </x:c>
    </x:row>
    <x:row r="3069" ht="60" customHeight="1">
      <x:c r="A3069" s="14" t="str">
        <x:v>Аксессуары</x:v>
      </x:c>
      <x:c r="B3069" s="14" t="str">
        <x:v>Бижутерия и часы бижутерные</x:v>
      </x:c>
      <x:c r="C3069" s="14" t="str">
        <x:v>Часы бижу</x:v>
      </x:c>
      <x:c r="D3069" s="14" t="str">
        <x:v>Бижу часы наручные унисекс</x:v>
      </x:c>
      <x:c r="E3069" s="2" t="n">
        <x:v>50</x:v>
      </x:c>
      <x:c r="F3069" s="2" t="n">
        <x:v>0</x:v>
      </x:c>
      <x:c r="G3069" s="12" t="n">
        <x:v>4324355.9535</x:v>
      </x:c>
      <x:c r="H3069" s="12" t="n">
        <x:v>338960.19233322</x:v>
      </x:c>
      <x:c r="I3069" s="13" t="n">
        <x:v>0.070964</x:v>
      </x:c>
      <x:c r="J3069" s="2" t="n">
        <x:v>24</x:v>
      </x:c>
      <x:c r="K3069" s="2" t="n">
        <x:v>15</x:v>
      </x:c>
      <x:c r="L3069" s="12" t="n">
        <x:v>2946.76855</x:v>
      </x:c>
      <x:c r="M3069" s="13" t="n">
        <x:v>0.4025926346074555</x:v>
      </x:c>
      <x:c r="N3069" s="13" t="n">
        <x:f>H3069/G3069</x:f>
        <x:v>0.07838397115734104</x:v>
      </x:c>
      <x:c r="O3069" s="13" t="n">
        <x:f>F3069/E3069</x:f>
        <x:v>0</x:v>
      </x:c>
      <x:c r="P3069" s="2" t="str">
        <x:f>IF(AND(E3069&gt;='Итоги'!$F$5,N3069&lt;='Итоги'!$B$5,O3069&gt;='Итоги'!$D$5),"Да","Нет")</x:f>
        <x:v>Нет</x:v>
      </x:c>
    </x:row>
    <x:row r="3070" ht="60" customHeight="1">
      <x:c r="A3070" s="14" t="str">
        <x:v>Аптека</x:v>
      </x:c>
      <x:c r="B3070" s="14" t="str">
        <x:v>Спортивное питание</x:v>
      </x:c>
      <x:c r="C3070" s="14" t="str">
        <x:v>Протеины (высокобелковые смеси)</x:v>
      </x:c>
      <x:c r="D3070" s="14" t="str">
        <x:v>Сывороточный протеин</x:v>
      </x:c>
      <x:c r="E3070" s="2" t="n">
        <x:v>420</x:v>
      </x:c>
      <x:c r="F3070" s="2" t="n">
        <x:v>0</x:v>
      </x:c>
      <x:c r="G3070" s="12" t="n">
        <x:v>81512555.80499999</x:v>
      </x:c>
      <x:c r="H3070" s="12" t="n">
        <x:v>6393628.52269296</x:v>
      </x:c>
      <x:c r="I3070" s="13" t="n">
        <x:v>0.0749542857142857</x:v>
      </x:c>
      <x:c r="J3070" s="2" t="n">
        <x:v>150</x:v>
      </x:c>
      <x:c r="K3070" s="2" t="n">
        <x:v>25</x:v>
      </x:c>
      <x:c r="L3070" s="12" t="n">
        <x:v>2140.6982500000004</x:v>
      </x:c>
      <x:c r="M3070" s="13" t="n">
        <x:v>0.8195806749823701</x:v>
      </x:c>
      <x:c r="N3070" s="13" t="n">
        <x:f>H3070/G3070</x:f>
        <x:v>0.07843734575061348</x:v>
      </x:c>
      <x:c r="O3070" s="13" t="n">
        <x:f>F3070/E3070</x:f>
        <x:v>0</x:v>
      </x:c>
      <x:c r="P3070" s="2" t="str">
        <x:f>IF(AND(E3070&gt;='Итоги'!$F$5,N3070&lt;='Итоги'!$B$5,O3070&gt;='Итоги'!$D$5),"Да","Нет")</x:f>
        <x:v>Нет</x:v>
      </x:c>
    </x:row>
    <x:row r="3071" ht="60" customHeight="1">
      <x:c r="A3071" s="14" t="str">
        <x:v>Спорт и отдых</x:v>
      </x:c>
      <x:c r="B3071" s="14" t="str">
        <x:v>Единоборства</x:v>
      </x:c>
      <x:c r="C3071" s="14" t="str">
        <x:v>Самооборона</x:v>
      </x:c>
      <x:c r="D3071" s="14" t="str">
        <x:v>Бронежилет, бронешлем</x:v>
      </x:c>
      <x:c r="E3071" s="2" t="n">
        <x:v>73</x:v>
      </x:c>
      <x:c r="F3071" s="2" t="n">
        <x:v>0</x:v>
      </x:c>
      <x:c r="G3071" s="12" t="n">
        <x:v>14336121.1962</x:v>
      </x:c>
      <x:c r="H3071" s="12" t="n">
        <x:v>1125248.01961268</x:v>
      </x:c>
      <x:c r="I3071" s="13" t="n">
        <x:v>0.074186301369863</x:v>
      </x:c>
      <x:c r="J3071" s="2" t="n">
        <x:v>21</x:v>
      </x:c>
      <x:c r="K3071" s="2" t="n">
        <x:v>17</x:v>
      </x:c>
      <x:c r="L3071" s="12" t="n">
        <x:v>12760.5714</x:v>
      </x:c>
      <x:c r="M3071" s="13" t="n">
        <x:v>0.4963079747181525</x:v>
      </x:c>
      <x:c r="N3071" s="13" t="n">
        <x:f>H3071/G3071</x:f>
        <x:v>0.07849040924060711</x:v>
      </x:c>
      <x:c r="O3071" s="13" t="n">
        <x:f>F3071/E3071</x:f>
        <x:v>0</x:v>
      </x:c>
      <x:c r="P3071" s="2" t="str">
        <x:f>IF(AND(E3071&gt;='Итоги'!$F$5,N3071&lt;='Итоги'!$B$5,O3071&gt;='Итоги'!$D$5),"Да","Нет")</x:f>
        <x:v>Нет</x:v>
      </x:c>
    </x:row>
    <x:row r="3072" ht="60" customHeight="1">
      <x:c r="A3072" s="14" t="str">
        <x:v>Строительство и ремонт (DIY)</x:v>
      </x:c>
      <x:c r="B3072" s="14" t="str">
        <x:v>Инструменты</x:v>
      </x:c>
      <x:c r="C3072" s="14" t="str">
        <x:v>Электроинструмент для строительства, ремонта</x:v>
      </x:c>
      <x:c r="D3072" s="14" t="str">
        <x:v>Пневмогайковерт</x:v>
      </x:c>
      <x:c r="E3072" s="2" t="n">
        <x:v>43</x:v>
      </x:c>
      <x:c r="F3072" s="2" t="n">
        <x:v>0</x:v>
      </x:c>
      <x:c r="G3072" s="12" t="n">
        <x:v>8669957.0047</x:v>
      </x:c>
      <x:c r="H3072" s="12" t="n">
        <x:v>680992.32073828</x:v>
      </x:c>
      <x:c r="I3072" s="13" t="n">
        <x:v>0.0760023255813953</x:v>
      </x:c>
      <x:c r="J3072" s="2" t="n">
        <x:v>9</x:v>
      </x:c>
      <x:c r="K3072" s="2" t="n">
        <x:v>12</x:v>
      </x:c>
      <x:c r="L3072" s="12" t="n">
        <x:v>7849</x:v>
      </x:c>
      <x:c r="M3072" s="13" t="n">
        <x:v>0.5340440661458866</x:v>
      </x:c>
      <x:c r="N3072" s="13" t="n">
        <x:f>H3072/G3072</x:f>
        <x:v>0.07854621659243671</x:v>
      </x:c>
      <x:c r="O3072" s="13" t="n">
        <x:f>F3072/E3072</x:f>
        <x:v>0</x:v>
      </x:c>
      <x:c r="P3072" s="2" t="str">
        <x:f>IF(AND(E3072&gt;='Итоги'!$F$5,N3072&lt;='Итоги'!$B$5,O3072&gt;='Итоги'!$D$5),"Да","Нет")</x:f>
        <x:v>Нет</x:v>
      </x:c>
    </x:row>
    <x:row r="3073" ht="60" customHeight="1">
      <x:c r="A3073" s="14" t="str">
        <x:v>Автотовары</x:v>
      </x:c>
      <x:c r="B3073" s="14" t="str">
        <x:v>Автоинструменты и гаражное оборудование</x:v>
      </x:c>
      <x:c r="C3073" s="14" t="str">
        <x:v>Оборудование для гаража и автосервиса</x:v>
      </x:c>
      <x:c r="D3073" s="14" t="str">
        <x:v>Специнструмент для ремонта авто</x:v>
      </x:c>
      <x:c r="E3073" s="2" t="n">
        <x:v>77</x:v>
      </x:c>
      <x:c r="F3073" s="2" t="n">
        <x:v>0</x:v>
      </x:c>
      <x:c r="G3073" s="12" t="n">
        <x:v>13119559.0971</x:v>
      </x:c>
      <x:c r="H3073" s="12" t="n">
        <x:v>1030887.47938386</x:v>
      </x:c>
      <x:c r="I3073" s="13" t="n">
        <x:v>0.0761337662337662</x:v>
      </x:c>
      <x:c r="J3073" s="2" t="n">
        <x:v>15</x:v>
      </x:c>
      <x:c r="K3073" s="2" t="n">
        <x:v>33</x:v>
      </x:c>
      <x:c r="L3073" s="12" t="n">
        <x:v>1268.7133</x:v>
      </x:c>
      <x:c r="M3073" s="13" t="n">
        <x:v>0.4255172480707831</x:v>
      </x:c>
      <x:c r="N3073" s="13" t="n">
        <x:f>H3073/G3073</x:f>
        <x:v>0.0785763813977355</x:v>
      </x:c>
      <x:c r="O3073" s="13" t="n">
        <x:f>F3073/E3073</x:f>
        <x:v>0</x:v>
      </x:c>
      <x:c r="P3073" s="2" t="str">
        <x:f>IF(AND(E3073&gt;='Итоги'!$F$5,N3073&lt;='Итоги'!$B$5,O3073&gt;='Итоги'!$D$5),"Да","Нет")</x:f>
        <x:v>Нет</x:v>
      </x:c>
    </x:row>
    <x:row r="3074" ht="60" customHeight="1">
      <x:c r="A3074" s="14" t="str">
        <x:v>Спорт и отдых</x:v>
      </x:c>
      <x:c r="B3074" s="14" t="str">
        <x:v>Тренажеры и фитнес</x:v>
      </x:c>
      <x:c r="C3074" s="14" t="str">
        <x:v>Спортивная гимнастика</x:v>
      </x:c>
      <x:c r="D3074" s="14" t="str">
        <x:v>Гимнастические накладки, захваты</x:v>
      </x:c>
      <x:c r="E3074" s="2" t="n">
        <x:v>1</x:v>
      </x:c>
      <x:c r="F3074" s="2" t="n">
        <x:v>0</x:v>
      </x:c>
      <x:c r="G3074" s="12" t="n">
        <x:v>84274</x:v>
      </x:c>
      <x:c r="H3074" s="12" t="n">
        <x:v>6623.9364000000005</x:v>
      </x:c>
      <x:c r="I3074" s="13" t="n">
        <x:v>0.0786</x:v>
      </x:c>
      <x:c r="J3074" s="2" t="n">
        <x:v>0</x:v>
      </x:c>
      <x:c r="K3074" s="2" t="n">
        <x:v>1</x:v>
      </x:c>
      <x:c r="L3074" s="12" t="n">
        <x:v>1359.2581</x:v>
      </x:c>
      <x:c r="M3074" s="13" t="n">
        <x:v>1</x:v>
      </x:c>
      <x:c r="N3074" s="13" t="n">
        <x:f>H3074/G3074</x:f>
        <x:v>0.0786</x:v>
      </x:c>
      <x:c r="O3074" s="13" t="n">
        <x:f>F3074/E3074</x:f>
        <x:v>0</x:v>
      </x:c>
      <x:c r="P3074" s="2" t="str">
        <x:f>IF(AND(E3074&gt;='Итоги'!$F$5,N3074&lt;='Итоги'!$B$5,O3074&gt;='Итоги'!$D$5),"Да","Нет")</x:f>
        <x:v>Нет</x:v>
      </x:c>
    </x:row>
    <x:row r="3075" ht="60" customHeight="1">
      <x:c r="A3075" s="14" t="str">
        <x:v>Обувь</x:v>
      </x:c>
      <x:c r="B3075" s="14" t="str">
        <x:v>Обувь мужская</x:v>
      </x:c>
      <x:c r="C3075" s="14" t="str">
        <x:v>Обувь мужская домашняя</x:v>
      </x:c>
      <x:c r="D3075" s="14" t="str">
        <x:v>Мужские Тапочки</x:v>
      </x:c>
      <x:c r="E3075" s="2" t="n">
        <x:v>21</x:v>
      </x:c>
      <x:c r="F3075" s="2" t="n">
        <x:v>0</x:v>
      </x:c>
      <x:c r="G3075" s="12" t="n">
        <x:v>1894847.8216</x:v>
      </x:c>
      <x:c r="H3075" s="12" t="n">
        <x:v>149004.14440445</x:v>
      </x:c>
      <x:c r="I3075" s="13" t="n">
        <x:v>0.0719238095238095</x:v>
      </x:c>
      <x:c r="J3075" s="2" t="n">
        <x:v>6</x:v>
      </x:c>
      <x:c r="K3075" s="2" t="n">
        <x:v>8</x:v>
      </x:c>
      <x:c r="L3075" s="12" t="n">
        <x:v>1019.7521</x:v>
      </x:c>
      <x:c r="M3075" s="13" t="n">
        <x:v>0.3139652997028835</x:v>
      </x:c>
      <x:c r="N3075" s="13" t="n">
        <x:f>H3075/G3075</x:f>
        <x:v>0.07863647027793064</x:v>
      </x:c>
      <x:c r="O3075" s="13" t="n">
        <x:f>F3075/E3075</x:f>
        <x:v>0</x:v>
      </x:c>
      <x:c r="P3075" s="2" t="str">
        <x:f>IF(AND(E3075&gt;='Итоги'!$F$5,N3075&lt;='Итоги'!$B$5,O3075&gt;='Итоги'!$D$5),"Да","Нет")</x:f>
        <x:v>Нет</x:v>
      </x:c>
    </x:row>
    <x:row r="3076" ht="60" customHeight="1">
      <x:c r="A3076" s="14" t="str">
        <x:v>Строительство и ремонт (DIY)</x:v>
      </x:c>
      <x:c r="B3076" s="14" t="str">
        <x:v>Инструменты</x:v>
      </x:c>
      <x:c r="C3076" s="14" t="str">
        <x:v>Оснастка для инструмента</x:v>
      </x:c>
      <x:c r="D3076" s="14" t="str">
        <x:v>Принадлежности для шлифовки, полировки</x:v>
      </x:c>
      <x:c r="E3076" s="2" t="n">
        <x:v>25</x:v>
      </x:c>
      <x:c r="F3076" s="2" t="n">
        <x:v>0</x:v>
      </x:c>
      <x:c r="G3076" s="12" t="n">
        <x:v>3182108.9463</x:v>
      </x:c>
      <x:c r="H3076" s="12" t="n">
        <x:v>250388.14756554</x:v>
      </x:c>
      <x:c r="I3076" s="13" t="n">
        <x:v>0.079404</x:v>
      </x:c>
      <x:c r="J3076" s="2" t="n">
        <x:v>5</x:v>
      </x:c>
      <x:c r="K3076" s="2" t="n">
        <x:v>11</x:v>
      </x:c>
      <x:c r="L3076" s="12" t="n">
        <x:v>1045.5345</x:v>
      </x:c>
      <x:c r="M3076" s="13" t="n">
        <x:v>0.3797958325422028</x:v>
      </x:c>
      <x:c r="N3076" s="13" t="n">
        <x:f>H3076/G3076</x:f>
        <x:v>0.078686227213144</x:v>
      </x:c>
      <x:c r="O3076" s="13" t="n">
        <x:f>F3076/E3076</x:f>
        <x:v>0</x:v>
      </x:c>
      <x:c r="P3076" s="2" t="str">
        <x:f>IF(AND(E3076&gt;='Итоги'!$F$5,N3076&lt;='Итоги'!$B$5,O3076&gt;='Итоги'!$D$5),"Да","Нет")</x:f>
        <x:v>Нет</x:v>
      </x:c>
    </x:row>
    <x:row r="3077" ht="60" customHeight="1">
      <x:c r="A3077" s="14" t="str">
        <x:v>Аксессуары</x:v>
      </x:c>
      <x:c r="B3077" s="14" t="str">
        <x:v>Ювелирные изделия</x:v>
      </x:c>
      <x:c r="C3077" s="14" t="str">
        <x:v>Подвеска ювелирная</x:v>
      </x:c>
      <x:c r="D3077" s="14" t="str">
        <x:v>Золото амулет/оберег</x:v>
      </x:c>
      <x:c r="E3077" s="2" t="n">
        <x:v>2</x:v>
      </x:c>
      <x:c r="F3077" s="2" t="n">
        <x:v>0</x:v>
      </x:c>
      <x:c r="G3077" s="12" t="n">
        <x:v>220897</x:v>
      </x:c>
      <x:c r="H3077" s="12" t="n">
        <x:v>17386.462000000003</x:v>
      </x:c>
      <x:c r="I3077" s="13" t="n">
        <x:v>0.0901</x:v>
      </x:c>
      <x:c r="J3077" s="2" t="n">
        <x:v>0</x:v>
      </x:c>
      <x:c r="K3077" s="2" t="n">
        <x:v>1</x:v>
      </x:c>
      <x:c r="L3077" s="12" t="n">
        <x:v>36816.1667</x:v>
      </x:c>
      <x:c r="M3077" s="13" t="n">
        <x:v>1</x:v>
      </x:c>
      <x:c r="N3077" s="13" t="n">
        <x:f>H3077/G3077</x:f>
        <x:v>0.07870845688261952</x:v>
      </x:c>
      <x:c r="O3077" s="13" t="n">
        <x:f>F3077/E3077</x:f>
        <x:v>0</x:v>
      </x:c>
      <x:c r="P3077" s="2" t="str">
        <x:f>IF(AND(E3077&gt;='Итоги'!$F$5,N3077&lt;='Итоги'!$B$5,O3077&gt;='Итоги'!$D$5),"Да","Нет")</x:f>
        <x:v>Нет</x:v>
      </x:c>
    </x:row>
    <x:row r="3078" ht="60" customHeight="1">
      <x:c r="A3078" s="14" t="str">
        <x:v>Ноутбуки и компьютеры</x:v>
      </x:c>
      <x:c r="B3078" s="14" t="str">
        <x:v>Фото и видео Lap&amp;Comp</x:v>
      </x:c>
      <x:c r="C3078" s="14" t="str">
        <x:v>Видеокамера Lap&amp;Comp</x:v>
      </x:c>
      <x:c r="D3078" s="14" t="str">
        <x:v>Видеокамера</x:v>
      </x:c>
      <x:c r="E3078" s="2" t="n">
        <x:v>22</x:v>
      </x:c>
      <x:c r="F3078" s="2" t="n">
        <x:v>0</x:v>
      </x:c>
      <x:c r="G3078" s="12" t="n">
        <x:v>3677788.0475</x:v>
      </x:c>
      <x:c r="H3078" s="12" t="n">
        <x:v>289669.71789998</x:v>
      </x:c>
      <x:c r="I3078" s="13" t="n">
        <x:v>0.0570090909090909</x:v>
      </x:c>
      <x:c r="J3078" s="2" t="n">
        <x:v>4</x:v>
      </x:c>
      <x:c r="K3078" s="2" t="n">
        <x:v>7</x:v>
      </x:c>
      <x:c r="L3078" s="12" t="n">
        <x:v>2582.9086</x:v>
      </x:c>
      <x:c r="M3078" s="13" t="n">
        <x:v>0.4656283377624415</x:v>
      </x:c>
      <x:c r="N3078" s="13" t="n">
        <x:f>H3078/G3078</x:f>
        <x:v>0.07876193901301215</x:v>
      </x:c>
      <x:c r="O3078" s="13" t="n">
        <x:f>F3078/E3078</x:f>
        <x:v>0</x:v>
      </x:c>
      <x:c r="P3078" s="2" t="str">
        <x:f>IF(AND(E3078&gt;='Итоги'!$F$5,N3078&lt;='Итоги'!$B$5,O3078&gt;='Итоги'!$D$5),"Да","Нет")</x:f>
        <x:v>Нет</x:v>
      </x:c>
    </x:row>
    <x:row r="3079" ht="60" customHeight="1">
      <x:c r="A3079" s="14" t="str">
        <x:v>Аксессуары для электроники</x:v>
      </x:c>
      <x:c r="B3079" s="14" t="str">
        <x:v>Аксессуары для МБТ (красота и здоровье) Access</x:v>
      </x:c>
      <x:c r="C3079" s="14" t="str">
        <x:v>Аксессуары для электробритвы Access</x:v>
      </x:c>
      <x:c r="D3079" s="14" t="str">
        <x:v>Аксессуары для электробритв</x:v>
      </x:c>
      <x:c r="E3079" s="2" t="n">
        <x:v>36</x:v>
      </x:c>
      <x:c r="F3079" s="2" t="n">
        <x:v>0</x:v>
      </x:c>
      <x:c r="G3079" s="12" t="n">
        <x:v>3948799.3544</x:v>
      </x:c>
      <x:c r="H3079" s="12" t="n">
        <x:v>311104.65118928</x:v>
      </x:c>
      <x:c r="I3079" s="13" t="n">
        <x:v>0.0778722222222222</x:v>
      </x:c>
      <x:c r="J3079" s="2" t="n">
        <x:v>16</x:v>
      </x:c>
      <x:c r="K3079" s="2" t="n">
        <x:v>9</x:v>
      </x:c>
      <x:c r="L3079" s="12" t="n">
        <x:v>2264.74535</x:v>
      </x:c>
      <x:c r="M3079" s="13" t="n">
        <x:v>0.7390968555664835</x:v>
      </x:c>
      <x:c r="N3079" s="13" t="n">
        <x:f>H3079/G3079</x:f>
        <x:v>0.07878461863164246</x:v>
      </x:c>
      <x:c r="O3079" s="13" t="n">
        <x:f>F3079/E3079</x:f>
        <x:v>0</x:v>
      </x:c>
      <x:c r="P3079" s="2" t="str">
        <x:f>IF(AND(E3079&gt;='Итоги'!$F$5,N3079&lt;='Итоги'!$B$5,O3079&gt;='Итоги'!$D$5),"Да","Нет")</x:f>
        <x:v>Нет</x:v>
      </x:c>
    </x:row>
    <x:row r="3080" ht="60" customHeight="1">
      <x:c r="A3080" s="14" t="str">
        <x:v>Спорт и отдых</x:v>
      </x:c>
      <x:c r="B3080" s="14" t="str">
        <x:v>Тренажеры и фитнес</x:v>
      </x:c>
      <x:c r="C3080" s="14" t="str">
        <x:v>Фитнес</x:v>
      </x:c>
      <x:c r="D3080" s="14" t="str">
        <x:v>Спортивный ролик массажный</x:v>
      </x:c>
      <x:c r="E3080" s="2" t="n">
        <x:v>101</x:v>
      </x:c>
      <x:c r="F3080" s="2" t="n">
        <x:v>0</x:v>
      </x:c>
      <x:c r="G3080" s="12" t="n">
        <x:v>19662841.1792</x:v>
      </x:c>
      <x:c r="H3080" s="12" t="n">
        <x:v>1550901.69544756</x:v>
      </x:c>
      <x:c r="I3080" s="13" t="n">
        <x:v>0.0929821782178217</x:v>
      </x:c>
      <x:c r="J3080" s="2" t="n">
        <x:v>20</x:v>
      </x:c>
      <x:c r="K3080" s="2" t="n">
        <x:v>15</x:v>
      </x:c>
      <x:c r="L3080" s="12" t="n">
        <x:v>1327.3403</x:v>
      </x:c>
      <x:c r="M3080" s="13" t="n">
        <x:v>0.6063331761389462</x:v>
      </x:c>
      <x:c r="N3080" s="13" t="n">
        <x:f>H3080/G3080</x:f>
        <x:v>0.07887475066869556</x:v>
      </x:c>
      <x:c r="O3080" s="13" t="n">
        <x:f>F3080/E3080</x:f>
        <x:v>0</x:v>
      </x:c>
      <x:c r="P3080" s="2" t="str">
        <x:f>IF(AND(E3080&gt;='Итоги'!$F$5,N3080&lt;='Итоги'!$B$5,O3080&gt;='Итоги'!$D$5),"Да","Нет")</x:f>
        <x:v>Нет</x:v>
      </x:c>
    </x:row>
    <x:row r="3081" ht="60" customHeight="1">
      <x:c r="A3081" s="14" t="str">
        <x:v>Аптека</x:v>
      </x:c>
      <x:c r="B3081" s="14" t="str">
        <x:v>Витамины и БАДы</x:v>
      </x:c>
      <x:c r="C3081" s="14" t="str">
        <x:v>Для костно-мышечной системы</x:v>
      </x:c>
      <x:c r="D3081" s="14" t="str">
        <x:v>БАД для укрепления костной ткани</x:v>
      </x:c>
      <x:c r="E3081" s="2" t="n">
        <x:v>35</x:v>
      </x:c>
      <x:c r="F3081" s="2" t="n">
        <x:v>0</x:v>
      </x:c>
      <x:c r="G3081" s="12" t="n">
        <x:v>7037715.4025</x:v>
      </x:c>
      <x:c r="H3081" s="12" t="n">
        <x:v>555158.60494008</x:v>
      </x:c>
      <x:c r="I3081" s="13" t="n">
        <x:v>0.0771685714285714</x:v>
      </x:c>
      <x:c r="J3081" s="2" t="n">
        <x:v>18</x:v>
      </x:c>
      <x:c r="K3081" s="2" t="n">
        <x:v>15</x:v>
      </x:c>
      <x:c r="L3081" s="12" t="n">
        <x:v>1393.6112</x:v>
      </x:c>
      <x:c r="M3081" s="13" t="n">
        <x:v>0.4378219774140689</x:v>
      </x:c>
      <x:c r="N3081" s="13" t="n">
        <x:f>H3081/G3081</x:f>
        <x:v>0.07888335534893491</x:v>
      </x:c>
      <x:c r="O3081" s="13" t="n">
        <x:f>F3081/E3081</x:f>
        <x:v>0</x:v>
      </x:c>
      <x:c r="P3081" s="2" t="str">
        <x:f>IF(AND(E3081&gt;='Итоги'!$F$5,N3081&lt;='Итоги'!$B$5,O3081&gt;='Итоги'!$D$5),"Да","Нет")</x:f>
        <x:v>Нет</x:v>
      </x:c>
    </x:row>
    <x:row r="3082" ht="60" customHeight="1">
      <x:c r="A3082" s="14" t="str">
        <x:v>Товары для детей и спорта</x:v>
      </x:c>
      <x:c r="B3082" s="14" t="str">
        <x:v>Электроника детская</x:v>
      </x:c>
      <x:c r="C3082" s="14" t="str">
        <x:v>Электроника детская</x:v>
      </x:c>
      <x:c r="D3082" s="14" t="str">
        <x:v>Видеоняня</x:v>
      </x:c>
      <x:c r="E3082" s="2" t="n">
        <x:v>57</x:v>
      </x:c>
      <x:c r="F3082" s="2" t="n">
        <x:v>0</x:v>
      </x:c>
      <x:c r="G3082" s="12" t="n">
        <x:v>6709188.0293</x:v>
      </x:c>
      <x:c r="H3082" s="12" t="n">
        <x:v>529373.51270545</x:v>
      </x:c>
      <x:c r="I3082" s="13" t="n">
        <x:v>0.0677666666666666</x:v>
      </x:c>
      <x:c r="J3082" s="2" t="n">
        <x:v>13</x:v>
      </x:c>
      <x:c r="K3082" s="2" t="n">
        <x:v>28</x:v>
      </x:c>
      <x:c r="L3082" s="12" t="n">
        <x:v>4412.3019</x:v>
      </x:c>
      <x:c r="M3082" s="13" t="n">
        <x:v>0.3518567792541506</x:v>
      </x:c>
      <x:c r="N3082" s="13" t="n">
        <x:f>H3082/G3082</x:f>
        <x:v>0.07890276891832497</x:v>
      </x:c>
      <x:c r="O3082" s="13" t="n">
        <x:f>F3082/E3082</x:f>
        <x:v>0</x:v>
      </x:c>
      <x:c r="P3082" s="2" t="str">
        <x:f>IF(AND(E3082&gt;='Итоги'!$F$5,N3082&lt;='Итоги'!$B$5,O3082&gt;='Итоги'!$D$5),"Да","Нет")</x:f>
        <x:v>Нет</x:v>
      </x:c>
    </x:row>
    <x:row r="3083" ht="60" customHeight="1">
      <x:c r="A3083" s="14" t="str">
        <x:v>Автотовары</x:v>
      </x:c>
      <x:c r="B3083" s="14" t="str">
        <x:v>Автоинструменты и гаражное оборудование</x:v>
      </x:c>
      <x:c r="C3083" s="14" t="str">
        <x:v>Инструменты для авто</x:v>
      </x:c>
      <x:c r="D3083" s="14" t="str">
        <x:v>Домкрат автомобильный</x:v>
      </x:c>
      <x:c r="E3083" s="2" t="n">
        <x:v>149</x:v>
      </x:c>
      <x:c r="F3083" s="2" t="n">
        <x:v>0</x:v>
      </x:c>
      <x:c r="G3083" s="12" t="n">
        <x:v>26249853.2559</x:v>
      </x:c>
      <x:c r="H3083" s="12" t="n">
        <x:v>2072447.40153507</x:v>
      </x:c>
      <x:c r="I3083" s="13" t="n">
        <x:v>0.0687684563758389</x:v>
      </x:c>
      <x:c r="J3083" s="2" t="n">
        <x:v>39</x:v>
      </x:c>
      <x:c r="K3083" s="2" t="n">
        <x:v>22</x:v>
      </x:c>
      <x:c r="L3083" s="12" t="n">
        <x:v>3539.2544</x:v>
      </x:c>
      <x:c r="M3083" s="13" t="n">
        <x:v>0.7339681946857965</x:v>
      </x:c>
      <x:c r="N3083" s="13" t="n">
        <x:f>H3083/G3083</x:f>
        <x:v>0.07895081855626222</x:v>
      </x:c>
      <x:c r="O3083" s="13" t="n">
        <x:f>F3083/E3083</x:f>
        <x:v>0</x:v>
      </x:c>
      <x:c r="P3083" s="2" t="str">
        <x:f>IF(AND(E3083&gt;='Итоги'!$F$5,N3083&lt;='Итоги'!$B$5,O3083&gt;='Итоги'!$D$5),"Да","Нет")</x:f>
        <x:v>Нет</x:v>
      </x:c>
    </x:row>
    <x:row r="3084" ht="60" customHeight="1">
      <x:c r="A3084" s="14" t="str">
        <x:v>Аксессуары для электроники</x:v>
      </x:c>
      <x:c r="B3084" s="14" t="str">
        <x:v>Аксессуары для МБТ (дом) Access</x:v>
      </x:c>
      <x:c r="C3084" s="14" t="str">
        <x:v>Аксессуары для пылесоса Access</x:v>
      </x:c>
      <x:c r="D3084" s="14" t="str">
        <x:v>Насадка для пылесоса</x:v>
      </x:c>
      <x:c r="E3084" s="2" t="n">
        <x:v>12</x:v>
      </x:c>
      <x:c r="F3084" s="2" t="n">
        <x:v>0</x:v>
      </x:c>
      <x:c r="G3084" s="12" t="n">
        <x:v>1415558.6936</x:v>
      </x:c>
      <x:c r="H3084" s="12" t="n">
        <x:v>111812.37869496</x:v>
      </x:c>
      <x:c r="I3084" s="13" t="n">
        <x:v>0.0727916666666666</x:v>
      </x:c>
      <x:c r="J3084" s="2" t="n">
        <x:v>3</x:v>
      </x:c>
      <x:c r="K3084" s="2" t="n">
        <x:v>6</x:v>
      </x:c>
      <x:c r="L3084" s="12" t="n">
        <x:v>2370.4458000000004</x:v>
      </x:c>
      <x:c r="M3084" s="13" t="n">
        <x:v>0.5967446717816547</x:v>
      </x:c>
      <x:c r="N3084" s="13" t="n">
        <x:f>H3084/G3084</x:f>
        <x:v>0.07898816149445743</x:v>
      </x:c>
      <x:c r="O3084" s="13" t="n">
        <x:f>F3084/E3084</x:f>
        <x:v>0</x:v>
      </x:c>
      <x:c r="P3084" s="2" t="str">
        <x:f>IF(AND(E3084&gt;='Итоги'!$F$5,N3084&lt;='Итоги'!$B$5,O3084&gt;='Итоги'!$D$5),"Да","Нет")</x:f>
        <x:v>Нет</x:v>
      </x:c>
    </x:row>
    <x:row r="3085" ht="60" customHeight="1">
      <x:c r="A3085" s="14" t="str">
        <x:v>Одежда</x:v>
      </x:c>
      <x:c r="B3085" s="14" t="str">
        <x:v>Основная одежда мужская</x:v>
      </x:c>
      <x:c r="C3085" s="14" t="str">
        <x:v>Головные уборы, перчатки, шарфы мужские</x:v>
      </x:c>
      <x:c r="D3085" s="14" t="str">
        <x:v>Бейсболка унисекс</x:v>
      </x:c>
      <x:c r="E3085" s="2" t="n">
        <x:v>37</x:v>
      </x:c>
      <x:c r="F3085" s="2" t="n">
        <x:v>0</x:v>
      </x:c>
      <x:c r="G3085" s="12" t="n">
        <x:v>3702423.566</x:v>
      </x:c>
      <x:c r="H3085" s="12" t="n">
        <x:v>292479.67895953</x:v>
      </x:c>
      <x:c r="I3085" s="13" t="n">
        <x:v>0.0797081081081081</x:v>
      </x:c>
      <x:c r="J3085" s="2" t="n">
        <x:v>8</x:v>
      </x:c>
      <x:c r="K3085" s="2" t="n">
        <x:v>11</x:v>
      </x:c>
      <x:c r="L3085" s="12" t="n">
        <x:v>1236.6667</x:v>
      </x:c>
      <x:c r="M3085" s="13" t="n">
        <x:v>0.4726396240748214</x:v>
      </x:c>
      <x:c r="N3085" s="13" t="n">
        <x:f>H3085/G3085</x:f>
        <x:v>0.07899681755632225</x:v>
      </x:c>
      <x:c r="O3085" s="13" t="n">
        <x:f>F3085/E3085</x:f>
        <x:v>0</x:v>
      </x:c>
      <x:c r="P3085" s="2" t="str">
        <x:f>IF(AND(E3085&gt;='Итоги'!$F$5,N3085&lt;='Итоги'!$B$5,O3085&gt;='Итоги'!$D$5),"Да","Нет")</x:f>
        <x:v>Нет</x:v>
      </x:c>
    </x:row>
    <x:row r="3086" ht="60" customHeight="1">
      <x:c r="A3086" s="14" t="str">
        <x:v>Товары для дома</x:v>
      </x:c>
      <x:c r="B3086" s="14" t="str">
        <x:v>Антиквариат Хоум Декор</x:v>
      </x:c>
      <x:c r="C3086" s="14" t="str">
        <x:v>Винтаж Хоум Декор</x:v>
      </x:c>
      <x:c r="D3086" s="14" t="str">
        <x:v>Винтаж противогаз</x:v>
      </x:c>
      <x:c r="E3086" s="2" t="n">
        <x:v>2</x:v>
      </x:c>
      <x:c r="F3086" s="2" t="n">
        <x:v>0</x:v>
      </x:c>
      <x:c r="G3086" s="12" t="n">
        <x:v>91917.71</x:v>
      </x:c>
      <x:c r="H3086" s="12" t="n">
        <x:v>7261.958731000001</x:v>
      </x:c>
      <x:c r="I3086" s="13" t="n">
        <x:v>0.07675</x:v>
      </x:c>
      <x:c r="J3086" s="2" t="n">
        <x:v>0</x:v>
      </x:c>
      <x:c r="K3086" s="2" t="n">
        <x:v>2</x:v>
      </x:c>
      <x:c r="L3086" s="12" t="n">
        <x:v>922.2897</x:v>
      </x:c>
      <x:c r="M3086" s="13" t="n">
        <x:v>0.5222606176763978</x:v>
      </x:c>
      <x:c r="N3086" s="13" t="n">
        <x:f>H3086/G3086</x:f>
        <x:v>0.07900500057061909</x:v>
      </x:c>
      <x:c r="O3086" s="13" t="n">
        <x:f>F3086/E3086</x:f>
        <x:v>0</x:v>
      </x:c>
      <x:c r="P3086" s="2" t="str">
        <x:f>IF(AND(E3086&gt;='Итоги'!$F$5,N3086&lt;='Итоги'!$B$5,O3086&gt;='Итоги'!$D$5),"Да","Нет")</x:f>
        <x:v>Нет</x:v>
      </x:c>
    </x:row>
    <x:row r="3087" ht="60" customHeight="1">
      <x:c r="A3087" s="14" t="str">
        <x:v>Товары для детей и спорта</x:v>
      </x:c>
      <x:c r="B3087" s="14" t="str">
        <x:v>Спорт детский</x:v>
      </x:c>
      <x:c r="C3087" s="14" t="str">
        <x:v>Летний спорт детский</x:v>
      </x:c>
      <x:c r="D3087" s="14" t="str">
        <x:v>Беговел</x:v>
      </x:c>
      <x:c r="E3087" s="2" t="n">
        <x:v>95</x:v>
      </x:c>
      <x:c r="F3087" s="2" t="n">
        <x:v>0</x:v>
      </x:c>
      <x:c r="G3087" s="12" t="n">
        <x:v>10705216.5257</x:v>
      </x:c>
      <x:c r="H3087" s="12" t="n">
        <x:v>845921.49509515</x:v>
      </x:c>
      <x:c r="I3087" s="13" t="n">
        <x:v>0.075038947368421</x:v>
      </x:c>
      <x:c r="J3087" s="2" t="n">
        <x:v>34</x:v>
      </x:c>
      <x:c r="K3087" s="2" t="n">
        <x:v>21</x:v>
      </x:c>
      <x:c r="L3087" s="12" t="n">
        <x:v>4535.4828</x:v>
      </x:c>
      <x:c r="M3087" s="13" t="n">
        <x:v>0.5867237640005879</x:v>
      </x:c>
      <x:c r="N3087" s="13" t="n">
        <x:f>H3087/G3087</x:f>
        <x:v>0.07901955958240987</x:v>
      </x:c>
      <x:c r="O3087" s="13" t="n">
        <x:f>F3087/E3087</x:f>
        <x:v>0</x:v>
      </x:c>
      <x:c r="P3087" s="2" t="str">
        <x:f>IF(AND(E3087&gt;='Итоги'!$F$5,N3087&lt;='Итоги'!$B$5,O3087&gt;='Итоги'!$D$5),"Да","Нет")</x:f>
        <x:v>Нет</x:v>
      </x:c>
    </x:row>
    <x:row r="3088" ht="60" customHeight="1">
      <x:c r="A3088" s="14" t="str">
        <x:v>Школьные принадлежности и канцелярия</x:v>
      </x:c>
      <x:c r="B3088" s="14" t="str">
        <x:v>Товары для школы, канцелярия, оборудование</x:v>
      </x:c>
      <x:c r="C3088" s="14" t="str">
        <x:v>Школьные принадлежности</x:v>
      </x:c>
      <x:c r="D3088" s="14" t="str">
        <x:v>Набор школьника</x:v>
      </x:c>
      <x:c r="E3088" s="2" t="n">
        <x:v>10</x:v>
      </x:c>
      <x:c r="F3088" s="2" t="n">
        <x:v>0</x:v>
      </x:c>
      <x:c r="G3088" s="12" t="n">
        <x:v>832618.6536</x:v>
      </x:c>
      <x:c r="H3088" s="12" t="n">
        <x:v>65807.04570152</x:v>
      </x:c>
      <x:c r="I3088" s="13" t="n">
        <x:v>0.08063</x:v>
      </x:c>
      <x:c r="J3088" s="2" t="n">
        <x:v>2</x:v>
      </x:c>
      <x:c r="K3088" s="2" t="n">
        <x:v>4</x:v>
      </x:c>
      <x:c r="L3088" s="12" t="n">
        <x:v>1165.7143500000002</x:v>
      </x:c>
      <x:c r="M3088" s="13" t="n">
        <x:v>0.7399874205748878</x:v>
      </x:c>
      <x:c r="N3088" s="13" t="n">
        <x:f>H3088/G3088</x:f>
        <x:v>0.07903623755844232</x:v>
      </x:c>
      <x:c r="O3088" s="13" t="n">
        <x:f>F3088/E3088</x:f>
        <x:v>0</x:v>
      </x:c>
      <x:c r="P3088" s="2" t="str">
        <x:f>IF(AND(E3088&gt;='Итоги'!$F$5,N3088&lt;='Итоги'!$B$5,O3088&gt;='Итоги'!$D$5),"Да","Нет")</x:f>
        <x:v>Нет</x:v>
      </x:c>
    </x:row>
    <x:row r="3089" ht="60" customHeight="1">
      <x:c r="A3089" s="14" t="str">
        <x:v>Товары для дома</x:v>
      </x:c>
      <x:c r="B3089" s="14" t="str">
        <x:v>Домашний текстиль</x:v>
      </x:c>
      <x:c r="C3089" s="14" t="str">
        <x:v>Покрывало</x:v>
      </x:c>
      <x:c r="D3089" s="14" t="str">
        <x:v>Покрывало комплект</x:v>
      </x:c>
      <x:c r="E3089" s="2" t="n">
        <x:v>46</x:v>
      </x:c>
      <x:c r="F3089" s="2" t="n">
        <x:v>0</x:v>
      </x:c>
      <x:c r="G3089" s="12" t="n">
        <x:v>5483928.6881</x:v>
      </x:c>
      <x:c r="H3089" s="12" t="n">
        <x:v>433705.30603686</x:v>
      </x:c>
      <x:c r="I3089" s="13" t="n">
        <x:v>0.0739565217391304</x:v>
      </x:c>
      <x:c r="J3089" s="2" t="n">
        <x:v>9</x:v>
      </x:c>
      <x:c r="K3089" s="2" t="n">
        <x:v>6</x:v>
      </x:c>
      <x:c r="L3089" s="12" t="n">
        <x:v>3234.1688</x:v>
      </x:c>
      <x:c r="M3089" s="13" t="n">
        <x:v>0.5169199281258612</x:v>
      </x:c>
      <x:c r="N3089" s="13" t="n">
        <x:f>H3089/G3089</x:f>
        <x:v>0.07908660573540838</x:v>
      </x:c>
      <x:c r="O3089" s="13" t="n">
        <x:f>F3089/E3089</x:f>
        <x:v>0</x:v>
      </x:c>
      <x:c r="P3089" s="2" t="str">
        <x:f>IF(AND(E3089&gt;='Итоги'!$F$5,N3089&lt;='Итоги'!$B$5,O3089&gt;='Итоги'!$D$5),"Да","Нет")</x:f>
        <x:v>Нет</x:v>
      </x:c>
    </x:row>
    <x:row r="3090" ht="60" customHeight="1">
      <x:c r="A3090" s="14" t="str">
        <x:v>Спорт и отдых</x:v>
      </x:c>
      <x:c r="B3090" s="14" t="str">
        <x:v>Страйкбол и пневматика</x:v>
      </x:c>
      <x:c r="C3090" s="14" t="str">
        <x:v>Принадлежности для страйкбола и пневматики</x:v>
      </x:c>
      <x:c r="D3090" s="14" t="str">
        <x:v>Бронежилет, разгрузочная система для страйкбола</x:v>
      </x:c>
      <x:c r="E3090" s="2" t="n">
        <x:v>44</x:v>
      </x:c>
      <x:c r="F3090" s="2" t="n">
        <x:v>0</x:v>
      </x:c>
      <x:c r="G3090" s="12" t="n">
        <x:v>6922393.8671</x:v>
      </x:c>
      <x:c r="H3090" s="12" t="n">
        <x:v>548168.784045</x:v>
      </x:c>
      <x:c r="I3090" s="13" t="n">
        <x:v>0.0823272727272727</x:v>
      </x:c>
      <x:c r="J3090" s="2" t="n">
        <x:v>7</x:v>
      </x:c>
      <x:c r="K3090" s="2" t="n">
        <x:v>11</x:v>
      </x:c>
      <x:c r="L3090" s="12" t="n">
        <x:v>13042.9</x:v>
      </x:c>
      <x:c r="M3090" s="13" t="n">
        <x:v>0.6160761135347851</x:v>
      </x:c>
      <x:c r="N3090" s="13" t="n">
        <x:f>H3090/G3090</x:f>
        <x:v>0.07918774842475763</x:v>
      </x:c>
      <x:c r="O3090" s="13" t="n">
        <x:f>F3090/E3090</x:f>
        <x:v>0</x:v>
      </x:c>
      <x:c r="P3090" s="2" t="str">
        <x:f>IF(AND(E3090&gt;='Итоги'!$F$5,N3090&lt;='Итоги'!$B$5,O3090&gt;='Итоги'!$D$5),"Да","Нет")</x:f>
        <x:v>Нет</x:v>
      </x:c>
    </x:row>
    <x:row r="3091" ht="60" customHeight="1">
      <x:c r="A3091" s="14" t="str">
        <x:v>Товары для дома</x:v>
      </x:c>
      <x:c r="B3091" s="14" t="str">
        <x:v>Хранение</x:v>
      </x:c>
      <x:c r="C3091" s="14" t="str">
        <x:v>Товары для хранения</x:v>
      </x:c>
      <x:c r="D3091" s="14" t="str">
        <x:v>Вешалка-плечики, набор вешалок-плечиков</x:v>
      </x:c>
      <x:c r="E3091" s="2" t="n">
        <x:v>94</x:v>
      </x:c>
      <x:c r="F3091" s="2" t="n">
        <x:v>0</x:v>
      </x:c>
      <x:c r="G3091" s="12" t="n">
        <x:v>17389476.5558</x:v>
      </x:c>
      <x:c r="H3091" s="12" t="n">
        <x:v>1377211.29255103</x:v>
      </x:c>
      <x:c r="I3091" s="13" t="n">
        <x:v>0.0826489361702127</x:v>
      </x:c>
      <x:c r="J3091" s="2" t="n">
        <x:v>8</x:v>
      </x:c>
      <x:c r="K3091" s="2" t="n">
        <x:v>22</x:v>
      </x:c>
      <x:c r="L3091" s="12" t="n">
        <x:v>1020.3159</x:v>
      </x:c>
      <x:c r="M3091" s="13" t="n">
        <x:v>0.6813835178119825</x:v>
      </x:c>
      <x:c r="N3091" s="13" t="n">
        <x:f>H3091/G3091</x:f>
        <x:v>0.07919797287352401</x:v>
      </x:c>
      <x:c r="O3091" s="13" t="n">
        <x:f>F3091/E3091</x:f>
        <x:v>0</x:v>
      </x:c>
      <x:c r="P3091" s="2" t="str">
        <x:f>IF(AND(E3091&gt;='Итоги'!$F$5,N3091&lt;='Итоги'!$B$5,O3091&gt;='Итоги'!$D$5),"Да","Нет")</x:f>
        <x:v>Нет</x:v>
      </x:c>
    </x:row>
    <x:row r="3092" ht="60" customHeight="1">
      <x:c r="A3092" s="14" t="str">
        <x:v>Аксессуары для электроники</x:v>
      </x:c>
      <x:c r="B3092" s="14" t="str">
        <x:v>Оборудование Access</x:v>
      </x:c>
      <x:c r="C3092" s="14" t="str">
        <x:v>Оборудование и комплектующие для приготовления алкоголя Access</x:v>
      </x:c>
      <x:c r="D3092" s="14" t="str">
        <x:v>Комплектующие для алкогольного оборудования</x:v>
      </x:c>
      <x:c r="E3092" s="2" t="n">
        <x:v>23</x:v>
      </x:c>
      <x:c r="F3092" s="2" t="n">
        <x:v>0</x:v>
      </x:c>
      <x:c r="G3092" s="12" t="n">
        <x:v>2958519.3098</x:v>
      </x:c>
      <x:c r="H3092" s="12" t="n">
        <x:v>234653.86315218</x:v>
      </x:c>
      <x:c r="I3092" s="13" t="n">
        <x:v>0.0687869565217391</x:v>
      </x:c>
      <x:c r="J3092" s="2" t="n">
        <x:v>7</x:v>
      </x:c>
      <x:c r="K3092" s="2" t="n">
        <x:v>11</x:v>
      </x:c>
      <x:c r="L3092" s="12" t="n">
        <x:v>1212.9732</x:v>
      </x:c>
      <x:c r="M3092" s="13" t="n">
        <x:v>0.3896270097618276</x:v>
      </x:c>
      <x:c r="N3092" s="13" t="n">
        <x:f>H3092/G3092</x:f>
        <x:v>0.07931462957665905</x:v>
      </x:c>
      <x:c r="O3092" s="13" t="n">
        <x:f>F3092/E3092</x:f>
        <x:v>0</x:v>
      </x:c>
      <x:c r="P3092" s="2" t="str">
        <x:f>IF(AND(E3092&gt;='Итоги'!$F$5,N3092&lt;='Итоги'!$B$5,O3092&gt;='Итоги'!$D$5),"Да","Нет")</x:f>
        <x:v>Нет</x:v>
      </x:c>
    </x:row>
    <x:row r="3093" ht="60" customHeight="1">
      <x:c r="A3093" s="14" t="str">
        <x:v>Аптека</x:v>
      </x:c>
      <x:c r="B3093" s="14" t="str">
        <x:v>Медицинские изделия</x:v>
      </x:c>
      <x:c r="C3093" s="14" t="str">
        <x:v>Перевязочные средства</x:v>
      </x:c>
      <x:c r="D3093" s="14" t="str">
        <x:v>Пластырь медицинский</x:v>
      </x:c>
      <x:c r="E3093" s="2" t="n">
        <x:v>39</x:v>
      </x:c>
      <x:c r="F3093" s="2" t="n">
        <x:v>0</x:v>
      </x:c>
      <x:c r="G3093" s="12" t="n">
        <x:v>6405237.3113</x:v>
      </x:c>
      <x:c r="H3093" s="12" t="n">
        <x:v>508279.54594742</x:v>
      </x:c>
      <x:c r="I3093" s="13" t="n">
        <x:v>0.0753538461538461</x:v>
      </x:c>
      <x:c r="J3093" s="2" t="n">
        <x:v>8</x:v>
      </x:c>
      <x:c r="K3093" s="2" t="n">
        <x:v>18</x:v>
      </x:c>
      <x:c r="L3093" s="12" t="n">
        <x:v>1215.8043</x:v>
      </x:c>
      <x:c r="M3093" s="13" t="n">
        <x:v>0.2197362360356236</x:v>
      </x:c>
      <x:c r="N3093" s="13" t="n">
        <x:f>H3093/G3093</x:f>
        <x:v>0.07935374151566917</x:v>
      </x:c>
      <x:c r="O3093" s="13" t="n">
        <x:f>F3093/E3093</x:f>
        <x:v>0</x:v>
      </x:c>
      <x:c r="P3093" s="2" t="str">
        <x:f>IF(AND(E3093&gt;='Итоги'!$F$5,N3093&lt;='Итоги'!$B$5,O3093&gt;='Итоги'!$D$5),"Да","Нет")</x:f>
        <x:v>Нет</x:v>
      </x:c>
    </x:row>
    <x:row r="3094" ht="60" customHeight="1">
      <x:c r="A3094" s="14" t="str">
        <x:v>Товары для красоты и здоровья</x:v>
      </x:c>
      <x:c r="B3094" s="14" t="str">
        <x:v>Косметическая техника</x:v>
      </x:c>
      <x:c r="C3094" s="14" t="str">
        <x:v>Приборы для косметических процедур</x:v>
      </x:c>
      <x:c r="D3094" s="14" t="str">
        <x:v>Маникюрно-педикюрный аппарат электрический</x:v>
      </x:c>
      <x:c r="E3094" s="2" t="n">
        <x:v>131</x:v>
      </x:c>
      <x:c r="F3094" s="2" t="n">
        <x:v>0</x:v>
      </x:c>
      <x:c r="G3094" s="12" t="n">
        <x:v>22112264.7747</x:v>
      </x:c>
      <x:c r="H3094" s="12" t="n">
        <x:v>1754823.4974955</x:v>
      </x:c>
      <x:c r="I3094" s="13" t="n">
        <x:v>0.0775595419847328</x:v>
      </x:c>
      <x:c r="J3094" s="2" t="n">
        <x:v>34</x:v>
      </x:c>
      <x:c r="K3094" s="2" t="n">
        <x:v>54</x:v>
      </x:c>
      <x:c r="L3094" s="12" t="n">
        <x:v>1406.4596</x:v>
      </x:c>
      <x:c r="M3094" s="13" t="n">
        <x:v>0.440100954983795</x:v>
      </x:c>
      <x:c r="N3094" s="13" t="n">
        <x:f>H3094/G3094</x:f>
        <x:v>0.07935973611817913</x:v>
      </x:c>
      <x:c r="O3094" s="13" t="n">
        <x:f>F3094/E3094</x:f>
        <x:v>0</x:v>
      </x:c>
      <x:c r="P3094" s="2" t="str">
        <x:f>IF(AND(E3094&gt;='Итоги'!$F$5,N3094&lt;='Итоги'!$B$5,O3094&gt;='Итоги'!$D$5),"Да","Нет")</x:f>
        <x:v>Нет</x:v>
      </x:c>
    </x:row>
    <x:row r="3095" ht="60" customHeight="1">
      <x:c r="A3095" s="14" t="str">
        <x:v>Аксессуары</x:v>
      </x:c>
      <x:c r="B3095" s="14" t="str">
        <x:v>Сумки и рюкзаки</x:v>
      </x:c>
      <x:c r="C3095" s="14" t="str">
        <x:v>Сумка мужская</x:v>
      </x:c>
      <x:c r="D3095" s="14" t="str">
        <x:v>Мужская Сумка-планшет</x:v>
      </x:c>
      <x:c r="E3095" s="2" t="n">
        <x:v>82</x:v>
      </x:c>
      <x:c r="F3095" s="2" t="n">
        <x:v>0</x:v>
      </x:c>
      <x:c r="G3095" s="12" t="n">
        <x:v>11424626.0283</x:v>
      </x:c>
      <x:c r="H3095" s="12" t="n">
        <x:v>907179.96009095</x:v>
      </x:c>
      <x:c r="I3095" s="13" t="n">
        <x:v>0.065230487804878</x:v>
      </x:c>
      <x:c r="J3095" s="2" t="n">
        <x:v>16</x:v>
      </x:c>
      <x:c r="K3095" s="2" t="n">
        <x:v>23</x:v>
      </x:c>
      <x:c r="L3095" s="12" t="n">
        <x:v>2095.87095</x:v>
      </x:c>
      <x:c r="M3095" s="13" t="n">
        <x:v>0.3715008870825639</x:v>
      </x:c>
      <x:c r="N3095" s="13" t="n">
        <x:f>H3095/G3095</x:f>
        <x:v>0.07940565913000301</x:v>
      </x:c>
      <x:c r="O3095" s="13" t="n">
        <x:f>F3095/E3095</x:f>
        <x:v>0</x:v>
      </x:c>
      <x:c r="P3095" s="2" t="str">
        <x:f>IF(AND(E3095&gt;='Итоги'!$F$5,N3095&lt;='Итоги'!$B$5,O3095&gt;='Итоги'!$D$5),"Да","Нет")</x:f>
        <x:v>Нет</x:v>
      </x:c>
    </x:row>
    <x:row r="3096" ht="60" customHeight="1">
      <x:c r="A3096" s="14" t="str">
        <x:v>Автотовары</x:v>
      </x:c>
      <x:c r="B3096" s="14" t="str">
        <x:v>Авто и мото запчасти</x:v>
      </x:c>
      <x:c r="C3096" s="14" t="str">
        <x:v>Универсальные детали</x:v>
      </x:c>
      <x:c r="D3096" s="14" t="str">
        <x:v>Автокрепеж</x:v>
      </x:c>
      <x:c r="E3096" s="2" t="n">
        <x:v>24</x:v>
      </x:c>
      <x:c r="F3096" s="2" t="n">
        <x:v>0</x:v>
      </x:c>
      <x:c r="G3096" s="12" t="n">
        <x:v>3564859.219</x:v>
      </x:c>
      <x:c r="H3096" s="12" t="n">
        <x:v>283076.66447399</x:v>
      </x:c>
      <x:c r="I3096" s="13" t="n">
        <x:v>0.0795041666666666</x:v>
      </x:c>
      <x:c r="J3096" s="2" t="n">
        <x:v>7</x:v>
      </x:c>
      <x:c r="K3096" s="2" t="n">
        <x:v>13</x:v>
      </x:c>
      <x:c r="L3096" s="12" t="n">
        <x:v>907.57</x:v>
      </x:c>
      <x:c r="M3096" s="13" t="n">
        <x:v>0.308565941745258</x:v>
      </x:c>
      <x:c r="N3096" s="13" t="n">
        <x:f>H3096/G3096</x:f>
        <x:v>0.07940752974626512</x:v>
      </x:c>
      <x:c r="O3096" s="13" t="n">
        <x:f>F3096/E3096</x:f>
        <x:v>0</x:v>
      </x:c>
      <x:c r="P3096" s="2" t="str">
        <x:f>IF(AND(E3096&gt;='Итоги'!$F$5,N3096&lt;='Итоги'!$B$5,O3096&gt;='Итоги'!$D$5),"Да","Нет")</x:f>
        <x:v>Нет</x:v>
      </x:c>
    </x:row>
    <x:row r="3097" ht="60" customHeight="1">
      <x:c r="A3097" s="14" t="str">
        <x:v>Бакалея и кондитерские изделия</x:v>
      </x:c>
      <x:c r="B3097" s="14" t="str">
        <x:v>Бакалея</x:v>
      </x:c>
      <x:c r="C3097" s="14" t="str">
        <x:v>Консервы</x:v>
      </x:c>
      <x:c r="D3097" s="14" t="str">
        <x:v>Молочные консервы</x:v>
      </x:c>
      <x:c r="E3097" s="2" t="n">
        <x:v>2</x:v>
      </x:c>
      <x:c r="F3097" s="2" t="n">
        <x:v>0</x:v>
      </x:c>
      <x:c r="G3097" s="12" t="n">
        <x:v>230450</x:v>
      </x:c>
      <x:c r="H3097" s="12" t="n">
        <x:v>18319.6062</x:v>
      </x:c>
      <x:c r="I3097" s="13" t="n">
        <x:v>0.06485</x:v>
      </x:c>
      <x:c r="J3097" s="2" t="n">
        <x:v>1</x:v>
      </x:c>
      <x:c r="K3097" s="2" t="n">
        <x:v>2</x:v>
      </x:c>
      <x:c r="L3097" s="12" t="n">
        <x:v>897.3815500000001</x:v>
      </x:c>
      <x:c r="M3097" s="13" t="n">
        <x:v>0.6129138641787807</x:v>
      </x:c>
      <x:c r="N3097" s="13" t="n">
        <x:f>H3097/G3097</x:f>
        <x:v>0.07949492818398785</x:v>
      </x:c>
      <x:c r="O3097" s="13" t="n">
        <x:f>F3097/E3097</x:f>
        <x:v>0</x:v>
      </x:c>
      <x:c r="P3097" s="2" t="str">
        <x:f>IF(AND(E3097&gt;='Итоги'!$F$5,N3097&lt;='Итоги'!$B$5,O3097&gt;='Итоги'!$D$5),"Да","Нет")</x:f>
        <x:v>Нет</x:v>
      </x:c>
    </x:row>
    <x:row r="3098" ht="60" customHeight="1">
      <x:c r="A3098" s="14" t="str">
        <x:v>Ноутбуки и компьютеры</x:v>
      </x:c>
      <x:c r="B3098" s="14" t="str">
        <x:v>Компьютерная офисная техника Lap&amp;Comp</x:v>
      </x:c>
      <x:c r="C3098" s="14" t="str">
        <x:v>Компьютерная офисная техника Lap&amp;Comp</x:v>
      </x:c>
      <x:c r="D3098" s="14" t="str">
        <x:v>Комплектующие для проектора</x:v>
      </x:c>
      <x:c r="E3098" s="2" t="n">
        <x:v>33</x:v>
      </x:c>
      <x:c r="F3098" s="2" t="n">
        <x:v>0</x:v>
      </x:c>
      <x:c r="G3098" s="12" t="n">
        <x:v>4152502.7778</x:v>
      </x:c>
      <x:c r="H3098" s="12" t="n">
        <x:v>330118.9125074</x:v>
      </x:c>
      <x:c r="I3098" s="13" t="n">
        <x:v>0.0659757575757575</x:v>
      </x:c>
      <x:c r="J3098" s="2" t="n">
        <x:v>12</x:v>
      </x:c>
      <x:c r="K3098" s="2" t="n">
        <x:v>8</x:v>
      </x:c>
      <x:c r="L3098" s="12" t="n">
        <x:v>3670.8262</x:v>
      </x:c>
      <x:c r="M3098" s="13" t="n">
        <x:v>0.5273248101618645</x:v>
      </x:c>
      <x:c r="N3098" s="13" t="n">
        <x:f>H3098/G3098</x:f>
        <x:v>0.07949878186048977</x:v>
      </x:c>
      <x:c r="O3098" s="13" t="n">
        <x:f>F3098/E3098</x:f>
        <x:v>0</x:v>
      </x:c>
      <x:c r="P3098" s="2" t="str">
        <x:f>IF(AND(E3098&gt;='Итоги'!$F$5,N3098&lt;='Итоги'!$B$5,O3098&gt;='Итоги'!$D$5),"Да","Нет")</x:f>
        <x:v>Нет</x:v>
      </x:c>
    </x:row>
    <x:row r="3099" ht="60" customHeight="1">
      <x:c r="A3099" s="14" t="str">
        <x:v>Аптека</x:v>
      </x:c>
      <x:c r="B3099" s="14" t="str">
        <x:v>Спортивное питание</x:v>
      </x:c>
      <x:c r="C3099" s="14" t="str">
        <x:v>Аминокислоты</x:v>
      </x:c>
      <x:c r="D3099" s="14" t="str">
        <x:v>BCAA</x:v>
      </x:c>
      <x:c r="E3099" s="2" t="n">
        <x:v>79</x:v>
      </x:c>
      <x:c r="F3099" s="2" t="n">
        <x:v>0</x:v>
      </x:c>
      <x:c r="G3099" s="12" t="n">
        <x:v>12504154.8758</x:v>
      </x:c>
      <x:c r="H3099" s="12" t="n">
        <x:v>994557.97260144</x:v>
      </x:c>
      <x:c r="I3099" s="13" t="n">
        <x:v>0.0897113924050632</x:v>
      </x:c>
      <x:c r="J3099" s="2" t="n">
        <x:v>17</x:v>
      </x:c>
      <x:c r="K3099" s="2" t="n">
        <x:v>9</x:v>
      </x:c>
      <x:c r="L3099" s="12" t="n">
        <x:v>1293.1625</x:v>
      </x:c>
      <x:c r="M3099" s="13" t="n">
        <x:v>0.678378422216823</x:v>
      </x:c>
      <x:c r="N3099" s="13" t="n">
        <x:f>H3099/G3099</x:f>
        <x:v>0.07953820010069329</x:v>
      </x:c>
      <x:c r="O3099" s="13" t="n">
        <x:f>F3099/E3099</x:f>
        <x:v>0</x:v>
      </x:c>
      <x:c r="P3099" s="2" t="str">
        <x:f>IF(AND(E3099&gt;='Итоги'!$F$5,N3099&lt;='Итоги'!$B$5,O3099&gt;='Итоги'!$D$5),"Да","Нет")</x:f>
        <x:v>Нет</x:v>
      </x:c>
    </x:row>
    <x:row r="3100" ht="60" customHeight="1">
      <x:c r="A3100" s="14" t="str">
        <x:v>Аксессуары для электроники</x:v>
      </x:c>
      <x:c r="B3100" s="14" t="str">
        <x:v>Фото и видео Access</x:v>
      </x:c>
      <x:c r="C3100" s="14" t="str">
        <x:v>Аксессуар к фото и видео Access</x:v>
      </x:c>
      <x:c r="D3100" s="14" t="str">
        <x:v>Сумка для фото/видео устройств</x:v>
      </x:c>
      <x:c r="E3100" s="2" t="n">
        <x:v>2</x:v>
      </x:c>
      <x:c r="F3100" s="2" t="n">
        <x:v>0</x:v>
      </x:c>
      <x:c r="G3100" s="12" t="n">
        <x:v>159998.3001</x:v>
      </x:c>
      <x:c r="H3100" s="12" t="n">
        <x:v>12731.615023469998</x:v>
      </x:c>
      <x:c r="I3100" s="13" t="n">
        <x:v>0.06735</x:v>
      </x:c>
      <x:c r="J3100" s="2" t="n">
        <x:v>1</x:v>
      </x:c>
      <x:c r="K3100" s="2" t="n">
        <x:v>2</x:v>
      </x:c>
      <x:c r="L3100" s="12" t="n">
        <x:v>17026.3771</x:v>
      </x:c>
      <x:c r="M3100" s="13" t="n">
        <x:v>0.5907456519283357</x:v>
      </x:c>
      <x:c r="N3100" s="13" t="n">
        <x:f>H3100/G3100</x:f>
        <x:v>0.07957343931474681</x:v>
      </x:c>
      <x:c r="O3100" s="13" t="n">
        <x:f>F3100/E3100</x:f>
        <x:v>0</x:v>
      </x:c>
      <x:c r="P3100" s="2" t="str">
        <x:f>IF(AND(E3100&gt;='Итоги'!$F$5,N3100&lt;='Итоги'!$B$5,O3100&gt;='Итоги'!$D$5),"Да","Нет")</x:f>
        <x:v>Нет</x:v>
      </x:c>
    </x:row>
    <x:row r="3101" ht="60" customHeight="1">
      <x:c r="A3101" s="14" t="str">
        <x:v>Спорт и отдых</x:v>
      </x:c>
      <x:c r="B3101" s="14" t="str">
        <x:v>Товары для охоты</x:v>
      </x:c>
      <x:c r="C3101" s="14" t="str">
        <x:v>Аксессуары для охоты</x:v>
      </x:c>
      <x:c r="D3101" s="14" t="str">
        <x:v>Фотоловушка для охоты</x:v>
      </x:c>
      <x:c r="E3101" s="2" t="n">
        <x:v>14</x:v>
      </x:c>
      <x:c r="F3101" s="2" t="n">
        <x:v>0</x:v>
      </x:c>
      <x:c r="G3101" s="12" t="n">
        <x:v>2597001.5237000003</x:v>
      </x:c>
      <x:c r="H3101" s="12" t="n">
        <x:v>206711.18501252</x:v>
      </x:c>
      <x:c r="I3101" s="13" t="n">
        <x:v>0.0772928571428571</x:v>
      </x:c>
      <x:c r="J3101" s="2" t="n">
        <x:v>2</x:v>
      </x:c>
      <x:c r="K3101" s="2" t="n">
        <x:v>8</x:v>
      </x:c>
      <x:c r="L3101" s="12" t="n">
        <x:v>2400.875</x:v>
      </x:c>
      <x:c r="M3101" s="13" t="n">
        <x:v>0.4252312575953534</x:v>
      </x:c>
      <x:c r="N3101" s="13" t="n">
        <x:f>H3101/G3101</x:f>
        <x:v>0.07959609693182405</x:v>
      </x:c>
      <x:c r="O3101" s="13" t="n">
        <x:f>F3101/E3101</x:f>
        <x:v>0</x:v>
      </x:c>
      <x:c r="P3101" s="2" t="str">
        <x:f>IF(AND(E3101&gt;='Итоги'!$F$5,N3101&lt;='Итоги'!$B$5,O3101&gt;='Итоги'!$D$5),"Да","Нет")</x:f>
        <x:v>Нет</x:v>
      </x:c>
    </x:row>
    <x:row r="3102" ht="60" customHeight="1">
      <x:c r="A3102" s="14" t="str">
        <x:v>Аудио и видеотехника</x:v>
      </x:c>
      <x:c r="B3102" s="14" t="str">
        <x:v>Система безопасности TV&amp;Audio</x:v>
      </x:c>
      <x:c r="C3102" s="14" t="str">
        <x:v>Безопасность дома TV&amp;Audio</x:v>
      </x:c>
      <x:c r="D3102" s="14" t="str">
        <x:v>Видеоглазок</x:v>
      </x:c>
      <x:c r="E3102" s="2" t="n">
        <x:v>32</x:v>
      </x:c>
      <x:c r="F3102" s="2" t="n">
        <x:v>0</x:v>
      </x:c>
      <x:c r="G3102" s="12" t="n">
        <x:v>5640820.9604</x:v>
      </x:c>
      <x:c r="H3102" s="12" t="n">
        <x:v>449118.10108552</x:v>
      </x:c>
      <x:c r="I3102" s="13" t="n">
        <x:v>0.099653125</x:v>
      </x:c>
      <x:c r="J3102" s="2" t="n">
        <x:v>11</x:v>
      </x:c>
      <x:c r="K3102" s="2" t="n">
        <x:v>11</x:v>
      </x:c>
      <x:c r="L3102" s="12" t="n">
        <x:v>4549.2455</x:v>
      </x:c>
      <x:c r="M3102" s="13" t="n">
        <x:v>0.5044412453924478</x:v>
      </x:c>
      <x:c r="N3102" s="13" t="n">
        <x:f>H3102/G3102</x:f>
        <x:v>0.07961927957622542</x:v>
      </x:c>
      <x:c r="O3102" s="13" t="n">
        <x:f>F3102/E3102</x:f>
        <x:v>0</x:v>
      </x:c>
      <x:c r="P3102" s="2" t="str">
        <x:f>IF(AND(E3102&gt;='Итоги'!$F$5,N3102&lt;='Итоги'!$B$5,O3102&gt;='Итоги'!$D$5),"Да","Нет")</x:f>
        <x:v>Нет</x:v>
      </x:c>
    </x:row>
    <x:row r="3103" ht="60" customHeight="1">
      <x:c r="A3103" s="14" t="str">
        <x:v>Спорт и отдых</x:v>
      </x:c>
      <x:c r="B3103" s="14" t="str">
        <x:v>Колесный транспорт</x:v>
      </x:c>
      <x:c r="C3103" s="14" t="str">
        <x:v>Велоаксессуары</x:v>
      </x:c>
      <x:c r="D3103" s="14" t="str">
        <x:v>Крылья велосипедные</x:v>
      </x:c>
      <x:c r="E3103" s="2" t="n">
        <x:v>21</x:v>
      </x:c>
      <x:c r="F3103" s="2" t="n">
        <x:v>0</x:v>
      </x:c>
      <x:c r="G3103" s="12" t="n">
        <x:v>4111096.6544</x:v>
      </x:c>
      <x:c r="H3103" s="12" t="n">
        <x:v>327359.67346953</x:v>
      </x:c>
      <x:c r="I3103" s="13" t="n">
        <x:v>0.0650047619047619</x:v>
      </x:c>
      <x:c r="J3103" s="2" t="n">
        <x:v>5</x:v>
      </x:c>
      <x:c r="K3103" s="2" t="n">
        <x:v>4</x:v>
      </x:c>
      <x:c r="L3103" s="12" t="n">
        <x:v>1247.9644</x:v>
      </x:c>
      <x:c r="M3103" s="13" t="n">
        <x:v>0.8413929366749067</x:v>
      </x:c>
      <x:c r="N3103" s="13" t="n">
        <x:f>H3103/G3103</x:f>
        <x:v>0.07962830869450989</x:v>
      </x:c>
      <x:c r="O3103" s="13" t="n">
        <x:f>F3103/E3103</x:f>
        <x:v>0</x:v>
      </x:c>
      <x:c r="P3103" s="2" t="str">
        <x:f>IF(AND(E3103&gt;='Итоги'!$F$5,N3103&lt;='Итоги'!$B$5,O3103&gt;='Итоги'!$D$5),"Да","Нет")</x:f>
        <x:v>Нет</x:v>
      </x:c>
    </x:row>
    <x:row r="3104" ht="60" customHeight="1">
      <x:c r="A3104" s="14" t="str">
        <x:v>Аптека</x:v>
      </x:c>
      <x:c r="B3104" s="14" t="str">
        <x:v>Витамины и БАДы</x:v>
      </x:c>
      <x:c r="C3104" s="14" t="str">
        <x:v>Женское здоровье</x:v>
      </x:c>
      <x:c r="D3104" s="14" t="str">
        <x:v>БАД для облегчения климактерических симптомов</x:v>
      </x:c>
      <x:c r="E3104" s="2" t="n">
        <x:v>7</x:v>
      </x:c>
      <x:c r="F3104" s="2" t="n">
        <x:v>0</x:v>
      </x:c>
      <x:c r="G3104" s="12" t="n">
        <x:v>1435060.2067</x:v>
      </x:c>
      <x:c r="H3104" s="12" t="n">
        <x:v>114398.05776378</x:v>
      </x:c>
      <x:c r="I3104" s="13" t="n">
        <x:v>0.0750571428571428</x:v>
      </x:c>
      <x:c r="J3104" s="2" t="n">
        <x:v>1</x:v>
      </x:c>
      <x:c r="K3104" s="2" t="n">
        <x:v>3</x:v>
      </x:c>
      <x:c r="L3104" s="12" t="n">
        <x:v>1452.8952</x:v>
      </x:c>
      <x:c r="M3104" s="13" t="n">
        <x:v>0.4919900268320916</x:v>
      </x:c>
      <x:c r="N3104" s="13" t="n">
        <x:f>H3104/G3104</x:f>
        <x:v>0.07971655630173499</x:v>
      </x:c>
      <x:c r="O3104" s="13" t="n">
        <x:f>F3104/E3104</x:f>
        <x:v>0</x:v>
      </x:c>
      <x:c r="P3104" s="2" t="str">
        <x:f>IF(AND(E3104&gt;='Итоги'!$F$5,N3104&lt;='Итоги'!$B$5,O3104&gt;='Итоги'!$D$5),"Да","Нет")</x:f>
        <x:v>Нет</x:v>
      </x:c>
    </x:row>
    <x:row r="3105" ht="60" customHeight="1">
      <x:c r="A3105" s="14" t="str">
        <x:v>Товары для дома</x:v>
      </x:c>
      <x:c r="B3105" s="14" t="str">
        <x:v>Аксессуары для уборки и стирки</x:v>
      </x:c>
      <x:c r="C3105" s="14" t="str">
        <x:v>Баки, ведра, корзины</x:v>
      </x:c>
      <x:c r="D3105" s="14" t="str">
        <x:v>Ведерко, контейнер для стирального порошка</x:v>
      </x:c>
      <x:c r="E3105" s="2" t="n">
        <x:v>24</x:v>
      </x:c>
      <x:c r="F3105" s="2" t="n">
        <x:v>0</x:v>
      </x:c>
      <x:c r="G3105" s="12" t="n">
        <x:v>2957449.1837</x:v>
      </x:c>
      <x:c r="H3105" s="12" t="n">
        <x:v>235789.29781647</x:v>
      </x:c>
      <x:c r="I3105" s="13" t="n">
        <x:v>0.0855958333333333</x:v>
      </x:c>
      <x:c r="J3105" s="2" t="n">
        <x:v>1</x:v>
      </x:c>
      <x:c r="K3105" s="2" t="n">
        <x:v>9</x:v>
      </x:c>
      <x:c r="L3105" s="12" t="n">
        <x:v>1060.7374</x:v>
      </x:c>
      <x:c r="M3105" s="13" t="n">
        <x:v>0.6219805791214549</x:v>
      </x:c>
      <x:c r="N3105" s="13" t="n">
        <x:f>H3105/G3105</x:f>
        <x:v>0.07972725249719394</x:v>
      </x:c>
      <x:c r="O3105" s="13" t="n">
        <x:f>F3105/E3105</x:f>
        <x:v>0</x:v>
      </x:c>
      <x:c r="P3105" s="2" t="str">
        <x:f>IF(AND(E3105&gt;='Итоги'!$F$5,N3105&lt;='Итоги'!$B$5,O3105&gt;='Итоги'!$D$5),"Да","Нет")</x:f>
        <x:v>Нет</x:v>
      </x:c>
    </x:row>
    <x:row r="3106" ht="60" customHeight="1">
      <x:c r="A3106" s="14" t="str">
        <x:v>Товары для животных</x:v>
      </x:c>
      <x:c r="B3106" s="14" t="str">
        <x:v>Товары для прогулки и дрессировки животных</x:v>
      </x:c>
      <x:c r="C3106" s="14" t="str">
        <x:v>Переноска для животных</x:v>
      </x:c>
      <x:c r="D3106" s="14" t="str">
        <x:v>Переноска для кошек и собак</x:v>
      </x:c>
      <x:c r="E3106" s="2" t="n">
        <x:v>134</x:v>
      </x:c>
      <x:c r="F3106" s="2" t="n">
        <x:v>0</x:v>
      </x:c>
      <x:c r="G3106" s="12" t="n">
        <x:v>19093331.7908</x:v>
      </x:c>
      <x:c r="H3106" s="12" t="n">
        <x:v>1522737.59235978</x:v>
      </x:c>
      <x:c r="I3106" s="13" t="n">
        <x:v>0.0904410447761194</x:v>
      </x:c>
      <x:c r="J3106" s="2" t="n">
        <x:v>35</x:v>
      </x:c>
      <x:c r="K3106" s="2" t="n">
        <x:v>51</x:v>
      </x:c>
      <x:c r="L3106" s="12" t="n">
        <x:v>1875.3649</x:v>
      </x:c>
      <x:c r="M3106" s="13" t="n">
        <x:v>0.2633637546236402</x:v>
      </x:c>
      <x:c r="N3106" s="13" t="n">
        <x:f>H3106/G3106</x:f>
        <x:v>0.079752324478722</x:v>
      </x:c>
      <x:c r="O3106" s="13" t="n">
        <x:f>F3106/E3106</x:f>
        <x:v>0</x:v>
      </x:c>
      <x:c r="P3106" s="2" t="str">
        <x:f>IF(AND(E3106&gt;='Итоги'!$F$5,N3106&lt;='Итоги'!$B$5,O3106&gt;='Итоги'!$D$5),"Да","Нет")</x:f>
        <x:v>Нет</x:v>
      </x:c>
    </x:row>
    <x:row r="3107" ht="60" customHeight="1">
      <x:c r="A3107" s="14" t="str">
        <x:v>Спорт и отдых</x:v>
      </x:c>
      <x:c r="B3107" s="14" t="str">
        <x:v>Тренажеры и фитнес</x:v>
      </x:c>
      <x:c r="C3107" s="14" t="str">
        <x:v>Кросстренинг и тяжёлая атлетика</x:v>
      </x:c>
      <x:c r="D3107" s="14" t="str">
        <x:v>Жилет-утяжелитель для кросстренинга</x:v>
      </x:c>
      <x:c r="E3107" s="2" t="n">
        <x:v>4</x:v>
      </x:c>
      <x:c r="F3107" s="2" t="n">
        <x:v>0</x:v>
      </x:c>
      <x:c r="G3107" s="12" t="n">
        <x:v>380302.7774</x:v>
      </x:c>
      <x:c r="H3107" s="12" t="n">
        <x:v>30335.634490680004</x:v>
      </x:c>
      <x:c r="I3107" s="13" t="n">
        <x:v>0.068625</x:v>
      </x:c>
      <x:c r="J3107" s="2" t="n">
        <x:v>2</x:v>
      </x:c>
      <x:c r="K3107" s="2" t="n">
        <x:v>3</x:v>
      </x:c>
      <x:c r="L3107" s="12" t="n">
        <x:v>8114.31945</x:v>
      </x:c>
      <x:c r="M3107" s="13" t="n">
        <x:v>0.4189030674168302</x:v>
      </x:c>
      <x:c r="N3107" s="13" t="n">
        <x:f>H3107/G3107</x:f>
        <x:v>0.0797670600726988</x:v>
      </x:c>
      <x:c r="O3107" s="13" t="n">
        <x:f>F3107/E3107</x:f>
        <x:v>0</x:v>
      </x:c>
      <x:c r="P3107" s="2" t="str">
        <x:f>IF(AND(E3107&gt;='Итоги'!$F$5,N3107&lt;='Итоги'!$B$5,O3107&gt;='Итоги'!$D$5),"Да","Нет")</x:f>
        <x:v>Нет</x:v>
      </x:c>
    </x:row>
    <x:row r="3108" ht="60" customHeight="1">
      <x:c r="A3108" s="14" t="str">
        <x:v>Товары для детей и спорта</x:v>
      </x:c>
      <x:c r="B3108" s="14" t="str">
        <x:v>Спорт детский</x:v>
      </x:c>
      <x:c r="C3108" s="14" t="str">
        <x:v>Детский транспорт и аксессуары</x:v>
      </x:c>
      <x:c r="D3108" s="14" t="str">
        <x:v>Электромобиль детский</x:v>
      </x:c>
      <x:c r="E3108" s="2" t="n">
        <x:v>39</x:v>
      </x:c>
      <x:c r="F3108" s="2" t="n">
        <x:v>0</x:v>
      </x:c>
      <x:c r="G3108" s="12" t="n">
        <x:v>4806042.6081</x:v>
      </x:c>
      <x:c r="H3108" s="12" t="n">
        <x:v>383392.25886431</x:v>
      </x:c>
      <x:c r="I3108" s="13" t="n">
        <x:v>0.0748205128205128</x:v>
      </x:c>
      <x:c r="J3108" s="2" t="n">
        <x:v>6</x:v>
      </x:c>
      <x:c r="K3108" s="2" t="n">
        <x:v>6</x:v>
      </x:c>
      <x:c r="L3108" s="12" t="n">
        <x:v>13419.25</x:v>
      </x:c>
      <x:c r="M3108" s="13" t="n">
        <x:v>0.3517265817516921</x:v>
      </x:c>
      <x:c r="N3108" s="13" t="n">
        <x:f>H3108/G3108</x:f>
        <x:v>0.07977296294005988</x:v>
      </x:c>
      <x:c r="O3108" s="13" t="n">
        <x:f>F3108/E3108</x:f>
        <x:v>0</x:v>
      </x:c>
      <x:c r="P3108" s="2" t="str">
        <x:f>IF(AND(E3108&gt;='Итоги'!$F$5,N3108&lt;='Итоги'!$B$5,O3108&gt;='Итоги'!$D$5),"Да","Нет")</x:f>
        <x:v>Нет</x:v>
      </x:c>
    </x:row>
    <x:row r="3109" ht="60" customHeight="1">
      <x:c r="A3109" s="14" t="str">
        <x:v>Товары для дома</x:v>
      </x:c>
      <x:c r="B3109" s="14" t="str">
        <x:v>Интерьер и декор</x:v>
      </x:c>
      <x:c r="C3109" s="14" t="str">
        <x:v>Украшение интерьера</x:v>
      </x:c>
      <x:c r="D3109" s="14" t="str">
        <x:v>Украшение декоративное интерьерное</x:v>
      </x:c>
      <x:c r="E3109" s="2" t="n">
        <x:v>12</x:v>
      </x:c>
      <x:c r="F3109" s="2" t="n">
        <x:v>0</x:v>
      </x:c>
      <x:c r="G3109" s="12" t="n">
        <x:v>1041324.9287</x:v>
      </x:c>
      <x:c r="H3109" s="12" t="n">
        <x:v>83108.361056</x:v>
      </x:c>
      <x:c r="I3109" s="13" t="n">
        <x:v>0.06985</x:v>
      </x:c>
      <x:c r="J3109" s="2" t="n">
        <x:v>6</x:v>
      </x:c>
      <x:c r="K3109" s="2" t="n">
        <x:v>5</x:v>
      </x:c>
      <x:c r="L3109" s="12" t="n">
        <x:v>5696.58595</x:v>
      </x:c>
      <x:c r="M3109" s="13" t="n">
        <x:v>0.7235329798937906</x:v>
      </x:c>
      <x:c r="N3109" s="13" t="n">
        <x:f>H3109/G3109</x:f>
        <x:v>0.07981020982543198</x:v>
      </x:c>
      <x:c r="O3109" s="13" t="n">
        <x:f>F3109/E3109</x:f>
        <x:v>0</x:v>
      </x:c>
      <x:c r="P3109" s="2" t="str">
        <x:f>IF(AND(E3109&gt;='Итоги'!$F$5,N3109&lt;='Итоги'!$B$5,O3109&gt;='Итоги'!$D$5),"Да","Нет")</x:f>
        <x:v>Нет</x:v>
      </x:c>
    </x:row>
    <x:row r="3110" ht="60" customHeight="1">
      <x:c r="A3110" s="14" t="str">
        <x:v>Спорт и отдых</x:v>
      </x:c>
      <x:c r="B3110" s="14" t="str">
        <x:v>Тренажеры и фитнес</x:v>
      </x:c>
      <x:c r="C3110" s="14" t="str">
        <x:v>Мини тренажеры</x:v>
      </x:c>
      <x:c r="D3110" s="14" t="str">
        <x:v>Мини-велотренажер</x:v>
      </x:c>
      <x:c r="E3110" s="2" t="n">
        <x:v>17</x:v>
      </x:c>
      <x:c r="F3110" s="2" t="n">
        <x:v>0</x:v>
      </x:c>
      <x:c r="G3110" s="12" t="n">
        <x:v>2637387.3079</x:v>
      </x:c>
      <x:c r="H3110" s="12" t="n">
        <x:v>210518.29501793</x:v>
      </x:c>
      <x:c r="I3110" s="13" t="n">
        <x:v>0.0710529411764705</x:v>
      </x:c>
      <x:c r="J3110" s="2" t="n">
        <x:v>3</x:v>
      </x:c>
      <x:c r="K3110" s="2" t="n">
        <x:v>9</x:v>
      </x:c>
      <x:c r="L3110" s="12" t="n">
        <x:v>2064.4038</x:v>
      </x:c>
      <x:c r="M3110" s="13" t="n">
        <x:v>0.4193698222809288</x:v>
      </x:c>
      <x:c r="N3110" s="13" t="n">
        <x:f>H3110/G3110</x:f>
        <x:v>0.0798207735311935</x:v>
      </x:c>
      <x:c r="O3110" s="13" t="n">
        <x:f>F3110/E3110</x:f>
        <x:v>0</x:v>
      </x:c>
      <x:c r="P3110" s="2" t="str">
        <x:f>IF(AND(E3110&gt;='Итоги'!$F$5,N3110&lt;='Итоги'!$B$5,O3110&gt;='Итоги'!$D$5),"Да","Нет")</x:f>
        <x:v>Нет</x:v>
      </x:c>
    </x:row>
    <x:row r="3111" ht="60" customHeight="1">
      <x:c r="A3111" s="14" t="str">
        <x:v>Хобби и творчество</x:v>
      </x:c>
      <x:c r="B3111" s="14" t="str">
        <x:v>Взрослое творчество и хобби</x:v>
      </x:c>
      <x:c r="C3111" s="14" t="str">
        <x:v>Вязание</x:v>
      </x:c>
      <x:c r="D3111" s="14" t="str">
        <x:v>Тафтинговое оборудование</x:v>
      </x:c>
      <x:c r="E3111" s="2" t="n">
        <x:v>3</x:v>
      </x:c>
      <x:c r="F3111" s="2" t="n">
        <x:v>0</x:v>
      </x:c>
      <x:c r="G3111" s="12" t="n">
        <x:v>349299.53</x:v>
      </x:c>
      <x:c r="H3111" s="12" t="n">
        <x:v>27887.832713</x:v>
      </x:c>
      <x:c r="I3111" s="13" t="n">
        <x:v>0.0778</x:v>
      </x:c>
      <x:c r="J3111" s="2" t="n">
        <x:v>0</x:v>
      </x:c>
      <x:c r="K3111" s="2" t="n">
        <x:v>2</x:v>
      </x:c>
      <x:c r="L3111" s="12" t="n">
        <x:v>7099.1333</x:v>
      </x:c>
      <x:c r="M3111" s="13" t="n">
        <x:v>0.6395657045401693</x:v>
      </x:c>
      <x:c r="N3111" s="13" t="n">
        <x:f>H3111/G3111</x:f>
        <x:v>0.07983930786565901</x:v>
      </x:c>
      <x:c r="O3111" s="13" t="n">
        <x:f>F3111/E3111</x:f>
        <x:v>0</x:v>
      </x:c>
      <x:c r="P3111" s="2" t="str">
        <x:f>IF(AND(E3111&gt;='Итоги'!$F$5,N3111&lt;='Итоги'!$B$5,O3111&gt;='Итоги'!$D$5),"Да","Нет")</x:f>
        <x:v>Нет</x:v>
      </x:c>
    </x:row>
    <x:row r="3112" ht="60" customHeight="1">
      <x:c r="A3112" s="14" t="str">
        <x:v>Аудио и видеотехника</x:v>
      </x:c>
      <x:c r="B3112" s="14" t="str">
        <x:v>Домашняя Аудио и Видеотехника TV&amp;Audio</x:v>
      </x:c>
      <x:c r="C3112" s="14" t="str">
        <x:v>Музыкальные инструменты TV&amp;Audio</x:v>
      </x:c>
      <x:c r="D3112" s="14" t="str">
        <x:v>Студийная звуковая карта PRO</x:v>
      </x:c>
      <x:c r="E3112" s="2" t="n">
        <x:v>5</x:v>
      </x:c>
      <x:c r="F3112" s="2" t="n">
        <x:v>0</x:v>
      </x:c>
      <x:c r="G3112" s="12" t="n">
        <x:v>1366229.0251</x:v>
      </x:c>
      <x:c r="H3112" s="12" t="n">
        <x:v>109141.32178468</x:v>
      </x:c>
      <x:c r="I3112" s="13" t="n">
        <x:v>0.0321</x:v>
      </x:c>
      <x:c r="J3112" s="2" t="n">
        <x:v>3</x:v>
      </x:c>
      <x:c r="K3112" s="2" t="n">
        <x:v>4</x:v>
      </x:c>
      <x:c r="L3112" s="12" t="n">
        <x:v>16823.5556</x:v>
      </x:c>
      <x:c r="M3112" s="13" t="n">
        <x:v>0.5407870946424383</x:v>
      </x:c>
      <x:c r="N3112" s="13" t="n">
        <x:f>H3112/G3112</x:f>
        <x:v>0.07988508498909361</x:v>
      </x:c>
      <x:c r="O3112" s="13" t="n">
        <x:f>F3112/E3112</x:f>
        <x:v>0</x:v>
      </x:c>
      <x:c r="P3112" s="2" t="str">
        <x:f>IF(AND(E3112&gt;='Итоги'!$F$5,N3112&lt;='Итоги'!$B$5,O3112&gt;='Итоги'!$D$5),"Да","Нет")</x:f>
        <x:v>Нет</x:v>
      </x:c>
    </x:row>
    <x:row r="3113" ht="60" customHeight="1">
      <x:c r="A3113" s="14" t="str">
        <x:v>Спорт и отдых</x:v>
      </x:c>
      <x:c r="B3113" s="14" t="str">
        <x:v>Колесный транспорт</x:v>
      </x:c>
      <x:c r="C3113" s="14" t="str">
        <x:v>Запчасти для велосипеда</x:v>
      </x:c>
      <x:c r="D3113" s="14" t="str">
        <x:v>Седло, подседельный штырь для велосипеда</x:v>
      </x:c>
      <x:c r="E3113" s="2" t="n">
        <x:v>47</x:v>
      </x:c>
      <x:c r="F3113" s="2" t="n">
        <x:v>0</x:v>
      </x:c>
      <x:c r="G3113" s="12" t="n">
        <x:v>8872486.5171</x:v>
      </x:c>
      <x:c r="H3113" s="12" t="n">
        <x:v>708795.11565801</x:v>
      </x:c>
      <x:c r="I3113" s="13" t="n">
        <x:v>0.0785680851063829</x:v>
      </x:c>
      <x:c r="J3113" s="2" t="n">
        <x:v>8</x:v>
      </x:c>
      <x:c r="K3113" s="2" t="n">
        <x:v>12</x:v>
      </x:c>
      <x:c r="L3113" s="12" t="n">
        <x:v>1023.0557</x:v>
      </x:c>
      <x:c r="M3113" s="13" t="n">
        <x:v>0.4949580936568589</x:v>
      </x:c>
      <x:c r="N3113" s="13" t="n">
        <x:f>H3113/G3113</x:f>
        <x:v>0.07988686308983897</x:v>
      </x:c>
      <x:c r="O3113" s="13" t="n">
        <x:f>F3113/E3113</x:f>
        <x:v>0</x:v>
      </x:c>
      <x:c r="P3113" s="2" t="str">
        <x:f>IF(AND(E3113&gt;='Итоги'!$F$5,N3113&lt;='Итоги'!$B$5,O3113&gt;='Итоги'!$D$5),"Да","Нет")</x:f>
        <x:v>Нет</x:v>
      </x:c>
    </x:row>
    <x:row r="3114" ht="60" customHeight="1">
      <x:c r="A3114" s="14" t="str">
        <x:v>Игрушки</x:v>
      </x:c>
      <x:c r="B3114" s="14" t="str">
        <x:v>Игрушки</x:v>
      </x:c>
      <x:c r="C3114" s="14" t="str">
        <x:v>Фигурки, трансформеры</x:v>
      </x:c>
      <x:c r="D3114" s="14" t="str">
        <x:v>Фигурки и аксессуары</x:v>
      </x:c>
      <x:c r="E3114" s="2" t="n">
        <x:v>142</x:v>
      </x:c>
      <x:c r="F3114" s="2" t="n">
        <x:v>0</x:v>
      </x:c>
      <x:c r="G3114" s="12" t="n">
        <x:v>13914626.8605</x:v>
      </x:c>
      <x:c r="H3114" s="12" t="n">
        <x:v>1111631.46284554</x:v>
      </x:c>
      <x:c r="I3114" s="13" t="n">
        <x:v>0.0743507042253521</x:v>
      </x:c>
      <x:c r="J3114" s="2" t="n">
        <x:v>47</x:v>
      </x:c>
      <x:c r="K3114" s="2" t="n">
        <x:v>38</x:v>
      </x:c>
      <x:c r="L3114" s="12" t="n">
        <x:v>1875.71</x:v>
      </x:c>
      <x:c r="M3114" s="13" t="n">
        <x:v>0.4838039920862166</x:v>
      </x:c>
      <x:c r="N3114" s="13" t="n">
        <x:f>H3114/G3114</x:f>
        <x:v>0.07988941952882488</x:v>
      </x:c>
      <x:c r="O3114" s="13" t="n">
        <x:f>F3114/E3114</x:f>
        <x:v>0</x:v>
      </x:c>
      <x:c r="P3114" s="2" t="str">
        <x:f>IF(AND(E3114&gt;='Итоги'!$F$5,N3114&lt;='Итоги'!$B$5,O3114&gt;='Итоги'!$D$5),"Да","Нет")</x:f>
        <x:v>Нет</x:v>
      </x:c>
    </x:row>
    <x:row r="3115" ht="60" customHeight="1">
      <x:c r="A3115" s="14" t="str">
        <x:v>Товары для дома</x:v>
      </x:c>
      <x:c r="B3115" s="14" t="str">
        <x:v>Интерьер и декор</x:v>
      </x:c>
      <x:c r="C3115" s="14" t="str">
        <x:v>Украшение интерьера</x:v>
      </x:c>
      <x:c r="D3115" s="14" t="str">
        <x:v>Держатель для бутылок</x:v>
      </x:c>
      <x:c r="E3115" s="2" t="n">
        <x:v>13</x:v>
      </x:c>
      <x:c r="F3115" s="2" t="n">
        <x:v>0</x:v>
      </x:c>
      <x:c r="G3115" s="12" t="n">
        <x:v>1630746.7355</x:v>
      </x:c>
      <x:c r="H3115" s="12" t="n">
        <x:v>130298.47356025</x:v>
      </x:c>
      <x:c r="I3115" s="13" t="n">
        <x:v>0.0734923076923076</x:v>
      </x:c>
      <x:c r="J3115" s="2" t="n">
        <x:v>3</x:v>
      </x:c>
      <x:c r="K3115" s="2" t="n">
        <x:v>4</x:v>
      </x:c>
      <x:c r="L3115" s="12" t="n">
        <x:v>2261.8743</x:v>
      </x:c>
      <x:c r="M3115" s="13" t="n">
        <x:v>0.7914596312861973</x:v>
      </x:c>
      <x:c r="N3115" s="13" t="n">
        <x:f>H3115/G3115</x:f>
        <x:v>0.07990110954923939</x:v>
      </x:c>
      <x:c r="O3115" s="13" t="n">
        <x:f>F3115/E3115</x:f>
        <x:v>0</x:v>
      </x:c>
      <x:c r="P3115" s="2" t="str">
        <x:f>IF(AND(E3115&gt;='Итоги'!$F$5,N3115&lt;='Итоги'!$B$5,O3115&gt;='Итоги'!$D$5),"Да","Нет")</x:f>
        <x:v>Нет</x:v>
      </x:c>
    </x:row>
    <x:row r="3116" ht="60" customHeight="1">
      <x:c r="A3116" s="14" t="str">
        <x:v>Ноутбуки и компьютеры</x:v>
      </x:c>
      <x:c r="B3116" s="14" t="str">
        <x:v>Расходный материал для электроники Lap&amp;Comp</x:v>
      </x:c>
      <x:c r="C3116" s="14" t="str">
        <x:v>Расходный материал для электроники Lap&amp;Comp</x:v>
      </x:c>
      <x:c r="D3116" s="14" t="str">
        <x:v>Фотобумага, бумага для лазерной печати</x:v>
      </x:c>
      <x:c r="E3116" s="2" t="n">
        <x:v>13</x:v>
      </x:c>
      <x:c r="F3116" s="2" t="n">
        <x:v>0</x:v>
      </x:c>
      <x:c r="G3116" s="12" t="n">
        <x:v>3612393.3574</x:v>
      </x:c>
      <x:c r="H3116" s="12" t="n">
        <x:v>288670.48088497</x:v>
      </x:c>
      <x:c r="I3116" s="13" t="n">
        <x:v>0.0525076923076923</x:v>
      </x:c>
      <x:c r="J3116" s="2" t="n">
        <x:v>6</x:v>
      </x:c>
      <x:c r="K3116" s="2" t="n">
        <x:v>5</x:v>
      </x:c>
      <x:c r="L3116" s="12" t="n">
        <x:v>1426.8089</x:v>
      </x:c>
      <x:c r="M3116" s="13" t="n">
        <x:v>0.8769308505704982</x:v>
      </x:c>
      <x:c r="N3116" s="13" t="n">
        <x:f>H3116/G3116</x:f>
        <x:v>0.079911142648302</x:v>
      </x:c>
      <x:c r="O3116" s="13" t="n">
        <x:f>F3116/E3116</x:f>
        <x:v>0</x:v>
      </x:c>
      <x:c r="P3116" s="2" t="str">
        <x:f>IF(AND(E3116&gt;='Итоги'!$F$5,N3116&lt;='Итоги'!$B$5,O3116&gt;='Итоги'!$D$5),"Да","Нет")</x:f>
        <x:v>Нет</x:v>
      </x:c>
    </x:row>
    <x:row r="3117" ht="60" customHeight="1">
      <x:c r="A3117" s="14" t="str">
        <x:v>Мебель</x:v>
      </x:c>
      <x:c r="B3117" s="14" t="str">
        <x:v>Компьютерная и офисная мебель</x:v>
      </x:c>
      <x:c r="C3117" s="14" t="str">
        <x:v>Компьютерный, офисный столы</x:v>
      </x:c>
      <x:c r="D3117" s="14" t="str">
        <x:v>Столик для ноутбука</x:v>
      </x:c>
      <x:c r="E3117" s="2" t="n">
        <x:v>46</x:v>
      </x:c>
      <x:c r="F3117" s="2" t="n">
        <x:v>0</x:v>
      </x:c>
      <x:c r="G3117" s="12" t="n">
        <x:v>8110065.8738</x:v>
      </x:c>
      <x:c r="H3117" s="12" t="n">
        <x:v>648792.21193407</x:v>
      </x:c>
      <x:c r="I3117" s="13" t="n">
        <x:v>0.0763065217391304</x:v>
      </x:c>
      <x:c r="J3117" s="2" t="n">
        <x:v>7</x:v>
      </x:c>
      <x:c r="K3117" s="2" t="n">
        <x:v>11</x:v>
      </x:c>
      <x:c r="L3117" s="12" t="n">
        <x:v>1975.7532</x:v>
      </x:c>
      <x:c r="M3117" s="13" t="n">
        <x:v>0.6932659559601813</x:v>
      </x:c>
      <x:c r="N3117" s="13" t="n">
        <x:f>H3117/G3117</x:f>
        <x:v>0.0799983899058117</x:v>
      </x:c>
      <x:c r="O3117" s="13" t="n">
        <x:f>F3117/E3117</x:f>
        <x:v>0</x:v>
      </x:c>
      <x:c r="P3117" s="2" t="str">
        <x:f>IF(AND(E3117&gt;='Итоги'!$F$5,N3117&lt;='Итоги'!$B$5,O3117&gt;='Итоги'!$D$5),"Да","Нет")</x:f>
        <x:v>Нет</x:v>
      </x:c>
    </x:row>
    <x:row r="3118" ht="60" customHeight="1">
      <x:c r="A3118" s="14" t="str">
        <x:v>Одежда</x:v>
      </x:c>
      <x:c r="B3118" s="14" t="str">
        <x:v>Белье, домашняя одежда и ЧНИ</x:v>
      </x:c>
      <x:c r="C3118" s="14" t="str">
        <x:v>Белье для беременных и кормящих</x:v>
      </x:c>
      <x:c r="D3118" s="14" t="str">
        <x:v>Комплект белья для беременных и кормящих</x:v>
      </x:c>
      <x:c r="E3118" s="2" t="n">
        <x:v>12</x:v>
      </x:c>
      <x:c r="F3118" s="2" t="n">
        <x:v>0</x:v>
      </x:c>
      <x:c r="G3118" s="12" t="n">
        <x:v>1369212.8588</x:v>
      </x:c>
      <x:c r="H3118" s="12" t="n">
        <x:v>109608.31977012</x:v>
      </x:c>
      <x:c r="I3118" s="13" t="n">
        <x:v>0.0854166666666666</x:v>
      </x:c>
      <x:c r="J3118" s="2" t="n">
        <x:v>1</x:v>
      </x:c>
      <x:c r="K3118" s="2" t="n">
        <x:v>3</x:v>
      </x:c>
      <x:c r="L3118" s="12" t="n">
        <x:v>895.76685</x:v>
      </x:c>
      <x:c r="M3118" s="13" t="n">
        <x:v>0.6824402199369703</x:v>
      </x:c>
      <x:c r="N3118" s="13" t="n">
        <x:f>H3118/G3118</x:f>
        <x:v>0.08005206719003681</x:v>
      </x:c>
      <x:c r="O3118" s="13" t="n">
        <x:f>F3118/E3118</x:f>
        <x:v>0</x:v>
      </x:c>
      <x:c r="P3118" s="2" t="str">
        <x:f>IF(AND(E3118&gt;='Итоги'!$F$5,N3118&lt;='Итоги'!$B$5,O3118&gt;='Итоги'!$D$5),"Да","Нет")</x:f>
        <x:v>Нет</x:v>
      </x:c>
    </x:row>
    <x:row r="3119" ht="60" customHeight="1">
      <x:c r="A3119" s="14" t="str">
        <x:v>Детская одежда</x:v>
      </x:c>
      <x:c r="B3119" s="14" t="str">
        <x:v>Детская одежда</x:v>
      </x:c>
      <x:c r="C3119" s="14" t="str">
        <x:v>Головные уборы, перчатки, шарфы для мальчика</x:v>
      </x:c>
      <x:c r="D3119" s="14" t="str">
        <x:v>Бейсболка для мальчика</x:v>
      </x:c>
      <x:c r="E3119" s="2" t="n">
        <x:v>6</x:v>
      </x:c>
      <x:c r="F3119" s="2" t="n">
        <x:v>0</x:v>
      </x:c>
      <x:c r="G3119" s="12" t="n">
        <x:v>432601.92</x:v>
      </x:c>
      <x:c r="H3119" s="12" t="n">
        <x:v>34656.807392999995</x:v>
      </x:c>
      <x:c r="I3119" s="13" t="n">
        <x:v>0.0608833333333333</x:v>
      </x:c>
      <x:c r="J3119" s="2" t="n">
        <x:v>2</x:v>
      </x:c>
      <x:c r="K3119" s="2" t="n">
        <x:v>3</x:v>
      </x:c>
      <x:c r="L3119" s="12" t="n">
        <x:v>1008.4945</x:v>
      </x:c>
      <x:c r="M3119" s="13" t="n">
        <x:v>0.5996654846099619</x:v>
      </x:c>
      <x:c r="N3119" s="13" t="n">
        <x:f>H3119/G3119</x:f>
        <x:v>0.08011246781567681</x:v>
      </x:c>
      <x:c r="O3119" s="13" t="n">
        <x:f>F3119/E3119</x:f>
        <x:v>0</x:v>
      </x:c>
      <x:c r="P3119" s="2" t="str">
        <x:f>IF(AND(E3119&gt;='Итоги'!$F$5,N3119&lt;='Итоги'!$B$5,O3119&gt;='Итоги'!$D$5),"Да","Нет")</x:f>
        <x:v>Нет</x:v>
      </x:c>
    </x:row>
    <x:row r="3120" ht="60" customHeight="1">
      <x:c r="A3120" s="14" t="str">
        <x:v>Товары для дома</x:v>
      </x:c>
      <x:c r="B3120" s="14" t="str">
        <x:v>Аксессуары для уборки и стирки</x:v>
      </x:c>
      <x:c r="C3120" s="14" t="str">
        <x:v>Аксессуар для уборки</x:v>
      </x:c>
      <x:c r="D3120" s="14" t="str">
        <x:v>Салфетка, набор салфеток для уборки</x:v>
      </x:c>
      <x:c r="E3120" s="2" t="n">
        <x:v>25</x:v>
      </x:c>
      <x:c r="F3120" s="2" t="n">
        <x:v>0</x:v>
      </x:c>
      <x:c r="G3120" s="12" t="n">
        <x:v>3765828.2742</x:v>
      </x:c>
      <x:c r="H3120" s="12" t="n">
        <x:v>301772.25482123</x:v>
      </x:c>
      <x:c r="I3120" s="13" t="n">
        <x:v>0.063636</x:v>
      </x:c>
      <x:c r="J3120" s="2" t="n">
        <x:v>4</x:v>
      </x:c>
      <x:c r="K3120" s="2" t="n">
        <x:v>14</x:v>
      </x:c>
      <x:c r="L3120" s="12" t="n">
        <x:v>1216.8883</x:v>
      </x:c>
      <x:c r="M3120" s="13" t="n">
        <x:v>0.197154234325176</x:v>
      </x:c>
      <x:c r="N3120" s="13" t="n">
        <x:f>H3120/G3120</x:f>
        <x:v>0.0801343643013933</x:v>
      </x:c>
      <x:c r="O3120" s="13" t="n">
        <x:f>F3120/E3120</x:f>
        <x:v>0</x:v>
      </x:c>
      <x:c r="P3120" s="2" t="str">
        <x:f>IF(AND(E3120&gt;='Итоги'!$F$5,N3120&lt;='Итоги'!$B$5,O3120&gt;='Итоги'!$D$5),"Да","Нет")</x:f>
        <x:v>Нет</x:v>
      </x:c>
    </x:row>
    <x:row r="3121" ht="60" customHeight="1">
      <x:c r="A3121" s="14" t="str">
        <x:v>Строительство и ремонт (DIY)</x:v>
      </x:c>
      <x:c r="B3121" s="14" t="str">
        <x:v>Ремонт и строительство</x:v>
      </x:c>
      <x:c r="C3121" s="14" t="str">
        <x:v>Вентиляционные системы</x:v>
      </x:c>
      <x:c r="D3121" s="14" t="str">
        <x:v>Расходные материалы для вентиляции</x:v>
      </x:c>
      <x:c r="E3121" s="2" t="n">
        <x:v>2</x:v>
      </x:c>
      <x:c r="F3121" s="2" t="n">
        <x:v>0</x:v>
      </x:c>
      <x:c r="G3121" s="12" t="n">
        <x:v>161625.4062</x:v>
      </x:c>
      <x:c r="H3121" s="12" t="n">
        <x:v>12967.22948736</x:v>
      </x:c>
      <x:c r="I3121" s="13" t="n">
        <x:v>0.1301</x:v>
      </x:c>
      <x:c r="J3121" s="2" t="n">
        <x:v>0</x:v>
      </x:c>
      <x:c r="K3121" s="2" t="n">
        <x:v>2</x:v>
      </x:c>
      <x:c r="L3121" s="12" t="n">
        <x:v>1949.431</x:v>
      </x:c>
      <x:c r="M3121" s="13" t="n">
        <x:v>0.7032186502866775</x:v>
      </x:c>
      <x:c r="N3121" s="13" t="n">
        <x:f>H3121/G3121</x:f>
        <x:v>0.08023014321964934</x:v>
      </x:c>
      <x:c r="O3121" s="13" t="n">
        <x:f>F3121/E3121</x:f>
        <x:v>0</x:v>
      </x:c>
      <x:c r="P3121" s="2" t="str">
        <x:f>IF(AND(E3121&gt;='Итоги'!$F$5,N3121&lt;='Итоги'!$B$5,O3121&gt;='Итоги'!$D$5),"Да","Нет")</x:f>
        <x:v>Нет</x:v>
      </x:c>
    </x:row>
    <x:row r="3122" ht="60" customHeight="1">
      <x:c r="A3122" s="14" t="str">
        <x:v>Товары для животных</x:v>
      </x:c>
      <x:c r="B3122" s="14" t="str">
        <x:v>Спальное место животного</x:v>
      </x:c>
      <x:c r="C3122" s="14" t="str">
        <x:v>Аквариум</x:v>
      </x:c>
      <x:c r="D3122" s="14" t="str">
        <x:v>Аквариум</x:v>
      </x:c>
      <x:c r="E3122" s="2" t="n">
        <x:v>20</x:v>
      </x:c>
      <x:c r="F3122" s="2" t="n">
        <x:v>0</x:v>
      </x:c>
      <x:c r="G3122" s="12" t="n">
        <x:v>1970033.6566</x:v>
      </x:c>
      <x:c r="H3122" s="12" t="n">
        <x:v>158057.1818397</x:v>
      </x:c>
      <x:c r="I3122" s="13" t="n">
        <x:v>0.049865</x:v>
      </x:c>
      <x:c r="J3122" s="2" t="n">
        <x:v>10</x:v>
      </x:c>
      <x:c r="K3122" s="2" t="n">
        <x:v>3</x:v>
      </x:c>
      <x:c r="L3122" s="12" t="n">
        <x:v>2377.50205</x:v>
      </x:c>
      <x:c r="M3122" s="13" t="n">
        <x:v>0.731695750613604</x:v>
      </x:c>
      <x:c r="N3122" s="13" t="n">
        <x:f>H3122/G3122</x:f>
        <x:v>0.08023070129293343</x:v>
      </x:c>
      <x:c r="O3122" s="13" t="n">
        <x:f>F3122/E3122</x:f>
        <x:v>0</x:v>
      </x:c>
      <x:c r="P3122" s="2" t="str">
        <x:f>IF(AND(E3122&gt;='Итоги'!$F$5,N3122&lt;='Итоги'!$B$5,O3122&gt;='Итоги'!$D$5),"Да","Нет")</x:f>
        <x:v>Нет</x:v>
      </x:c>
    </x:row>
    <x:row r="3123" ht="60" customHeight="1">
      <x:c r="A3123" s="14" t="str">
        <x:v>Строительство и ремонт (DIY)</x:v>
      </x:c>
      <x:c r="B3123" s="14" t="str">
        <x:v>Ремонт и строительство</x:v>
      </x:c>
      <x:c r="C3123" s="14" t="str">
        <x:v>Скобяные изделия</x:v>
      </x:c>
      <x:c r="D3123" s="14" t="str">
        <x:v>Система выравнивания, крестики для плитки</x:v>
      </x:c>
      <x:c r="E3123" s="2" t="n">
        <x:v>26</x:v>
      </x:c>
      <x:c r="F3123" s="2" t="n">
        <x:v>0</x:v>
      </x:c>
      <x:c r="G3123" s="12" t="n">
        <x:v>4459720.0662</x:v>
      </x:c>
      <x:c r="H3123" s="12" t="n">
        <x:v>358042.21867264</x:v>
      </x:c>
      <x:c r="I3123" s="13" t="n">
        <x:v>0.0860499999999999</x:v>
      </x:c>
      <x:c r="J3123" s="2" t="n">
        <x:v>4</x:v>
      </x:c>
      <x:c r="K3123" s="2" t="n">
        <x:v>8</x:v>
      </x:c>
      <x:c r="L3123" s="12" t="n">
        <x:v>1066.3378</x:v>
      </x:c>
      <x:c r="M3123" s="13" t="n">
        <x:v>0.2691478933391355</x:v>
      </x:c>
      <x:c r="N3123" s="13" t="n">
        <x:f>H3123/G3123</x:f>
        <x:v>0.08028356339812097</x:v>
      </x:c>
      <x:c r="O3123" s="13" t="n">
        <x:f>F3123/E3123</x:f>
        <x:v>0</x:v>
      </x:c>
      <x:c r="P3123" s="2" t="str">
        <x:f>IF(AND(E3123&gt;='Итоги'!$F$5,N3123&lt;='Итоги'!$B$5,O3123&gt;='Итоги'!$D$5),"Да","Нет")</x:f>
        <x:v>Нет</x:v>
      </x:c>
    </x:row>
    <x:row r="3124" ht="60" customHeight="1">
      <x:c r="A3124" s="14" t="str">
        <x:v>Спорт и отдых</x:v>
      </x:c>
      <x:c r="B3124" s="14" t="str">
        <x:v>Товары для рыбалки</x:v>
      </x:c>
      <x:c r="C3124" s="14" t="str">
        <x:v>Эхолоты</x:v>
      </x:c>
      <x:c r="D3124" s="14" t="str">
        <x:v>Эхолот</x:v>
      </x:c>
      <x:c r="E3124" s="2" t="n">
        <x:v>58</x:v>
      </x:c>
      <x:c r="F3124" s="2" t="n">
        <x:v>0</x:v>
      </x:c>
      <x:c r="G3124" s="12" t="n">
        <x:v>11279892.7702</x:v>
      </x:c>
      <x:c r="H3124" s="12" t="n">
        <x:v>906249.80838705</x:v>
      </x:c>
      <x:c r="I3124" s="13" t="n">
        <x:v>0.0778068965517241</x:v>
      </x:c>
      <x:c r="J3124" s="2" t="n">
        <x:v>23</x:v>
      </x:c>
      <x:c r="K3124" s="2" t="n">
        <x:v>25</x:v>
      </x:c>
      <x:c r="L3124" s="12" t="n">
        <x:v>8250.6534</x:v>
      </x:c>
      <x:c r="M3124" s="13" t="n">
        <x:v>0.6907035566670426</x:v>
      </x:c>
      <x:c r="N3124" s="13" t="n">
        <x:f>H3124/G3124</x:f>
        <x:v>0.0803420588164848</x:v>
      </x:c>
      <x:c r="O3124" s="13" t="n">
        <x:f>F3124/E3124</x:f>
        <x:v>0</x:v>
      </x:c>
      <x:c r="P3124" s="2" t="str">
        <x:f>IF(AND(E3124&gt;='Итоги'!$F$5,N3124&lt;='Итоги'!$B$5,O3124&gt;='Итоги'!$D$5),"Да","Нет")</x:f>
        <x:v>Нет</x:v>
      </x:c>
    </x:row>
    <x:row r="3125" ht="60" customHeight="1">
      <x:c r="A3125" s="14" t="str">
        <x:v>Спорт и отдых</x:v>
      </x:c>
      <x:c r="B3125" s="14" t="str">
        <x:v>Туризм</x:v>
      </x:c>
      <x:c r="C3125" s="14" t="str">
        <x:v>Аксессуары для туризма</x:v>
      </x:c>
      <x:c r="D3125" s="14" t="str">
        <x:v>Аксессуары туристические</x:v>
      </x:c>
      <x:c r="E3125" s="2" t="n">
        <x:v>128</x:v>
      </x:c>
      <x:c r="F3125" s="2" t="n">
        <x:v>0</x:v>
      </x:c>
      <x:c r="G3125" s="12" t="n">
        <x:v>18900635.0274</x:v>
      </x:c>
      <x:c r="H3125" s="12" t="n">
        <x:v>1518672.00176612</x:v>
      </x:c>
      <x:c r="I3125" s="13" t="n">
        <x:v>0.0855296875</x:v>
      </x:c>
      <x:c r="J3125" s="2" t="n">
        <x:v>27</x:v>
      </x:c>
      <x:c r="K3125" s="2" t="n">
        <x:v>66</x:v>
      </x:c>
      <x:c r="L3125" s="12" t="n">
        <x:v>1618.6228</x:v>
      </x:c>
      <x:c r="M3125" s="13" t="n">
        <x:v>0.246218965820651</x:v>
      </x:c>
      <x:c r="N3125" s="13" t="n">
        <x:f>H3125/G3125</x:f>
        <x:v>0.08035031624940228</x:v>
      </x:c>
      <x:c r="O3125" s="13" t="n">
        <x:f>F3125/E3125</x:f>
        <x:v>0</x:v>
      </x:c>
      <x:c r="P3125" s="2" t="str">
        <x:f>IF(AND(E3125&gt;='Итоги'!$F$5,N3125&lt;='Итоги'!$B$5,O3125&gt;='Итоги'!$D$5),"Да","Нет")</x:f>
        <x:v>Нет</x:v>
      </x:c>
    </x:row>
    <x:row r="3126" ht="60" customHeight="1">
      <x:c r="A3126" s="14" t="str">
        <x:v>Строительство и ремонт (DIY)</x:v>
      </x:c>
      <x:c r="B3126" s="14" t="str">
        <x:v>Инструменты</x:v>
      </x:c>
      <x:c r="C3126" s="14" t="str">
        <x:v>Инструмент ручной для строительства, ремонта</x:v>
      </x:c>
      <x:c r="D3126" s="14" t="str">
        <x:v>Шпатель</x:v>
      </x:c>
      <x:c r="E3126" s="2" t="n">
        <x:v>28</x:v>
      </x:c>
      <x:c r="F3126" s="2" t="n">
        <x:v>0</x:v>
      </x:c>
      <x:c r="G3126" s="12" t="n">
        <x:v>3564149.9701</x:v>
      </x:c>
      <x:c r="H3126" s="12" t="n">
        <x:v>286423.55570593</x:v>
      </x:c>
      <x:c r="I3126" s="13" t="n">
        <x:v>0.0748321428571428</x:v>
      </x:c>
      <x:c r="J3126" s="2" t="n">
        <x:v>8</x:v>
      </x:c>
      <x:c r="K3126" s="2" t="n">
        <x:v>18</x:v>
      </x:c>
      <x:c r="L3126" s="12" t="n">
        <x:v>1660.88425</x:v>
      </x:c>
      <x:c r="M3126" s="13" t="n">
        <x:v>0.2376959633312597</x:v>
      </x:c>
      <x:c r="N3126" s="13" t="n">
        <x:f>H3126/G3126</x:f>
        <x:v>0.08036237479027679</x:v>
      </x:c>
      <x:c r="O3126" s="13" t="n">
        <x:f>F3126/E3126</x:f>
        <x:v>0</x:v>
      </x:c>
      <x:c r="P3126" s="2" t="str">
        <x:f>IF(AND(E3126&gt;='Итоги'!$F$5,N3126&lt;='Итоги'!$B$5,O3126&gt;='Итоги'!$D$5),"Да","Нет")</x:f>
        <x:v>Нет</x:v>
      </x:c>
    </x:row>
    <x:row r="3127" ht="60" customHeight="1">
      <x:c r="A3127" s="14" t="str">
        <x:v>Мебель</x:v>
      </x:c>
      <x:c r="B3127" s="14" t="str">
        <x:v>Мягкая мебель</x:v>
      </x:c>
      <x:c r="C3127" s="14" t="str">
        <x:v>Пуф, банкетка</x:v>
      </x:c>
      <x:c r="D3127" s="14" t="str">
        <x:v>Банкетки</x:v>
      </x:c>
      <x:c r="E3127" s="2" t="n">
        <x:v>65</x:v>
      </x:c>
      <x:c r="F3127" s="2" t="n">
        <x:v>0</x:v>
      </x:c>
      <x:c r="G3127" s="12" t="n">
        <x:v>9596767.2966</x:v>
      </x:c>
      <x:c r="H3127" s="12" t="n">
        <x:v>771299.31266949</x:v>
      </x:c>
      <x:c r="I3127" s="13" t="n">
        <x:v>0.0755476923076923</x:v>
      </x:c>
      <x:c r="J3127" s="2" t="n">
        <x:v>10</x:v>
      </x:c>
      <x:c r="K3127" s="2" t="n">
        <x:v>11</x:v>
      </x:c>
      <x:c r="L3127" s="12" t="n">
        <x:v>4181.0898</x:v>
      </x:c>
      <x:c r="M3127" s="13" t="n">
        <x:v>0.7797531229762298</x:v>
      </x:c>
      <x:c r="N3127" s="13" t="n">
        <x:f>H3127/G3127</x:f>
        <x:v>0.08037074244185859</x:v>
      </x:c>
      <x:c r="O3127" s="13" t="n">
        <x:f>F3127/E3127</x:f>
        <x:v>0</x:v>
      </x:c>
      <x:c r="P3127" s="2" t="str">
        <x:f>IF(AND(E3127&gt;='Итоги'!$F$5,N3127&lt;='Итоги'!$B$5,O3127&gt;='Итоги'!$D$5),"Да","Нет")</x:f>
        <x:v>Нет</x:v>
      </x:c>
    </x:row>
    <x:row r="3128" ht="60" customHeight="1">
      <x:c r="A3128" s="14" t="str">
        <x:v>Хобби и творчество</x:v>
      </x:c>
      <x:c r="B3128" s="14" t="str">
        <x:v>Взрослое творчество и хобби</x:v>
      </x:c>
      <x:c r="C3128" s="14" t="str">
        <x:v>Настольные игры для взрослых</x:v>
      </x:c>
      <x:c r="D3128" s="14" t="str">
        <x:v>Шахматы для взрослых</x:v>
      </x:c>
      <x:c r="E3128" s="2" t="n">
        <x:v>18</x:v>
      </x:c>
      <x:c r="F3128" s="2" t="n">
        <x:v>0</x:v>
      </x:c>
      <x:c r="G3128" s="12" t="n">
        <x:v>1402575.5264</x:v>
      </x:c>
      <x:c r="H3128" s="12" t="n">
        <x:v>112738.76908107</x:v>
      </x:c>
      <x:c r="I3128" s="13" t="n">
        <x:v>0.0786999999999999</x:v>
      </x:c>
      <x:c r="J3128" s="2" t="n">
        <x:v>4</x:v>
      </x:c>
      <x:c r="K3128" s="2" t="n">
        <x:v>5</x:v>
      </x:c>
      <x:c r="L3128" s="12" t="n">
        <x:v>3137.44335</x:v>
      </x:c>
      <x:c r="M3128" s="13" t="n">
        <x:v>0.549824080190082</x:v>
      </x:c>
      <x:c r="N3128" s="13" t="n">
        <x:f>H3128/G3128</x:f>
        <x:v>0.08037982052234816</x:v>
      </x:c>
      <x:c r="O3128" s="13" t="n">
        <x:f>F3128/E3128</x:f>
        <x:v>0</x:v>
      </x:c>
      <x:c r="P3128" s="2" t="str">
        <x:f>IF(AND(E3128&gt;='Итоги'!$F$5,N3128&lt;='Итоги'!$B$5,O3128&gt;='Итоги'!$D$5),"Да","Нет")</x:f>
        <x:v>Нет</x:v>
      </x:c>
    </x:row>
    <x:row r="3129" ht="60" customHeight="1">
      <x:c r="A3129" s="14" t="str">
        <x:v>Товары для животных</x:v>
      </x:c>
      <x:c r="B3129" s="14" t="str">
        <x:v>Фермерское хозяйство - Оборудование для птицеводства и животноводства</x:v>
      </x:c>
      <x:c r="C3129" s="14" t="str">
        <x:v>Оборудование для убоя и ощипа</x:v>
      </x:c>
      <x:c r="D3129" s="14" t="str">
        <x:v>Перосъемные пальцы</x:v>
      </x:c>
      <x:c r="E3129" s="2" t="n">
        <x:v>7</x:v>
      </x:c>
      <x:c r="F3129" s="2" t="n">
        <x:v>0</x:v>
      </x:c>
      <x:c r="G3129" s="12" t="n">
        <x:v>651166.61</x:v>
      </x:c>
      <x:c r="H3129" s="12" t="n">
        <x:v>52352.242801</x:v>
      </x:c>
      <x:c r="I3129" s="13" t="n">
        <x:v>0.0844571428571428</x:v>
      </x:c>
      <x:c r="J3129" s="2" t="n">
        <x:v>0</x:v>
      </x:c>
      <x:c r="K3129" s="2" t="n">
        <x:v>3</x:v>
      </x:c>
      <x:c r="L3129" s="12" t="n">
        <x:v>1531.58</x:v>
      </x:c>
      <x:c r="M3129" s="13" t="n">
        <x:v>0.6398885993248333</x:v>
      </x:c>
      <x:c r="N3129" s="13" t="n">
        <x:f>H3129/G3129</x:f>
        <x:v>0.08039761559794965</x:v>
      </x:c>
      <x:c r="O3129" s="13" t="n">
        <x:f>F3129/E3129</x:f>
        <x:v>0</x:v>
      </x:c>
      <x:c r="P3129" s="2" t="str">
        <x:f>IF(AND(E3129&gt;='Итоги'!$F$5,N3129&lt;='Итоги'!$B$5,O3129&gt;='Итоги'!$D$5),"Да","Нет")</x:f>
        <x:v>Нет</x:v>
      </x:c>
    </x:row>
    <x:row r="3130" ht="60" customHeight="1">
      <x:c r="A3130" s="14" t="str">
        <x:v>Строительство и ремонт (DIY)</x:v>
      </x:c>
      <x:c r="B3130" s="14" t="str">
        <x:v>Ремонт и строительство</x:v>
      </x:c>
      <x:c r="C3130" s="14" t="str">
        <x:v>Солнечная, ветряная электростанции</x:v>
      </x:c>
      <x:c r="D3130" s="14" t="str">
        <x:v>Солнечная электростанция</x:v>
      </x:c>
      <x:c r="E3130" s="2" t="n">
        <x:v>5</x:v>
      </x:c>
      <x:c r="F3130" s="2" t="n">
        <x:v>0</x:v>
      </x:c>
      <x:c r="G3130" s="12" t="n">
        <x:v>387432</x:v>
      </x:c>
      <x:c r="H3130" s="12" t="n">
        <x:v>31153.7841</x:v>
      </x:c>
      <x:c r="I3130" s="13" t="n">
        <x:v>0.0988599999999999</x:v>
      </x:c>
      <x:c r="J3130" s="2" t="n">
        <x:v>1</x:v>
      </x:c>
      <x:c r="K3130" s="2" t="n">
        <x:v>1</x:v>
      </x:c>
      <x:c r="L3130" s="12" t="n">
        <x:v>8600.9333</x:v>
      </x:c>
      <x:c r="M3130" s="13" t="n">
        <x:v>1</x:v>
      </x:c>
      <x:c r="N3130" s="13" t="n">
        <x:f>H3130/G3130</x:f>
        <x:v>0.08041097302236264</x:v>
      </x:c>
      <x:c r="O3130" s="13" t="n">
        <x:f>F3130/E3130</x:f>
        <x:v>0</x:v>
      </x:c>
      <x:c r="P3130" s="2" t="str">
        <x:f>IF(AND(E3130&gt;='Итоги'!$F$5,N3130&lt;='Итоги'!$B$5,O3130&gt;='Итоги'!$D$5),"Да","Нет")</x:f>
        <x:v>Нет</x:v>
      </x:c>
    </x:row>
    <x:row r="3131" ht="60" customHeight="1">
      <x:c r="A3131" s="14" t="str">
        <x:v>Аксессуары для электроники</x:v>
      </x:c>
      <x:c r="B3131" s="14" t="str">
        <x:v>Электронные аксессуары для дома Access</x:v>
      </x:c>
      <x:c r="C3131" s="14" t="str">
        <x:v>Электронные аксессуары для дома Access</x:v>
      </x:c>
      <x:c r="D3131" s="14" t="str">
        <x:v>Сенсорное мусорное ведро</x:v>
      </x:c>
      <x:c r="E3131" s="2" t="n">
        <x:v>61</x:v>
      </x:c>
      <x:c r="F3131" s="2" t="n">
        <x:v>0</x:v>
      </x:c>
      <x:c r="G3131" s="12" t="n">
        <x:v>7631414.4447</x:v>
      </x:c>
      <x:c r="H3131" s="12" t="n">
        <x:v>613859.66614573</x:v>
      </x:c>
      <x:c r="I3131" s="13" t="n">
        <x:v>0.0794819672131147</x:v>
      </x:c>
      <x:c r="J3131" s="2" t="n">
        <x:v>12</x:v>
      </x:c>
      <x:c r="K3131" s="2" t="n">
        <x:v>16</x:v>
      </x:c>
      <x:c r="L3131" s="12" t="n">
        <x:v>3014.5</x:v>
      </x:c>
      <x:c r="M3131" s="13" t="n">
        <x:v>0.6713345326642656</x:v>
      </x:c>
      <x:c r="N3131" s="13" t="n">
        <x:f>H3131/G3131</x:f>
        <x:v>0.08043851773402952</x:v>
      </x:c>
      <x:c r="O3131" s="13" t="n">
        <x:f>F3131/E3131</x:f>
        <x:v>0</x:v>
      </x:c>
      <x:c r="P3131" s="2" t="str">
        <x:f>IF(AND(E3131&gt;='Итоги'!$F$5,N3131&lt;='Итоги'!$B$5,O3131&gt;='Итоги'!$D$5),"Да","Нет")</x:f>
        <x:v>Нет</x:v>
      </x:c>
    </x:row>
    <x:row r="3132" ht="60" customHeight="1">
      <x:c r="A3132" s="14" t="str">
        <x:v>Мебель</x:v>
      </x:c>
      <x:c r="B3132" s="14" t="str">
        <x:v>Корпусная мебель и мебель для хранения</x:v>
      </x:c>
      <x:c r="C3132" s="14" t="str">
        <x:v>Мебель для кухни</x:v>
      </x:c>
      <x:c r="D3132" s="14" t="str">
        <x:v>Столешница</x:v>
      </x:c>
      <x:c r="E3132" s="2" t="n">
        <x:v>51</x:v>
      </x:c>
      <x:c r="F3132" s="2" t="n">
        <x:v>0</x:v>
      </x:c>
      <x:c r="G3132" s="12" t="n">
        <x:v>4583415.4855</x:v>
      </x:c>
      <x:c r="H3132" s="12" t="n">
        <x:v>368809.76503394</x:v>
      </x:c>
      <x:c r="I3132" s="13" t="n">
        <x:v>0.076613725490196</x:v>
      </x:c>
      <x:c r="J3132" s="2" t="n">
        <x:v>2</x:v>
      </x:c>
      <x:c r="K3132" s="2" t="n">
        <x:v>7</x:v>
      </x:c>
      <x:c r="L3132" s="12" t="n">
        <x:v>7225.3333</x:v>
      </x:c>
      <x:c r="M3132" s="13" t="n">
        <x:v>0.8926624977472817</x:v>
      </x:c>
      <x:c r="N3132" s="13" t="n">
        <x:f>H3132/G3132</x:f>
        <x:v>0.08046614281439225</x:v>
      </x:c>
      <x:c r="O3132" s="13" t="n">
        <x:f>F3132/E3132</x:f>
        <x:v>0</x:v>
      </x:c>
      <x:c r="P3132" s="2" t="str">
        <x:f>IF(AND(E3132&gt;='Итоги'!$F$5,N3132&lt;='Итоги'!$B$5,O3132&gt;='Итоги'!$D$5),"Да","Нет")</x:f>
        <x:v>Нет</x:v>
      </x:c>
    </x:row>
    <x:row r="3133" ht="60" customHeight="1">
      <x:c r="A3133" s="14" t="str">
        <x:v>Мебель</x:v>
      </x:c>
      <x:c r="B3133" s="14" t="str">
        <x:v>Корпусная мебель и мебель для хранения</x:v>
      </x:c>
      <x:c r="C3133" s="14" t="str">
        <x:v>Мебель для ванной комнаты</x:v>
      </x:c>
      <x:c r="D3133" s="14" t="str">
        <x:v>Шкаф, полка для ванной комнаты</x:v>
      </x:c>
      <x:c r="E3133" s="2" t="n">
        <x:v>151</x:v>
      </x:c>
      <x:c r="F3133" s="2" t="n">
        <x:v>0</x:v>
      </x:c>
      <x:c r="G3133" s="12" t="n">
        <x:v>29283054</x:v>
      </x:c>
      <x:c r="H3133" s="12" t="n">
        <x:v>2358944.94025133</x:v>
      </x:c>
      <x:c r="I3133" s="13" t="n">
        <x:v>0.0797390728476821</x:v>
      </x:c>
      <x:c r="J3133" s="2" t="n">
        <x:v>31</x:v>
      </x:c>
      <x:c r="K3133" s="2" t="n">
        <x:v>36</x:v>
      </x:c>
      <x:c r="L3133" s="12" t="n">
        <x:v>3460.6472</x:v>
      </x:c>
      <x:c r="M3133" s="13" t="n">
        <x:v>0.5923899923518906</x:v>
      </x:c>
      <x:c r="N3133" s="13" t="n">
        <x:f>H3133/G3133</x:f>
        <x:v>0.08055665711135628</x:v>
      </x:c>
      <x:c r="O3133" s="13" t="n">
        <x:f>F3133/E3133</x:f>
        <x:v>0</x:v>
      </x:c>
      <x:c r="P3133" s="2" t="str">
        <x:f>IF(AND(E3133&gt;='Итоги'!$F$5,N3133&lt;='Итоги'!$B$5,O3133&gt;='Итоги'!$D$5),"Да","Нет")</x:f>
        <x:v>Нет</x:v>
      </x:c>
    </x:row>
    <x:row r="3134" ht="60" customHeight="1">
      <x:c r="A3134" s="14" t="str">
        <x:v>Товары для красоты и здоровья</x:v>
      </x:c>
      <x:c r="B3134" s="14" t="str">
        <x:v>Декоративная косметика</x:v>
      </x:c>
      <x:c r="C3134" s="14" t="str">
        <x:v>Тон для лица</x:v>
      </x:c>
      <x:c r="D3134" s="14" t="str">
        <x:v>Корректор, консилер</x:v>
      </x:c>
      <x:c r="E3134" s="2" t="n">
        <x:v>10</x:v>
      </x:c>
      <x:c r="F3134" s="2" t="n">
        <x:v>0</x:v>
      </x:c>
      <x:c r="G3134" s="12" t="n">
        <x:v>2189593.7078</x:v>
      </x:c>
      <x:c r="H3134" s="12" t="n">
        <x:v>176431.06327131</x:v>
      </x:c>
      <x:c r="I3134" s="13" t="n">
        <x:v>0.08979</x:v>
      </x:c>
      <x:c r="J3134" s="2" t="n">
        <x:v>4</x:v>
      </x:c>
      <x:c r="K3134" s="2" t="n">
        <x:v>6</x:v>
      </x:c>
      <x:c r="L3134" s="12" t="n">
        <x:v>1272.8398499999998</x:v>
      </x:c>
      <x:c r="M3134" s="13" t="n">
        <x:v>0.4635416675177568</x:v>
      </x:c>
      <x:c r="N3134" s="13" t="n">
        <x:f>H3134/G3134</x:f>
        <x:v>0.08057707813226207</x:v>
      </x:c>
      <x:c r="O3134" s="13" t="n">
        <x:f>F3134/E3134</x:f>
        <x:v>0</x:v>
      </x:c>
      <x:c r="P3134" s="2" t="str">
        <x:f>IF(AND(E3134&gt;='Итоги'!$F$5,N3134&lt;='Итоги'!$B$5,O3134&gt;='Итоги'!$D$5),"Да","Нет")</x:f>
        <x:v>Нет</x:v>
      </x:c>
    </x:row>
    <x:row r="3135" ht="60" customHeight="1">
      <x:c r="A3135" s="14" t="str">
        <x:v>Спорт и отдых</x:v>
      </x:c>
      <x:c r="B3135" s="14" t="str">
        <x:v>Тренажеры и фитнес</x:v>
      </x:c>
      <x:c r="C3135" s="14" t="str">
        <x:v>Спортивная защита универсальная</x:v>
      </x:c>
      <x:c r="D3135" s="14" t="str">
        <x:v>Спортивная защита</x:v>
      </x:c>
      <x:c r="E3135" s="2" t="n">
        <x:v>19</x:v>
      </x:c>
      <x:c r="F3135" s="2" t="n">
        <x:v>0</x:v>
      </x:c>
      <x:c r="G3135" s="12" t="n">
        <x:v>2588622.9598</x:v>
      </x:c>
      <x:c r="H3135" s="12" t="n">
        <x:v>208619.51057208</x:v>
      </x:c>
      <x:c r="I3135" s="13" t="n">
        <x:v>0.0640894736842105</x:v>
      </x:c>
      <x:c r="J3135" s="2" t="n">
        <x:v>5</x:v>
      </x:c>
      <x:c r="K3135" s="2" t="n">
        <x:v>9</x:v>
      </x:c>
      <x:c r="L3135" s="12" t="n">
        <x:v>2515.2056</x:v>
      </x:c>
      <x:c r="M3135" s="13" t="n">
        <x:v>0.2905765137222283</x:v>
      </x:c>
      <x:c r="N3135" s="13" t="n">
        <x:f>H3135/G3135</x:f>
        <x:v>0.08059092181898835</x:v>
      </x:c>
      <x:c r="O3135" s="13" t="n">
        <x:f>F3135/E3135</x:f>
        <x:v>0</x:v>
      </x:c>
      <x:c r="P3135" s="2" t="str">
        <x:f>IF(AND(E3135&gt;='Итоги'!$F$5,N3135&lt;='Итоги'!$B$5,O3135&gt;='Итоги'!$D$5),"Да","Нет")</x:f>
        <x:v>Нет</x:v>
      </x:c>
    </x:row>
    <x:row r="3136" ht="60" customHeight="1">
      <x:c r="A3136" s="14" t="str">
        <x:v>Строительство и ремонт (DIY)</x:v>
      </x:c>
      <x:c r="B3136" s="14" t="str">
        <x:v>Сад и огород</x:v>
      </x:c>
      <x:c r="C3136" s="14" t="str">
        <x:v>Товары для бани и сауны</x:v>
      </x:c>
      <x:c r="D3136" s="14" t="str">
        <x:v>Набор для бани и сауны</x:v>
      </x:c>
      <x:c r="E3136" s="2" t="n">
        <x:v>10</x:v>
      </x:c>
      <x:c r="F3136" s="2" t="n">
        <x:v>0</x:v>
      </x:c>
      <x:c r="G3136" s="12" t="n">
        <x:v>1370523.4074</x:v>
      </x:c>
      <x:c r="H3136" s="12" t="n">
        <x:v>110473.43310712</x:v>
      </x:c>
      <x:c r="I3136" s="13" t="n">
        <x:v>0.08618</x:v>
      </x:c>
      <x:c r="J3136" s="2" t="n">
        <x:v>0</x:v>
      </x:c>
      <x:c r="K3136" s="2" t="n">
        <x:v>4</x:v>
      </x:c>
      <x:c r="L3136" s="12" t="n">
        <x:v>2184.84205</x:v>
      </x:c>
      <x:c r="M3136" s="13" t="n">
        <x:v>0.6348724648568159</x:v>
      </x:c>
      <x:c r="N3136" s="13" t="n">
        <x:f>H3136/G3136</x:f>
        <x:v>0.08060674667111126</x:v>
      </x:c>
      <x:c r="O3136" s="13" t="n">
        <x:f>F3136/E3136</x:f>
        <x:v>0</x:v>
      </x:c>
      <x:c r="P3136" s="2" t="str">
        <x:f>IF(AND(E3136&gt;='Итоги'!$F$5,N3136&lt;='Итоги'!$B$5,O3136&gt;='Итоги'!$D$5),"Да","Нет")</x:f>
        <x:v>Нет</x:v>
      </x:c>
    </x:row>
    <x:row r="3137" ht="60" customHeight="1">
      <x:c r="A3137" s="14" t="str">
        <x:v>Строительство и ремонт (DIY)</x:v>
      </x:c>
      <x:c r="B3137" s="14" t="str">
        <x:v>Ремонт и строительство</x:v>
      </x:c>
      <x:c r="C3137" s="14" t="str">
        <x:v>Стройматериалы</x:v>
      </x:c>
      <x:c r="D3137" s="14" t="str">
        <x:v>Тротуарная плитка, бордюры, решетки</x:v>
      </x:c>
      <x:c r="E3137" s="2" t="n">
        <x:v>3</x:v>
      </x:c>
      <x:c r="F3137" s="2" t="n">
        <x:v>0</x:v>
      </x:c>
      <x:c r="G3137" s="12" t="n">
        <x:v>155454</x:v>
      </x:c>
      <x:c r="H3137" s="12" t="n">
        <x:v>12533.7933</x:v>
      </x:c>
      <x:c r="I3137" s="13" t="n">
        <x:v>0.0658</x:v>
      </x:c>
      <x:c r="J3137" s="2" t="n">
        <x:v>1</x:v>
      </x:c>
      <x:c r="K3137" s="2" t="n">
        <x:v>2</x:v>
      </x:c>
      <x:c r="L3137" s="12" t="n">
        <x:v>1015.7</x:v>
      </x:c>
      <x:c r="M3137" s="13" t="n">
        <x:v>0.7089878677936882</x:v>
      </x:c>
      <x:c r="N3137" s="13" t="n">
        <x:f>H3137/G3137</x:f>
        <x:v>0.08062702342815238</x:v>
      </x:c>
      <x:c r="O3137" s="13" t="n">
        <x:f>F3137/E3137</x:f>
        <x:v>0</x:v>
      </x:c>
      <x:c r="P3137" s="2" t="str">
        <x:f>IF(AND(E3137&gt;='Итоги'!$F$5,N3137&lt;='Итоги'!$B$5,O3137&gt;='Итоги'!$D$5),"Да","Нет")</x:f>
        <x:v>Нет</x:v>
      </x:c>
    </x:row>
    <x:row r="3138" ht="60" customHeight="1">
      <x:c r="A3138" s="14" t="str">
        <x:v>Личная гигиена и детская продукция</x:v>
      </x:c>
      <x:c r="B3138" s="14" t="str">
        <x:v>Детская продукция</x:v>
      </x:c>
      <x:c r="C3138" s="14" t="str">
        <x:v>Подгузники детские</x:v>
      </x:c>
      <x:c r="D3138" s="14" t="str">
        <x:v>Подгузники детские многоразовые</x:v>
      </x:c>
      <x:c r="E3138" s="2" t="n">
        <x:v>10</x:v>
      </x:c>
      <x:c r="F3138" s="2" t="n">
        <x:v>0</x:v>
      </x:c>
      <x:c r="G3138" s="12" t="n">
        <x:v>1089604.7817</x:v>
      </x:c>
      <x:c r="H3138" s="12" t="n">
        <x:v>87869.14766082</x:v>
      </x:c>
      <x:c r="I3138" s="13" t="n">
        <x:v>0.09688</x:v>
      </x:c>
      <x:c r="J3138" s="2" t="n">
        <x:v>0</x:v>
      </x:c>
      <x:c r="K3138" s="2" t="n">
        <x:v>4</x:v>
      </x:c>
      <x:c r="L3138" s="12" t="n">
        <x:v>1197.7801</x:v>
      </x:c>
      <x:c r="M3138" s="13" t="n">
        <x:v>0.7538173691918922</x:v>
      </x:c>
      <x:c r="N3138" s="13" t="n">
        <x:f>H3138/G3138</x:f>
        <x:v>0.08064313697644267</x:v>
      </x:c>
      <x:c r="O3138" s="13" t="n">
        <x:f>F3138/E3138</x:f>
        <x:v>0</x:v>
      </x:c>
      <x:c r="P3138" s="2" t="str">
        <x:f>IF(AND(E3138&gt;='Итоги'!$F$5,N3138&lt;='Итоги'!$B$5,O3138&gt;='Итоги'!$D$5),"Да","Нет")</x:f>
        <x:v>Нет</x:v>
      </x:c>
    </x:row>
    <x:row r="3139" ht="60" customHeight="1">
      <x:c r="A3139" s="14" t="str">
        <x:v>Товары для дома</x:v>
      </x:c>
      <x:c r="B3139" s="14" t="str">
        <x:v>Интерьер и декор</x:v>
      </x:c>
      <x:c r="C3139" s="14" t="str">
        <x:v>Домашние растения</x:v>
      </x:c>
      <x:c r="D3139" s="14" t="str">
        <x:v>Умный сад</x:v>
      </x:c>
      <x:c r="E3139" s="2" t="n">
        <x:v>4</x:v>
      </x:c>
      <x:c r="F3139" s="2" t="n">
        <x:v>0</x:v>
      </x:c>
      <x:c r="G3139" s="12" t="n">
        <x:v>701946</x:v>
      </x:c>
      <x:c r="H3139" s="12" t="n">
        <x:v>56688.48820000001</x:v>
      </x:c>
      <x:c r="I3139" s="13" t="n">
        <x:v>0.080925</x:v>
      </x:c>
      <x:c r="J3139" s="2" t="n">
        <x:v>1</x:v>
      </x:c>
      <x:c r="K3139" s="2" t="n">
        <x:v>3</x:v>
      </x:c>
      <x:c r="L3139" s="12" t="n">
        <x:v>6833.9524</x:v>
      </x:c>
      <x:c r="M3139" s="13" t="n">
        <x:v>0.5780259450157135</x:v>
      </x:c>
      <x:c r="N3139" s="13" t="n">
        <x:f>H3139/G3139</x:f>
        <x:v>0.08075904442791897</x:v>
      </x:c>
      <x:c r="O3139" s="13" t="n">
        <x:f>F3139/E3139</x:f>
        <x:v>0</x:v>
      </x:c>
      <x:c r="P3139" s="2" t="str">
        <x:f>IF(AND(E3139&gt;='Итоги'!$F$5,N3139&lt;='Итоги'!$B$5,O3139&gt;='Итоги'!$D$5),"Да","Нет")</x:f>
        <x:v>Нет</x:v>
      </x:c>
    </x:row>
    <x:row r="3140" ht="60" customHeight="1">
      <x:c r="A3140" s="14" t="str">
        <x:v>Автотовары</x:v>
      </x:c>
      <x:c r="B3140" s="14" t="str">
        <x:v>Автоинструменты и гаражное оборудование</x:v>
      </x:c>
      <x:c r="C3140" s="14" t="str">
        <x:v>Оборудование для гаража и автосервиса</x:v>
      </x:c>
      <x:c r="D3140" s="14" t="str">
        <x:v>Шиномонтажное оборудование</x:v>
      </x:c>
      <x:c r="E3140" s="2" t="n">
        <x:v>53</x:v>
      </x:c>
      <x:c r="F3140" s="2" t="n">
        <x:v>0</x:v>
      </x:c>
      <x:c r="G3140" s="12" t="n">
        <x:v>9957300.0369</x:v>
      </x:c>
      <x:c r="H3140" s="12" t="n">
        <x:v>805049.18577439</x:v>
      </x:c>
      <x:c r="I3140" s="13" t="n">
        <x:v>0.0729811320754717</x:v>
      </x:c>
      <x:c r="J3140" s="2" t="n">
        <x:v>10</x:v>
      </x:c>
      <x:c r="K3140" s="2" t="n">
        <x:v>20</x:v>
      </x:c>
      <x:c r="L3140" s="12" t="n">
        <x:v>1459.9985</x:v>
      </x:c>
      <x:c r="M3140" s="13" t="n">
        <x:v>0.6863765711360212</x:v>
      </x:c>
      <x:c r="N3140" s="13" t="n">
        <x:f>H3140/G3140</x:f>
        <x:v>0.08085014841282472</x:v>
      </x:c>
      <x:c r="O3140" s="13" t="n">
        <x:f>F3140/E3140</x:f>
        <x:v>0</x:v>
      </x:c>
      <x:c r="P3140" s="2" t="str">
        <x:f>IF(AND(E3140&gt;='Итоги'!$F$5,N3140&lt;='Итоги'!$B$5,O3140&gt;='Итоги'!$D$5),"Да","Нет")</x:f>
        <x:v>Нет</x:v>
      </x:c>
    </x:row>
    <x:row r="3141" ht="60" customHeight="1">
      <x:c r="A3141" s="14" t="str">
        <x:v>Автотовары</x:v>
      </x:c>
      <x:c r="B3141" s="14" t="str">
        <x:v>Дополнительное оборудование для авто и мото техники</x:v>
      </x:c>
      <x:c r="C3141" s="14" t="str">
        <x:v>Оборудование для дооснащения авто</x:v>
      </x:c>
      <x:c r="D3141" s="14" t="str">
        <x:v>Брызговики</x:v>
      </x:c>
      <x:c r="E3141" s="2" t="n">
        <x:v>29</x:v>
      </x:c>
      <x:c r="F3141" s="2" t="n">
        <x:v>0</x:v>
      </x:c>
      <x:c r="G3141" s="12" t="n">
        <x:v>3659918.5367</x:v>
      </x:c>
      <x:c r="H3141" s="12" t="n">
        <x:v>295918.202356</x:v>
      </x:c>
      <x:c r="I3141" s="13" t="n">
        <x:v>0.0622068965517241</x:v>
      </x:c>
      <x:c r="J3141" s="2" t="n">
        <x:v>12</x:v>
      </x:c>
      <x:c r="K3141" s="2" t="n">
        <x:v>12</x:v>
      </x:c>
      <x:c r="L3141" s="12" t="n">
        <x:v>1370.4138</x:v>
      </x:c>
      <x:c r="M3141" s="13" t="n">
        <x:v>0.3276793630443321</x:v>
      </x:c>
      <x:c r="N3141" s="13" t="n">
        <x:f>H3141/G3141</x:f>
        <x:v>0.08085376747833777</x:v>
      </x:c>
      <x:c r="O3141" s="13" t="n">
        <x:f>F3141/E3141</x:f>
        <x:v>0</x:v>
      </x:c>
      <x:c r="P3141" s="2" t="str">
        <x:f>IF(AND(E3141&gt;='Итоги'!$F$5,N3141&lt;='Итоги'!$B$5,O3141&gt;='Итоги'!$D$5),"Да","Нет")</x:f>
        <x:v>Нет</x:v>
      </x:c>
    </x:row>
    <x:row r="3142" ht="60" customHeight="1">
      <x:c r="A3142" s="14" t="str">
        <x:v>Аптека</x:v>
      </x:c>
      <x:c r="B3142" s="14" t="str">
        <x:v>Парафармацевтика</x:v>
      </x:c>
      <x:c r="C3142" s="14" t="str">
        <x:v>Парафармацевтика</x:v>
      </x:c>
      <x:c r="D3142" s="14" t="str">
        <x:v>Фитосбор</x:v>
      </x:c>
      <x:c r="E3142" s="2" t="n">
        <x:v>13</x:v>
      </x:c>
      <x:c r="F3142" s="2" t="n">
        <x:v>0</x:v>
      </x:c>
      <x:c r="G3142" s="12" t="n">
        <x:v>2110257.0004</x:v>
      </x:c>
      <x:c r="H3142" s="12" t="n">
        <x:v>170680.59176411998</x:v>
      </x:c>
      <x:c r="I3142" s="13" t="n">
        <x:v>0.091176923076923</x:v>
      </x:c>
      <x:c r="J3142" s="2" t="n">
        <x:v>1</x:v>
      </x:c>
      <x:c r="K3142" s="2" t="n">
        <x:v>5</x:v>
      </x:c>
      <x:c r="L3142" s="12" t="n">
        <x:v>1285.0819</x:v>
      </x:c>
      <x:c r="M3142" s="13" t="n">
        <x:v>0.7551642036481502</x:v>
      </x:c>
      <x:c r="N3142" s="13" t="n">
        <x:f>H3142/G3142</x:f>
        <x:v>0.08088142426811873</x:v>
      </x:c>
      <x:c r="O3142" s="13" t="n">
        <x:f>F3142/E3142</x:f>
        <x:v>0</x:v>
      </x:c>
      <x:c r="P3142" s="2" t="str">
        <x:f>IF(AND(E3142&gt;='Итоги'!$F$5,N3142&lt;='Итоги'!$B$5,O3142&gt;='Итоги'!$D$5),"Да","Нет")</x:f>
        <x:v>Нет</x:v>
      </x:c>
    </x:row>
    <x:row r="3143" ht="60" customHeight="1">
      <x:c r="A3143" s="14" t="str">
        <x:v>Аптека</x:v>
      </x:c>
      <x:c r="B3143" s="14" t="str">
        <x:v>Профессиональный уход за полостью рта</x:v>
      </x:c>
      <x:c r="C3143" s="14" t="str">
        <x:v>Профессиональный уход за полостью рта</x:v>
      </x:c>
      <x:c r="D3143" s="14" t="str">
        <x:v>Жидкости для ирригаторов</x:v>
      </x:c>
      <x:c r="E3143" s="2" t="n">
        <x:v>4</x:v>
      </x:c>
      <x:c r="F3143" s="2" t="n">
        <x:v>0</x:v>
      </x:c>
      <x:c r="G3143" s="12" t="n">
        <x:v>566084.64</x:v>
      </x:c>
      <x:c r="H3143" s="12" t="n">
        <x:v>45813.51382</x:v>
      </x:c>
      <x:c r="I3143" s="13" t="n">
        <x:v>0.0867749999999999</x:v>
      </x:c>
      <x:c r="J3143" s="2" t="n">
        <x:v>0</x:v>
      </x:c>
      <x:c r="K3143" s="2" t="n">
        <x:v>1</x:v>
      </x:c>
      <x:c r="L3143" s="12" t="n">
        <x:v>1142.30375</x:v>
      </x:c>
      <x:c r="M3143" s="13" t="n">
        <x:v>1</x:v>
      </x:c>
      <x:c r="N3143" s="13" t="n">
        <x:f>H3143/G3143</x:f>
        <x:v>0.08093050152358841</x:v>
      </x:c>
      <x:c r="O3143" s="13" t="n">
        <x:f>F3143/E3143</x:f>
        <x:v>0</x:v>
      </x:c>
      <x:c r="P3143" s="2" t="str">
        <x:f>IF(AND(E3143&gt;='Итоги'!$F$5,N3143&lt;='Итоги'!$B$5,O3143&gt;='Итоги'!$D$5),"Да","Нет")</x:f>
        <x:v>Нет</x:v>
      </x:c>
    </x:row>
    <x:row r="3144" ht="60" customHeight="1">
      <x:c r="A3144" s="14" t="str">
        <x:v>Товары для дома</x:v>
      </x:c>
      <x:c r="B3144" s="14" t="str">
        <x:v>Интерьер и декор</x:v>
      </x:c>
      <x:c r="C3144" s="14" t="str">
        <x:v>Принадлежности для праздника</x:v>
      </x:c>
      <x:c r="D3144" s="14" t="str">
        <x:v>Семейный банк</x:v>
      </x:c>
      <x:c r="E3144" s="2" t="n">
        <x:v>3</x:v>
      </x:c>
      <x:c r="F3144" s="2" t="n">
        <x:v>0</x:v>
      </x:c>
      <x:c r="G3144" s="12" t="n">
        <x:v>543104.6876000001</x:v>
      </x:c>
      <x:c r="H3144" s="12" t="n">
        <x:v>43961.65993160001</x:v>
      </x:c>
      <x:c r="I3144" s="13" t="n">
        <x:v>0.0795333333333333</x:v>
      </x:c>
      <x:c r="J3144" s="2" t="n">
        <x:v>0</x:v>
      </x:c>
      <x:c r="K3144" s="2" t="n">
        <x:v>2</x:v>
      </x:c>
      <x:c r="L3144" s="12" t="n">
        <x:v>1384.0069</x:v>
      </x:c>
      <x:c r="M3144" s="13" t="n">
        <x:v>0.7838254018413667</x:v>
      </x:c>
      <x:c r="N3144" s="13" t="n">
        <x:f>H3144/G3144</x:f>
        <x:v>0.08094509389316491</x:v>
      </x:c>
      <x:c r="O3144" s="13" t="n">
        <x:f>F3144/E3144</x:f>
        <x:v>0</x:v>
      </x:c>
      <x:c r="P3144" s="2" t="str">
        <x:f>IF(AND(E3144&gt;='Итоги'!$F$5,N3144&lt;='Итоги'!$B$5,O3144&gt;='Итоги'!$D$5),"Да","Нет")</x:f>
        <x:v>Нет</x:v>
      </x:c>
    </x:row>
    <x:row r="3145" ht="60" customHeight="1">
      <x:c r="A3145" s="14" t="str">
        <x:v>Аптека</x:v>
      </x:c>
      <x:c r="B3145" s="14" t="str">
        <x:v>Медицинские изделия</x:v>
      </x:c>
      <x:c r="C3145" s="14" t="str">
        <x:v>Расходные медицинские материалы</x:v>
      </x:c>
      <x:c r="D3145" s="14" t="str">
        <x:v>Салфетки медицинские</x:v>
      </x:c>
      <x:c r="E3145" s="2" t="n">
        <x:v>6</x:v>
      </x:c>
      <x:c r="F3145" s="2" t="n">
        <x:v>0</x:v>
      </x:c>
      <x:c r="G3145" s="12" t="n">
        <x:v>673016.1799999999</x:v>
      </x:c>
      <x:c r="H3145" s="12" t="n">
        <x:v>54531.912307</x:v>
      </x:c>
      <x:c r="I3145" s="13" t="n">
        <x:v>0.06355</x:v>
      </x:c>
      <x:c r="J3145" s="2" t="n">
        <x:v>1</x:v>
      </x:c>
      <x:c r="K3145" s="2" t="n">
        <x:v>2</x:v>
      </x:c>
      <x:c r="L3145" s="12" t="n">
        <x:v>952.5451</x:v>
      </x:c>
      <x:c r="M3145" s="13" t="n">
        <x:v>0.7794140550974571</x:v>
      </x:c>
      <x:c r="N3145" s="13" t="n">
        <x:f>H3145/G3145</x:f>
        <x:v>0.0810261534975281</x:v>
      </x:c>
      <x:c r="O3145" s="13" t="n">
        <x:f>F3145/E3145</x:f>
        <x:v>0</x:v>
      </x:c>
      <x:c r="P3145" s="2" t="str">
        <x:f>IF(AND(E3145&gt;='Итоги'!$F$5,N3145&lt;='Итоги'!$B$5,O3145&gt;='Итоги'!$D$5),"Да","Нет")</x:f>
        <x:v>Нет</x:v>
      </x:c>
    </x:row>
    <x:row r="3146" ht="60" customHeight="1">
      <x:c r="A3146" s="14" t="str">
        <x:v>Аптека</x:v>
      </x:c>
      <x:c r="B3146" s="14" t="str">
        <x:v>Спортивное питание</x:v>
      </x:c>
      <x:c r="C3146" s="14" t="str">
        <x:v>Аминокислоты</x:v>
      </x:c>
      <x:c r="D3146" s="14" t="str">
        <x:v>Моно аминокислота</x:v>
      </x:c>
      <x:c r="E3146" s="2" t="n">
        <x:v>48</x:v>
      </x:c>
      <x:c r="F3146" s="2" t="n">
        <x:v>0</x:v>
      </x:c>
      <x:c r="G3146" s="12" t="n">
        <x:v>8457993.4541</x:v>
      </x:c>
      <x:c r="H3146" s="12" t="n">
        <x:v>685758.51954813</x:v>
      </x:c>
      <x:c r="I3146" s="13" t="n">
        <x:v>0.0784583333333333</x:v>
      </x:c>
      <x:c r="J3146" s="2" t="n">
        <x:v>9</x:v>
      </x:c>
      <x:c r="K3146" s="2" t="n">
        <x:v>5</x:v>
      </x:c>
      <x:c r="L3146" s="12" t="n">
        <x:v>1449.9753500000002</x:v>
      </x:c>
      <x:c r="M3146" s="13" t="n">
        <x:v>0.6956662359022953</x:v>
      </x:c>
      <x:c r="N3146" s="13" t="n">
        <x:f>H3146/G3146</x:f>
        <x:v>0.08107815680747656</x:v>
      </x:c>
      <x:c r="O3146" s="13" t="n">
        <x:f>F3146/E3146</x:f>
        <x:v>0</x:v>
      </x:c>
      <x:c r="P3146" s="2" t="str">
        <x:f>IF(AND(E3146&gt;='Итоги'!$F$5,N3146&lt;='Итоги'!$B$5,O3146&gt;='Итоги'!$D$5),"Да","Нет")</x:f>
        <x:v>Нет</x:v>
      </x:c>
    </x:row>
    <x:row r="3147" ht="60" customHeight="1">
      <x:c r="A3147" s="14" t="str">
        <x:v>Спорт и отдых</x:v>
      </x:c>
      <x:c r="B3147" s="14" t="str">
        <x:v>Туризм</x:v>
      </x:c>
      <x:c r="C3147" s="14" t="str">
        <x:v>Аксессуары для туризма</x:v>
      </x:c>
      <x:c r="D3147" s="14" t="str">
        <x:v>Гамаши, гетры, туристические</x:v>
      </x:c>
      <x:c r="E3147" s="2" t="n">
        <x:v>1</x:v>
      </x:c>
      <x:c r="F3147" s="2" t="n">
        <x:v>0</x:v>
      </x:c>
      <x:c r="G3147" s="12" t="n">
        <x:v>184174.2263</x:v>
      </x:c>
      <x:c r="H3147" s="12" t="n">
        <x:v>14954.94717556</x:v>
      </x:c>
      <x:c r="I3147" s="13" t="n">
        <x:v>0.0812</x:v>
      </x:c>
      <x:c r="J3147" s="2" t="n">
        <x:v>0</x:v>
      </x:c>
      <x:c r="K3147" s="2" t="n">
        <x:v>1</x:v>
      </x:c>
      <x:c r="L3147" s="12" t="n">
        <x:v>1805.6297</x:v>
      </x:c>
      <x:c r="M3147" s="13" t="n">
        <x:v>1</x:v>
      </x:c>
      <x:c r="N3147" s="13" t="n">
        <x:f>H3147/G3147</x:f>
        <x:v>0.0812</x:v>
      </x:c>
      <x:c r="O3147" s="13" t="n">
        <x:f>F3147/E3147</x:f>
        <x:v>0</x:v>
      </x:c>
      <x:c r="P3147" s="2" t="str">
        <x:f>IF(AND(E3147&gt;='Итоги'!$F$5,N3147&lt;='Итоги'!$B$5,O3147&gt;='Итоги'!$D$5),"Да","Нет")</x:f>
        <x:v>Нет</x:v>
      </x:c>
    </x:row>
    <x:row r="3148" ht="60" customHeight="1">
      <x:c r="A3148" s="14" t="str">
        <x:v>Аксессуары для электроники</x:v>
      </x:c>
      <x:c r="B3148" s="14" t="str">
        <x:v>Компьютерная периферия Access</x:v>
      </x:c>
      <x:c r="C3148" s="14" t="str">
        <x:v>Электронные носители информации Access</x:v>
      </x:c>
      <x:c r="D3148" s="14" t="str">
        <x:v>Флэш драйв</x:v>
      </x:c>
      <x:c r="E3148" s="2" t="n">
        <x:v>70</x:v>
      </x:c>
      <x:c r="F3148" s="2" t="n">
        <x:v>0</x:v>
      </x:c>
      <x:c r="G3148" s="12" t="n">
        <x:v>10882556.6923</x:v>
      </x:c>
      <x:c r="H3148" s="12" t="n">
        <x:v>884259.0025989</x:v>
      </x:c>
      <x:c r="I3148" s="13" t="n">
        <x:v>0.0756599999999999</x:v>
      </x:c>
      <x:c r="J3148" s="2" t="n">
        <x:v>23</x:v>
      </x:c>
      <x:c r="K3148" s="2" t="n">
        <x:v>25</x:v>
      </x:c>
      <x:c r="L3148" s="12" t="n">
        <x:v>1431.9991</x:v>
      </x:c>
      <x:c r="M3148" s="13" t="n">
        <x:v>0.2898357975871364</x:v>
      </x:c>
      <x:c r="N3148" s="13" t="n">
        <x:f>H3148/G3148</x:f>
        <x:v>0.08125471133309706</x:v>
      </x:c>
      <x:c r="O3148" s="13" t="n">
        <x:f>F3148/E3148</x:f>
        <x:v>0</x:v>
      </x:c>
      <x:c r="P3148" s="2" t="str">
        <x:f>IF(AND(E3148&gt;='Итоги'!$F$5,N3148&lt;='Итоги'!$B$5,O3148&gt;='Итоги'!$D$5),"Да","Нет")</x:f>
        <x:v>Нет</x:v>
      </x:c>
    </x:row>
    <x:row r="3149" ht="60" customHeight="1">
      <x:c r="A3149" s="14" t="str">
        <x:v>Строительство и ремонт (DIY)</x:v>
      </x:c>
      <x:c r="B3149" s="14" t="str">
        <x:v>Сад и огород</x:v>
      </x:c>
      <x:c r="C3149" s="14" t="str">
        <x:v>Аксессуары для садовых растений</x:v>
      </x:c>
      <x:c r="D3149" s="14" t="str">
        <x:v>Набор для рассады</x:v>
      </x:c>
      <x:c r="E3149" s="2" t="n">
        <x:v>2</x:v>
      </x:c>
      <x:c r="F3149" s="2" t="n">
        <x:v>0</x:v>
      </x:c>
      <x:c r="G3149" s="12" t="n">
        <x:v>689144.9932</x:v>
      </x:c>
      <x:c r="H3149" s="12" t="n">
        <x:v>56027.89823908</x:v>
      </x:c>
      <x:c r="I3149" s="13" t="n">
        <x:v>0.1159</x:v>
      </x:c>
      <x:c r="J3149" s="2" t="n">
        <x:v>0</x:v>
      </x:c>
      <x:c r="K3149" s="2" t="n">
        <x:v>2</x:v>
      </x:c>
      <x:c r="L3149" s="12" t="n">
        <x:v>1504.7203</x:v>
      </x:c>
      <x:c r="M3149" s="13" t="n">
        <x:v>0.8760804851770633</x:v>
      </x:c>
      <x:c r="N3149" s="13" t="n">
        <x:f>H3149/G3149</x:f>
        <x:v>0.08130059536371018</x:v>
      </x:c>
      <x:c r="O3149" s="13" t="n">
        <x:f>F3149/E3149</x:f>
        <x:v>0</x:v>
      </x:c>
      <x:c r="P3149" s="2" t="str">
        <x:f>IF(AND(E3149&gt;='Итоги'!$F$5,N3149&lt;='Итоги'!$B$5,O3149&gt;='Итоги'!$D$5),"Да","Нет")</x:f>
        <x:v>Нет</x:v>
      </x:c>
    </x:row>
    <x:row r="3150" ht="60" customHeight="1">
      <x:c r="A3150" s="14" t="str">
        <x:v>Аксессуары для электроники</x:v>
      </x:c>
      <x:c r="B3150" s="14" t="str">
        <x:v>Домашняя Аудио и Видеотехника Access</x:v>
      </x:c>
      <x:c r="C3150" s="14" t="str">
        <x:v>Аксессуар к TV и аудиотехнике Access</x:v>
      </x:c>
      <x:c r="D3150" s="14" t="str">
        <x:v>Радиочасы</x:v>
      </x:c>
      <x:c r="E3150" s="2" t="n">
        <x:v>2</x:v>
      </x:c>
      <x:c r="F3150" s="2" t="n">
        <x:v>0</x:v>
      </x:c>
      <x:c r="G3150" s="12" t="n">
        <x:v>358644.44</x:v>
      </x:c>
      <x:c r="H3150" s="12" t="n">
        <x:v>29168.666876</x:v>
      </x:c>
      <x:c r="I3150" s="13" t="n">
        <x:v>0.0751</x:v>
      </x:c>
      <x:c r="J3150" s="2" t="n">
        <x:v>0</x:v>
      </x:c>
      <x:c r="K3150" s="2" t="n">
        <x:v>1</x:v>
      </x:c>
      <x:c r="L3150" s="12" t="n">
        <x:v>1826.20745</x:v>
      </x:c>
      <x:c r="M3150" s="13" t="n">
        <x:v>1</x:v>
      </x:c>
      <x:c r="N3150" s="13" t="n">
        <x:f>H3150/G3150</x:f>
        <x:v>0.0813303194551127</x:v>
      </x:c>
      <x:c r="O3150" s="13" t="n">
        <x:f>F3150/E3150</x:f>
        <x:v>0</x:v>
      </x:c>
      <x:c r="P3150" s="2" t="str">
        <x:f>IF(AND(E3150&gt;='Итоги'!$F$5,N3150&lt;='Итоги'!$B$5,O3150&gt;='Итоги'!$D$5),"Да","Нет")</x:f>
        <x:v>Нет</x:v>
      </x:c>
    </x:row>
    <x:row r="3151" ht="60" customHeight="1">
      <x:c r="A3151" s="14" t="str">
        <x:v>Спорт и отдых</x:v>
      </x:c>
      <x:c r="B3151" s="14" t="str">
        <x:v>Страйкбол и пневматика</x:v>
      </x:c>
      <x:c r="C3151" s="14" t="str">
        <x:v>Точные виды спорта</x:v>
      </x:c>
      <x:c r="D3151" s="14" t="str">
        <x:v>Стрелы для арбалета, лука</x:v>
      </x:c>
      <x:c r="E3151" s="2" t="n">
        <x:v>9</x:v>
      </x:c>
      <x:c r="F3151" s="2" t="n">
        <x:v>0</x:v>
      </x:c>
      <x:c r="G3151" s="12" t="n">
        <x:v>975374.859</x:v>
      </x:c>
      <x:c r="H3151" s="12" t="n">
        <x:v>79333.96161231</x:v>
      </x:c>
      <x:c r="I3151" s="13" t="n">
        <x:v>0.0787555555555555</x:v>
      </x:c>
      <x:c r="J3151" s="2" t="n">
        <x:v>2</x:v>
      </x:c>
      <x:c r="K3151" s="2" t="n">
        <x:v>3</x:v>
      </x:c>
      <x:c r="L3151" s="12" t="n">
        <x:v>1112.673</x:v>
      </x:c>
      <x:c r="M3151" s="13" t="n">
        <x:v>0.581575456108819</x:v>
      </x:c>
      <x:c r="N3151" s="13" t="n">
        <x:f>H3151/G3151</x:f>
        <x:v>0.08133689409797469</x:v>
      </x:c>
      <x:c r="O3151" s="13" t="n">
        <x:f>F3151/E3151</x:f>
        <x:v>0</x:v>
      </x:c>
      <x:c r="P3151" s="2" t="str">
        <x:f>IF(AND(E3151&gt;='Итоги'!$F$5,N3151&lt;='Итоги'!$B$5,O3151&gt;='Итоги'!$D$5),"Да","Нет")</x:f>
        <x:v>Нет</x:v>
      </x:c>
    </x:row>
    <x:row r="3152" ht="60" customHeight="1">
      <x:c r="A3152" s="14" t="str">
        <x:v>Товары для животных</x:v>
      </x:c>
      <x:c r="B3152" s="14" t="str">
        <x:v>Товары для прогулки и дрессировки животных</x:v>
      </x:c>
      <x:c r="C3152" s="14" t="str">
        <x:v>Аксессуары для прогулки и дрессировки животных</x:v>
      </x:c>
      <x:c r="D3152" s="14" t="str">
        <x:v>Отпугиватель собак</x:v>
      </x:c>
      <x:c r="E3152" s="2" t="n">
        <x:v>14</x:v>
      </x:c>
      <x:c r="F3152" s="2" t="n">
        <x:v>0</x:v>
      </x:c>
      <x:c r="G3152" s="12" t="n">
        <x:v>2139033.4809</x:v>
      </x:c>
      <x:c r="H3152" s="12" t="n">
        <x:v>173988.93113888</x:v>
      </x:c>
      <x:c r="I3152" s="13" t="n">
        <x:v>0.0745285714285714</x:v>
      </x:c>
      <x:c r="J3152" s="2" t="n">
        <x:v>5</x:v>
      </x:c>
      <x:c r="K3152" s="2" t="n">
        <x:v>8</x:v>
      </x:c>
      <x:c r="L3152" s="12" t="n">
        <x:v>1930.2219</x:v>
      </x:c>
      <x:c r="M3152" s="13" t="n">
        <x:v>0.4367752156487529</x:v>
      </x:c>
      <x:c r="N3152" s="13" t="n">
        <x:f>H3152/G3152</x:f>
        <x:v>0.08133997559761151</x:v>
      </x:c>
      <x:c r="O3152" s="13" t="n">
        <x:f>F3152/E3152</x:f>
        <x:v>0</x:v>
      </x:c>
      <x:c r="P3152" s="2" t="str">
        <x:f>IF(AND(E3152&gt;='Итоги'!$F$5,N3152&lt;='Итоги'!$B$5,O3152&gt;='Итоги'!$D$5),"Да","Нет")</x:f>
        <x:v>Нет</x:v>
      </x:c>
    </x:row>
    <x:row r="3153" ht="60" customHeight="1">
      <x:c r="A3153" s="14" t="str">
        <x:v>Ноутбуки и компьютеры</x:v>
      </x:c>
      <x:c r="B3153" s="14" t="str">
        <x:v>Ноутбуки и стационарные компьютеры Lap&amp;Comp</x:v>
      </x:c>
      <x:c r="C3153" s="14" t="str">
        <x:v>Запчасти и комплектующие для ноутбука Lap&amp;Comp</x:v>
      </x:c>
      <x:c r="D3153" s="14" t="str">
        <x:v>Вентилятор для ноутбука</x:v>
      </x:c>
      <x:c r="E3153" s="2" t="n">
        <x:v>2</x:v>
      </x:c>
      <x:c r="F3153" s="2" t="n">
        <x:v>0</x:v>
      </x:c>
      <x:c r="G3153" s="12" t="n">
        <x:v>512605.9601</x:v>
      </x:c>
      <x:c r="H3153" s="12" t="n">
        <x:v>41707.607235</x:v>
      </x:c>
      <x:c r="I3153" s="13" t="n">
        <x:v>0.05275</x:v>
      </x:c>
      <x:c r="J3153" s="2" t="n">
        <x:v>1</x:v>
      </x:c>
      <x:c r="K3153" s="2" t="n">
        <x:v>2</x:v>
      </x:c>
      <x:c r="L3153" s="12" t="n">
        <x:v>1979.0621</x:v>
      </x:c>
      <x:c r="M3153" s="13" t="n">
        <x:v>0.7712215634848995</x:v>
      </x:c>
      <x:c r="N3153" s="13" t="n">
        <x:f>H3153/G3153</x:f>
        <x:v>0.0813638749476569</x:v>
      </x:c>
      <x:c r="O3153" s="13" t="n">
        <x:f>F3153/E3153</x:f>
        <x:v>0</x:v>
      </x:c>
      <x:c r="P3153" s="2" t="str">
        <x:f>IF(AND(E3153&gt;='Итоги'!$F$5,N3153&lt;='Итоги'!$B$5,O3153&gt;='Итоги'!$D$5),"Да","Нет")</x:f>
        <x:v>Нет</x:v>
      </x:c>
    </x:row>
    <x:row r="3154" ht="60" customHeight="1">
      <x:c r="A3154" s="14" t="str">
        <x:v>Товары для животных</x:v>
      </x:c>
      <x:c r="B3154" s="14" t="str">
        <x:v>Гигиена и уход животных</x:v>
      </x:c>
      <x:c r="C3154" s="14" t="str">
        <x:v>Товары для груминга</x:v>
      </x:c>
      <x:c r="D3154" s="14" t="str">
        <x:v>Ванночка для животных</x:v>
      </x:c>
      <x:c r="E3154" s="2" t="n">
        <x:v>3</x:v>
      </x:c>
      <x:c r="F3154" s="2" t="n">
        <x:v>0</x:v>
      </x:c>
      <x:c r="G3154" s="12" t="n">
        <x:v>365066.1597</x:v>
      </x:c>
      <x:c r="H3154" s="12" t="n">
        <x:v>29727.508361000004</x:v>
      </x:c>
      <x:c r="I3154" s="13" t="n">
        <x:v>0.0612666666666666</x:v>
      </x:c>
      <x:c r="J3154" s="2" t="n">
        <x:v>1</x:v>
      </x:c>
      <x:c r="K3154" s="2" t="n">
        <x:v>2</x:v>
      </x:c>
      <x:c r="L3154" s="12" t="n">
        <x:v>2510.0357</x:v>
      </x:c>
      <x:c r="M3154" s="13" t="n">
        <x:v>0.8074842103750325</x:v>
      </x:c>
      <x:c r="N3154" s="13" t="n">
        <x:f>H3154/G3154</x:f>
        <x:v>0.08143046834422873</x:v>
      </x:c>
      <x:c r="O3154" s="13" t="n">
        <x:f>F3154/E3154</x:f>
        <x:v>0</x:v>
      </x:c>
      <x:c r="P3154" s="2" t="str">
        <x:f>IF(AND(E3154&gt;='Итоги'!$F$5,N3154&lt;='Итоги'!$B$5,O3154&gt;='Итоги'!$D$5),"Да","Нет")</x:f>
        <x:v>Нет</x:v>
      </x:c>
    </x:row>
    <x:row r="3155" ht="60" customHeight="1">
      <x:c r="A3155" s="14" t="str">
        <x:v>Аудио и видеотехника</x:v>
      </x:c>
      <x:c r="B3155" s="14" t="str">
        <x:v>Компьютеры TV&amp;Audio</x:v>
      </x:c>
      <x:c r="C3155" s="14" t="str">
        <x:v>Робототехника TV&amp;Audio</x:v>
      </x:c>
      <x:c r="D3155" s="14" t="str">
        <x:v>Робот программируемый</x:v>
      </x:c>
      <x:c r="E3155" s="2" t="n">
        <x:v>11</x:v>
      </x:c>
      <x:c r="F3155" s="2" t="n">
        <x:v>0</x:v>
      </x:c>
      <x:c r="G3155" s="12" t="n">
        <x:v>1881269.54</x:v>
      </x:c>
      <x:c r="H3155" s="12" t="n">
        <x:v>153222.732308</x:v>
      </x:c>
      <x:c r="I3155" s="13" t="n">
        <x:v>0.0828818181818181</x:v>
      </x:c>
      <x:c r="J3155" s="2" t="n">
        <x:v>0</x:v>
      </x:c>
      <x:c r="K3155" s="2" t="n">
        <x:v>6</x:v>
      </x:c>
      <x:c r="L3155" s="12" t="n">
        <x:v>7019.0345</x:v>
      </x:c>
      <x:c r="M3155" s="13" t="n">
        <x:v>0.300426381219142</x:v>
      </x:c>
      <x:c r="N3155" s="13" t="n">
        <x:f>H3155/G3155</x:f>
        <x:v>0.0814464536049417</x:v>
      </x:c>
      <x:c r="O3155" s="13" t="n">
        <x:f>F3155/E3155</x:f>
        <x:v>0</x:v>
      </x:c>
      <x:c r="P3155" s="2" t="str">
        <x:f>IF(AND(E3155&gt;='Итоги'!$F$5,N3155&lt;='Итоги'!$B$5,O3155&gt;='Итоги'!$D$5),"Да","Нет")</x:f>
        <x:v>Нет</x:v>
      </x:c>
    </x:row>
    <x:row r="3156" ht="60" customHeight="1">
      <x:c r="A3156" s="14" t="str">
        <x:v>Мебель</x:v>
      </x:c>
      <x:c r="B3156" s="14" t="str">
        <x:v>Компьютерная и офисная мебель</x:v>
      </x:c>
      <x:c r="C3156" s="14" t="str">
        <x:v>Компьютерный, офисный кресло, стул</x:v>
      </x:c>
      <x:c r="D3156" s="14" t="str">
        <x:v>Компьютерные и офисные стулья</x:v>
      </x:c>
      <x:c r="E3156" s="2" t="n">
        <x:v>33</x:v>
      </x:c>
      <x:c r="F3156" s="2" t="n">
        <x:v>0</x:v>
      </x:c>
      <x:c r="G3156" s="12" t="n">
        <x:v>4834542.3687</x:v>
      </x:c>
      <x:c r="H3156" s="12" t="n">
        <x:v>393780.11864302</x:v>
      </x:c>
      <x:c r="I3156" s="13" t="n">
        <x:v>0.0970454545454545</x:v>
      </x:c>
      <x:c r="J3156" s="2" t="n">
        <x:v>7</x:v>
      </x:c>
      <x:c r="K3156" s="2" t="n">
        <x:v>9</x:v>
      </x:c>
      <x:c r="L3156" s="12" t="n">
        <x:v>4070.5909</x:v>
      </x:c>
      <x:c r="M3156" s="13" t="n">
        <x:v>0.5501712690781987</x:v>
      </x:c>
      <x:c r="N3156" s="13" t="n">
        <x:f>H3156/G3156</x:f>
        <x:v>0.08145137401058845</x:v>
      </x:c>
      <x:c r="O3156" s="13" t="n">
        <x:f>F3156/E3156</x:f>
        <x:v>0</x:v>
      </x:c>
      <x:c r="P3156" s="2" t="str">
        <x:f>IF(AND(E3156&gt;='Итоги'!$F$5,N3156&lt;='Итоги'!$B$5,O3156&gt;='Итоги'!$D$5),"Да","Нет")</x:f>
        <x:v>Нет</x:v>
      </x:c>
    </x:row>
    <x:row r="3157" ht="60" customHeight="1">
      <x:c r="A3157" s="14" t="str">
        <x:v>Аксессуары для электроники</x:v>
      </x:c>
      <x:c r="B3157" s="14" t="str">
        <x:v>Фото и видео Access</x:v>
      </x:c>
      <x:c r="C3157" s="14" t="str">
        <x:v>Аксессуар к фото и видео Access</x:v>
      </x:c>
      <x:c r="D3157" s="14" t="str">
        <x:v>Держатель для светофильтра</x:v>
      </x:c>
      <x:c r="E3157" s="2" t="n">
        <x:v>3</x:v>
      </x:c>
      <x:c r="F3157" s="2" t="n">
        <x:v>0</x:v>
      </x:c>
      <x:c r="G3157" s="12" t="n">
        <x:v>266555.41000000003</x:v>
      </x:c>
      <x:c r="H3157" s="12" t="n">
        <x:v>21713.701513000004</x:v>
      </x:c>
      <x:c r="I3157" s="13" t="n">
        <x:v>0.0797666666666666</x:v>
      </x:c>
      <x:c r="J3157" s="2" t="n">
        <x:v>2</x:v>
      </x:c>
      <x:c r="K3157" s="2" t="n">
        <x:v>3</x:v>
      </x:c>
      <x:c r="L3157" s="12" t="n">
        <x:v>2456.7241</x:v>
      </x:c>
      <x:c r="M3157" s="13" t="n">
        <x:v>0.3923086760835204</x:v>
      </x:c>
      <x:c r="N3157" s="13" t="n">
        <x:f>H3157/G3157</x:f>
        <x:v>0.08146036695709909</x:v>
      </x:c>
      <x:c r="O3157" s="13" t="n">
        <x:f>F3157/E3157</x:f>
        <x:v>0</x:v>
      </x:c>
      <x:c r="P3157" s="2" t="str">
        <x:f>IF(AND(E3157&gt;='Итоги'!$F$5,N3157&lt;='Итоги'!$B$5,O3157&gt;='Итоги'!$D$5),"Да","Нет")</x:f>
        <x:v>Нет</x:v>
      </x:c>
    </x:row>
    <x:row r="3158" ht="60" customHeight="1">
      <x:c r="A3158" s="14" t="str">
        <x:v>Товары для животных</x:v>
      </x:c>
      <x:c r="B3158" s="14" t="str">
        <x:v>Фермерское хозяйство - Содержание, уход птицы и сельскохозяйственных животных</x:v>
      </x:c>
      <x:c r="C3158" s="14" t="str">
        <x:v>Груминг сельскохозяйственных животных</x:v>
      </x:c>
      <x:c r="D3158" s="14" t="str">
        <x:v>Машинка для стрижки сельскохозяйственных животных</x:v>
      </x:c>
      <x:c r="E3158" s="2" t="n">
        <x:v>6</x:v>
      </x:c>
      <x:c r="F3158" s="2" t="n">
        <x:v>0</x:v>
      </x:c>
      <x:c r="G3158" s="12" t="n">
        <x:v>1567417.17</x:v>
      </x:c>
      <x:c r="H3158" s="12" t="n">
        <x:v>127715.516464</x:v>
      </x:c>
      <x:c r="I3158" s="13" t="n">
        <x:v>0.0855166666666666</x:v>
      </x:c>
      <x:c r="J3158" s="2" t="n">
        <x:v>0</x:v>
      </x:c>
      <x:c r="K3158" s="2" t="n">
        <x:v>5</x:v>
      </x:c>
      <x:c r="L3158" s="12" t="n">
        <x:v>5644.05525</x:v>
      </x:c>
      <x:c r="M3158" s="13" t="n">
        <x:v>0.276206620857675</x:v>
      </x:c>
      <x:c r="N3158" s="13" t="n">
        <x:f>H3158/G3158</x:f>
        <x:v>0.08148150914028841</x:v>
      </x:c>
      <x:c r="O3158" s="13" t="n">
        <x:f>F3158/E3158</x:f>
        <x:v>0</x:v>
      </x:c>
      <x:c r="P3158" s="2" t="str">
        <x:f>IF(AND(E3158&gt;='Итоги'!$F$5,N3158&lt;='Итоги'!$B$5,O3158&gt;='Итоги'!$D$5),"Да","Нет")</x:f>
        <x:v>Нет</x:v>
      </x:c>
    </x:row>
    <x:row r="3159" ht="60" customHeight="1">
      <x:c r="A3159" s="14" t="str">
        <x:v>Строительство и ремонт (DIY)</x:v>
      </x:c>
      <x:c r="B3159" s="14" t="str">
        <x:v>Инструменты</x:v>
      </x:c>
      <x:c r="C3159" s="14" t="str">
        <x:v>Электроинструмент для строительства, ремонта</x:v>
      </x:c>
      <x:c r="D3159" s="14" t="str">
        <x:v>Паяльник</x:v>
      </x:c>
      <x:c r="E3159" s="2" t="n">
        <x:v>147</x:v>
      </x:c>
      <x:c r="F3159" s="2" t="n">
        <x:v>0</x:v>
      </x:c>
      <x:c r="G3159" s="12" t="n">
        <x:v>31431433.6377</x:v>
      </x:c>
      <x:c r="H3159" s="12" t="n">
        <x:v>2562845.81752764</x:v>
      </x:c>
      <x:c r="I3159" s="13" t="n">
        <x:v>0.0819761904761904</x:v>
      </x:c>
      <x:c r="J3159" s="2" t="n">
        <x:v>41</x:v>
      </x:c>
      <x:c r="K3159" s="2" t="n">
        <x:v>51</x:v>
      </x:c>
      <x:c r="L3159" s="12" t="n">
        <x:v>2116.8682</x:v>
      </x:c>
      <x:c r="M3159" s="13" t="n">
        <x:v>0.5167347335413648</x:v>
      </x:c>
      <x:c r="N3159" s="13" t="n">
        <x:f>H3159/G3159</x:f>
        <x:v>0.08153766853490482</x:v>
      </x:c>
      <x:c r="O3159" s="13" t="n">
        <x:f>F3159/E3159</x:f>
        <x:v>0</x:v>
      </x:c>
      <x:c r="P3159" s="2" t="str">
        <x:f>IF(AND(E3159&gt;='Итоги'!$F$5,N3159&lt;='Итоги'!$B$5,O3159&gt;='Итоги'!$D$5),"Да","Нет")</x:f>
        <x:v>Нет</x:v>
      </x:c>
    </x:row>
    <x:row r="3160" ht="60" customHeight="1">
      <x:c r="A3160" s="14" t="str">
        <x:v>Товары для дома</x:v>
      </x:c>
      <x:c r="B3160" s="14" t="str">
        <x:v>Интерьер и декор</x:v>
      </x:c>
      <x:c r="C3160" s="14" t="str">
        <x:v>Часы, барометр</x:v>
      </x:c>
      <x:c r="D3160" s="14" t="str">
        <x:v>Часы настольные, напольные</x:v>
      </x:c>
      <x:c r="E3160" s="2" t="n">
        <x:v>18</x:v>
      </x:c>
      <x:c r="F3160" s="2" t="n">
        <x:v>0</x:v>
      </x:c>
      <x:c r="G3160" s="12" t="n">
        <x:v>2472521.678</x:v>
      </x:c>
      <x:c r="H3160" s="12" t="n">
        <x:v>201801.21758894</x:v>
      </x:c>
      <x:c r="I3160" s="13" t="n">
        <x:v>0.08985</x:v>
      </x:c>
      <x:c r="J3160" s="2" t="n">
        <x:v>1</x:v>
      </x:c>
      <x:c r="K3160" s="2" t="n">
        <x:v>8</x:v>
      </x:c>
      <x:c r="L3160" s="12" t="n">
        <x:v>1025.02245</x:v>
      </x:c>
      <x:c r="M3160" s="13" t="n">
        <x:v>0.5045985232409356</x:v>
      </x:c>
      <x:c r="N3160" s="13" t="n">
        <x:f>H3160/G3160</x:f>
        <x:v>0.08161757261201251</x:v>
      </x:c>
      <x:c r="O3160" s="13" t="n">
        <x:f>F3160/E3160</x:f>
        <x:v>0</x:v>
      </x:c>
      <x:c r="P3160" s="2" t="str">
        <x:f>IF(AND(E3160&gt;='Итоги'!$F$5,N3160&lt;='Итоги'!$B$5,O3160&gt;='Итоги'!$D$5),"Да","Нет")</x:f>
        <x:v>Нет</x:v>
      </x:c>
    </x:row>
    <x:row r="3161" ht="60" customHeight="1">
      <x:c r="A3161" s="14" t="str">
        <x:v>Товары для детей и спорта</x:v>
      </x:c>
      <x:c r="B3161" s="14" t="str">
        <x:v>КГТ и аксессуары для детей</x:v>
      </x:c>
      <x:c r="C3161" s="14" t="str">
        <x:v>Ванная комната и купание</x:v>
      </x:c>
      <x:c r="D3161" s="14" t="str">
        <x:v>Ванночка детская</x:v>
      </x:c>
      <x:c r="E3161" s="2" t="n">
        <x:v>38</x:v>
      </x:c>
      <x:c r="F3161" s="2" t="n">
        <x:v>0</x:v>
      </x:c>
      <x:c r="G3161" s="12" t="n">
        <x:v>3974601.9101</x:v>
      </x:c>
      <x:c r="H3161" s="12" t="n">
        <x:v>324442.90400264</x:v>
      </x:c>
      <x:c r="I3161" s="13" t="n">
        <x:v>0.0720921052631579</x:v>
      </x:c>
      <x:c r="J3161" s="2" t="n">
        <x:v>10</x:v>
      </x:c>
      <x:c r="K3161" s="2" t="n">
        <x:v>15</x:v>
      </x:c>
      <x:c r="L3161" s="12" t="n">
        <x:v>2233.0102</x:v>
      </x:c>
      <x:c r="M3161" s="13" t="n">
        <x:v>0.5751468195068837</x:v>
      </x:c>
      <x:c r="N3161" s="13" t="n">
        <x:f>H3161/G3161</x:f>
        <x:v>0.08162903136995601</x:v>
      </x:c>
      <x:c r="O3161" s="13" t="n">
        <x:f>F3161/E3161</x:f>
        <x:v>0</x:v>
      </x:c>
      <x:c r="P3161" s="2" t="str">
        <x:f>IF(AND(E3161&gt;='Итоги'!$F$5,N3161&lt;='Итоги'!$B$5,O3161&gt;='Итоги'!$D$5),"Да","Нет")</x:f>
        <x:v>Нет</x:v>
      </x:c>
    </x:row>
    <x:row r="3162" ht="60" customHeight="1">
      <x:c r="A3162" s="14" t="str">
        <x:v>Спорт и отдых</x:v>
      </x:c>
      <x:c r="B3162" s="14" t="str">
        <x:v>Тренажеры и фитнес</x:v>
      </x:c>
      <x:c r="C3162" s="14" t="str">
        <x:v>Фитнес</x:v>
      </x:c>
      <x:c r="D3162" s="14" t="str">
        <x:v>Шведская стенка</x:v>
      </x:c>
      <x:c r="E3162" s="2" t="n">
        <x:v>33</x:v>
      </x:c>
      <x:c r="F3162" s="2" t="n">
        <x:v>0</x:v>
      </x:c>
      <x:c r="G3162" s="12" t="n">
        <x:v>6805327.3406</x:v>
      </x:c>
      <x:c r="H3162" s="12" t="n">
        <x:v>555890.20520094</x:v>
      </x:c>
      <x:c r="I3162" s="13" t="n">
        <x:v>0.066930303030303</x:v>
      </x:c>
      <x:c r="J3162" s="2" t="n">
        <x:v>7</x:v>
      </x:c>
      <x:c r="K3162" s="2" t="n">
        <x:v>7</x:v>
      </x:c>
      <x:c r="L3162" s="12" t="n">
        <x:v>7487.6667</x:v>
      </x:c>
      <x:c r="M3162" s="13" t="n">
        <x:v>0.5703839072725295</x:v>
      </x:c>
      <x:c r="N3162" s="13" t="n">
        <x:f>H3162/G3162</x:f>
        <x:v>0.08168456525001327</x:v>
      </x:c>
      <x:c r="O3162" s="13" t="n">
        <x:f>F3162/E3162</x:f>
        <x:v>0</x:v>
      </x:c>
      <x:c r="P3162" s="2" t="str">
        <x:f>IF(AND(E3162&gt;='Итоги'!$F$5,N3162&lt;='Итоги'!$B$5,O3162&gt;='Итоги'!$D$5),"Да","Нет")</x:f>
        <x:v>Нет</x:v>
      </x:c>
    </x:row>
    <x:row r="3163" ht="60" customHeight="1">
      <x:c r="A3163" s="14" t="str">
        <x:v>Строительство и ремонт (DIY)</x:v>
      </x:c>
      <x:c r="B3163" s="14" t="str">
        <x:v>Сад и огород</x:v>
      </x:c>
      <x:c r="C3163" s="14" t="str">
        <x:v>Загородный отдых</x:v>
      </x:c>
      <x:c r="D3163" s="14" t="str">
        <x:v>Решетка для мангала</x:v>
      </x:c>
      <x:c r="E3163" s="2" t="n">
        <x:v>47</x:v>
      </x:c>
      <x:c r="F3163" s="2" t="n">
        <x:v>0</x:v>
      </x:c>
      <x:c r="G3163" s="12" t="n">
        <x:v>11920335.7145</x:v>
      </x:c>
      <x:c r="H3163" s="12" t="n">
        <x:v>974149.30500711</x:v>
      </x:c>
      <x:c r="I3163" s="13" t="n">
        <x:v>0.0809425531914893</x:v>
      </x:c>
      <x:c r="J3163" s="2" t="n">
        <x:v>8</x:v>
      </x:c>
      <x:c r="K3163" s="2" t="n">
        <x:v>22</x:v>
      </x:c>
      <x:c r="L3163" s="12" t="n">
        <x:v>1625.4576</x:v>
      </x:c>
      <x:c r="M3163" s="13" t="n">
        <x:v>0.5999540329976333</x:v>
      </x:c>
      <x:c r="N3163" s="13" t="n">
        <x:f>H3163/G3163</x:f>
        <x:v>0.0817216333783407</x:v>
      </x:c>
      <x:c r="O3163" s="13" t="n">
        <x:f>F3163/E3163</x:f>
        <x:v>0</x:v>
      </x:c>
      <x:c r="P3163" s="2" t="str">
        <x:f>IF(AND(E3163&gt;='Итоги'!$F$5,N3163&lt;='Итоги'!$B$5,O3163&gt;='Итоги'!$D$5),"Да","Нет")</x:f>
        <x:v>Нет</x:v>
      </x:c>
    </x:row>
    <x:row r="3164" ht="60" customHeight="1">
      <x:c r="A3164" s="14" t="str">
        <x:v>Мебель</x:v>
      </x:c>
      <x:c r="B3164" s="14" t="str">
        <x:v>Мебель для сада</x:v>
      </x:c>
      <x:c r="C3164" s="14" t="str">
        <x:v>Беседка, тент, шатер для садовой мебели</x:v>
      </x:c>
      <x:c r="D3164" s="14" t="str">
        <x:v>Беседка, тент, шатер для садовой мебели</x:v>
      </x:c>
      <x:c r="E3164" s="2" t="n">
        <x:v>34</x:v>
      </x:c>
      <x:c r="F3164" s="2" t="n">
        <x:v>0</x:v>
      </x:c>
      <x:c r="G3164" s="12" t="n">
        <x:v>5303187.14</x:v>
      </x:c>
      <x:c r="H3164" s="12" t="n">
        <x:v>433438.28354973</x:v>
      </x:c>
      <x:c r="I3164" s="13" t="n">
        <x:v>0.081385294117647</x:v>
      </x:c>
      <x:c r="J3164" s="2" t="n">
        <x:v>15</x:v>
      </x:c>
      <x:c r="K3164" s="2" t="n">
        <x:v>7</x:v>
      </x:c>
      <x:c r="L3164" s="12" t="n">
        <x:v>6157.76355</x:v>
      </x:c>
      <x:c r="M3164" s="13" t="n">
        <x:v>0.782097931924009</x:v>
      </x:c>
      <x:c r="N3164" s="13" t="n">
        <x:f>H3164/G3164</x:f>
        <x:v>0.08173165911503738</x:v>
      </x:c>
      <x:c r="O3164" s="13" t="n">
        <x:f>F3164/E3164</x:f>
        <x:v>0</x:v>
      </x:c>
      <x:c r="P3164" s="2" t="str">
        <x:f>IF(AND(E3164&gt;='Итоги'!$F$5,N3164&lt;='Итоги'!$B$5,O3164&gt;='Итоги'!$D$5),"Да","Нет")</x:f>
        <x:v>Нет</x:v>
      </x:c>
    </x:row>
    <x:row r="3165" ht="60" customHeight="1">
      <x:c r="A3165" s="14" t="str">
        <x:v>Товары для красоты и здоровья</x:v>
      </x:c>
      <x:c r="B3165" s="14" t="str">
        <x:v>Косметика для ухода за волосами</x:v>
      </x:c>
      <x:c r="C3165" s="14" t="str">
        <x:v>Уход за волосами для мужчин</x:v>
      </x:c>
      <x:c r="D3165" s="14" t="str">
        <x:v>Крем для волос мужской</x:v>
      </x:c>
      <x:c r="E3165" s="2" t="n">
        <x:v>3</x:v>
      </x:c>
      <x:c r="F3165" s="2" t="n">
        <x:v>0</x:v>
      </x:c>
      <x:c r="G3165" s="12" t="n">
        <x:v>332213.7375</x:v>
      </x:c>
      <x:c r="H3165" s="12" t="n">
        <x:v>27154.8682625</x:v>
      </x:c>
      <x:c r="I3165" s="13" t="n">
        <x:v>0.0593333333333333</x:v>
      </x:c>
      <x:c r="J3165" s="2" t="n">
        <x:v>1</x:v>
      </x:c>
      <x:c r="K3165" s="2" t="n">
        <x:v>3</x:v>
      </x:c>
      <x:c r="L3165" s="12" t="n">
        <x:v>1469.6316</x:v>
      </x:c>
      <x:c r="M3165" s="13" t="n">
        <x:v>0.4689601374476574</x:v>
      </x:c>
      <x:c r="N3165" s="13" t="n">
        <x:f>H3165/G3165</x:f>
        <x:v>0.08173914922016132</x:v>
      </x:c>
      <x:c r="O3165" s="13" t="n">
        <x:f>F3165/E3165</x:f>
        <x:v>0</x:v>
      </x:c>
      <x:c r="P3165" s="2" t="str">
        <x:f>IF(AND(E3165&gt;='Итоги'!$F$5,N3165&lt;='Итоги'!$B$5,O3165&gt;='Итоги'!$D$5),"Да","Нет")</x:f>
        <x:v>Нет</x:v>
      </x:c>
    </x:row>
    <x:row r="3166" ht="60" customHeight="1">
      <x:c r="A3166" s="14" t="str">
        <x:v>Товары для дома</x:v>
      </x:c>
      <x:c r="B3166" s="14" t="str">
        <x:v>Кухня</x:v>
      </x:c>
      <x:c r="C3166" s="14" t="str">
        <x:v>Кухонная утварь и принадлежности</x:v>
      </x:c>
      <x:c r="D3166" s="14" t="str">
        <x:v>Центрифуга, сушилка для овощей и фруктов механическая</x:v>
      </x:c>
      <x:c r="E3166" s="2" t="n">
        <x:v>19</x:v>
      </x:c>
      <x:c r="F3166" s="2" t="n">
        <x:v>0</x:v>
      </x:c>
      <x:c r="G3166" s="12" t="n">
        <x:v>3166870.7982</x:v>
      </x:c>
      <x:c r="H3166" s="12" t="n">
        <x:v>258993.50209251</x:v>
      </x:c>
      <x:c r="I3166" s="13" t="n">
        <x:v>0.0741578947368421</x:v>
      </x:c>
      <x:c r="J3166" s="2" t="n">
        <x:v>2</x:v>
      </x:c>
      <x:c r="K3166" s="2" t="n">
        <x:v>8</x:v>
      </x:c>
      <x:c r="L3166" s="12" t="n">
        <x:v>1406.6809</x:v>
      </x:c>
      <x:c r="M3166" s="13" t="n">
        <x:v>0.6934395203770836</x:v>
      </x:c>
      <x:c r="N3166" s="13" t="n">
        <x:f>H3166/G3166</x:f>
        <x:v>0.08178214982427381</x:v>
      </x:c>
      <x:c r="O3166" s="13" t="n">
        <x:f>F3166/E3166</x:f>
        <x:v>0</x:v>
      </x:c>
      <x:c r="P3166" s="2" t="str">
        <x:f>IF(AND(E3166&gt;='Итоги'!$F$5,N3166&lt;='Итоги'!$B$5,O3166&gt;='Итоги'!$D$5),"Да","Нет")</x:f>
        <x:v>Нет</x:v>
      </x:c>
    </x:row>
    <x:row r="3167" ht="60" customHeight="1">
      <x:c r="A3167" s="14" t="str">
        <x:v>Товары для красоты и здоровья</x:v>
      </x:c>
      <x:c r="B3167" s="14" t="str">
        <x:v>Косметика для ухода за волосами</x:v>
      </x:c>
      <x:c r="C3167" s="14" t="str">
        <x:v>Уход за волосами для мужчин</x:v>
      </x:c>
      <x:c r="D3167" s="14" t="str">
        <x:v>Лосьон для волос мужской</x:v>
      </x:c>
      <x:c r="E3167" s="2" t="n">
        <x:v>47</x:v>
      </x:c>
      <x:c r="F3167" s="2" t="n">
        <x:v>0</x:v>
      </x:c>
      <x:c r="G3167" s="12" t="n">
        <x:v>7797494.2828</x:v>
      </x:c>
      <x:c r="H3167" s="12" t="n">
        <x:v>637801.44129867</x:v>
      </x:c>
      <x:c r="I3167" s="13" t="n">
        <x:v>0.0799680851063829</x:v>
      </x:c>
      <x:c r="J3167" s="2" t="n">
        <x:v>22</x:v>
      </x:c>
      <x:c r="K3167" s="2" t="n">
        <x:v>19</x:v>
      </x:c>
      <x:c r="L3167" s="12" t="n">
        <x:v>1861.1358</x:v>
      </x:c>
      <x:c r="M3167" s="13" t="n">
        <x:v>0.4216530595158541</x:v>
      </x:c>
      <x:c r="N3167" s="13" t="n">
        <x:f>H3167/G3167</x:f>
        <x:v>0.08179569207322869</x:v>
      </x:c>
      <x:c r="O3167" s="13" t="n">
        <x:f>F3167/E3167</x:f>
        <x:v>0</x:v>
      </x:c>
      <x:c r="P3167" s="2" t="str">
        <x:f>IF(AND(E3167&gt;='Итоги'!$F$5,N3167&lt;='Итоги'!$B$5,O3167&gt;='Итоги'!$D$5),"Да","Нет")</x:f>
        <x:v>Нет</x:v>
      </x:c>
    </x:row>
    <x:row r="3168" ht="60" customHeight="1">
      <x:c r="A3168" s="14" t="str">
        <x:v>Товары для красоты и здоровья</x:v>
      </x:c>
      <x:c r="B3168" s="14" t="str">
        <x:v>Косметическая техника</x:v>
      </x:c>
      <x:c r="C3168" s="14" t="str">
        <x:v>Приборы для косметических процедур</x:v>
      </x:c>
      <x:c r="D3168" s="14" t="str">
        <x:v>Лампа, пылесос для маникюра</x:v>
      </x:c>
      <x:c r="E3168" s="2" t="n">
        <x:v>63</x:v>
      </x:c>
      <x:c r="F3168" s="2" t="n">
        <x:v>0</x:v>
      </x:c>
      <x:c r="G3168" s="12" t="n">
        <x:v>12212915.3769</x:v>
      </x:c>
      <x:c r="H3168" s="12" t="n">
        <x:v>999085.45070785</x:v>
      </x:c>
      <x:c r="I3168" s="13" t="n">
        <x:v>0.0843968253968254</x:v>
      </x:c>
      <x:c r="J3168" s="2" t="n">
        <x:v>12</x:v>
      </x:c>
      <x:c r="K3168" s="2" t="n">
        <x:v>28</x:v>
      </x:c>
      <x:c r="L3168" s="12" t="n">
        <x:v>2867.4808</x:v>
      </x:c>
      <x:c r="M3168" s="13" t="n">
        <x:v>0.3318691345856843</x:v>
      </x:c>
      <x:c r="N3168" s="13" t="n">
        <x:f>H3168/G3168</x:f>
        <x:v>0.08180564753585048</x:v>
      </x:c>
      <x:c r="O3168" s="13" t="n">
        <x:f>F3168/E3168</x:f>
        <x:v>0</x:v>
      </x:c>
      <x:c r="P3168" s="2" t="str">
        <x:f>IF(AND(E3168&gt;='Итоги'!$F$5,N3168&lt;='Итоги'!$B$5,O3168&gt;='Итоги'!$D$5),"Да","Нет")</x:f>
        <x:v>Нет</x:v>
      </x:c>
    </x:row>
    <x:row r="3169" ht="60" customHeight="1">
      <x:c r="A3169" s="14" t="str">
        <x:v>Товары для красоты и здоровья</x:v>
      </x:c>
      <x:c r="B3169" s="14" t="str">
        <x:v>Косметика для ухода за волосами</x:v>
      </x:c>
      <x:c r="C3169" s="14" t="str">
        <x:v>Уход за волосами для женщин</x:v>
      </x:c>
      <x:c r="D3169" s="14" t="str">
        <x:v>Дополнительный уход для волос и кожи головы</x:v>
      </x:c>
      <x:c r="E3169" s="2" t="n">
        <x:v>113</x:v>
      </x:c>
      <x:c r="F3169" s="2" t="n">
        <x:v>0</x:v>
      </x:c>
      <x:c r="G3169" s="12" t="n">
        <x:v>18684810.4486</x:v>
      </x:c>
      <x:c r="H3169" s="12" t="n">
        <x:v>1528915.72488023</x:v>
      </x:c>
      <x:c r="I3169" s="13" t="n">
        <x:v>0.0724407079646017</x:v>
      </x:c>
      <x:c r="J3169" s="2" t="n">
        <x:v>47</x:v>
      </x:c>
      <x:c r="K3169" s="2" t="n">
        <x:v>39</x:v>
      </x:c>
      <x:c r="L3169" s="12" t="n">
        <x:v>1800.09</x:v>
      </x:c>
      <x:c r="M3169" s="13" t="n">
        <x:v>0.4236125138370379</x:v>
      </x:c>
      <x:c r="N3169" s="13" t="n">
        <x:f>H3169/G3169</x:f>
        <x:v>0.08182666498470083</x:v>
      </x:c>
      <x:c r="O3169" s="13" t="n">
        <x:f>F3169/E3169</x:f>
        <x:v>0</x:v>
      </x:c>
      <x:c r="P3169" s="2" t="str">
        <x:f>IF(AND(E3169&gt;='Итоги'!$F$5,N3169&lt;='Итоги'!$B$5,O3169&gt;='Итоги'!$D$5),"Да","Нет")</x:f>
        <x:v>Нет</x:v>
      </x:c>
    </x:row>
    <x:row r="3170" ht="60" customHeight="1">
      <x:c r="A3170" s="14" t="str">
        <x:v>Мелкая бытовая техника</x:v>
      </x:c>
      <x:c r="B3170" s="14" t="str">
        <x:v>Мелкая бытовая техника SDA</x:v>
      </x:c>
      <x:c r="C3170" s="14" t="str">
        <x:v>Электронная кухонная техника SDA</x:v>
      </x:c>
      <x:c r="D3170" s="14" t="str">
        <x:v>Вспениватель молока</x:v>
      </x:c>
      <x:c r="E3170" s="2" t="n">
        <x:v>48</x:v>
      </x:c>
      <x:c r="F3170" s="2" t="n">
        <x:v>0</x:v>
      </x:c>
      <x:c r="G3170" s="12" t="n">
        <x:v>8275286.8333</x:v>
      </x:c>
      <x:c r="H3170" s="12" t="n">
        <x:v>677184.23176033</x:v>
      </x:c>
      <x:c r="I3170" s="13" t="n">
        <x:v>0.08800625</x:v>
      </x:c>
      <x:c r="J3170" s="2" t="n">
        <x:v>3</x:v>
      </x:c>
      <x:c r="K3170" s="2" t="n">
        <x:v>13</x:v>
      </x:c>
      <x:c r="L3170" s="12" t="n">
        <x:v>2537.27615</x:v>
      </x:c>
      <x:c r="M3170" s="13" t="n">
        <x:v>0.5448662145891977</x:v>
      </x:c>
      <x:c r="N3170" s="13" t="n">
        <x:f>H3170/G3170</x:f>
        <x:v>0.08183211596186861</x:v>
      </x:c>
      <x:c r="O3170" s="13" t="n">
        <x:f>F3170/E3170</x:f>
        <x:v>0</x:v>
      </x:c>
      <x:c r="P3170" s="2" t="str">
        <x:f>IF(AND(E3170&gt;='Итоги'!$F$5,N3170&lt;='Итоги'!$B$5,O3170&gt;='Итоги'!$D$5),"Да","Нет")</x:f>
        <x:v>Нет</x:v>
      </x:c>
    </x:row>
    <x:row r="3171" ht="60" customHeight="1">
      <x:c r="A3171" s="14" t="str">
        <x:v>Бакалея и кондитерские изделия</x:v>
      </x:c>
      <x:c r="B3171" s="14" t="str">
        <x:v>Бакалея</x:v>
      </x:c>
      <x:c r="C3171" s="14" t="str">
        <x:v>Приправы, специи, травы</x:v>
      </x:c>
      <x:c r="D3171" s="14" t="str">
        <x:v>Сухая закваска</x:v>
      </x:c>
      <x:c r="E3171" s="2" t="n">
        <x:v>4</x:v>
      </x:c>
      <x:c r="F3171" s="2" t="n">
        <x:v>0</x:v>
      </x:c>
      <x:c r="G3171" s="12" t="n">
        <x:v>536449.4645</x:v>
      </x:c>
      <x:c r="H3171" s="12" t="n">
        <x:v>43915.38271756</x:v>
      </x:c>
      <x:c r="I3171" s="13" t="n">
        <x:v>0.0727</x:v>
      </x:c>
      <x:c r="J3171" s="2" t="n">
        <x:v>1</x:v>
      </x:c>
      <x:c r="K3171" s="2" t="n">
        <x:v>2</x:v>
      </x:c>
      <x:c r="L3171" s="12" t="n">
        <x:v>1926.37655</x:v>
      </x:c>
      <x:c r="M3171" s="13" t="n">
        <x:v>0.6986389013349458</x:v>
      </x:c>
      <x:c r="N3171" s="13" t="n">
        <x:f>H3171/G3171</x:f>
        <x:v>0.0818630376646783</x:v>
      </x:c>
      <x:c r="O3171" s="13" t="n">
        <x:f>F3171/E3171</x:f>
        <x:v>0</x:v>
      </x:c>
      <x:c r="P3171" s="2" t="str">
        <x:f>IF(AND(E3171&gt;='Итоги'!$F$5,N3171&lt;='Итоги'!$B$5,O3171&gt;='Итоги'!$D$5),"Да","Нет")</x:f>
        <x:v>Нет</x:v>
      </x:c>
    </x:row>
    <x:row r="3172" ht="60" customHeight="1">
      <x:c r="A3172" s="14" t="str">
        <x:v>Аксессуары для электроники</x:v>
      </x:c>
      <x:c r="B3172" s="14" t="str">
        <x:v>Аксессуары для климатической техники Access</x:v>
      </x:c>
      <x:c r="C3172" s="14" t="str">
        <x:v>Аксессуары для увлажнителя воздуха Access</x:v>
      </x:c>
      <x:c r="D3172" s="14" t="str">
        <x:v>Аксессуары для увлажнителя воздуха</x:v>
      </x:c>
      <x:c r="E3172" s="2" t="n">
        <x:v>4</x:v>
      </x:c>
      <x:c r="F3172" s="2" t="n">
        <x:v>0</x:v>
      </x:c>
      <x:c r="G3172" s="12" t="n">
        <x:v>540208.4033</x:v>
      </x:c>
      <x:c r="H3172" s="12" t="n">
        <x:v>44243.68701265</x:v>
      </x:c>
      <x:c r="I3172" s="13" t="n">
        <x:v>0.076325</x:v>
      </x:c>
      <x:c r="J3172" s="2" t="n">
        <x:v>1</x:v>
      </x:c>
      <x:c r="K3172" s="2" t="n">
        <x:v>3</x:v>
      </x:c>
      <x:c r="L3172" s="12" t="n">
        <x:v>3479.25995</x:v>
      </x:c>
      <x:c r="M3172" s="13" t="n">
        <x:v>0.5320309960828038</x:v>
      </x:c>
      <x:c r="N3172" s="13" t="n">
        <x:f>H3172/G3172</x:f>
        <x:v>0.08190114545122996</x:v>
      </x:c>
      <x:c r="O3172" s="13" t="n">
        <x:f>F3172/E3172</x:f>
        <x:v>0</x:v>
      </x:c>
      <x:c r="P3172" s="2" t="str">
        <x:f>IF(AND(E3172&gt;='Итоги'!$F$5,N3172&lt;='Итоги'!$B$5,O3172&gt;='Итоги'!$D$5),"Да","Нет")</x:f>
        <x:v>Нет</x:v>
      </x:c>
    </x:row>
    <x:row r="3173" ht="60" customHeight="1">
      <x:c r="A3173" s="14" t="str">
        <x:v>Товары для красоты и здоровья</x:v>
      </x:c>
      <x:c r="B3173" s="14" t="str">
        <x:v>Уход и гигиена</x:v>
      </x:c>
      <x:c r="C3173" s="14" t="str">
        <x:v>Гигиена тела</x:v>
      </x:c>
      <x:c r="D3173" s="14" t="str">
        <x:v>Мыло туалетное жидкое</x:v>
      </x:c>
      <x:c r="E3173" s="2" t="n">
        <x:v>46</x:v>
      </x:c>
      <x:c r="F3173" s="2" t="n">
        <x:v>0</x:v>
      </x:c>
      <x:c r="G3173" s="12" t="n">
        <x:v>7005965.6531</x:v>
      </x:c>
      <x:c r="H3173" s="12" t="n">
        <x:v>573797.60579709</x:v>
      </x:c>
      <x:c r="I3173" s="13" t="n">
        <x:v>0.0768847826086956</x:v>
      </x:c>
      <x:c r="J3173" s="2" t="n">
        <x:v>18</x:v>
      </x:c>
      <x:c r="K3173" s="2" t="n">
        <x:v>12</x:v>
      </x:c>
      <x:c r="L3173" s="12" t="n">
        <x:v>991.89225</x:v>
      </x:c>
      <x:c r="M3173" s="13" t="n">
        <x:v>0.7662020250305929</x:v>
      </x:c>
      <x:c r="N3173" s="13" t="n">
        <x:f>H3173/G3173</x:f>
        <x:v>0.08190128730408434</x:v>
      </x:c>
      <x:c r="O3173" s="13" t="n">
        <x:f>F3173/E3173</x:f>
        <x:v>0</x:v>
      </x:c>
      <x:c r="P3173" s="2" t="str">
        <x:f>IF(AND(E3173&gt;='Итоги'!$F$5,N3173&lt;='Итоги'!$B$5,O3173&gt;='Итоги'!$D$5),"Да","Нет")</x:f>
        <x:v>Нет</x:v>
      </x:c>
    </x:row>
    <x:row r="3174" ht="60" customHeight="1">
      <x:c r="A3174" s="14" t="str">
        <x:v>Аксессуары</x:v>
      </x:c>
      <x:c r="B3174" s="14" t="str">
        <x:v>Сумки и рюкзаки</x:v>
      </x:c>
      <x:c r="C3174" s="14" t="str">
        <x:v>Сумка мужская</x:v>
      </x:c>
      <x:c r="D3174" s="14" t="str">
        <x:v>Мужской Клатч</x:v>
      </x:c>
      <x:c r="E3174" s="2" t="n">
        <x:v>7</x:v>
      </x:c>
      <x:c r="F3174" s="2" t="n">
        <x:v>0</x:v>
      </x:c>
      <x:c r="G3174" s="12" t="n">
        <x:v>573646.8723</x:v>
      </x:c>
      <x:c r="H3174" s="12" t="n">
        <x:v>46993.07469801</x:v>
      </x:c>
      <x:c r="I3174" s="13" t="n">
        <x:v>0.0815857142857142</x:v>
      </x:c>
      <x:c r="J3174" s="2" t="n">
        <x:v>2</x:v>
      </x:c>
      <x:c r="K3174" s="2" t="n">
        <x:v>4</x:v>
      </x:c>
      <x:c r="L3174" s="12" t="n">
        <x:v>4244</x:v>
      </x:c>
      <x:c r="M3174" s="13" t="n">
        <x:v>0.7626206663447366</x:v>
      </x:c>
      <x:c r="N3174" s="13" t="n">
        <x:f>H3174/G3174</x:f>
        <x:v>0.08191986563021655</x:v>
      </x:c>
      <x:c r="O3174" s="13" t="n">
        <x:f>F3174/E3174</x:f>
        <x:v>0</x:v>
      </x:c>
      <x:c r="P3174" s="2" t="str">
        <x:f>IF(AND(E3174&gt;='Итоги'!$F$5,N3174&lt;='Итоги'!$B$5,O3174&gt;='Итоги'!$D$5),"Да","Нет")</x:f>
        <x:v>Нет</x:v>
      </x:c>
    </x:row>
    <x:row r="3175" ht="60" customHeight="1">
      <x:c r="A3175" s="14" t="str">
        <x:v>Одежда</x:v>
      </x:c>
      <x:c r="B3175" s="14" t="str">
        <x:v>Основная одежда мужская</x:v>
      </x:c>
      <x:c r="C3175" s="14" t="str">
        <x:v>Пляжная одежда мужская</x:v>
      </x:c>
      <x:c r="D3175" s="14" t="str">
        <x:v>Спортивные шорты для плавания</x:v>
      </x:c>
      <x:c r="E3175" s="2" t="n">
        <x:v>300</x:v>
      </x:c>
      <x:c r="F3175" s="2" t="n">
        <x:v>0</x:v>
      </x:c>
      <x:c r="G3175" s="12" t="n">
        <x:v>25299193.5624</x:v>
      </x:c>
      <x:c r="H3175" s="12" t="n">
        <x:v>2072831.56401468</x:v>
      </x:c>
      <x:c r="I3175" s="13" t="n">
        <x:v>0.0716766666666666</x:v>
      </x:c>
      <x:c r="J3175" s="2" t="n">
        <x:v>66</x:v>
      </x:c>
      <x:c r="K3175" s="2" t="n">
        <x:v>20</x:v>
      </x:c>
      <x:c r="L3175" s="12" t="n">
        <x:v>1348.04015</x:v>
      </x:c>
      <x:c r="M3175" s="13" t="n">
        <x:v>0.3410063157950551</x:v>
      </x:c>
      <x:c r="N3175" s="13" t="n">
        <x:f>H3175/G3175</x:f>
        <x:v>0.08193271295000289</x:v>
      </x:c>
      <x:c r="O3175" s="13" t="n">
        <x:f>F3175/E3175</x:f>
        <x:v>0</x:v>
      </x:c>
      <x:c r="P3175" s="2" t="str">
        <x:f>IF(AND(E3175&gt;='Итоги'!$F$5,N3175&lt;='Итоги'!$B$5,O3175&gt;='Итоги'!$D$5),"Да","Нет")</x:f>
        <x:v>Нет</x:v>
      </x:c>
    </x:row>
    <x:row r="3176" ht="60" customHeight="1">
      <x:c r="A3176" s="14" t="str">
        <x:v>Напитки</x:v>
      </x:c>
      <x:c r="B3176" s="14" t="str">
        <x:v>Напитки холодные</x:v>
      </x:c>
      <x:c r="C3176" s="14" t="str">
        <x:v>Газированные напитки</x:v>
      </x:c>
      <x:c r="D3176" s="14" t="str">
        <x:v>Безалкогольное пиво</x:v>
      </x:c>
      <x:c r="E3176" s="2" t="n">
        <x:v>22</x:v>
      </x:c>
      <x:c r="F3176" s="2" t="n">
        <x:v>0</x:v>
      </x:c>
      <x:c r="G3176" s="12" t="n">
        <x:v>3891702.9378</x:v>
      </x:c>
      <x:c r="H3176" s="12" t="n">
        <x:v>319148.075649</x:v>
      </x:c>
      <x:c r="I3176" s="13" t="n">
        <x:v>0.0749181818181818</x:v>
      </x:c>
      <x:c r="J3176" s="2" t="n">
        <x:v>6</x:v>
      </x:c>
      <x:c r="K3176" s="2" t="n">
        <x:v>7</x:v>
      </x:c>
      <x:c r="L3176" s="12" t="n">
        <x:v>1217.3043</x:v>
      </x:c>
      <x:c r="M3176" s="13" t="n">
        <x:v>0.6736062623222557</x:v>
      </x:c>
      <x:c r="N3176" s="13" t="n">
        <x:f>H3176/G3176</x:f>
        <x:v>0.08200730650562349</x:v>
      </x:c>
      <x:c r="O3176" s="13" t="n">
        <x:f>F3176/E3176</x:f>
        <x:v>0</x:v>
      </x:c>
      <x:c r="P3176" s="2" t="str">
        <x:f>IF(AND(E3176&gt;='Итоги'!$F$5,N3176&lt;='Итоги'!$B$5,O3176&gt;='Итоги'!$D$5),"Да","Нет")</x:f>
        <x:v>Нет</x:v>
      </x:c>
    </x:row>
    <x:row r="3177" ht="60" customHeight="1">
      <x:c r="A3177" s="14" t="str">
        <x:v>Строительство и ремонт (DIY)</x:v>
      </x:c>
      <x:c r="B3177" s="14" t="str">
        <x:v>Ремонт и строительство</x:v>
      </x:c>
      <x:c r="C3177" s="14" t="str">
        <x:v>Стройматериалы</x:v>
      </x:c>
      <x:c r="D3177" s="14" t="str">
        <x:v>Забор</x:v>
      </x:c>
      <x:c r="E3177" s="2" t="n">
        <x:v>30</x:v>
      </x:c>
      <x:c r="F3177" s="2" t="n">
        <x:v>0</x:v>
      </x:c>
      <x:c r="G3177" s="12" t="n">
        <x:v>5692391.7915</x:v>
      </x:c>
      <x:c r="H3177" s="12" t="n">
        <x:v>466899.85603458</x:v>
      </x:c>
      <x:c r="I3177" s="13" t="n">
        <x:v>0.07332</x:v>
      </x:c>
      <x:c r="J3177" s="2" t="n">
        <x:v>5</x:v>
      </x:c>
      <x:c r="K3177" s="2" t="n">
        <x:v>5</x:v>
      </x:c>
      <x:c r="L3177" s="12" t="n">
        <x:v>2265.35055</x:v>
      </x:c>
      <x:c r="M3177" s="13" t="n">
        <x:v>0.8161747289843059</x:v>
      </x:c>
      <x:c r="N3177" s="13" t="n">
        <x:f>H3177/G3177</x:f>
        <x:v>0.08202173587766125</x:v>
      </x:c>
      <x:c r="O3177" s="13" t="n">
        <x:f>F3177/E3177</x:f>
        <x:v>0</x:v>
      </x:c>
      <x:c r="P3177" s="2" t="str">
        <x:f>IF(AND(E3177&gt;='Итоги'!$F$5,N3177&lt;='Итоги'!$B$5,O3177&gt;='Итоги'!$D$5),"Да","Нет")</x:f>
        <x:v>Нет</x:v>
      </x:c>
    </x:row>
    <x:row r="3178" ht="60" customHeight="1">
      <x:c r="A3178" s="14" t="str">
        <x:v>Ноутбуки и компьютеры</x:v>
      </x:c>
      <x:c r="B3178" s="14" t="str">
        <x:v>Фото и видео Lap&amp;Comp</x:v>
      </x:c>
      <x:c r="C3178" s="14" t="str">
        <x:v>Видеокамера Lap&amp;Comp</x:v>
      </x:c>
      <x:c r="D3178" s="14" t="str">
        <x:v>Экшен камера</x:v>
      </x:c>
      <x:c r="E3178" s="2" t="n">
        <x:v>90</x:v>
      </x:c>
      <x:c r="F3178" s="2" t="n">
        <x:v>0</x:v>
      </x:c>
      <x:c r="G3178" s="12" t="n">
        <x:v>24194388.9061</x:v>
      </x:c>
      <x:c r="H3178" s="12" t="n">
        <x:v>1984470.78725607</x:v>
      </x:c>
      <x:c r="I3178" s="13" t="n">
        <x:v>0.0860111111111111</x:v>
      </x:c>
      <x:c r="J3178" s="2" t="n">
        <x:v>25</x:v>
      </x:c>
      <x:c r="K3178" s="2" t="n">
        <x:v>38</x:v>
      </x:c>
      <x:c r="L3178" s="12" t="n">
        <x:v>4595.442849999999</x:v>
      </x:c>
      <x:c r="M3178" s="13" t="n">
        <x:v>0.5638665649687236</x:v>
      </x:c>
      <x:c r="N3178" s="13" t="n">
        <x:f>H3178/G3178</x:f>
        <x:v>0.08202194297851169</x:v>
      </x:c>
      <x:c r="O3178" s="13" t="n">
        <x:f>F3178/E3178</x:f>
        <x:v>0</x:v>
      </x:c>
      <x:c r="P3178" s="2" t="str">
        <x:f>IF(AND(E3178&gt;='Итоги'!$F$5,N3178&lt;='Итоги'!$B$5,O3178&gt;='Итоги'!$D$5),"Да","Нет")</x:f>
        <x:v>Нет</x:v>
      </x:c>
    </x:row>
    <x:row r="3179" ht="60" customHeight="1">
      <x:c r="A3179" s="14" t="str">
        <x:v>Спорт и отдых</x:v>
      </x:c>
      <x:c r="B3179" s="14" t="str">
        <x:v>Тренажеры и фитнес</x:v>
      </x:c>
      <x:c r="C3179" s="14" t="str">
        <x:v>Фитнес</x:v>
      </x:c>
      <x:c r="D3179" s="14" t="str">
        <x:v>Фитнес резинка</x:v>
      </x:c>
      <x:c r="E3179" s="2" t="n">
        <x:v>26</x:v>
      </x:c>
      <x:c r="F3179" s="2" t="n">
        <x:v>0</x:v>
      </x:c>
      <x:c r="G3179" s="12" t="n">
        <x:v>5785239.0266</x:v>
      </x:c>
      <x:c r="H3179" s="12" t="n">
        <x:v>474650.75874792</x:v>
      </x:c>
      <x:c r="I3179" s="13" t="n">
        <x:v>0.0862961538461538</x:v>
      </x:c>
      <x:c r="J3179" s="2" t="n">
        <x:v>1</x:v>
      </x:c>
      <x:c r="K3179" s="2" t="n">
        <x:v>13</x:v>
      </x:c>
      <x:c r="L3179" s="12" t="n">
        <x:v>912.11545</x:v>
      </x:c>
      <x:c r="M3179" s="13" t="n">
        <x:v>0.3212327401089582</x:v>
      </x:c>
      <x:c r="N3179" s="13" t="n">
        <x:f>H3179/G3179</x:f>
        <x:v>0.0820451422258474</x:v>
      </x:c>
      <x:c r="O3179" s="13" t="n">
        <x:f>F3179/E3179</x:f>
        <x:v>0</x:v>
      </x:c>
      <x:c r="P3179" s="2" t="str">
        <x:f>IF(AND(E3179&gt;='Итоги'!$F$5,N3179&lt;='Итоги'!$B$5,O3179&gt;='Итоги'!$D$5),"Да","Нет")</x:f>
        <x:v>Нет</x:v>
      </x:c>
    </x:row>
    <x:row r="3180" ht="60" customHeight="1">
      <x:c r="A3180" s="14" t="str">
        <x:v>Товары для детей и спорта</x:v>
      </x:c>
      <x:c r="B3180" s="14" t="str">
        <x:v>Текстиль детский</x:v>
      </x:c>
      <x:c r="C3180" s="14" t="str">
        <x:v>Остальной текстиль для малышей</x:v>
      </x:c>
      <x:c r="D3180" s="14" t="str">
        <x:v>Матрас для пеленания</x:v>
      </x:c>
      <x:c r="E3180" s="2" t="n">
        <x:v>11</x:v>
      </x:c>
      <x:c r="F3180" s="2" t="n">
        <x:v>0</x:v>
      </x:c>
      <x:c r="G3180" s="12" t="n">
        <x:v>1036255.0626</x:v>
      </x:c>
      <x:c r="H3180" s="12" t="n">
        <x:v>85039.46753606999</x:v>
      </x:c>
      <x:c r="I3180" s="13" t="n">
        <x:v>0.0832</x:v>
      </x:c>
      <x:c r="J3180" s="2" t="n">
        <x:v>4</x:v>
      </x:c>
      <x:c r="K3180" s="2" t="n">
        <x:v>4</x:v>
      </x:c>
      <x:c r="L3180" s="12" t="n">
        <x:v>1810.3333</x:v>
      </x:c>
      <x:c r="M3180" s="13" t="n">
        <x:v>0.5300859600355308</x:v>
      </x:c>
      <x:c r="N3180" s="13" t="n">
        <x:f>H3180/G3180</x:f>
        <x:v>0.08206422395920847</x:v>
      </x:c>
      <x:c r="O3180" s="13" t="n">
        <x:f>F3180/E3180</x:f>
        <x:v>0</x:v>
      </x:c>
      <x:c r="P3180" s="2" t="str">
        <x:f>IF(AND(E3180&gt;='Итоги'!$F$5,N3180&lt;='Итоги'!$B$5,O3180&gt;='Итоги'!$D$5),"Да","Нет")</x:f>
        <x:v>Нет</x:v>
      </x:c>
    </x:row>
    <x:row r="3181" ht="60" customHeight="1">
      <x:c r="A3181" s="14" t="str">
        <x:v>Аптека</x:v>
      </x:c>
      <x:c r="B3181" s="14" t="str">
        <x:v>Витамины и БАДы</x:v>
      </x:c>
      <x:c r="C3181" s="14" t="str">
        <x:v>Витамины и минеральные вещества</x:v>
      </x:c>
      <x:c r="D3181" s="14" t="str">
        <x:v>БАД кожа, волосы, ногти</x:v>
      </x:c>
      <x:c r="E3181" s="2" t="n">
        <x:v>45</x:v>
      </x:c>
      <x:c r="F3181" s="2" t="n">
        <x:v>0</x:v>
      </x:c>
      <x:c r="G3181" s="12" t="n">
        <x:v>10150514.5924</x:v>
      </x:c>
      <x:c r="H3181" s="12" t="n">
        <x:v>833323.00838797</x:v>
      </x:c>
      <x:c r="I3181" s="13" t="n">
        <x:v>0.0724977777777777</x:v>
      </x:c>
      <x:c r="J3181" s="2" t="n">
        <x:v>18</x:v>
      </x:c>
      <x:c r="K3181" s="2" t="n">
        <x:v>23</x:v>
      </x:c>
      <x:c r="L3181" s="12" t="n">
        <x:v>1717.3149</x:v>
      </x:c>
      <x:c r="M3181" s="13" t="n">
        <x:v>0.4387443937506831</x:v>
      </x:c>
      <x:c r="N3181" s="13" t="n">
        <x:f>H3181/G3181</x:f>
        <x:v>0.08209662680667484</x:v>
      </x:c>
      <x:c r="O3181" s="13" t="n">
        <x:f>F3181/E3181</x:f>
        <x:v>0</x:v>
      </x:c>
      <x:c r="P3181" s="2" t="str">
        <x:f>IF(AND(E3181&gt;='Итоги'!$F$5,N3181&lt;='Итоги'!$B$5,O3181&gt;='Итоги'!$D$5),"Да","Нет")</x:f>
        <x:v>Нет</x:v>
      </x:c>
    </x:row>
    <x:row r="3182" ht="60" customHeight="1">
      <x:c r="A3182" s="14" t="str">
        <x:v>Мебель</x:v>
      </x:c>
      <x:c r="B3182" s="14" t="str">
        <x:v>Мягкая мебель</x:v>
      </x:c>
      <x:c r="C3182" s="14" t="str">
        <x:v>Пуф, банкетка</x:v>
      </x:c>
      <x:c r="D3182" s="14" t="str">
        <x:v>Пуфы</x:v>
      </x:c>
      <x:c r="E3182" s="2" t="n">
        <x:v>117</x:v>
      </x:c>
      <x:c r="F3182" s="2" t="n">
        <x:v>0</x:v>
      </x:c>
      <x:c r="G3182" s="12" t="n">
        <x:v>17926756.263</x:v>
      </x:c>
      <x:c r="H3182" s="12" t="n">
        <x:v>1472672.65632179</x:v>
      </x:c>
      <x:c r="I3182" s="13" t="n">
        <x:v>0.0819632478632478</x:v>
      </x:c>
      <x:c r="J3182" s="2" t="n">
        <x:v>19</x:v>
      </x:c>
      <x:c r="K3182" s="2" t="n">
        <x:v>25</x:v>
      </x:c>
      <x:c r="L3182" s="12" t="n">
        <x:v>3280.2593</x:v>
      </x:c>
      <x:c r="M3182" s="13" t="n">
        <x:v>0.6397102980626383</x:v>
      </x:c>
      <x:c r="N3182" s="13" t="n">
        <x:f>H3182/G3182</x:f>
        <x:v>0.08214942149692293</x:v>
      </x:c>
      <x:c r="O3182" s="13" t="n">
        <x:f>F3182/E3182</x:f>
        <x:v>0</x:v>
      </x:c>
      <x:c r="P3182" s="2" t="str">
        <x:f>IF(AND(E3182&gt;='Итоги'!$F$5,N3182&lt;='Итоги'!$B$5,O3182&gt;='Итоги'!$D$5),"Да","Нет")</x:f>
        <x:v>Нет</x:v>
      </x:c>
    </x:row>
    <x:row r="3183" ht="60" customHeight="1">
      <x:c r="A3183" s="14" t="str">
        <x:v>Ноутбуки и компьютеры</x:v>
      </x:c>
      <x:c r="B3183" s="14" t="str">
        <x:v>Компьютерная офисная техника Lap&amp;Comp</x:v>
      </x:c>
      <x:c r="C3183" s="14" t="str">
        <x:v>Компьютерная офисная техника Lap&amp;Comp</x:v>
      </x:c>
      <x:c r="D3183" s="14" t="str">
        <x:v>Рекламное проекционное оборудование</x:v>
      </x:c>
      <x:c r="E3183" s="2" t="n">
        <x:v>5</x:v>
      </x:c>
      <x:c r="F3183" s="2" t="n">
        <x:v>0</x:v>
      </x:c>
      <x:c r="G3183" s="12" t="n">
        <x:v>955374.5018</x:v>
      </x:c>
      <x:c r="H3183" s="12" t="n">
        <x:v>78497.00537</x:v>
      </x:c>
      <x:c r="I3183" s="13" t="n">
        <x:v>0.07026</x:v>
      </x:c>
      <x:c r="J3183" s="2" t="n">
        <x:v>2</x:v>
      </x:c>
      <x:c r="K3183" s="2" t="n">
        <x:v>3</x:v>
      </x:c>
      <x:c r="L3183" s="12" t="n">
        <x:v>4422</x:v>
      </x:c>
      <x:c r="M3183" s="13" t="n">
        <x:v>0.7415516205061021</x:v>
      </x:c>
      <x:c r="N3183" s="13" t="n">
        <x:f>H3183/G3183</x:f>
        <x:v>0.0821635968116226</x:v>
      </x:c>
      <x:c r="O3183" s="13" t="n">
        <x:f>F3183/E3183</x:f>
        <x:v>0</x:v>
      </x:c>
      <x:c r="P3183" s="2" t="str">
        <x:f>IF(AND(E3183&gt;='Итоги'!$F$5,N3183&lt;='Итоги'!$B$5,O3183&gt;='Итоги'!$D$5),"Да","Нет")</x:f>
        <x:v>Нет</x:v>
      </x:c>
    </x:row>
    <x:row r="3184" ht="60" customHeight="1">
      <x:c r="A3184" s="14" t="str">
        <x:v>Аксессуары</x:v>
      </x:c>
      <x:c r="B3184" s="14" t="str">
        <x:v>Сумки и рюкзаки</x:v>
      </x:c>
      <x:c r="C3184" s="14" t="str">
        <x:v>Сумка унисекс</x:v>
      </x:c>
      <x:c r="D3184" s="14" t="str">
        <x:v>Сумка на пояс унисекс</x:v>
      </x:c>
      <x:c r="E3184" s="2" t="n">
        <x:v>51</x:v>
      </x:c>
      <x:c r="F3184" s="2" t="n">
        <x:v>0</x:v>
      </x:c>
      <x:c r="G3184" s="12" t="n">
        <x:v>6296475.9574</x:v>
      </x:c>
      <x:c r="H3184" s="12" t="n">
        <x:v>518139.6256238</x:v>
      </x:c>
      <x:c r="I3184" s="13" t="n">
        <x:v>0.0838176470588235</x:v>
      </x:c>
      <x:c r="J3184" s="2" t="n">
        <x:v>11</x:v>
      </x:c>
      <x:c r="K3184" s="2" t="n">
        <x:v>21</x:v>
      </x:c>
      <x:c r="L3184" s="12" t="n">
        <x:v>2288.8688</x:v>
      </x:c>
      <x:c r="M3184" s="13" t="n">
        <x:v>0.3698957129920859</x:v>
      </x:c>
      <x:c r="N3184" s="13" t="n">
        <x:f>H3184/G3184</x:f>
        <x:v>0.08229041596114584</x:v>
      </x:c>
      <x:c r="O3184" s="13" t="n">
        <x:f>F3184/E3184</x:f>
        <x:v>0</x:v>
      </x:c>
      <x:c r="P3184" s="2" t="str">
        <x:f>IF(AND(E3184&gt;='Итоги'!$F$5,N3184&lt;='Итоги'!$B$5,O3184&gt;='Итоги'!$D$5),"Да","Нет")</x:f>
        <x:v>Нет</x:v>
      </x:c>
    </x:row>
    <x:row r="3185" ht="60" customHeight="1">
      <x:c r="A3185" s="14" t="str">
        <x:v>Автотовары</x:v>
      </x:c>
      <x:c r="B3185" s="14" t="str">
        <x:v>Авто и мото запчасти</x:v>
      </x:c>
      <x:c r="C3185" s="14" t="str">
        <x:v>Тормозная система</x:v>
      </x:c>
      <x:c r="D3185" s="14" t="str">
        <x:v>Ремкомплект для тормозной системы</x:v>
      </x:c>
      <x:c r="E3185" s="2" t="n">
        <x:v>11</x:v>
      </x:c>
      <x:c r="F3185" s="2" t="n">
        <x:v>0</x:v>
      </x:c>
      <x:c r="G3185" s="12" t="n">
        <x:v>1371245.3772</x:v>
      </x:c>
      <x:c r="H3185" s="12" t="n">
        <x:v>112894.30892145</x:v>
      </x:c>
      <x:c r="I3185" s="13" t="n">
        <x:v>0.0751818181818181</x:v>
      </x:c>
      <x:c r="J3185" s="2" t="n">
        <x:v>3</x:v>
      </x:c>
      <x:c r="K3185" s="2" t="n">
        <x:v>5</x:v>
      </x:c>
      <x:c r="L3185" s="12" t="n">
        <x:v>1704.1827</x:v>
      </x:c>
      <x:c r="M3185" s="13" t="n">
        <x:v>0.3686173830041481</x:v>
      </x:c>
      <x:c r="N3185" s="13" t="n">
        <x:f>H3185/G3185</x:f>
        <x:v>0.08232976445978862</x:v>
      </x:c>
      <x:c r="O3185" s="13" t="n">
        <x:f>F3185/E3185</x:f>
        <x:v>0</x:v>
      </x:c>
      <x:c r="P3185" s="2" t="str">
        <x:f>IF(AND(E3185&gt;='Итоги'!$F$5,N3185&lt;='Итоги'!$B$5,O3185&gt;='Итоги'!$D$5),"Да","Нет")</x:f>
        <x:v>Нет</x:v>
      </x:c>
    </x:row>
    <x:row r="3186" ht="60" customHeight="1">
      <x:c r="A3186" s="14" t="str">
        <x:v>Спорт и отдых</x:v>
      </x:c>
      <x:c r="B3186" s="14" t="str">
        <x:v>Товары для рыбалки</x:v>
      </x:c>
      <x:c r="C3186" s="14" t="str">
        <x:v>Катушки рыболовные</x:v>
      </x:c>
      <x:c r="D3186" s="14" t="str">
        <x:v>Катушка для летней рыбалки</x:v>
      </x:c>
      <x:c r="E3186" s="2" t="n">
        <x:v>247</x:v>
      </x:c>
      <x:c r="F3186" s="2" t="n">
        <x:v>0</x:v>
      </x:c>
      <x:c r="G3186" s="12" t="n">
        <x:v>31316839.3865</x:v>
      </x:c>
      <x:c r="H3186" s="12" t="n">
        <x:v>2579319.06765906</x:v>
      </x:c>
      <x:c r="I3186" s="13" t="n">
        <x:v>0.0718016194331983</x:v>
      </x:c>
      <x:c r="J3186" s="2" t="n">
        <x:v>79</x:v>
      </x:c>
      <x:c r="K3186" s="2" t="n">
        <x:v>45</x:v>
      </x:c>
      <x:c r="L3186" s="12" t="n">
        <x:v>1842.9408</x:v>
      </x:c>
      <x:c r="M3186" s="13" t="n">
        <x:v>0.3673236094495177</x:v>
      </x:c>
      <x:c r="N3186" s="13" t="n">
        <x:f>H3186/G3186</x:f>
        <x:v>0.08236204924213865</x:v>
      </x:c>
      <x:c r="O3186" s="13" t="n">
        <x:f>F3186/E3186</x:f>
        <x:v>0</x:v>
      </x:c>
      <x:c r="P3186" s="2" t="str">
        <x:f>IF(AND(E3186&gt;='Итоги'!$F$5,N3186&lt;='Итоги'!$B$5,O3186&gt;='Итоги'!$D$5),"Да","Нет")</x:f>
        <x:v>Нет</x:v>
      </x:c>
    </x:row>
    <x:row r="3187" ht="60" customHeight="1">
      <x:c r="A3187" s="14" t="str">
        <x:v>Товары для животных</x:v>
      </x:c>
      <x:c r="B3187" s="14" t="str">
        <x:v>Спальное место животного</x:v>
      </x:c>
      <x:c r="C3187" s="14" t="str">
        <x:v>Домик, игровой комплекс для животных</x:v>
      </x:c>
      <x:c r="D3187" s="14" t="str">
        <x:v>Барьер, ограждение для животных</x:v>
      </x:c>
      <x:c r="E3187" s="2" t="n">
        <x:v>8</x:v>
      </x:c>
      <x:c r="F3187" s="2" t="n">
        <x:v>0</x:v>
      </x:c>
      <x:c r="G3187" s="12" t="n">
        <x:v>998552.5995</x:v>
      </x:c>
      <x:c r="H3187" s="12" t="n">
        <x:v>82262.62884019999</x:v>
      </x:c>
      <x:c r="I3187" s="13" t="n">
        <x:v>0.0841625</x:v>
      </x:c>
      <x:c r="J3187" s="2" t="n">
        <x:v>2</x:v>
      </x:c>
      <x:c r="K3187" s="2" t="n">
        <x:v>6</x:v>
      </x:c>
      <x:c r="L3187" s="12" t="n">
        <x:v>1511.7052</x:v>
      </x:c>
      <x:c r="M3187" s="13" t="n">
        <x:v>0.3670379033448202</x:v>
      </x:c>
      <x:c r="N3187" s="13" t="n">
        <x:f>H3187/G3187</x:f>
        <x:v>0.08238186839770976</x:v>
      </x:c>
      <x:c r="O3187" s="13" t="n">
        <x:f>F3187/E3187</x:f>
        <x:v>0</x:v>
      </x:c>
      <x:c r="P3187" s="2" t="str">
        <x:f>IF(AND(E3187&gt;='Итоги'!$F$5,N3187&lt;='Итоги'!$B$5,O3187&gt;='Итоги'!$D$5),"Да","Нет")</x:f>
        <x:v>Нет</x:v>
      </x:c>
    </x:row>
    <x:row r="3188" ht="60" customHeight="1">
      <x:c r="A3188" s="14" t="str">
        <x:v>Спорт и отдых</x:v>
      </x:c>
      <x:c r="B3188" s="14" t="str">
        <x:v>Всесезонные виды спорта</x:v>
      </x:c>
      <x:c r="C3188" s="14" t="str">
        <x:v>Спортивные аксессуары</x:v>
      </x:c>
      <x:c r="D3188" s="14" t="str">
        <x:v>Питьевая система</x:v>
      </x:c>
      <x:c r="E3188" s="2" t="n">
        <x:v>14</x:v>
      </x:c>
      <x:c r="F3188" s="2" t="n">
        <x:v>0</x:v>
      </x:c>
      <x:c r="G3188" s="12" t="n">
        <x:v>1926960.0762</x:v>
      </x:c>
      <x:c r="H3188" s="12" t="n">
        <x:v>158837.54422019</x:v>
      </x:c>
      <x:c r="I3188" s="13" t="n">
        <x:v>0.0434071428571428</x:v>
      </x:c>
      <x:c r="J3188" s="2" t="n">
        <x:v>3</x:v>
      </x:c>
      <x:c r="K3188" s="2" t="n">
        <x:v>7</x:v>
      </x:c>
      <x:c r="L3188" s="12" t="n">
        <x:v>999.18655</x:v>
      </x:c>
      <x:c r="M3188" s="13" t="n">
        <x:v>0.3981725410279675</x:v>
      </x:c>
      <x:c r="N3188" s="13" t="n">
        <x:f>H3188/G3188</x:f>
        <x:v>0.08242907893214918</x:v>
      </x:c>
      <x:c r="O3188" s="13" t="n">
        <x:f>F3188/E3188</x:f>
        <x:v>0</x:v>
      </x:c>
      <x:c r="P3188" s="2" t="str">
        <x:f>IF(AND(E3188&gt;='Итоги'!$F$5,N3188&lt;='Итоги'!$B$5,O3188&gt;='Итоги'!$D$5),"Да","Нет")</x:f>
        <x:v>Нет</x:v>
      </x:c>
    </x:row>
    <x:row r="3189" ht="60" customHeight="1">
      <x:c r="A3189" s="14" t="str">
        <x:v>Аптека</x:v>
      </x:c>
      <x:c r="B3189" s="14" t="str">
        <x:v>Витамины и БАДы</x:v>
      </x:c>
      <x:c r="C3189" s="14" t="str">
        <x:v>Контроль веса</x:v>
      </x:c>
      <x:c r="D3189" s="14" t="str">
        <x:v>БАД для контроля аппетита</x:v>
      </x:c>
      <x:c r="E3189" s="2" t="n">
        <x:v>4</x:v>
      </x:c>
      <x:c r="F3189" s="2" t="n">
        <x:v>0</x:v>
      </x:c>
      <x:c r="G3189" s="12" t="n">
        <x:v>392351.1631</x:v>
      </x:c>
      <x:c r="H3189" s="12" t="n">
        <x:v>32352.81033599</x:v>
      </x:c>
      <x:c r="I3189" s="13" t="n">
        <x:v>0.071575</x:v>
      </x:c>
      <x:c r="J3189" s="2" t="n">
        <x:v>2</x:v>
      </x:c>
      <x:c r="K3189" s="2" t="n">
        <x:v>2</x:v>
      </x:c>
      <x:c r="L3189" s="12" t="n">
        <x:v>1811.8763</x:v>
      </x:c>
      <x:c r="M3189" s="13" t="n">
        <x:v>0.572199980563789</x:v>
      </x:c>
      <x:c r="N3189" s="13" t="n">
        <x:f>H3189/G3189</x:f>
        <x:v>0.08245881082744266</x:v>
      </x:c>
      <x:c r="O3189" s="13" t="n">
        <x:f>F3189/E3189</x:f>
        <x:v>0</x:v>
      </x:c>
      <x:c r="P3189" s="2" t="str">
        <x:f>IF(AND(E3189&gt;='Итоги'!$F$5,N3189&lt;='Итоги'!$B$5,O3189&gt;='Итоги'!$D$5),"Да","Нет")</x:f>
        <x:v>Нет</x:v>
      </x:c>
    </x:row>
    <x:row r="3190" ht="60" customHeight="1">
      <x:c r="A3190" s="14" t="str">
        <x:v>Товары для дома</x:v>
      </x:c>
      <x:c r="B3190" s="14" t="str">
        <x:v>Кухня</x:v>
      </x:c>
      <x:c r="C3190" s="14" t="str">
        <x:v>Посуда для приготовления пищи</x:v>
      </x:c>
      <x:c r="D3190" s="14" t="str">
        <x:v>Сотейник, жаровня</x:v>
      </x:c>
      <x:c r="E3190" s="2" t="n">
        <x:v>98</x:v>
      </x:c>
      <x:c r="F3190" s="2" t="n">
        <x:v>0</x:v>
      </x:c>
      <x:c r="G3190" s="12" t="n">
        <x:v>15611760.4074</x:v>
      </x:c>
      <x:c r="H3190" s="12" t="n">
        <x:v>1287368.54496632</x:v>
      </x:c>
      <x:c r="I3190" s="13" t="n">
        <x:v>0.0799826530612245</x:v>
      </x:c>
      <x:c r="J3190" s="2" t="n">
        <x:v>23</x:v>
      </x:c>
      <x:c r="K3190" s="2" t="n">
        <x:v>16</x:v>
      </x:c>
      <x:c r="L3190" s="12" t="n">
        <x:v>1954.4042</x:v>
      </x:c>
      <x:c r="M3190" s="13" t="n">
        <x:v>0.7013902950182166</x:v>
      </x:c>
      <x:c r="N3190" s="13" t="n">
        <x:f>H3190/G3190</x:f>
        <x:v>0.08246145926990432</x:v>
      </x:c>
      <x:c r="O3190" s="13" t="n">
        <x:f>F3190/E3190</x:f>
        <x:v>0</x:v>
      </x:c>
      <x:c r="P3190" s="2" t="str">
        <x:f>IF(AND(E3190&gt;='Итоги'!$F$5,N3190&lt;='Итоги'!$B$5,O3190&gt;='Итоги'!$D$5),"Да","Нет")</x:f>
        <x:v>Нет</x:v>
      </x:c>
    </x:row>
    <x:row r="3191" ht="60" customHeight="1">
      <x:c r="A3191" s="14" t="str">
        <x:v>Автотовары</x:v>
      </x:c>
      <x:c r="B3191" s="14" t="str">
        <x:v>Дополнительное оборудование для авто и мото техники</x:v>
      </x:c>
      <x:c r="C3191" s="14" t="str">
        <x:v>Аксессуар для экстерьера авто</x:v>
      </x:c>
      <x:c r="D3191" s="14" t="str">
        <x:v>Рамка номерного знака</x:v>
      </x:c>
      <x:c r="E3191" s="2" t="n">
        <x:v>35</x:v>
      </x:c>
      <x:c r="F3191" s="2" t="n">
        <x:v>0</x:v>
      </x:c>
      <x:c r="G3191" s="12" t="n">
        <x:v>7788283.0317</x:v>
      </x:c>
      <x:c r="H3191" s="12" t="n">
        <x:v>642290.97825994</x:v>
      </x:c>
      <x:c r="I3191" s="13" t="n">
        <x:v>0.0779457142857142</x:v>
      </x:c>
      <x:c r="J3191" s="2" t="n">
        <x:v>6</x:v>
      </x:c>
      <x:c r="K3191" s="2" t="n">
        <x:v>18</x:v>
      </x:c>
      <x:c r="L3191" s="12" t="n">
        <x:v>1270.8491</x:v>
      </x:c>
      <x:c r="M3191" s="13" t="n">
        <x:v>0.2272341384483175</x:v>
      </x:c>
      <x:c r="N3191" s="13" t="n">
        <x:f>H3191/G3191</x:f>
        <x:v>0.08246887993742351</x:v>
      </x:c>
      <x:c r="O3191" s="13" t="n">
        <x:f>F3191/E3191</x:f>
        <x:v>0</x:v>
      </x:c>
      <x:c r="P3191" s="2" t="str">
        <x:f>IF(AND(E3191&gt;='Итоги'!$F$5,N3191&lt;='Итоги'!$B$5,O3191&gt;='Итоги'!$D$5),"Да","Нет")</x:f>
        <x:v>Нет</x:v>
      </x:c>
    </x:row>
    <x:row r="3192" ht="60" customHeight="1">
      <x:c r="A3192" s="14" t="str">
        <x:v>Ноутбуки и компьютеры</x:v>
      </x:c>
      <x:c r="B3192" s="14" t="str">
        <x:v>Компьютерная периферия Lap&amp;Comp</x:v>
      </x:c>
      <x:c r="C3192" s="14" t="str">
        <x:v>Сетевое оборудование Lap&amp;Comp</x:v>
      </x:c>
      <x:c r="D3192" s="14" t="str">
        <x:v>Сетевое доп. оборудование</x:v>
      </x:c>
      <x:c r="E3192" s="2" t="n">
        <x:v>16</x:v>
      </x:c>
      <x:c r="F3192" s="2" t="n">
        <x:v>0</x:v>
      </x:c>
      <x:c r="G3192" s="12" t="n">
        <x:v>1963648.792</x:v>
      </x:c>
      <x:c r="H3192" s="12" t="n">
        <x:v>161992.47224792</x:v>
      </x:c>
      <x:c r="I3192" s="13" t="n">
        <x:v>0.0643125</x:v>
      </x:c>
      <x:c r="J3192" s="2" t="n">
        <x:v>5</x:v>
      </x:c>
      <x:c r="K3192" s="2" t="n">
        <x:v>10</x:v>
      </x:c>
      <x:c r="L3192" s="12" t="n">
        <x:v>1545.5642</x:v>
      </x:c>
      <x:c r="M3192" s="13" t="n">
        <x:v>0.4106860775131931</x:v>
      </x:c>
      <x:c r="N3192" s="13" t="n">
        <x:f>H3192/G3192</x:f>
        <x:v>0.0824956442862314</x:v>
      </x:c>
      <x:c r="O3192" s="13" t="n">
        <x:f>F3192/E3192</x:f>
        <x:v>0</x:v>
      </x:c>
      <x:c r="P3192" s="2" t="str">
        <x:f>IF(AND(E3192&gt;='Итоги'!$F$5,N3192&lt;='Итоги'!$B$5,O3192&gt;='Итоги'!$D$5),"Да","Нет")</x:f>
        <x:v>Нет</x:v>
      </x:c>
    </x:row>
    <x:row r="3193" ht="60" customHeight="1">
      <x:c r="A3193" s="14" t="str">
        <x:v>Товары для животных</x:v>
      </x:c>
      <x:c r="B3193" s="14" t="str">
        <x:v>Гигиена и уход животных</x:v>
      </x:c>
      <x:c r="C3193" s="14" t="str">
        <x:v>Туалет для животных</x:v>
      </x:c>
      <x:c r="D3193" s="14" t="str">
        <x:v>Автоматический уничтожитель запаха от животных</x:v>
      </x:c>
      <x:c r="E3193" s="2" t="n">
        <x:v>1</x:v>
      </x:c>
      <x:c r="F3193" s="2" t="n">
        <x:v>0</x:v>
      </x:c>
      <x:c r="G3193" s="12" t="n">
        <x:v>94865.195</x:v>
      </x:c>
      <x:c r="H3193" s="12" t="n">
        <x:v>7826.378587500001</x:v>
      </x:c>
      <x:c r="I3193" s="13" t="n">
        <x:v>0.0825</x:v>
      </x:c>
      <x:c r="J3193" s="2" t="n">
        <x:v>0</x:v>
      </x:c>
      <x:c r="K3193" s="2" t="n">
        <x:v>1</x:v>
      </x:c>
      <x:c r="L3193" s="12" t="n">
        <x:v>1156.8926</x:v>
      </x:c>
      <x:c r="M3193" s="13" t="n">
        <x:v>1</x:v>
      </x:c>
      <x:c r="N3193" s="13" t="n">
        <x:f>H3193/G3193</x:f>
        <x:v>0.0825</x:v>
      </x:c>
      <x:c r="O3193" s="13" t="n">
        <x:f>F3193/E3193</x:f>
        <x:v>0</x:v>
      </x:c>
      <x:c r="P3193" s="2" t="str">
        <x:f>IF(AND(E3193&gt;='Итоги'!$F$5,N3193&lt;='Итоги'!$B$5,O3193&gt;='Итоги'!$D$5),"Да","Нет")</x:f>
        <x:v>Нет</x:v>
      </x:c>
    </x:row>
    <x:row r="3194" ht="60" customHeight="1">
      <x:c r="A3194" s="14" t="str">
        <x:v>Товары для красоты и здоровья</x:v>
      </x:c>
      <x:c r="B3194" s="14" t="str">
        <x:v>Косметика для ухода за кожей</x:v>
      </x:c>
      <x:c r="C3194" s="14" t="str">
        <x:v>Тело</x:v>
      </x:c>
      <x:c r="D3194" s="14" t="str">
        <x:v>Средство для шеи и декольте</x:v>
      </x:c>
      <x:c r="E3194" s="2" t="n">
        <x:v>10</x:v>
      </x:c>
      <x:c r="F3194" s="2" t="n">
        <x:v>0</x:v>
      </x:c>
      <x:c r="G3194" s="12" t="n">
        <x:v>1454167.1706</x:v>
      </x:c>
      <x:c r="H3194" s="12" t="n">
        <x:v>119999.4130501</x:v>
      </x:c>
      <x:c r="I3194" s="13" t="n">
        <x:v>0.08051</x:v>
      </x:c>
      <x:c r="J3194" s="2" t="n">
        <x:v>5</x:v>
      </x:c>
      <x:c r="K3194" s="2" t="n">
        <x:v>4</x:v>
      </x:c>
      <x:c r="L3194" s="12" t="n">
        <x:v>1438.0071</x:v>
      </x:c>
      <x:c r="M3194" s="13" t="n">
        <x:v>0.9010241855889136</x:v>
      </x:c>
      <x:c r="N3194" s="13" t="n">
        <x:f>H3194/G3194</x:f>
        <x:v>0.08252105774096617</x:v>
      </x:c>
      <x:c r="O3194" s="13" t="n">
        <x:f>F3194/E3194</x:f>
        <x:v>0</x:v>
      </x:c>
      <x:c r="P3194" s="2" t="str">
        <x:f>IF(AND(E3194&gt;='Итоги'!$F$5,N3194&lt;='Итоги'!$B$5,O3194&gt;='Итоги'!$D$5),"Да","Нет")</x:f>
        <x:v>Нет</x:v>
      </x:c>
    </x:row>
    <x:row r="3195" ht="60" customHeight="1">
      <x:c r="A3195" s="14" t="str">
        <x:v>Аксессуары для электроники</x:v>
      </x:c>
      <x:c r="B3195" s="14" t="str">
        <x:v>Аксессуары для мобильных устройств Access</x:v>
      </x:c>
      <x:c r="C3195" s="14" t="str">
        <x:v>Аксессуары для зарядки и передачи информации Access</x:v>
      </x:c>
      <x:c r="D3195" s="14" t="str">
        <x:v>Зарядное устройство автомобильное</x:v>
      </x:c>
      <x:c r="E3195" s="2" t="n">
        <x:v>35</x:v>
      </x:c>
      <x:c r="F3195" s="2" t="n">
        <x:v>0</x:v>
      </x:c>
      <x:c r="G3195" s="12" t="n">
        <x:v>4644005.5375</x:v>
      </x:c>
      <x:c r="H3195" s="12" t="n">
        <x:v>383447.4235004501</x:v>
      </x:c>
      <x:c r="I3195" s="13" t="n">
        <x:v>0.0843028571428571</x:v>
      </x:c>
      <x:c r="J3195" s="2" t="n">
        <x:v>5</x:v>
      </x:c>
      <x:c r="K3195" s="2" t="n">
        <x:v>19</x:v>
      </x:c>
      <x:c r="L3195" s="12" t="n">
        <x:v>1441.0602</x:v>
      </x:c>
      <x:c r="M3195" s="13" t="n">
        <x:v>0.4600263295013351</x:v>
      </x:c>
      <x:c r="N3195" s="13" t="n">
        <x:f>H3195/G3195</x:f>
        <x:v>0.08256825285933461</x:v>
      </x:c>
      <x:c r="O3195" s="13" t="n">
        <x:f>F3195/E3195</x:f>
        <x:v>0</x:v>
      </x:c>
      <x:c r="P3195" s="2" t="str">
        <x:f>IF(AND(E3195&gt;='Итоги'!$F$5,N3195&lt;='Итоги'!$B$5,O3195&gt;='Итоги'!$D$5),"Да","Нет")</x:f>
        <x:v>Нет</x:v>
      </x:c>
    </x:row>
    <x:row r="3196" ht="60" customHeight="1">
      <x:c r="A3196" s="14" t="str">
        <x:v>Товары для дома</x:v>
      </x:c>
      <x:c r="B3196" s="14" t="str">
        <x:v>Ванная комната</x:v>
      </x:c>
      <x:c r="C3196" s="14" t="str">
        <x:v>Аксессуары для ванной</x:v>
      </x:c>
      <x:c r="D3196" s="14" t="str">
        <x:v>Пробка, заглушка для раковины, ванны</x:v>
      </x:c>
      <x:c r="E3196" s="2" t="n">
        <x:v>1</x:v>
      </x:c>
      <x:c r="F3196" s="2" t="n">
        <x:v>0</x:v>
      </x:c>
      <x:c r="G3196" s="12" t="n">
        <x:v>173420</x:v>
      </x:c>
      <x:c r="H3196" s="12" t="n">
        <x:v>14324.492000000002</x:v>
      </x:c>
      <x:c r="I3196" s="13" t="n">
        <x:v>0.0826</x:v>
      </x:c>
      <x:c r="J3196" s="2" t="n">
        <x:v>0</x:v>
      </x:c>
      <x:c r="K3196" s="2" t="n">
        <x:v>1</x:v>
      </x:c>
      <x:c r="L3196" s="12" t="n">
        <x:v>784.7059</x:v>
      </x:c>
      <x:c r="M3196" s="13" t="n">
        <x:v>1</x:v>
      </x:c>
      <x:c r="N3196" s="13" t="n">
        <x:f>H3196/G3196</x:f>
        <x:v>0.0826</x:v>
      </x:c>
      <x:c r="O3196" s="13" t="n">
        <x:f>F3196/E3196</x:f>
        <x:v>0</x:v>
      </x:c>
      <x:c r="P3196" s="2" t="str">
        <x:f>IF(AND(E3196&gt;='Итоги'!$F$5,N3196&lt;='Итоги'!$B$5,O3196&gt;='Итоги'!$D$5),"Да","Нет")</x:f>
        <x:v>Нет</x:v>
      </x:c>
    </x:row>
    <x:row r="3197" ht="60" customHeight="1">
      <x:c r="A3197" s="14" t="str">
        <x:v>Аптека</x:v>
      </x:c>
      <x:c r="B3197" s="14" t="str">
        <x:v>Профессиональные стоматологические приборы и материалы</x:v>
      </x:c>
      <x:c r="C3197" s="14" t="str">
        <x:v>Профессиональные стоматологические приборы</x:v>
      </x:c>
      <x:c r="D3197" s="14" t="str">
        <x:v>Терапевтические стоматологические инструменты</x:v>
      </x:c>
      <x:c r="E3197" s="2" t="n">
        <x:v>25</x:v>
      </x:c>
      <x:c r="F3197" s="2" t="n">
        <x:v>0</x:v>
      </x:c>
      <x:c r="G3197" s="12" t="n">
        <x:v>3259720.66</x:v>
      </x:c>
      <x:c r="H3197" s="12" t="n">
        <x:v>269343.768296</x:v>
      </x:c>
      <x:c r="I3197" s="13" t="n">
        <x:v>0.079352</x:v>
      </x:c>
      <x:c r="J3197" s="2" t="n">
        <x:v>5</x:v>
      </x:c>
      <x:c r="K3197" s="2" t="n">
        <x:v>13</x:v>
      </x:c>
      <x:c r="L3197" s="12" t="n">
        <x:v>3683.5</x:v>
      </x:c>
      <x:c r="M3197" s="13" t="n">
        <x:v>0.5171024869351841</x:v>
      </x:c>
      <x:c r="N3197" s="13" t="n">
        <x:f>H3197/G3197</x:f>
        <x:v>0.08262786796461265</x:v>
      </x:c>
      <x:c r="O3197" s="13" t="n">
        <x:f>F3197/E3197</x:f>
        <x:v>0</x:v>
      </x:c>
      <x:c r="P3197" s="2" t="str">
        <x:f>IF(AND(E3197&gt;='Итоги'!$F$5,N3197&lt;='Итоги'!$B$5,O3197&gt;='Итоги'!$D$5),"Да","Нет")</x:f>
        <x:v>Нет</x:v>
      </x:c>
    </x:row>
    <x:row r="3198" ht="60" customHeight="1">
      <x:c r="A3198" s="14" t="str">
        <x:v>Товары для дома</x:v>
      </x:c>
      <x:c r="B3198" s="14" t="str">
        <x:v>Домашний текстиль</x:v>
      </x:c>
      <x:c r="C3198" s="14" t="str">
        <x:v>Одеяло</x:v>
      </x:c>
      <x:c r="D3198" s="14" t="str">
        <x:v>Одеяло - 1,5 спальное</x:v>
      </x:c>
      <x:c r="E3198" s="2" t="n">
        <x:v>98</x:v>
      </x:c>
      <x:c r="F3198" s="2" t="n">
        <x:v>0</x:v>
      </x:c>
      <x:c r="G3198" s="12" t="n">
        <x:v>16020067.0892</x:v>
      </x:c>
      <x:c r="H3198" s="12" t="n">
        <x:v>1324993.86004061</x:v>
      </x:c>
      <x:c r="I3198" s="13" t="n">
        <x:v>0.0886632653061224</x:v>
      </x:c>
      <x:c r="J3198" s="2" t="n">
        <x:v>19</x:v>
      </x:c>
      <x:c r="K3198" s="2" t="n">
        <x:v>30</x:v>
      </x:c>
      <x:c r="L3198" s="12" t="n">
        <x:v>1640.4167</x:v>
      </x:c>
      <x:c r="M3198" s="13" t="n">
        <x:v>0.437750459592501</x:v>
      </x:c>
      <x:c r="N3198" s="13" t="n">
        <x:f>H3198/G3198</x:f>
        <x:v>0.08270838397011836</x:v>
      </x:c>
      <x:c r="O3198" s="13" t="n">
        <x:f>F3198/E3198</x:f>
        <x:v>0</x:v>
      </x:c>
      <x:c r="P3198" s="2" t="str">
        <x:f>IF(AND(E3198&gt;='Итоги'!$F$5,N3198&lt;='Итоги'!$B$5,O3198&gt;='Итоги'!$D$5),"Да","Нет")</x:f>
        <x:v>Нет</x:v>
      </x:c>
    </x:row>
    <x:row r="3199" ht="60" customHeight="1">
      <x:c r="A3199" s="14" t="str">
        <x:v>Бытовая химия и гигиена рта</x:v>
      </x:c>
      <x:c r="B3199" s="14" t="str">
        <x:v>Бытовая химия</x:v>
      </x:c>
      <x:c r="C3199" s="14" t="str">
        <x:v>Одноразовая посуда</x:v>
      </x:c>
      <x:c r="D3199" s="14" t="str">
        <x:v>Посуда одноразовая</x:v>
      </x:c>
      <x:c r="E3199" s="2" t="n">
        <x:v>11</x:v>
      </x:c>
      <x:c r="F3199" s="2" t="n">
        <x:v>0</x:v>
      </x:c>
      <x:c r="G3199" s="12" t="n">
        <x:v>1534368.625</x:v>
      </x:c>
      <x:c r="H3199" s="12" t="n">
        <x:v>126907.08918304</x:v>
      </x:c>
      <x:c r="I3199" s="13" t="n">
        <x:v>0.0821090909090909</x:v>
      </x:c>
      <x:c r="J3199" s="2" t="n">
        <x:v>2</x:v>
      </x:c>
      <x:c r="K3199" s="2" t="n">
        <x:v>4</x:v>
      </x:c>
      <x:c r="L3199" s="12" t="n">
        <x:v>1161.0909</x:v>
      </x:c>
      <x:c r="M3199" s="13" t="n">
        <x:v>0.6720370101415493</x:v>
      </x:c>
      <x:c r="N3199" s="13" t="n">
        <x:f>H3199/G3199</x:f>
        <x:v>0.08270964820011228</x:v>
      </x:c>
      <x:c r="O3199" s="13" t="n">
        <x:f>F3199/E3199</x:f>
        <x:v>0</x:v>
      </x:c>
      <x:c r="P3199" s="2" t="str">
        <x:f>IF(AND(E3199&gt;='Итоги'!$F$5,N3199&lt;='Итоги'!$B$5,O3199&gt;='Итоги'!$D$5),"Да","Нет")</x:f>
        <x:v>Нет</x:v>
      </x:c>
    </x:row>
    <x:row r="3200" ht="60" customHeight="1">
      <x:c r="A3200" s="14" t="str">
        <x:v>Напитки</x:v>
      </x:c>
      <x:c r="B3200" s="14" t="str">
        <x:v>Напитки холодные</x:v>
      </x:c>
      <x:c r="C3200" s="14" t="str">
        <x:v>Энергетические напитки</x:v>
      </x:c>
      <x:c r="D3200" s="14" t="str">
        <x:v>Энергетические напитки</x:v>
      </x:c>
      <x:c r="E3200" s="2" t="n">
        <x:v>87</x:v>
      </x:c>
      <x:c r="F3200" s="2" t="n">
        <x:v>0</x:v>
      </x:c>
      <x:c r="G3200" s="12" t="n">
        <x:v>12474289.4269</x:v>
      </x:c>
      <x:c r="H3200" s="12" t="n">
        <x:v>1031898.24069303</x:v>
      </x:c>
      <x:c r="I3200" s="13" t="n">
        <x:v>0.0762896551724137</x:v>
      </x:c>
      <x:c r="J3200" s="2" t="n">
        <x:v>27</x:v>
      </x:c>
      <x:c r="K3200" s="2" t="n">
        <x:v>17</x:v>
      </x:c>
      <x:c r="L3200" s="12" t="n">
        <x:v>1219.5587</x:v>
      </x:c>
      <x:c r="M3200" s="13" t="n">
        <x:v>0.5820411921534459</x:v>
      </x:c>
      <x:c r="N3200" s="13" t="n">
        <x:f>H3200/G3200</x:f>
        <x:v>0.08272200566934161</x:v>
      </x:c>
      <x:c r="O3200" s="13" t="n">
        <x:f>F3200/E3200</x:f>
        <x:v>0</x:v>
      </x:c>
      <x:c r="P3200" s="2" t="str">
        <x:f>IF(AND(E3200&gt;='Итоги'!$F$5,N3200&lt;='Итоги'!$B$5,O3200&gt;='Итоги'!$D$5),"Да","Нет")</x:f>
        <x:v>Нет</x:v>
      </x:c>
    </x:row>
    <x:row r="3201" ht="60" customHeight="1">
      <x:c r="A3201" s="14" t="str">
        <x:v>Обувь</x:v>
      </x:c>
      <x:c r="B3201" s="14" t="str">
        <x:v>Специальная обувь</x:v>
      </x:c>
      <x:c r="C3201" s="14" t="str">
        <x:v>Спецобувь женская</x:v>
      </x:c>
      <x:c r="D3201" s="14" t="str">
        <x:v>Рабочие ботинки женские</x:v>
      </x:c>
      <x:c r="E3201" s="2" t="n">
        <x:v>15</x:v>
      </x:c>
      <x:c r="F3201" s="2" t="n">
        <x:v>0</x:v>
      </x:c>
      <x:c r="G3201" s="12" t="n">
        <x:v>2407831.0011</x:v>
      </x:c>
      <x:c r="H3201" s="12" t="n">
        <x:v>199218.00968362</x:v>
      </x:c>
      <x:c r="I3201" s="13" t="n">
        <x:v>0.0819066666666666</x:v>
      </x:c>
      <x:c r="J3201" s="2" t="n">
        <x:v>1</x:v>
      </x:c>
      <x:c r="K3201" s="2" t="n">
        <x:v>1</x:v>
      </x:c>
      <x:c r="L3201" s="12" t="n">
        <x:v>2763.0333</x:v>
      </x:c>
      <x:c r="M3201" s="13" t="n">
        <x:v>1</x:v>
      </x:c>
      <x:c r="N3201" s="13" t="n">
        <x:f>H3201/G3201</x:f>
        <x:v>0.08273753830422846</x:v>
      </x:c>
      <x:c r="O3201" s="13" t="n">
        <x:f>F3201/E3201</x:f>
        <x:v>0</x:v>
      </x:c>
      <x:c r="P3201" s="2" t="str">
        <x:f>IF(AND(E3201&gt;='Итоги'!$F$5,N3201&lt;='Итоги'!$B$5,O3201&gt;='Итоги'!$D$5),"Да","Нет")</x:f>
        <x:v>Нет</x:v>
      </x:c>
    </x:row>
    <x:row r="3202" ht="60" customHeight="1">
      <x:c r="A3202" s="14" t="str">
        <x:v>Детская одежда</x:v>
      </x:c>
      <x:c r="B3202" s="14" t="str">
        <x:v>Одежда для новорожденных</x:v>
      </x:c>
      <x:c r="C3202" s="14" t="str">
        <x:v>Белье и ЧНИ для новорожденных</x:v>
      </x:c>
      <x:c r="D3202" s="14" t="str">
        <x:v>Пеленка текстильная для новорожденных</x:v>
      </x:c>
      <x:c r="E3202" s="2" t="n">
        <x:v>56</x:v>
      </x:c>
      <x:c r="F3202" s="2" t="n">
        <x:v>0</x:v>
      </x:c>
      <x:c r="G3202" s="12" t="n">
        <x:v>5761905.954</x:v>
      </x:c>
      <x:c r="H3202" s="12" t="n">
        <x:v>476865.5741314</x:v>
      </x:c>
      <x:c r="I3202" s="13" t="n">
        <x:v>0.0799392857142857</x:v>
      </x:c>
      <x:c r="J3202" s="2" t="n">
        <x:v>6</x:v>
      </x:c>
      <x:c r="K3202" s="2" t="n">
        <x:v>18</x:v>
      </x:c>
      <x:c r="L3202" s="12" t="n">
        <x:v>1115.8648</x:v>
      </x:c>
      <x:c r="M3202" s="13" t="n">
        <x:v>0.4074363361259401</x:v>
      </x:c>
      <x:c r="N3202" s="13" t="n">
        <x:f>H3202/G3202</x:f>
        <x:v>0.08276177673471968</x:v>
      </x:c>
      <x:c r="O3202" s="13" t="n">
        <x:f>F3202/E3202</x:f>
        <x:v>0</x:v>
      </x:c>
      <x:c r="P3202" s="2" t="str">
        <x:f>IF(AND(E3202&gt;='Итоги'!$F$5,N3202&lt;='Итоги'!$B$5,O3202&gt;='Итоги'!$D$5),"Да","Нет")</x:f>
        <x:v>Нет</x:v>
      </x:c>
    </x:row>
    <x:row r="3203" ht="60" customHeight="1">
      <x:c r="A3203" s="14" t="str">
        <x:v>Строительство и ремонт (DIY)</x:v>
      </x:c>
      <x:c r="B3203" s="14" t="str">
        <x:v>Ремонт и строительство</x:v>
      </x:c>
      <x:c r="C3203" s="14" t="str">
        <x:v>Электротовары</x:v>
      </x:c>
      <x:c r="D3203" s="14" t="str">
        <x:v>Розетка электрическая</x:v>
      </x:c>
      <x:c r="E3203" s="2" t="n">
        <x:v>154</x:v>
      </x:c>
      <x:c r="F3203" s="2" t="n">
        <x:v>0</x:v>
      </x:c>
      <x:c r="G3203" s="12" t="n">
        <x:v>25704431.5763</x:v>
      </x:c>
      <x:c r="H3203" s="12" t="n">
        <x:v>2127514.24374794</x:v>
      </x:c>
      <x:c r="I3203" s="13" t="n">
        <x:v>0.077251948051948</x:v>
      </x:c>
      <x:c r="J3203" s="2" t="n">
        <x:v>33</x:v>
      </x:c>
      <x:c r="K3203" s="2" t="n">
        <x:v>36</x:v>
      </x:c>
      <x:c r="L3203" s="12" t="n">
        <x:v>1509.3652000000002</x:v>
      </x:c>
      <x:c r="M3203" s="13" t="n">
        <x:v>0.5527806387051524</x:v>
      </x:c>
      <x:c r="N3203" s="13" t="n">
        <x:f>H3203/G3203</x:f>
        <x:v>0.08276838324289383</x:v>
      </x:c>
      <x:c r="O3203" s="13" t="n">
        <x:f>F3203/E3203</x:f>
        <x:v>0</x:v>
      </x:c>
      <x:c r="P3203" s="2" t="str">
        <x:f>IF(AND(E3203&gt;='Итоги'!$F$5,N3203&lt;='Итоги'!$B$5,O3203&gt;='Итоги'!$D$5),"Да","Нет")</x:f>
        <x:v>Нет</x:v>
      </x:c>
    </x:row>
    <x:row r="3204" ht="60" customHeight="1">
      <x:c r="A3204" s="14" t="str">
        <x:v>Товары для животных</x:v>
      </x:c>
      <x:c r="B3204" s="14" t="str">
        <x:v>Спальное место животного</x:v>
      </x:c>
      <x:c r="C3204" s="14" t="str">
        <x:v>Террариум Лампы</x:v>
      </x:c>
      <x:c r="D3204" s="14" t="str">
        <x:v>Светильник для террариума</x:v>
      </x:c>
      <x:c r="E3204" s="2" t="n">
        <x:v>2</x:v>
      </x:c>
      <x:c r="F3204" s="2" t="n">
        <x:v>0</x:v>
      </x:c>
      <x:c r="G3204" s="12" t="n">
        <x:v>164796.64</x:v>
      </x:c>
      <x:c r="H3204" s="12" t="n">
        <x:v>13643.952648</x:v>
      </x:c>
      <x:c r="I3204" s="13" t="n">
        <x:v>0.08765</x:v>
      </x:c>
      <x:c r="J3204" s="2" t="n">
        <x:v>0</x:v>
      </x:c>
      <x:c r="K3204" s="2" t="n">
        <x:v>2</x:v>
      </x:c>
      <x:c r="L3204" s="12" t="n">
        <x:v>1155.2586</x:v>
      </x:c>
      <x:c r="M3204" s="13" t="n">
        <x:v>0.5408522892214307</x:v>
      </x:c>
      <x:c r="N3204" s="13" t="n">
        <x:f>H3204/G3204</x:f>
        <x:v>0.08279266281157188</x:v>
      </x:c>
      <x:c r="O3204" s="13" t="n">
        <x:f>F3204/E3204</x:f>
        <x:v>0</x:v>
      </x:c>
      <x:c r="P3204" s="2" t="str">
        <x:f>IF(AND(E3204&gt;='Итоги'!$F$5,N3204&lt;='Итоги'!$B$5,O3204&gt;='Итоги'!$D$5),"Да","Нет")</x:f>
        <x:v>Нет</x:v>
      </x:c>
    </x:row>
    <x:row r="3205" ht="60" customHeight="1">
      <x:c r="A3205" s="14" t="str">
        <x:v>Строительство и ремонт (DIY)</x:v>
      </x:c>
      <x:c r="B3205" s="14" t="str">
        <x:v>Инструменты</x:v>
      </x:c>
      <x:c r="C3205" s="14" t="str">
        <x:v>Электроинструмент для строительства, ремонта</x:v>
      </x:c>
      <x:c r="D3205" s="14" t="str">
        <x:v>Осциллирующий инструмент</x:v>
      </x:c>
      <x:c r="E3205" s="2" t="n">
        <x:v>22</x:v>
      </x:c>
      <x:c r="F3205" s="2" t="n">
        <x:v>0</x:v>
      </x:c>
      <x:c r="G3205" s="12" t="n">
        <x:v>3534279.1904</x:v>
      </x:c>
      <x:c r="H3205" s="12" t="n">
        <x:v>292848.64914656</x:v>
      </x:c>
      <x:c r="I3205" s="13" t="n">
        <x:v>0.0697045454545454</x:v>
      </x:c>
      <x:c r="J3205" s="2" t="n">
        <x:v>7</x:v>
      </x:c>
      <x:c r="K3205" s="2" t="n">
        <x:v>9</x:v>
      </x:c>
      <x:c r="L3205" s="12" t="n">
        <x:v>3958.2435</x:v>
      </x:c>
      <x:c r="M3205" s="13" t="n">
        <x:v>0.5966712775063284</x:v>
      </x:c>
      <x:c r="N3205" s="13" t="n">
        <x:f>H3205/G3205</x:f>
        <x:v>0.08285951204477883</x:v>
      </x:c>
      <x:c r="O3205" s="13" t="n">
        <x:f>F3205/E3205</x:f>
        <x:v>0</x:v>
      </x:c>
      <x:c r="P3205" s="2" t="str">
        <x:f>IF(AND(E3205&gt;='Итоги'!$F$5,N3205&lt;='Итоги'!$B$5,O3205&gt;='Итоги'!$D$5),"Да","Нет")</x:f>
        <x:v>Нет</x:v>
      </x:c>
    </x:row>
    <x:row r="3206" ht="60" customHeight="1">
      <x:c r="A3206" s="14" t="str">
        <x:v>Строительство и ремонт (DIY)</x:v>
      </x:c>
      <x:c r="B3206" s="14" t="str">
        <x:v>Сантехника</x:v>
      </x:c>
      <x:c r="C3206" s="14" t="str">
        <x:v>Унитаз, биде</x:v>
      </x:c>
      <x:c r="D3206" s="14" t="str">
        <x:v>Биде</x:v>
      </x:c>
      <x:c r="E3206" s="2" t="n">
        <x:v>9</x:v>
      </x:c>
      <x:c r="F3206" s="2" t="n">
        <x:v>0</x:v>
      </x:c>
      <x:c r="G3206" s="12" t="n">
        <x:v>1683890.8629</x:v>
      </x:c>
      <x:c r="H3206" s="12" t="n">
        <x:v>139608.68388468</x:v>
      </x:c>
      <x:c r="I3206" s="13" t="n">
        <x:v>0.1035111111111111</x:v>
      </x:c>
      <x:c r="J3206" s="2" t="n">
        <x:v>1</x:v>
      </x:c>
      <x:c r="K3206" s="2" t="n">
        <x:v>6</x:v>
      </x:c>
      <x:c r="L3206" s="12" t="n">
        <x:v>2984.9018</x:v>
      </x:c>
      <x:c r="M3206" s="13" t="n">
        <x:v>0.37302192864105</x:v>
      </x:c>
      <x:c r="N3206" s="13" t="n">
        <x:f>H3206/G3206</x:f>
        <x:v>0.08290839208204127</x:v>
      </x:c>
      <x:c r="O3206" s="13" t="n">
        <x:f>F3206/E3206</x:f>
        <x:v>0</x:v>
      </x:c>
      <x:c r="P3206" s="2" t="str">
        <x:f>IF(AND(E3206&gt;='Итоги'!$F$5,N3206&lt;='Итоги'!$B$5,O3206&gt;='Итоги'!$D$5),"Да","Нет")</x:f>
        <x:v>Нет</x:v>
      </x:c>
    </x:row>
    <x:row r="3207" ht="60" customHeight="1">
      <x:c r="A3207" s="14" t="str">
        <x:v>Товары для дома</x:v>
      </x:c>
      <x:c r="B3207" s="14" t="str">
        <x:v>Домашний текстиль</x:v>
      </x:c>
      <x:c r="C3207" s="14" t="str">
        <x:v>Постельное белье</x:v>
      </x:c>
      <x:c r="D3207" s="14" t="str">
        <x:v>КПБ 2-спальный</x:v>
      </x:c>
      <x:c r="E3207" s="2" t="n">
        <x:v>750</x:v>
      </x:c>
      <x:c r="F3207" s="2" t="n">
        <x:v>0</x:v>
      </x:c>
      <x:c r="G3207" s="12" t="n">
        <x:v>124335100.1711</x:v>
      </x:c>
      <x:c r="H3207" s="12" t="n">
        <x:v>10313028.90130595</x:v>
      </x:c>
      <x:c r="I3207" s="13" t="n">
        <x:v>0.0855176</x:v>
      </x:c>
      <x:c r="J3207" s="2" t="n">
        <x:v>147</x:v>
      </x:c>
      <x:c r="K3207" s="2" t="n">
        <x:v>52</x:v>
      </x:c>
      <x:c r="L3207" s="12" t="n">
        <x:v>1682.05375</x:v>
      </x:c>
      <x:c r="M3207" s="13" t="n">
        <x:v>0.8727858342532908</x:v>
      </x:c>
      <x:c r="N3207" s="13" t="n">
        <x:f>H3207/G3207</x:f>
        <x:v>0.08294543445184815</x:v>
      </x:c>
      <x:c r="O3207" s="13" t="n">
        <x:f>F3207/E3207</x:f>
        <x:v>0</x:v>
      </x:c>
      <x:c r="P3207" s="2" t="str">
        <x:f>IF(AND(E3207&gt;='Итоги'!$F$5,N3207&lt;='Итоги'!$B$5,O3207&gt;='Итоги'!$D$5),"Да","Нет")</x:f>
        <x:v>Нет</x:v>
      </x:c>
    </x:row>
    <x:row r="3208" ht="60" customHeight="1">
      <x:c r="A3208" s="14" t="str">
        <x:v>Строительство и ремонт (DIY)</x:v>
      </x:c>
      <x:c r="B3208" s="14" t="str">
        <x:v>Освещение</x:v>
      </x:c>
      <x:c r="C3208" s="14" t="str">
        <x:v>Светильник домашний</x:v>
      </x:c>
      <x:c r="D3208" s="14" t="str">
        <x:v>Светильник подвесной</x:v>
      </x:c>
      <x:c r="E3208" s="2" t="n">
        <x:v>198</x:v>
      </x:c>
      <x:c r="F3208" s="2" t="n">
        <x:v>0</x:v>
      </x:c>
      <x:c r="G3208" s="12" t="n">
        <x:v>30995865.0538</x:v>
      </x:c>
      <x:c r="H3208" s="12" t="n">
        <x:v>2575099.29812126</x:v>
      </x:c>
      <x:c r="I3208" s="13" t="n">
        <x:v>0.080080808080808</x:v>
      </x:c>
      <x:c r="J3208" s="2" t="n">
        <x:v>12</x:v>
      </x:c>
      <x:c r="K3208" s="2" t="n">
        <x:v>40</x:v>
      </x:c>
      <x:c r="L3208" s="12" t="n">
        <x:v>3134.9356500000004</x:v>
      </x:c>
      <x:c r="M3208" s="13" t="n">
        <x:v>0.591684316626343</x:v>
      </x:c>
      <x:c r="N3208" s="13" t="n">
        <x:f>H3208/G3208</x:f>
        <x:v>0.08307880079009314</x:v>
      </x:c>
      <x:c r="O3208" s="13" t="n">
        <x:f>F3208/E3208</x:f>
        <x:v>0</x:v>
      </x:c>
      <x:c r="P3208" s="2" t="str">
        <x:f>IF(AND(E3208&gt;='Итоги'!$F$5,N3208&lt;='Итоги'!$B$5,O3208&gt;='Итоги'!$D$5),"Да","Нет")</x:f>
        <x:v>Нет</x:v>
      </x:c>
    </x:row>
    <x:row r="3209" ht="60" customHeight="1">
      <x:c r="A3209" s="14" t="str">
        <x:v>Автотовары</x:v>
      </x:c>
      <x:c r="B3209" s="14" t="str">
        <x:v>Универсальные авто и мото аксессуары</x:v>
      </x:c>
      <x:c r="C3209" s="14" t="str">
        <x:v>Аксессуары для шин и дисков</x:v>
      </x:c>
      <x:c r="D3209" s="14" t="str">
        <x:v>Хранение для колес</x:v>
      </x:c>
      <x:c r="E3209" s="2" t="n">
        <x:v>4</x:v>
      </x:c>
      <x:c r="F3209" s="2" t="n">
        <x:v>0</x:v>
      </x:c>
      <x:c r="G3209" s="12" t="n">
        <x:v>346955.7055</x:v>
      </x:c>
      <x:c r="H3209" s="12" t="n">
        <x:v>28839.298066</x:v>
      </x:c>
      <x:c r="I3209" s="13" t="n">
        <x:v>0.073475</x:v>
      </x:c>
      <x:c r="J3209" s="2" t="n">
        <x:v>0</x:v>
      </x:c>
      <x:c r="K3209" s="2" t="n">
        <x:v>4</x:v>
      </x:c>
      <x:c r="L3209" s="12" t="n">
        <x:v>2067.03875</x:v>
      </x:c>
      <x:c r="M3209" s="13" t="n">
        <x:v>0.371629571026034</x:v>
      </x:c>
      <x:c r="N3209" s="13" t="n">
        <x:f>H3209/G3209</x:f>
        <x:v>0.0831209794473318</x:v>
      </x:c>
      <x:c r="O3209" s="13" t="n">
        <x:f>F3209/E3209</x:f>
        <x:v>0</x:v>
      </x:c>
      <x:c r="P3209" s="2" t="str">
        <x:f>IF(AND(E3209&gt;='Итоги'!$F$5,N3209&lt;='Итоги'!$B$5,O3209&gt;='Итоги'!$D$5),"Да","Нет")</x:f>
        <x:v>Нет</x:v>
      </x:c>
    </x:row>
    <x:row r="3210" ht="60" customHeight="1">
      <x:c r="A3210" s="14" t="str">
        <x:v>Аптека</x:v>
      </x:c>
      <x:c r="B3210" s="14" t="str">
        <x:v>Профессиональный уход за полостью рта</x:v>
      </x:c>
      <x:c r="C3210" s="14" t="str">
        <x:v>Профессиональный уход за полостью рта</x:v>
      </x:c>
      <x:c r="D3210" s="14" t="str">
        <x:v>Ирригаторы</x:v>
      </x:c>
      <x:c r="E3210" s="2" t="n">
        <x:v>190</x:v>
      </x:c>
      <x:c r="F3210" s="2" t="n">
        <x:v>0</x:v>
      </x:c>
      <x:c r="G3210" s="12" t="n">
        <x:v>36102954.7492</x:v>
      </x:c>
      <x:c r="H3210" s="12" t="n">
        <x:v>3005065.45628032</x:v>
      </x:c>
      <x:c r="I3210" s="13" t="n">
        <x:v>0.0804463157894736</x:v>
      </x:c>
      <x:c r="J3210" s="2" t="n">
        <x:v>53</x:v>
      </x:c>
      <x:c r="K3210" s="2" t="n">
        <x:v>58</x:v>
      </x:c>
      <x:c r="L3210" s="12" t="n">
        <x:v>3095.7694</x:v>
      </x:c>
      <x:c r="M3210" s="13" t="n">
        <x:v>0.5869990330824542</x:v>
      </x:c>
      <x:c r="N3210" s="13" t="n">
        <x:f>H3210/G3210</x:f>
        <x:v>0.08323599763941505</x:v>
      </x:c>
      <x:c r="O3210" s="13" t="n">
        <x:f>F3210/E3210</x:f>
        <x:v>0</x:v>
      </x:c>
      <x:c r="P3210" s="2" t="str">
        <x:f>IF(AND(E3210&gt;='Итоги'!$F$5,N3210&lt;='Итоги'!$B$5,O3210&gt;='Итоги'!$D$5),"Да","Нет")</x:f>
        <x:v>Нет</x:v>
      </x:c>
    </x:row>
    <x:row r="3211" ht="60" customHeight="1">
      <x:c r="A3211" s="14" t="str">
        <x:v>Товары для красоты и здоровья</x:v>
      </x:c>
      <x:c r="B3211" s="14" t="str">
        <x:v>Косметическая техника</x:v>
      </x:c>
      <x:c r="C3211" s="14" t="str">
        <x:v>Приборы для косметических процедур</x:v>
      </x:c>
      <x:c r="D3211" s="14" t="str">
        <x:v>Гидромассажная ванночка</x:v>
      </x:c>
      <x:c r="E3211" s="2" t="n">
        <x:v>8</x:v>
      </x:c>
      <x:c r="F3211" s="2" t="n">
        <x:v>0</x:v>
      </x:c>
      <x:c r="G3211" s="12" t="n">
        <x:v>1053570.8524</x:v>
      </x:c>
      <x:c r="H3211" s="12" t="n">
        <x:v>87745.07326048</x:v>
      </x:c>
      <x:c r="I3211" s="13" t="n">
        <x:v>0.092875</x:v>
      </x:c>
      <x:c r="J3211" s="2" t="n">
        <x:v>1</x:v>
      </x:c>
      <x:c r="K3211" s="2" t="n">
        <x:v>2</x:v>
      </x:c>
      <x:c r="L3211" s="12" t="n">
        <x:v>3045.0239</x:v>
      </x:c>
      <x:c r="M3211" s="13" t="n">
        <x:v>0.6597213831577332</x:v>
      </x:c>
      <x:c r="N3211" s="13" t="n">
        <x:f>H3211/G3211</x:f>
        <x:v>0.08328350491151078</x:v>
      </x:c>
      <x:c r="O3211" s="13" t="n">
        <x:f>F3211/E3211</x:f>
        <x:v>0</x:v>
      </x:c>
      <x:c r="P3211" s="2" t="str">
        <x:f>IF(AND(E3211&gt;='Итоги'!$F$5,N3211&lt;='Итоги'!$B$5,O3211&gt;='Итоги'!$D$5),"Да","Нет")</x:f>
        <x:v>Нет</x:v>
      </x:c>
    </x:row>
    <x:row r="3212" ht="60" customHeight="1">
      <x:c r="A3212" s="14" t="str">
        <x:v>Товары для красоты и здоровья</x:v>
      </x:c>
      <x:c r="B3212" s="14" t="str">
        <x:v>Косметические средства для детей и беременных</x:v>
      </x:c>
      <x:c r="C3212" s="14" t="str">
        <x:v>Детские косметические средства</x:v>
      </x:c>
      <x:c r="D3212" s="14" t="str">
        <x:v>Масло для тела детское</x:v>
      </x:c>
      <x:c r="E3212" s="2" t="n">
        <x:v>6</x:v>
      </x:c>
      <x:c r="F3212" s="2" t="n">
        <x:v>0</x:v>
      </x:c>
      <x:c r="G3212" s="12" t="n">
        <x:v>767649.2971999999</x:v>
      </x:c>
      <x:c r="H3212" s="12" t="n">
        <x:v>63962.83117544</x:v>
      </x:c>
      <x:c r="I3212" s="13" t="n">
        <x:v>0.0812</x:v>
      </x:c>
      <x:c r="J3212" s="2" t="n">
        <x:v>2</x:v>
      </x:c>
      <x:c r="K3212" s="2" t="n">
        <x:v>3</x:v>
      </x:c>
      <x:c r="L3212" s="12" t="n">
        <x:v>1511.43035</x:v>
      </x:c>
      <x:c r="M3212" s="13" t="n">
        <x:v>0.776316394314026</x:v>
      </x:c>
      <x:c r="N3212" s="13" t="n">
        <x:f>H3212/G3212</x:f>
        <x:v>0.08332298539026137</x:v>
      </x:c>
      <x:c r="O3212" s="13" t="n">
        <x:f>F3212/E3212</x:f>
        <x:v>0</x:v>
      </x:c>
      <x:c r="P3212" s="2" t="str">
        <x:f>IF(AND(E3212&gt;='Итоги'!$F$5,N3212&lt;='Итоги'!$B$5,O3212&gt;='Итоги'!$D$5),"Да","Нет")</x:f>
        <x:v>Нет</x:v>
      </x:c>
    </x:row>
    <x:row r="3213" ht="60" customHeight="1">
      <x:c r="A3213" s="14" t="str">
        <x:v>Игрушки</x:v>
      </x:c>
      <x:c r="B3213" s="14" t="str">
        <x:v>Игрушки</x:v>
      </x:c>
      <x:c r="C3213" s="14" t="str">
        <x:v>Транспорт и радиоуправляемые игрушки</x:v>
      </x:c>
      <x:c r="D3213" s="14" t="str">
        <x:v>Военная техника р/у</x:v>
      </x:c>
      <x:c r="E3213" s="2" t="n">
        <x:v>9</x:v>
      </x:c>
      <x:c r="F3213" s="2" t="n">
        <x:v>0</x:v>
      </x:c>
      <x:c r="G3213" s="12" t="n">
        <x:v>773095.3745</x:v>
      </x:c>
      <x:c r="H3213" s="12" t="n">
        <x:v>64419.03472106</x:v>
      </x:c>
      <x:c r="I3213" s="13" t="n">
        <x:v>0.0764666666666666</x:v>
      </x:c>
      <x:c r="J3213" s="2" t="n">
        <x:v>1</x:v>
      </x:c>
      <x:c r="K3213" s="2" t="n">
        <x:v>5</x:v>
      </x:c>
      <x:c r="L3213" s="12" t="n">
        <x:v>3616.3549</x:v>
      </x:c>
      <x:c r="M3213" s="13" t="n">
        <x:v>0.4107513904159311</x:v>
      </x:c>
      <x:c r="N3213" s="13" t="n">
        <x:f>H3213/G3213</x:f>
        <x:v>0.08332611582720056</x:v>
      </x:c>
      <x:c r="O3213" s="13" t="n">
        <x:f>F3213/E3213</x:f>
        <x:v>0</x:v>
      </x:c>
      <x:c r="P3213" s="2" t="str">
        <x:f>IF(AND(E3213&gt;='Итоги'!$F$5,N3213&lt;='Итоги'!$B$5,O3213&gt;='Итоги'!$D$5),"Да","Нет")</x:f>
        <x:v>Нет</x:v>
      </x:c>
    </x:row>
    <x:row r="3214" ht="60" customHeight="1">
      <x:c r="A3214" s="14" t="str">
        <x:v>Автотовары</x:v>
      </x:c>
      <x:c r="B3214" s="14" t="str">
        <x:v>Дополнительное оборудование для авто и мото техники</x:v>
      </x:c>
      <x:c r="C3214" s="14" t="str">
        <x:v>Оборудование для дооснащения авто</x:v>
      </x:c>
      <x:c r="D3214" s="14" t="str">
        <x:v>Защита внешних частей автомобиля</x:v>
      </x:c>
      <x:c r="E3214" s="2" t="n">
        <x:v>50</x:v>
      </x:c>
      <x:c r="F3214" s="2" t="n">
        <x:v>0</x:v>
      </x:c>
      <x:c r="G3214" s="12" t="n">
        <x:v>5560848.6412</x:v>
      </x:c>
      <x:c r="H3214" s="12" t="n">
        <x:v>463453.06047065</x:v>
      </x:c>
      <x:c r="I3214" s="13" t="n">
        <x:v>0.0725939999999999</x:v>
      </x:c>
      <x:c r="J3214" s="2" t="n">
        <x:v>17</x:v>
      </x:c>
      <x:c r="K3214" s="2" t="n">
        <x:v>19</x:v>
      </x:c>
      <x:c r="L3214" s="12" t="n">
        <x:v>1631.4018999999998</x:v>
      </x:c>
      <x:c r="M3214" s="13" t="n">
        <x:v>0.5113526086526204</x:v>
      </x:c>
      <x:c r="N3214" s="13" t="n">
        <x:f>H3214/G3214</x:f>
        <x:v>0.0833421462035405</x:v>
      </x:c>
      <x:c r="O3214" s="13" t="n">
        <x:f>F3214/E3214</x:f>
        <x:v>0</x:v>
      </x:c>
      <x:c r="P3214" s="2" t="str">
        <x:f>IF(AND(E3214&gt;='Итоги'!$F$5,N3214&lt;='Итоги'!$B$5,O3214&gt;='Итоги'!$D$5),"Да","Нет")</x:f>
        <x:v>Нет</x:v>
      </x:c>
    </x:row>
    <x:row r="3215" ht="60" customHeight="1">
      <x:c r="A3215" s="14" t="str">
        <x:v>Товары для дома</x:v>
      </x:c>
      <x:c r="B3215" s="14" t="str">
        <x:v>Домашний текстиль</x:v>
      </x:c>
      <x:c r="C3215" s="14" t="str">
        <x:v>Постельное белье</x:v>
      </x:c>
      <x:c r="D3215" s="14" t="str">
        <x:v>Наволочка</x:v>
      </x:c>
      <x:c r="E3215" s="2" t="n">
        <x:v>39</x:v>
      </x:c>
      <x:c r="F3215" s="2" t="n">
        <x:v>0</x:v>
      </x:c>
      <x:c r="G3215" s="12" t="n">
        <x:v>4374936.4701</x:v>
      </x:c>
      <x:c r="H3215" s="12" t="n">
        <x:v>364630.23501358</x:v>
      </x:c>
      <x:c r="I3215" s="13" t="n">
        <x:v>0.0837205128205128</x:v>
      </x:c>
      <x:c r="J3215" s="2" t="n">
        <x:v>3</x:v>
      </x:c>
      <x:c r="K3215" s="2" t="n">
        <x:v>10</x:v>
      </x:c>
      <x:c r="L3215" s="12" t="n">
        <x:v>2341.1212</x:v>
      </x:c>
      <x:c r="M3215" s="13" t="n">
        <x:v>0.4268094020019722</x:v>
      </x:c>
      <x:c r="N3215" s="13" t="n">
        <x:f>H3215/G3215</x:f>
        <x:v>0.08334526398396946</x:v>
      </x:c>
      <x:c r="O3215" s="13" t="n">
        <x:f>F3215/E3215</x:f>
        <x:v>0</x:v>
      </x:c>
      <x:c r="P3215" s="2" t="str">
        <x:f>IF(AND(E3215&gt;='Итоги'!$F$5,N3215&lt;='Итоги'!$B$5,O3215&gt;='Итоги'!$D$5),"Да","Нет")</x:f>
        <x:v>Нет</x:v>
      </x:c>
    </x:row>
    <x:row r="3216" ht="60" customHeight="1">
      <x:c r="A3216" s="14" t="str">
        <x:v>Строительство и ремонт (DIY)</x:v>
      </x:c>
      <x:c r="B3216" s="14" t="str">
        <x:v>Ремонт и строительство</x:v>
      </x:c>
      <x:c r="C3216" s="14" t="str">
        <x:v>Скобяные изделия</x:v>
      </x:c>
      <x:c r="D3216" s="14" t="str">
        <x:v>Фурнитура и комплектующие для мебели</x:v>
      </x:c>
      <x:c r="E3216" s="2" t="n">
        <x:v>11</x:v>
      </x:c>
      <x:c r="F3216" s="2" t="n">
        <x:v>0</x:v>
      </x:c>
      <x:c r="G3216" s="12" t="n">
        <x:v>1285624.4634</x:v>
      </x:c>
      <x:c r="H3216" s="12" t="n">
        <x:v>107175.98167315</x:v>
      </x:c>
      <x:c r="I3216" s="13" t="n">
        <x:v>0.0969090909090909</x:v>
      </x:c>
      <x:c r="J3216" s="2" t="n">
        <x:v>1</x:v>
      </x:c>
      <x:c r="K3216" s="2" t="n">
        <x:v>7</x:v>
      </x:c>
      <x:c r="L3216" s="12" t="n">
        <x:v>1450.6972</x:v>
      </x:c>
      <x:c r="M3216" s="13" t="n">
        <x:v>0.4379875710445352</x:v>
      </x:c>
      <x:c r="N3216" s="13" t="n">
        <x:f>H3216/G3216</x:f>
        <x:v>0.083364920880324</x:v>
      </x:c>
      <x:c r="O3216" s="13" t="n">
        <x:f>F3216/E3216</x:f>
        <x:v>0</x:v>
      </x:c>
      <x:c r="P3216" s="2" t="str">
        <x:f>IF(AND(E3216&gt;='Итоги'!$F$5,N3216&lt;='Итоги'!$B$5,O3216&gt;='Итоги'!$D$5),"Да","Нет")</x:f>
        <x:v>Нет</x:v>
      </x:c>
    </x:row>
    <x:row r="3217" ht="60" customHeight="1">
      <x:c r="A3217" s="14" t="str">
        <x:v>Аксессуары</x:v>
      </x:c>
      <x:c r="B3217" s="14" t="str">
        <x:v>Аксессуары</x:v>
      </x:c>
      <x:c r="C3217" s="14" t="str">
        <x:v>Аксессуары для путешествий</x:v>
      </x:c>
      <x:c r="D3217" s="14" t="str">
        <x:v>Чехол для чемодана</x:v>
      </x:c>
      <x:c r="E3217" s="2" t="n">
        <x:v>47</x:v>
      </x:c>
      <x:c r="F3217" s="2" t="n">
        <x:v>0</x:v>
      </x:c>
      <x:c r="G3217" s="12" t="n">
        <x:v>6254714.0809</x:v>
      </x:c>
      <x:c r="H3217" s="12" t="n">
        <x:v>521585.62151893</x:v>
      </x:c>
      <x:c r="I3217" s="13" t="n">
        <x:v>0.080763829787234</x:v>
      </x:c>
      <x:c r="J3217" s="2" t="n">
        <x:v>7</x:v>
      </x:c>
      <x:c r="K3217" s="2" t="n">
        <x:v>7</x:v>
      </x:c>
      <x:c r="L3217" s="12" t="n">
        <x:v>842.0658</x:v>
      </x:c>
      <x:c r="M3217" s="13" t="n">
        <x:v>0.2686900947450149</x:v>
      </x:c>
      <x:c r="N3217" s="13" t="n">
        <x:f>H3217/G3217</x:f>
        <x:v>0.08339080168535509</x:v>
      </x:c>
      <x:c r="O3217" s="13" t="n">
        <x:f>F3217/E3217</x:f>
        <x:v>0</x:v>
      </x:c>
      <x:c r="P3217" s="2" t="str">
        <x:f>IF(AND(E3217&gt;='Итоги'!$F$5,N3217&lt;='Итоги'!$B$5,O3217&gt;='Итоги'!$D$5),"Да","Нет")</x:f>
        <x:v>Нет</x:v>
      </x:c>
    </x:row>
    <x:row r="3218" ht="60" customHeight="1">
      <x:c r="A3218" s="14" t="str">
        <x:v>Игрушки</x:v>
      </x:c>
      <x:c r="B3218" s="14" t="str">
        <x:v>Игрушки</x:v>
      </x:c>
      <x:c r="C3218" s="14" t="str">
        <x:v>Интерактивные игрушки</x:v>
      </x:c>
      <x:c r="D3218" s="14" t="str">
        <x:v>Робот игрушечный</x:v>
      </x:c>
      <x:c r="E3218" s="2" t="n">
        <x:v>6</x:v>
      </x:c>
      <x:c r="F3218" s="2" t="n">
        <x:v>0</x:v>
      </x:c>
      <x:c r="G3218" s="12" t="n">
        <x:v>727018.4642</x:v>
      </x:c>
      <x:c r="H3218" s="12" t="n">
        <x:v>60637.58050244</x:v>
      </x:c>
      <x:c r="I3218" s="13" t="n">
        <x:v>0.0778333333333333</x:v>
      </x:c>
      <x:c r="J3218" s="2" t="n">
        <x:v>2</x:v>
      </x:c>
      <x:c r="K3218" s="2" t="n">
        <x:v>4</x:v>
      </x:c>
      <x:c r="L3218" s="12" t="n">
        <x:v>1334.36965</x:v>
      </x:c>
      <x:c r="M3218" s="13" t="n">
        <x:v>0.4769149894721476</x:v>
      </x:c>
      <x:c r="N3218" s="13" t="n">
        <x:f>H3218/G3218</x:f>
        <x:v>0.08340583284795203</x:v>
      </x:c>
      <x:c r="O3218" s="13" t="n">
        <x:f>F3218/E3218</x:f>
        <x:v>0</x:v>
      </x:c>
      <x:c r="P3218" s="2" t="str">
        <x:f>IF(AND(E3218&gt;='Итоги'!$F$5,N3218&lt;='Итоги'!$B$5,O3218&gt;='Итоги'!$D$5),"Да","Нет")</x:f>
        <x:v>Нет</x:v>
      </x:c>
    </x:row>
    <x:row r="3219" ht="60" customHeight="1">
      <x:c r="A3219" s="14" t="str">
        <x:v>Товары для животных</x:v>
      </x:c>
      <x:c r="B3219" s="14" t="str">
        <x:v>Спальное место животного</x:v>
      </x:c>
      <x:c r="C3219" s="14" t="str">
        <x:v>Домик, игровой комплекс для животных</x:v>
      </x:c>
      <x:c r="D3219" s="14" t="str">
        <x:v>Тоннель для животных</x:v>
      </x:c>
      <x:c r="E3219" s="2" t="n">
        <x:v>5</x:v>
      </x:c>
      <x:c r="F3219" s="2" t="n">
        <x:v>0</x:v>
      </x:c>
      <x:c r="G3219" s="12" t="n">
        <x:v>633515.2092</x:v>
      </x:c>
      <x:c r="H3219" s="12" t="n">
        <x:v>52841.95648068</x:v>
      </x:c>
      <x:c r="I3219" s="13" t="n">
        <x:v>0.0872</x:v>
      </x:c>
      <x:c r="J3219" s="2" t="n">
        <x:v>0</x:v>
      </x:c>
      <x:c r="K3219" s="2" t="n">
        <x:v>4</x:v>
      </x:c>
      <x:c r="L3219" s="12" t="n">
        <x:v>1435.2561</x:v>
      </x:c>
      <x:c r="M3219" s="13" t="n">
        <x:v>0.5177989971452133</x:v>
      </x:c>
      <x:c r="N3219" s="13" t="n">
        <x:f>H3219/G3219</x:f>
        <x:v>0.08341071487045838</x:v>
      </x:c>
      <x:c r="O3219" s="13" t="n">
        <x:f>F3219/E3219</x:f>
        <x:v>0</x:v>
      </x:c>
      <x:c r="P3219" s="2" t="str">
        <x:f>IF(AND(E3219&gt;='Итоги'!$F$5,N3219&lt;='Итоги'!$B$5,O3219&gt;='Итоги'!$D$5),"Да","Нет")</x:f>
        <x:v>Нет</x:v>
      </x:c>
    </x:row>
    <x:row r="3220" ht="60" customHeight="1">
      <x:c r="A3220" s="14" t="str">
        <x:v>Строительство и ремонт (DIY)</x:v>
      </x:c>
      <x:c r="B3220" s="14" t="str">
        <x:v>Инструменты</x:v>
      </x:c>
      <x:c r="C3220" s="14" t="str">
        <x:v>Оснастка для инструмента</x:v>
      </x:c>
      <x:c r="D3220" s="14" t="str">
        <x:v>Зарядное устройство для электроинструмента</x:v>
      </x:c>
      <x:c r="E3220" s="2" t="n">
        <x:v>17</x:v>
      </x:c>
      <x:c r="F3220" s="2" t="n">
        <x:v>0</x:v>
      </x:c>
      <x:c r="G3220" s="12" t="n">
        <x:v>2537512.302</x:v>
      </x:c>
      <x:c r="H3220" s="12" t="n">
        <x:v>211704.47610466</x:v>
      </x:c>
      <x:c r="I3220" s="13" t="n">
        <x:v>0.0612882352941176</x:v>
      </x:c>
      <x:c r="J3220" s="2" t="n">
        <x:v>9</x:v>
      </x:c>
      <x:c r="K3220" s="2" t="n">
        <x:v>8</x:v>
      </x:c>
      <x:c r="L3220" s="12" t="n">
        <x:v>2010.2955</x:v>
      </x:c>
      <x:c r="M3220" s="13" t="n">
        <x:v>0.7022671963779114</x:v>
      </x:c>
      <x:c r="N3220" s="13" t="n">
        <x:f>H3220/G3220</x:f>
        <x:v>0.0834299309358225</x:v>
      </x:c>
      <x:c r="O3220" s="13" t="n">
        <x:f>F3220/E3220</x:f>
        <x:v>0</x:v>
      </x:c>
      <x:c r="P3220" s="2" t="str">
        <x:f>IF(AND(E3220&gt;='Итоги'!$F$5,N3220&lt;='Итоги'!$B$5,O3220&gt;='Итоги'!$D$5),"Да","Нет")</x:f>
        <x:v>Нет</x:v>
      </x:c>
    </x:row>
    <x:row r="3221" ht="60" customHeight="1">
      <x:c r="A3221" s="14" t="str">
        <x:v>Хобби и творчество</x:v>
      </x:c>
      <x:c r="B3221" s="14" t="str">
        <x:v>Детское творчество и хобби</x:v>
      </x:c>
      <x:c r="C3221" s="14" t="str">
        <x:v>Рисование для детей</x:v>
      </x:c>
      <x:c r="D3221" s="14" t="str">
        <x:v>Краска - акрил</x:v>
      </x:c>
      <x:c r="E3221" s="2" t="n">
        <x:v>5</x:v>
      </x:c>
      <x:c r="F3221" s="2" t="n">
        <x:v>0</x:v>
      </x:c>
      <x:c r="G3221" s="12" t="n">
        <x:v>528602.3197</x:v>
      </x:c>
      <x:c r="H3221" s="12" t="n">
        <x:v>44114.55283848</x:v>
      </x:c>
      <x:c r="I3221" s="13" t="n">
        <x:v>0.08062</x:v>
      </x:c>
      <x:c r="J3221" s="2" t="n">
        <x:v>0</x:v>
      </x:c>
      <x:c r="K3221" s="2" t="n">
        <x:v>1</x:v>
      </x:c>
      <x:c r="L3221" s="12" t="n">
        <x:v>1508.2934</x:v>
      </x:c>
      <x:c r="M3221" s="13" t="n">
        <x:v>1</x:v>
      </x:c>
      <x:c r="N3221" s="13" t="n">
        <x:f>H3221/G3221</x:f>
        <x:v>0.08345508749094503</x:v>
      </x:c>
      <x:c r="O3221" s="13" t="n">
        <x:f>F3221/E3221</x:f>
        <x:v>0</x:v>
      </x:c>
      <x:c r="P3221" s="2" t="str">
        <x:f>IF(AND(E3221&gt;='Итоги'!$F$5,N3221&lt;='Итоги'!$B$5,O3221&gt;='Итоги'!$D$5),"Да","Нет")</x:f>
        <x:v>Нет</x:v>
      </x:c>
    </x:row>
    <x:row r="3222" ht="60" customHeight="1">
      <x:c r="A3222" s="14" t="str">
        <x:v>Автотовары</x:v>
      </x:c>
      <x:c r="B3222" s="14" t="str">
        <x:v>Электронные устройства для авто</x:v>
      </x:c>
      <x:c r="C3222" s="14" t="str">
        <x:v>Автоэлектроника</x:v>
      </x:c>
      <x:c r="D3222" s="14" t="str">
        <x:v>Система контроля давления в шинах</x:v>
      </x:c>
      <x:c r="E3222" s="2" t="n">
        <x:v>25</x:v>
      </x:c>
      <x:c r="F3222" s="2" t="n">
        <x:v>0</x:v>
      </x:c>
      <x:c r="G3222" s="12" t="n">
        <x:v>3848628.3454</x:v>
      </x:c>
      <x:c r="H3222" s="12" t="n">
        <x:v>321378.44718372</x:v>
      </x:c>
      <x:c r="I3222" s="13" t="n">
        <x:v>0.083908</x:v>
      </x:c>
      <x:c r="J3222" s="2" t="n">
        <x:v>8</x:v>
      </x:c>
      <x:c r="K3222" s="2" t="n">
        <x:v>13</x:v>
      </x:c>
      <x:c r="L3222" s="12" t="n">
        <x:v>2140.5503</x:v>
      </x:c>
      <x:c r="M3222" s="13" t="n">
        <x:v>0.3595129100615182</x:v>
      </x:c>
      <x:c r="N3222" s="13" t="n">
        <x:f>H3222/G3222</x:f>
        <x:v>0.08350467188338451</x:v>
      </x:c>
      <x:c r="O3222" s="13" t="n">
        <x:f>F3222/E3222</x:f>
        <x:v>0</x:v>
      </x:c>
      <x:c r="P3222" s="2" t="str">
        <x:f>IF(AND(E3222&gt;='Итоги'!$F$5,N3222&lt;='Итоги'!$B$5,O3222&gt;='Итоги'!$D$5),"Да","Нет")</x:f>
        <x:v>Нет</x:v>
      </x:c>
    </x:row>
    <x:row r="3223" ht="60" customHeight="1">
      <x:c r="A3223" s="14" t="str">
        <x:v>Товары для дома</x:v>
      </x:c>
      <x:c r="B3223" s="14" t="str">
        <x:v>Кухня</x:v>
      </x:c>
      <x:c r="C3223" s="14" t="str">
        <x:v>Банка, контейнер для хранения продуктов</x:v>
      </x:c>
      <x:c r="D3223" s="14" t="str">
        <x:v>Контейнер для продуктов</x:v>
      </x:c>
      <x:c r="E3223" s="2" t="n">
        <x:v>51</x:v>
      </x:c>
      <x:c r="F3223" s="2" t="n">
        <x:v>0</x:v>
      </x:c>
      <x:c r="G3223" s="12" t="n">
        <x:v>8398212.4213</x:v>
      </x:c>
      <x:c r="H3223" s="12" t="n">
        <x:v>701297.88373496</x:v>
      </x:c>
      <x:c r="I3223" s="13" t="n">
        <x:v>0.0859627450980392</x:v>
      </x:c>
      <x:c r="J3223" s="2" t="n">
        <x:v>7</x:v>
      </x:c>
      <x:c r="K3223" s="2" t="n">
        <x:v>17</x:v>
      </x:c>
      <x:c r="L3223" s="12" t="n">
        <x:v>1139.1358</x:v>
      </x:c>
      <x:c r="M3223" s="13" t="n">
        <x:v>0.6422451143198259</x:v>
      </x:c>
      <x:c r="N3223" s="13" t="n">
        <x:f>H3223/G3223</x:f>
        <x:v>0.08350561387995979</x:v>
      </x:c>
      <x:c r="O3223" s="13" t="n">
        <x:f>F3223/E3223</x:f>
        <x:v>0</x:v>
      </x:c>
      <x:c r="P3223" s="2" t="str">
        <x:f>IF(AND(E3223&gt;='Итоги'!$F$5,N3223&lt;='Итоги'!$B$5,O3223&gt;='Итоги'!$D$5),"Да","Нет")</x:f>
        <x:v>Нет</x:v>
      </x:c>
    </x:row>
    <x:row r="3224" ht="60" customHeight="1">
      <x:c r="A3224" s="14" t="str">
        <x:v>Игрушки</x:v>
      </x:c>
      <x:c r="B3224" s="14" t="str">
        <x:v>Игрушки</x:v>
      </x:c>
      <x:c r="C3224" s="14" t="str">
        <x:v>Конструктор</x:v>
      </x:c>
      <x:c r="D3224" s="14" t="str">
        <x:v>Конструктор магнитный</x:v>
      </x:c>
      <x:c r="E3224" s="2" t="n">
        <x:v>51</x:v>
      </x:c>
      <x:c r="F3224" s="2" t="n">
        <x:v>0</x:v>
      </x:c>
      <x:c r="G3224" s="12" t="n">
        <x:v>6245332.4267</x:v>
      </x:c>
      <x:c r="H3224" s="12" t="n">
        <x:v>521895.27098193</x:v>
      </x:c>
      <x:c r="I3224" s="13" t="n">
        <x:v>0.0853960784313725</x:v>
      </x:c>
      <x:c r="J3224" s="2" t="n">
        <x:v>9</x:v>
      </x:c>
      <x:c r="K3224" s="2" t="n">
        <x:v>18</x:v>
      </x:c>
      <x:c r="L3224" s="12" t="n">
        <x:v>1843.7602</x:v>
      </x:c>
      <x:c r="M3224" s="13" t="n">
        <x:v>0.4783278014999887</x:v>
      </x:c>
      <x:c r="N3224" s="13" t="n">
        <x:f>H3224/G3224</x:f>
        <x:v>0.08356565116545712</x:v>
      </x:c>
      <x:c r="O3224" s="13" t="n">
        <x:f>F3224/E3224</x:f>
        <x:v>0</x:v>
      </x:c>
      <x:c r="P3224" s="2" t="str">
        <x:f>IF(AND(E3224&gt;='Итоги'!$F$5,N3224&lt;='Итоги'!$B$5,O3224&gt;='Итоги'!$D$5),"Да","Нет")</x:f>
        <x:v>Нет</x:v>
      </x:c>
    </x:row>
    <x:row r="3225" ht="60" customHeight="1">
      <x:c r="A3225" s="14" t="str">
        <x:v>Ноутбуки и компьютеры</x:v>
      </x:c>
      <x:c r="B3225" s="14" t="str">
        <x:v>Компьютерная офисная техника Lap&amp;Comp</x:v>
      </x:c>
      <x:c r="C3225" s="14" t="str">
        <x:v>Компьютерная офисная техника Lap&amp;Comp</x:v>
      </x:c>
      <x:c r="D3225" s="14" t="str">
        <x:v>Брошюровщик</x:v>
      </x:c>
      <x:c r="E3225" s="2" t="n">
        <x:v>12</x:v>
      </x:c>
      <x:c r="F3225" s="2" t="n">
        <x:v>0</x:v>
      </x:c>
      <x:c r="G3225" s="12" t="n">
        <x:v>2217663.5555</x:v>
      </x:c>
      <x:c r="H3225" s="12" t="n">
        <x:v>185431.29413488</x:v>
      </x:c>
      <x:c r="I3225" s="13" t="n">
        <x:v>0.0986416666666666</x:v>
      </x:c>
      <x:c r="J3225" s="2" t="n">
        <x:v>5</x:v>
      </x:c>
      <x:c r="K3225" s="2" t="n">
        <x:v>5</x:v>
      </x:c>
      <x:c r="L3225" s="12" t="n">
        <x:v>3145.50295</x:v>
      </x:c>
      <x:c r="M3225" s="13" t="n">
        <x:v>0.3323922143969237</x:v>
      </x:c>
      <x:c r="N3225" s="13" t="n">
        <x:f>H3225/G3225</x:f>
        <x:v>0.08361561142806995</x:v>
      </x:c>
      <x:c r="O3225" s="13" t="n">
        <x:f>F3225/E3225</x:f>
        <x:v>0</x:v>
      </x:c>
      <x:c r="P3225" s="2" t="str">
        <x:f>IF(AND(E3225&gt;='Итоги'!$F$5,N3225&lt;='Итоги'!$B$5,O3225&gt;='Итоги'!$D$5),"Да","Нет")</x:f>
        <x:v>Нет</x:v>
      </x:c>
    </x:row>
    <x:row r="3226" ht="60" customHeight="1">
      <x:c r="A3226" s="14" t="str">
        <x:v>Товары для детей и спорта</x:v>
      </x:c>
      <x:c r="B3226" s="14" t="str">
        <x:v>Спорт детский</x:v>
      </x:c>
      <x:c r="C3226" s="14" t="str">
        <x:v>Летний спорт детский</x:v>
      </x:c>
      <x:c r="D3226" s="14" t="str">
        <x:v>Велосипед детский с радиусом колеса до 20</x:v>
      </x:c>
      <x:c r="E3226" s="2" t="n">
        <x:v>101</x:v>
      </x:c>
      <x:c r="F3226" s="2" t="n">
        <x:v>0</x:v>
      </x:c>
      <x:c r="G3226" s="12" t="n">
        <x:v>9719498.603</x:v>
      </x:c>
      <x:c r="H3226" s="12" t="n">
        <x:v>812857.081058</x:v>
      </x:c>
      <x:c r="I3226" s="13" t="n">
        <x:v>0.0722316831683168</x:v>
      </x:c>
      <x:c r="J3226" s="2" t="n">
        <x:v>21</x:v>
      </x:c>
      <x:c r="K3226" s="2" t="n">
        <x:v>12</x:v>
      </x:c>
      <x:c r="L3226" s="12" t="n">
        <x:v>8494.5</x:v>
      </x:c>
      <x:c r="M3226" s="13" t="n">
        <x:v>0.7942275860420739</x:v>
      </x:c>
      <x:c r="N3226" s="13" t="n">
        <x:f>H3226/G3226</x:f>
        <x:v>0.08363158576998048</x:v>
      </x:c>
      <x:c r="O3226" s="13" t="n">
        <x:f>F3226/E3226</x:f>
        <x:v>0</x:v>
      </x:c>
      <x:c r="P3226" s="2" t="str">
        <x:f>IF(AND(E3226&gt;='Итоги'!$F$5,N3226&lt;='Итоги'!$B$5,O3226&gt;='Итоги'!$D$5),"Да","Нет")</x:f>
        <x:v>Нет</x:v>
      </x:c>
    </x:row>
    <x:row r="3227" ht="60" customHeight="1">
      <x:c r="A3227" s="14" t="str">
        <x:v>Товары для дома</x:v>
      </x:c>
      <x:c r="B3227" s="14" t="str">
        <x:v>Аксессуары для уборки и стирки</x:v>
      </x:c>
      <x:c r="C3227" s="14" t="str">
        <x:v>Принадлежности для сушки, глажения</x:v>
      </x:c>
      <x:c r="D3227" s="14" t="str">
        <x:v>Сушилка для белья</x:v>
      </x:c>
      <x:c r="E3227" s="2" t="n">
        <x:v>248</x:v>
      </x:c>
      <x:c r="F3227" s="2" t="n">
        <x:v>0</x:v>
      </x:c>
      <x:c r="G3227" s="12" t="n">
        <x:v>47478657.0093</x:v>
      </x:c>
      <x:c r="H3227" s="12" t="n">
        <x:v>3973025.1411654</x:v>
      </x:c>
      <x:c r="I3227" s="13" t="n">
        <x:v>0.0810209677419354</x:v>
      </x:c>
      <x:c r="J3227" s="2" t="n">
        <x:v>53</x:v>
      </x:c>
      <x:c r="K3227" s="2" t="n">
        <x:v>69</x:v>
      </x:c>
      <x:c r="L3227" s="12" t="n">
        <x:v>1856.85695</x:v>
      </x:c>
      <x:c r="M3227" s="13" t="n">
        <x:v>0.4105017100690597</x:v>
      </x:c>
      <x:c r="N3227" s="13" t="n">
        <x:f>H3227/G3227</x:f>
        <x:v>0.08368023426583387</x:v>
      </x:c>
      <x:c r="O3227" s="13" t="n">
        <x:f>F3227/E3227</x:f>
        <x:v>0</x:v>
      </x:c>
      <x:c r="P3227" s="2" t="str">
        <x:f>IF(AND(E3227&gt;='Итоги'!$F$5,N3227&lt;='Итоги'!$B$5,O3227&gt;='Итоги'!$D$5),"Да","Нет")</x:f>
        <x:v>Нет</x:v>
      </x:c>
    </x:row>
    <x:row r="3228" ht="60" customHeight="1">
      <x:c r="A3228" s="14" t="str">
        <x:v>Аксессуары</x:v>
      </x:c>
      <x:c r="B3228" s="14" t="str">
        <x:v>Сумки и рюкзаки</x:v>
      </x:c>
      <x:c r="C3228" s="14" t="str">
        <x:v>Сумка мужская</x:v>
      </x:c>
      <x:c r="D3228" s="14" t="str">
        <x:v>Мужской Портфель, папка</x:v>
      </x:c>
      <x:c r="E3228" s="2" t="n">
        <x:v>104</x:v>
      </x:c>
      <x:c r="F3228" s="2" t="n">
        <x:v>0</x:v>
      </x:c>
      <x:c r="G3228" s="12" t="n">
        <x:v>12670403.0662</x:v>
      </x:c>
      <x:c r="H3228" s="12" t="n">
        <x:v>1060371.52244046</x:v>
      </x:c>
      <x:c r="I3228" s="13" t="n">
        <x:v>0.0806913461538461</x:v>
      </x:c>
      <x:c r="J3228" s="2" t="n">
        <x:v>23</x:v>
      </x:c>
      <x:c r="K3228" s="2" t="n">
        <x:v>37</x:v>
      </x:c>
      <x:c r="L3228" s="12" t="n">
        <x:v>3789.72715</x:v>
      </x:c>
      <x:c r="M3228" s="13" t="n">
        <x:v>0.3034580000187113</x:v>
      </x:c>
      <x:c r="N3228" s="13" t="n">
        <x:f>H3228/G3228</x:f>
        <x:v>0.08368885479808795</x:v>
      </x:c>
      <x:c r="O3228" s="13" t="n">
        <x:f>F3228/E3228</x:f>
        <x:v>0</x:v>
      </x:c>
      <x:c r="P3228" s="2" t="str">
        <x:f>IF(AND(E3228&gt;='Итоги'!$F$5,N3228&lt;='Итоги'!$B$5,O3228&gt;='Итоги'!$D$5),"Да","Нет")</x:f>
        <x:v>Нет</x:v>
      </x:c>
    </x:row>
    <x:row r="3229" ht="60" customHeight="1">
      <x:c r="A3229" s="14" t="str">
        <x:v>Спорт и отдых</x:v>
      </x:c>
      <x:c r="B3229" s="14" t="str">
        <x:v>Всесезонные виды спорта</x:v>
      </x:c>
      <x:c r="C3229" s="14" t="str">
        <x:v>Бейсбол</x:v>
      </x:c>
      <x:c r="D3229" s="14" t="str">
        <x:v>Бита для бейсбола</x:v>
      </x:c>
      <x:c r="E3229" s="2" t="n">
        <x:v>3</x:v>
      </x:c>
      <x:c r="F3229" s="2" t="n">
        <x:v>0</x:v>
      </x:c>
      <x:c r="G3229" s="12" t="n">
        <x:v>313789.37</x:v>
      </x:c>
      <x:c r="H3229" s="12" t="n">
        <x:v>26268.42120097</x:v>
      </x:c>
      <x:c r="I3229" s="13" t="n">
        <x:v>0.0835333333333333</x:v>
      </x:c>
      <x:c r="J3229" s="2" t="n">
        <x:v>1</x:v>
      </x:c>
      <x:c r="K3229" s="2" t="n">
        <x:v>2</x:v>
      </x:c>
      <x:c r="L3229" s="12" t="n">
        <x:v>931.0211</x:v>
      </x:c>
      <x:c r="M3229" s="13" t="n">
        <x:v>0.6676931347291976</x:v>
      </x:c>
      <x:c r="N3229" s="13" t="n">
        <x:f>H3229/G3229</x:f>
        <x:v>0.0837135470872388</x:v>
      </x:c>
      <x:c r="O3229" s="13" t="n">
        <x:f>F3229/E3229</x:f>
        <x:v>0</x:v>
      </x:c>
      <x:c r="P3229" s="2" t="str">
        <x:f>IF(AND(E3229&gt;='Итоги'!$F$5,N3229&lt;='Итоги'!$B$5,O3229&gt;='Итоги'!$D$5),"Да","Нет")</x:f>
        <x:v>Нет</x:v>
      </x:c>
    </x:row>
    <x:row r="3230" ht="60" customHeight="1">
      <x:c r="A3230" s="14" t="str">
        <x:v>Товары для дома</x:v>
      </x:c>
      <x:c r="B3230" s="14" t="str">
        <x:v>Интерьер и декор</x:v>
      </x:c>
      <x:c r="C3230" s="14" t="str">
        <x:v>Принадлежности для праздника</x:v>
      </x:c>
      <x:c r="D3230" s="14" t="str">
        <x:v>Одноразовая посуда для праздника</x:v>
      </x:c>
      <x:c r="E3230" s="2" t="n">
        <x:v>3</x:v>
      </x:c>
      <x:c r="F3230" s="2" t="n">
        <x:v>0</x:v>
      </x:c>
      <x:c r="G3230" s="12" t="n">
        <x:v>430886.88</x:v>
      </x:c>
      <x:c r="H3230" s="12" t="n">
        <x:v>36083.56551</x:v>
      </x:c>
      <x:c r="I3230" s="13" t="n">
        <x:v>0.085</x:v>
      </x:c>
      <x:c r="J3230" s="2" t="n">
        <x:v>0</x:v>
      </x:c>
      <x:c r="K3230" s="2" t="n">
        <x:v>1</x:v>
      </x:c>
      <x:c r="L3230" s="12" t="n">
        <x:v>1161.8833</x:v>
      </x:c>
      <x:c r="M3230" s="13" t="n">
        <x:v>1</x:v>
      </x:c>
      <x:c r="N3230" s="13" t="n">
        <x:f>H3230/G3230</x:f>
        <x:v>0.0837425486475708</x:v>
      </x:c>
      <x:c r="O3230" s="13" t="n">
        <x:f>F3230/E3230</x:f>
        <x:v>0</x:v>
      </x:c>
      <x:c r="P3230" s="2" t="str">
        <x:f>IF(AND(E3230&gt;='Итоги'!$F$5,N3230&lt;='Итоги'!$B$5,O3230&gt;='Итоги'!$D$5),"Да","Нет")</x:f>
        <x:v>Нет</x:v>
      </x:c>
    </x:row>
    <x:row r="3231" ht="60" customHeight="1">
      <x:c r="A3231" s="14" t="str">
        <x:v>Строительство и ремонт (DIY)</x:v>
      </x:c>
      <x:c r="B3231" s="14" t="str">
        <x:v>Инструменты</x:v>
      </x:c>
      <x:c r="C3231" s="14" t="str">
        <x:v>Инструмент ручной для строительства, ремонта</x:v>
      </x:c>
      <x:c r="D3231" s="14" t="str">
        <x:v>Ударно-рычажный инструмент</x:v>
      </x:c>
      <x:c r="E3231" s="2" t="n">
        <x:v>5</x:v>
      </x:c>
      <x:c r="F3231" s="2" t="n">
        <x:v>0</x:v>
      </x:c>
      <x:c r="G3231" s="12" t="n">
        <x:v>505898.0352</x:v>
      </x:c>
      <x:c r="H3231" s="12" t="n">
        <x:v>42407.98089568</x:v>
      </x:c>
      <x:c r="I3231" s="13" t="n">
        <x:v>0.0931999999999999</x:v>
      </x:c>
      <x:c r="J3231" s="2" t="n">
        <x:v>1</x:v>
      </x:c>
      <x:c r="K3231" s="2" t="n">
        <x:v>2</x:v>
      </x:c>
      <x:c r="L3231" s="12" t="n">
        <x:v>926.5086</x:v>
      </x:c>
      <x:c r="M3231" s="13" t="n">
        <x:v>0.800914427429664</x:v>
      </x:c>
      <x:c r="N3231" s="13" t="n">
        <x:f>H3231/G3231</x:f>
        <x:v>0.08382713105204011</x:v>
      </x:c>
      <x:c r="O3231" s="13" t="n">
        <x:f>F3231/E3231</x:f>
        <x:v>0</x:v>
      </x:c>
      <x:c r="P3231" s="2" t="str">
        <x:f>IF(AND(E3231&gt;='Итоги'!$F$5,N3231&lt;='Итоги'!$B$5,O3231&gt;='Итоги'!$D$5),"Да","Нет")</x:f>
        <x:v>Нет</x:v>
      </x:c>
    </x:row>
    <x:row r="3232" ht="60" customHeight="1">
      <x:c r="A3232" s="14" t="str">
        <x:v>Строительство и ремонт (DIY)</x:v>
      </x:c>
      <x:c r="B3232" s="14" t="str">
        <x:v>Инструменты</x:v>
      </x:c>
      <x:c r="C3232" s="14" t="str">
        <x:v>Инструмент ручной для строительства, ремонта</x:v>
      </x:c>
      <x:c r="D3232" s="14" t="str">
        <x:v>Заклепочник</x:v>
      </x:c>
      <x:c r="E3232" s="2" t="n">
        <x:v>33</x:v>
      </x:c>
      <x:c r="F3232" s="2" t="n">
        <x:v>0</x:v>
      </x:c>
      <x:c r="G3232" s="12" t="n">
        <x:v>6219385.8561</x:v>
      </x:c>
      <x:c r="H3232" s="12" t="n">
        <x:v>521603.03909988</x:v>
      </x:c>
      <x:c r="I3232" s="13" t="n">
        <x:v>0.0597636363636363</x:v>
      </x:c>
      <x:c r="J3232" s="2" t="n">
        <x:v>10</x:v>
      </x:c>
      <x:c r="K3232" s="2" t="n">
        <x:v>13</x:v>
      </x:c>
      <x:c r="L3232" s="12" t="n">
        <x:v>2803.0305</x:v>
      </x:c>
      <x:c r="M3232" s="13" t="n">
        <x:v>0.7268699595903175</x:v>
      </x:c>
      <x:c r="N3232" s="13" t="n">
        <x:f>H3232/G3232</x:f>
        <x:v>0.08386729030299503</x:v>
      </x:c>
      <x:c r="O3232" s="13" t="n">
        <x:f>F3232/E3232</x:f>
        <x:v>0</x:v>
      </x:c>
      <x:c r="P3232" s="2" t="str">
        <x:f>IF(AND(E3232&gt;='Итоги'!$F$5,N3232&lt;='Итоги'!$B$5,O3232&gt;='Итоги'!$D$5),"Да","Нет")</x:f>
        <x:v>Нет</x:v>
      </x:c>
    </x:row>
    <x:row r="3233" ht="60" customHeight="1">
      <x:c r="A3233" s="14" t="str">
        <x:v>Бакалея и кондитерские изделия</x:v>
      </x:c>
      <x:c r="B3233" s="14" t="str">
        <x:v>Бакалея</x:v>
      </x:c>
      <x:c r="C3233" s="14" t="str">
        <x:v>Снэки, чипсы, готовые завтраки</x:v>
      </x:c>
      <x:c r="D3233" s="14" t="str">
        <x:v>Грибы (сушеные)</x:v>
      </x:c>
      <x:c r="E3233" s="2" t="n">
        <x:v>9</x:v>
      </x:c>
      <x:c r="F3233" s="2" t="n">
        <x:v>0</x:v>
      </x:c>
      <x:c r="G3233" s="12" t="n">
        <x:v>1166307.8548</x:v>
      </x:c>
      <x:c r="H3233" s="12" t="n">
        <x:v>97824.48439796</x:v>
      </x:c>
      <x:c r="I3233" s="13" t="n">
        <x:v>0.0840111111111111</x:v>
      </x:c>
      <x:c r="J3233" s="2" t="n">
        <x:v>1</x:v>
      </x:c>
      <x:c r="K3233" s="2" t="n">
        <x:v>5</x:v>
      </x:c>
      <x:c r="L3233" s="12" t="n">
        <x:v>1787.8554</x:v>
      </x:c>
      <x:c r="M3233" s="13" t="n">
        <x:v>0.4022247306912332</x:v>
      </x:c>
      <x:c r="N3233" s="13" t="n">
        <x:f>H3233/G3233</x:f>
        <x:v>0.08387535417459317</x:v>
      </x:c>
      <x:c r="O3233" s="13" t="n">
        <x:f>F3233/E3233</x:f>
        <x:v>0</x:v>
      </x:c>
      <x:c r="P3233" s="2" t="str">
        <x:f>IF(AND(E3233&gt;='Итоги'!$F$5,N3233&lt;='Итоги'!$B$5,O3233&gt;='Итоги'!$D$5),"Да","Нет")</x:f>
        <x:v>Нет</x:v>
      </x:c>
    </x:row>
    <x:row r="3234" ht="60" customHeight="1">
      <x:c r="A3234" s="14" t="str">
        <x:v>Товары для дома</x:v>
      </x:c>
      <x:c r="B3234" s="14" t="str">
        <x:v>Домашний текстиль</x:v>
      </x:c>
      <x:c r="C3234" s="14" t="str">
        <x:v>Покрывало</x:v>
      </x:c>
      <x:c r="D3234" s="14" t="str">
        <x:v>Покрывало - 1.5 спальное</x:v>
      </x:c>
      <x:c r="E3234" s="2" t="n">
        <x:v>100</x:v>
      </x:c>
      <x:c r="F3234" s="2" t="n">
        <x:v>0</x:v>
      </x:c>
      <x:c r="G3234" s="12" t="n">
        <x:v>10885593.0189</x:v>
      </x:c>
      <x:c r="H3234" s="12" t="n">
        <x:v>913172.42106105</x:v>
      </x:c>
      <x:c r="I3234" s="13" t="n">
        <x:v>0.080828</x:v>
      </x:c>
      <x:c r="J3234" s="2" t="n">
        <x:v>12</x:v>
      </x:c>
      <x:c r="K3234" s="2" t="n">
        <x:v>22</x:v>
      </x:c>
      <x:c r="L3234" s="12" t="n">
        <x:v>2213.679</x:v>
      </x:c>
      <x:c r="M3234" s="13" t="n">
        <x:v>0.486780858819528</x:v>
      </x:c>
      <x:c r="N3234" s="13" t="n">
        <x:f>H3234/G3234</x:f>
        <x:v>0.08388816479502437</x:v>
      </x:c>
      <x:c r="O3234" s="13" t="n">
        <x:f>F3234/E3234</x:f>
        <x:v>0</x:v>
      </x:c>
      <x:c r="P3234" s="2" t="str">
        <x:f>IF(AND(E3234&gt;='Итоги'!$F$5,N3234&lt;='Итоги'!$B$5,O3234&gt;='Итоги'!$D$5),"Да","Нет")</x:f>
        <x:v>Нет</x:v>
      </x:c>
    </x:row>
    <x:row r="3235" ht="60" customHeight="1">
      <x:c r="A3235" s="14" t="str">
        <x:v>Одежда</x:v>
      </x:c>
      <x:c r="B3235" s="14" t="str">
        <x:v>Спецодежда и одежда для мероприятий</x:v>
      </x:c>
      <x:c r="C3235" s="14" t="str">
        <x:v>Спецодежда женская</x:v>
      </x:c>
      <x:c r="D3235" s="14" t="str">
        <x:v>Фартук для повара женский</x:v>
      </x:c>
      <x:c r="E3235" s="2" t="n">
        <x:v>1</x:v>
      </x:c>
      <x:c r="F3235" s="2" t="n">
        <x:v>0</x:v>
      </x:c>
      <x:c r="G3235" s="12" t="n">
        <x:v>176249.34</x:v>
      </x:c>
      <x:c r="H3235" s="12" t="n">
        <x:v>14787.319626</x:v>
      </x:c>
      <x:c r="I3235" s="13" t="n">
        <x:v>0.0839</x:v>
      </x:c>
      <x:c r="J3235" s="2" t="n">
        <x:v>0</x:v>
      </x:c>
      <x:c r="K3235" s="2" t="n">
        <x:v>1</x:v>
      </x:c>
      <x:c r="L3235" s="12" t="n">
        <x:v>1049.1032</x:v>
      </x:c>
      <x:c r="M3235" s="13" t="n">
        <x:v>1</x:v>
      </x:c>
      <x:c r="N3235" s="13" t="n">
        <x:f>H3235/G3235</x:f>
        <x:v>0.0839</x:v>
      </x:c>
      <x:c r="O3235" s="13" t="n">
        <x:f>F3235/E3235</x:f>
        <x:v>0</x:v>
      </x:c>
      <x:c r="P3235" s="2" t="str">
        <x:f>IF(AND(E3235&gt;='Итоги'!$F$5,N3235&lt;='Итоги'!$B$5,O3235&gt;='Итоги'!$D$5),"Да","Нет")</x:f>
        <x:v>Нет</x:v>
      </x:c>
    </x:row>
    <x:row r="3236" ht="60" customHeight="1">
      <x:c r="A3236" s="14" t="str">
        <x:v>Ноутбуки и компьютеры</x:v>
      </x:c>
      <x:c r="B3236" s="14" t="str">
        <x:v>Ноутбуки и стационарные компьютеры Lap&amp;Comp</x:v>
      </x:c>
      <x:c r="C3236" s="14" t="str">
        <x:v>Стационарные компьютеры Lap&amp;Comp</x:v>
      </x:c>
      <x:c r="D3236" s="14" t="str">
        <x:v>Платформа/корпус для моноблока</x:v>
      </x:c>
      <x:c r="E3236" s="2" t="n">
        <x:v>2</x:v>
      </x:c>
      <x:c r="F3236" s="2" t="n">
        <x:v>0</x:v>
      </x:c>
      <x:c r="G3236" s="12" t="n">
        <x:v>435436</x:v>
      </x:c>
      <x:c r="H3236" s="12" t="n">
        <x:v>36539.9724</x:v>
      </x:c>
      <x:c r="I3236" s="13" t="n">
        <x:v>0.0739</x:v>
      </x:c>
      <x:c r="J3236" s="2" t="n">
        <x:v>0</x:v>
      </x:c>
      <x:c r="K3236" s="2" t="n">
        <x:v>1</x:v>
      </x:c>
      <x:c r="L3236" s="12" t="n">
        <x:v>19236.85</x:v>
      </x:c>
      <x:c r="M3236" s="13" t="n">
        <x:v>1</x:v>
      </x:c>
      <x:c r="N3236" s="13" t="n">
        <x:f>H3236/G3236</x:f>
        <x:v>0.08391582781396117</x:v>
      </x:c>
      <x:c r="O3236" s="13" t="n">
        <x:f>F3236/E3236</x:f>
        <x:v>0</x:v>
      </x:c>
      <x:c r="P3236" s="2" t="str">
        <x:f>IF(AND(E3236&gt;='Итоги'!$F$5,N3236&lt;='Итоги'!$B$5,O3236&gt;='Итоги'!$D$5),"Да","Нет")</x:f>
        <x:v>Нет</x:v>
      </x:c>
    </x:row>
    <x:row r="3237" ht="60" customHeight="1">
      <x:c r="A3237" s="14" t="str">
        <x:v>Товары для дома</x:v>
      </x:c>
      <x:c r="B3237" s="14" t="str">
        <x:v>Кухня</x:v>
      </x:c>
      <x:c r="C3237" s="14" t="str">
        <x:v>Посуда для чая и кофе</x:v>
      </x:c>
      <x:c r="D3237" s="14" t="str">
        <x:v>Кофеварка, турка</x:v>
      </x:c>
      <x:c r="E3237" s="2" t="n">
        <x:v>48</x:v>
      </x:c>
      <x:c r="F3237" s="2" t="n">
        <x:v>0</x:v>
      </x:c>
      <x:c r="G3237" s="12" t="n">
        <x:v>6843582.2922</x:v>
      </x:c>
      <x:c r="H3237" s="12" t="n">
        <x:v>575075.05739313</x:v>
      </x:c>
      <x:c r="I3237" s="13" t="n">
        <x:v>0.0676708333333333</x:v>
      </x:c>
      <x:c r="J3237" s="2" t="n">
        <x:v>21</x:v>
      </x:c>
      <x:c r="K3237" s="2" t="n">
        <x:v>10</x:v>
      </x:c>
      <x:c r="L3237" s="12" t="n">
        <x:v>1234.07735</x:v>
      </x:c>
      <x:c r="M3237" s="13" t="n">
        <x:v>0.8756747303426544</x:v>
      </x:c>
      <x:c r="N3237" s="13" t="n">
        <x:f>H3237/G3237</x:f>
        <x:v>0.08403129133824754</x:v>
      </x:c>
      <x:c r="O3237" s="13" t="n">
        <x:f>F3237/E3237</x:f>
        <x:v>0</x:v>
      </x:c>
      <x:c r="P3237" s="2" t="str">
        <x:f>IF(AND(E3237&gt;='Итоги'!$F$5,N3237&lt;='Итоги'!$B$5,O3237&gt;='Итоги'!$D$5),"Да","Нет")</x:f>
        <x:v>Нет</x:v>
      </x:c>
    </x:row>
    <x:row r="3238" ht="60" customHeight="1">
      <x:c r="A3238" s="14" t="str">
        <x:v>Аптека</x:v>
      </x:c>
      <x:c r="B3238" s="14" t="str">
        <x:v>Медицинские изделия</x:v>
      </x:c>
      <x:c r="C3238" s="14" t="str">
        <x:v>Хирургия</x:v>
      </x:c>
      <x:c r="D3238" s="14" t="str">
        <x:v>Хирургический набор</x:v>
      </x:c>
      <x:c r="E3238" s="2" t="n">
        <x:v>5</x:v>
      </x:c>
      <x:c r="F3238" s="2" t="n">
        <x:v>0</x:v>
      </x:c>
      <x:c r="G3238" s="12" t="n">
        <x:v>546156</x:v>
      </x:c>
      <x:c r="H3238" s="12" t="n">
        <x:v>45898.983</x:v>
      </x:c>
      <x:c r="I3238" s="13" t="n">
        <x:v>0.05566</x:v>
      </x:c>
      <x:c r="J3238" s="2" t="n">
        <x:v>2</x:v>
      </x:c>
      <x:c r="K3238" s="2" t="n">
        <x:v>5</x:v>
      </x:c>
      <x:c r="L3238" s="12" t="n">
        <x:v>3209.0952</x:v>
      </x:c>
      <x:c r="M3238" s="13" t="n">
        <x:v>0.493565940866712</x:v>
      </x:c>
      <x:c r="N3238" s="13" t="n">
        <x:f>H3238/G3238</x:f>
        <x:v>0.08404005998286204</x:v>
      </x:c>
      <x:c r="O3238" s="13" t="n">
        <x:f>F3238/E3238</x:f>
        <x:v>0</x:v>
      </x:c>
      <x:c r="P3238" s="2" t="str">
        <x:f>IF(AND(E3238&gt;='Итоги'!$F$5,N3238&lt;='Итоги'!$B$5,O3238&gt;='Итоги'!$D$5),"Да","Нет")</x:f>
        <x:v>Нет</x:v>
      </x:c>
    </x:row>
    <x:row r="3239" ht="60" customHeight="1">
      <x:c r="A3239" s="14" t="str">
        <x:v>Аксессуары для электроники</x:v>
      </x:c>
      <x:c r="B3239" s="14" t="str">
        <x:v>Аксессуары для КБТ Access</x:v>
      </x:c>
      <x:c r="C3239" s="14" t="str">
        <x:v>Аксессуары для стиральной машины Access</x:v>
      </x:c>
      <x:c r="D3239" s="14" t="str">
        <x:v>Аксессуары для стиральной, сушильной машин</x:v>
      </x:c>
      <x:c r="E3239" s="2" t="n">
        <x:v>8</x:v>
      </x:c>
      <x:c r="F3239" s="2" t="n">
        <x:v>0</x:v>
      </x:c>
      <x:c r="G3239" s="12" t="n">
        <x:v>547160.0538</x:v>
      </x:c>
      <x:c r="H3239" s="12" t="n">
        <x:v>45999.88283408</x:v>
      </x:c>
      <x:c r="I3239" s="13" t="n">
        <x:v>0.054075</x:v>
      </x:c>
      <x:c r="J3239" s="2" t="n">
        <x:v>5</x:v>
      </x:c>
      <x:c r="K3239" s="2" t="n">
        <x:v>5</x:v>
      </x:c>
      <x:c r="L3239" s="12" t="n">
        <x:v>4904.79165</x:v>
      </x:c>
      <x:c r="M3239" s="13" t="n">
        <x:v>0.2520820599787725</x:v>
      </x:c>
      <x:c r="N3239" s="13" t="n">
        <x:f>H3239/G3239</x:f>
        <x:v>0.0840702505868494</x:v>
      </x:c>
      <x:c r="O3239" s="13" t="n">
        <x:f>F3239/E3239</x:f>
        <x:v>0</x:v>
      </x:c>
      <x:c r="P3239" s="2" t="str">
        <x:f>IF(AND(E3239&gt;='Итоги'!$F$5,N3239&lt;='Итоги'!$B$5,O3239&gt;='Итоги'!$D$5),"Да","Нет")</x:f>
        <x:v>Нет</x:v>
      </x:c>
    </x:row>
    <x:row r="3240" ht="60" customHeight="1">
      <x:c r="A3240" s="14" t="str">
        <x:v>Аксессуары</x:v>
      </x:c>
      <x:c r="B3240" s="14" t="str">
        <x:v>Сумки и рюкзаки</x:v>
      </x:c>
      <x:c r="C3240" s="14" t="str">
        <x:v>Сумка женская</x:v>
      </x:c>
      <x:c r="D3240" s="14" t="str">
        <x:v>Женская Сумка пляжная</x:v>
      </x:c>
      <x:c r="E3240" s="2" t="n">
        <x:v>104</x:v>
      </x:c>
      <x:c r="F3240" s="2" t="n">
        <x:v>0</x:v>
      </x:c>
      <x:c r="G3240" s="12" t="n">
        <x:v>12166439.2601</x:v>
      </x:c>
      <x:c r="H3240" s="12" t="n">
        <x:v>1023161.27888692</x:v>
      </x:c>
      <x:c r="I3240" s="13" t="n">
        <x:v>0.0779836538461538</x:v>
      </x:c>
      <x:c r="J3240" s="2" t="n">
        <x:v>33</x:v>
      </x:c>
      <x:c r="K3240" s="2" t="n">
        <x:v>53</x:v>
      </x:c>
      <x:c r="L3240" s="12" t="n">
        <x:v>1171.29755</x:v>
      </x:c>
      <x:c r="M3240" s="13" t="n">
        <x:v>0.2841673621828103</x:v>
      </x:c>
      <x:c r="N3240" s="13" t="n">
        <x:f>H3240/G3240</x:f>
        <x:v>0.08409701943298982</x:v>
      </x:c>
      <x:c r="O3240" s="13" t="n">
        <x:f>F3240/E3240</x:f>
        <x:v>0</x:v>
      </x:c>
      <x:c r="P3240" s="2" t="str">
        <x:f>IF(AND(E3240&gt;='Итоги'!$F$5,N3240&lt;='Итоги'!$B$5,O3240&gt;='Итоги'!$D$5),"Да","Нет")</x:f>
        <x:v>Нет</x:v>
      </x:c>
    </x:row>
    <x:row r="3241" ht="60" customHeight="1">
      <x:c r="A3241" s="14" t="str">
        <x:v>Аптека</x:v>
      </x:c>
      <x:c r="B3241" s="14" t="str">
        <x:v>Спортивное питание</x:v>
      </x:c>
      <x:c r="C3241" s="14" t="str">
        <x:v>Средства для снижения веса</x:v>
      </x:c>
      <x:c r="D3241" s="14" t="str">
        <x:v>Средства для снижения веса</x:v>
      </x:c>
      <x:c r="E3241" s="2" t="n">
        <x:v>69</x:v>
      </x:c>
      <x:c r="F3241" s="2" t="n">
        <x:v>0</x:v>
      </x:c>
      <x:c r="G3241" s="12" t="n">
        <x:v>12261882.3822</x:v>
      </x:c>
      <x:c r="H3241" s="12" t="n">
        <x:v>1031838.20594842</x:v>
      </x:c>
      <x:c r="I3241" s="13" t="n">
        <x:v>0.0765565217391304</x:v>
      </x:c>
      <x:c r="J3241" s="2" t="n">
        <x:v>22</x:v>
      </x:c>
      <x:c r="K3241" s="2" t="n">
        <x:v>21</x:v>
      </x:c>
      <x:c r="L3241" s="12" t="n">
        <x:v>1260.6118</x:v>
      </x:c>
      <x:c r="M3241" s="13" t="n">
        <x:v>0.5414792497633422</x:v>
      </x:c>
      <x:c r="N3241" s="13" t="n">
        <x:f>H3241/G3241</x:f>
        <x:v>0.08415006552715683</x:v>
      </x:c>
      <x:c r="O3241" s="13" t="n">
        <x:f>F3241/E3241</x:f>
        <x:v>0</x:v>
      </x:c>
      <x:c r="P3241" s="2" t="str">
        <x:f>IF(AND(E3241&gt;='Итоги'!$F$5,N3241&lt;='Итоги'!$B$5,O3241&gt;='Итоги'!$D$5),"Да","Нет")</x:f>
        <x:v>Нет</x:v>
      </x:c>
    </x:row>
    <x:row r="3242" ht="60" customHeight="1">
      <x:c r="A3242" s="14" t="str">
        <x:v>Игрушки</x:v>
      </x:c>
      <x:c r="B3242" s="14" t="str">
        <x:v>Игрушки</x:v>
      </x:c>
      <x:c r="C3242" s="14" t="str">
        <x:v>Игрушки для самых маленьких</x:v>
      </x:c>
      <x:c r="D3242" s="14" t="str">
        <x:v>Игровой коврик</x:v>
      </x:c>
      <x:c r="E3242" s="2" t="n">
        <x:v>45</x:v>
      </x:c>
      <x:c r="F3242" s="2" t="n">
        <x:v>0</x:v>
      </x:c>
      <x:c r="G3242" s="12" t="n">
        <x:v>4820812.3065</x:v>
      </x:c>
      <x:c r="H3242" s="12" t="n">
        <x:v>405937.17446099</x:v>
      </x:c>
      <x:c r="I3242" s="13" t="n">
        <x:v>0.0882866666666666</x:v>
      </x:c>
      <x:c r="J3242" s="2" t="n">
        <x:v>6</x:v>
      </x:c>
      <x:c r="K3242" s="2" t="n">
        <x:v>12</x:v>
      </x:c>
      <x:c r="L3242" s="12" t="n">
        <x:v>1554.8679</x:v>
      </x:c>
      <x:c r="M3242" s="13" t="n">
        <x:v>0.4259325582602414</x:v>
      </x:c>
      <x:c r="N3242" s="13" t="n">
        <x:f>H3242/G3242</x:f>
        <x:v>0.08420513985032287</x:v>
      </x:c>
      <x:c r="O3242" s="13" t="n">
        <x:f>F3242/E3242</x:f>
        <x:v>0</x:v>
      </x:c>
      <x:c r="P3242" s="2" t="str">
        <x:f>IF(AND(E3242&gt;='Итоги'!$F$5,N3242&lt;='Итоги'!$B$5,O3242&gt;='Итоги'!$D$5),"Да","Нет")</x:f>
        <x:v>Нет</x:v>
      </x:c>
    </x:row>
    <x:row r="3243" ht="60" customHeight="1">
      <x:c r="A3243" s="14" t="str">
        <x:v>Игрушки</x:v>
      </x:c>
      <x:c r="B3243" s="14" t="str">
        <x:v>Игрушки</x:v>
      </x:c>
      <x:c r="C3243" s="14" t="str">
        <x:v>Конструктор</x:v>
      </x:c>
      <x:c r="D3243" s="14" t="str">
        <x:v>Конструктор металлический</x:v>
      </x:c>
      <x:c r="E3243" s="2" t="n">
        <x:v>3</x:v>
      </x:c>
      <x:c r="F3243" s="2" t="n">
        <x:v>0</x:v>
      </x:c>
      <x:c r="G3243" s="12" t="n">
        <x:v>205318.25</x:v>
      </x:c>
      <x:c r="H3243" s="12" t="n">
        <x:v>17297.1469</x:v>
      </x:c>
      <x:c r="I3243" s="13" t="n">
        <x:v>0.0572</x:v>
      </x:c>
      <x:c r="J3243" s="2" t="n">
        <x:v>1</x:v>
      </x:c>
      <x:c r="K3243" s="2" t="n">
        <x:v>2</x:v>
      </x:c>
      <x:c r="L3243" s="12" t="n">
        <x:v>1397.1801</x:v>
      </x:c>
      <x:c r="M3243" s="13" t="n">
        <x:v>0.9794903765252236</x:v>
      </x:c>
      <x:c r="N3243" s="13" t="n">
        <x:f>H3243/G3243</x:f>
        <x:v>0.08424554027710639</x:v>
      </x:c>
      <x:c r="O3243" s="13" t="n">
        <x:f>F3243/E3243</x:f>
        <x:v>0</x:v>
      </x:c>
      <x:c r="P3243" s="2" t="str">
        <x:f>IF(AND(E3243&gt;='Итоги'!$F$5,N3243&lt;='Итоги'!$B$5,O3243&gt;='Итоги'!$D$5),"Да","Нет")</x:f>
        <x:v>Нет</x:v>
      </x:c>
    </x:row>
    <x:row r="3244" ht="60" customHeight="1">
      <x:c r="A3244" s="14" t="str">
        <x:v>Бакалея и кондитерские изделия</x:v>
      </x:c>
      <x:c r="B3244" s="14" t="str">
        <x:v>Бакалея</x:v>
      </x:c>
      <x:c r="C3244" s="14" t="str">
        <x:v>Приправы, специи, травы</x:v>
      </x:c>
      <x:c r="D3244" s="14" t="str">
        <x:v>Моно приправы, специи, травы</x:v>
      </x:c>
      <x:c r="E3244" s="2" t="n">
        <x:v>4</x:v>
      </x:c>
      <x:c r="F3244" s="2" t="n">
        <x:v>0</x:v>
      </x:c>
      <x:c r="G3244" s="12" t="n">
        <x:v>398761.67</x:v>
      </x:c>
      <x:c r="H3244" s="12" t="n">
        <x:v>33644.988534000004</x:v>
      </x:c>
      <x:c r="I3244" s="13" t="n">
        <x:v>0.081625</x:v>
      </x:c>
      <x:c r="J3244" s="2" t="n">
        <x:v>0</x:v>
      </x:c>
      <x:c r="K3244" s="2" t="n">
        <x:v>4</x:v>
      </x:c>
      <x:c r="L3244" s="12" t="n">
        <x:v>950.6712</x:v>
      </x:c>
      <x:c r="M3244" s="13" t="n">
        <x:v>0.2895965402090928</x:v>
      </x:c>
      <x:c r="N3244" s="13" t="n">
        <x:f>H3244/G3244</x:f>
        <x:v>0.08437367747506927</x:v>
      </x:c>
      <x:c r="O3244" s="13" t="n">
        <x:f>F3244/E3244</x:f>
        <x:v>0</x:v>
      </x:c>
      <x:c r="P3244" s="2" t="str">
        <x:f>IF(AND(E3244&gt;='Итоги'!$F$5,N3244&lt;='Итоги'!$B$5,O3244&gt;='Итоги'!$D$5),"Да","Нет")</x:f>
        <x:v>Нет</x:v>
      </x:c>
    </x:row>
    <x:row r="3245" ht="60" customHeight="1">
      <x:c r="A3245" s="14" t="str">
        <x:v>Аксессуары</x:v>
      </x:c>
      <x:c r="B3245" s="14" t="str">
        <x:v>Чемоданы, дорожные сумки</x:v>
      </x:c>
      <x:c r="C3245" s="14" t="str">
        <x:v>Дорожные сумки, тележки</x:v>
      </x:c>
      <x:c r="D3245" s="14" t="str">
        <x:v>Тележка багажная для путешествий</x:v>
      </x:c>
      <x:c r="E3245" s="2" t="n">
        <x:v>13</x:v>
      </x:c>
      <x:c r="F3245" s="2" t="n">
        <x:v>0</x:v>
      </x:c>
      <x:c r="G3245" s="12" t="n">
        <x:v>2024278.92</x:v>
      </x:c>
      <x:c r="H3245" s="12" t="n">
        <x:v>170875.489964</x:v>
      </x:c>
      <x:c r="I3245" s="13" t="n">
        <x:v>0.0993538461538461</x:v>
      </x:c>
      <x:c r="J3245" s="2" t="n">
        <x:v>0</x:v>
      </x:c>
      <x:c r="K3245" s="2" t="n">
        <x:v>5</x:v>
      </x:c>
      <x:c r="L3245" s="12" t="n">
        <x:v>3439.2983</x:v>
      </x:c>
      <x:c r="M3245" s="13" t="n">
        <x:v>0.5567027690037892</x:v>
      </x:c>
      <x:c r="N3245" s="13" t="n">
        <x:f>H3245/G3245</x:f>
        <x:v>0.08441301654418257</x:v>
      </x:c>
      <x:c r="O3245" s="13" t="n">
        <x:f>F3245/E3245</x:f>
        <x:v>0</x:v>
      </x:c>
      <x:c r="P3245" s="2" t="str">
        <x:f>IF(AND(E3245&gt;='Итоги'!$F$5,N3245&lt;='Итоги'!$B$5,O3245&gt;='Итоги'!$D$5),"Да","Нет")</x:f>
        <x:v>Нет</x:v>
      </x:c>
    </x:row>
    <x:row r="3246" ht="60" customHeight="1">
      <x:c r="A3246" s="14" t="str">
        <x:v>Аксессуары для электроники</x:v>
      </x:c>
      <x:c r="B3246" s="14" t="str">
        <x:v>Компьютеры Access</x:v>
      </x:c>
      <x:c r="C3246" s="14" t="str">
        <x:v>Аксессуар к компьютерной технике Access</x:v>
      </x:c>
      <x:c r="D3246" s="14" t="str">
        <x:v>Блок питания для ноутбука</x:v>
      </x:c>
      <x:c r="E3246" s="2" t="n">
        <x:v>74</x:v>
      </x:c>
      <x:c r="F3246" s="2" t="n">
        <x:v>0</x:v>
      </x:c>
      <x:c r="G3246" s="12" t="n">
        <x:v>10692705.5255</x:v>
      </x:c>
      <x:c r="H3246" s="12" t="n">
        <x:v>903296.36713848</x:v>
      </x:c>
      <x:c r="I3246" s="13" t="n">
        <x:v>0.0844351351351351</x:v>
      </x:c>
      <x:c r="J3246" s="2" t="n">
        <x:v>3</x:v>
      </x:c>
      <x:c r="K3246" s="2" t="n">
        <x:v>7</x:v>
      </x:c>
      <x:c r="L3246" s="12" t="n">
        <x:v>1032.93055</x:v>
      </x:c>
      <x:c r="M3246" s="13" t="n">
        <x:v>0.8910650476979696</x:v>
      </x:c>
      <x:c r="N3246" s="13" t="n">
        <x:f>H3246/G3246</x:f>
        <x:v>0.08447781199849709</x:v>
      </x:c>
      <x:c r="O3246" s="13" t="n">
        <x:f>F3246/E3246</x:f>
        <x:v>0</x:v>
      </x:c>
      <x:c r="P3246" s="2" t="str">
        <x:f>IF(AND(E3246&gt;='Итоги'!$F$5,N3246&lt;='Итоги'!$B$5,O3246&gt;='Итоги'!$D$5),"Да","Нет")</x:f>
        <x:v>Нет</x:v>
      </x:c>
    </x:row>
    <x:row r="3247" ht="60" customHeight="1">
      <x:c r="A3247" s="14" t="str">
        <x:v>Строительство и ремонт (DIY)</x:v>
      </x:c>
      <x:c r="B3247" s="14" t="str">
        <x:v>Ремонт и строительство</x:v>
      </x:c>
      <x:c r="C3247" s="14" t="str">
        <x:v>Строительная химия</x:v>
      </x:c>
      <x:c r="D3247" s="14" t="str">
        <x:v>Масло, воск для дерева</x:v>
      </x:c>
      <x:c r="E3247" s="2" t="n">
        <x:v>103</x:v>
      </x:c>
      <x:c r="F3247" s="2" t="n">
        <x:v>0</x:v>
      </x:c>
      <x:c r="G3247" s="12" t="n">
        <x:v>18474538.6182</x:v>
      </x:c>
      <x:c r="H3247" s="12" t="n">
        <x:v>1560740.54217328</x:v>
      </x:c>
      <x:c r="I3247" s="13" t="n">
        <x:v>0.0833223300970873</x:v>
      </x:c>
      <x:c r="J3247" s="2" t="n">
        <x:v>26</x:v>
      </x:c>
      <x:c r="K3247" s="2" t="n">
        <x:v>26</x:v>
      </x:c>
      <x:c r="L3247" s="12" t="n">
        <x:v>1962.2993</x:v>
      </x:c>
      <x:c r="M3247" s="13" t="n">
        <x:v>0.2693312326240273</x:v>
      </x:c>
      <x:c r="N3247" s="13" t="n">
        <x:f>H3247/G3247</x:f>
        <x:v>0.08448062354508451</x:v>
      </x:c>
      <x:c r="O3247" s="13" t="n">
        <x:f>F3247/E3247</x:f>
        <x:v>0</x:v>
      </x:c>
      <x:c r="P3247" s="2" t="str">
        <x:f>IF(AND(E3247&gt;='Итоги'!$F$5,N3247&lt;='Итоги'!$B$5,O3247&gt;='Итоги'!$D$5),"Да","Нет")</x:f>
        <x:v>Нет</x:v>
      </x:c>
    </x:row>
    <x:row r="3248" ht="60" customHeight="1">
      <x:c r="A3248" s="14" t="str">
        <x:v>Книги</x:v>
      </x:c>
      <x:c r="B3248" s="14" t="str">
        <x:v>Печатные книги: Книги детям и родителям</x:v>
      </x:c>
      <x:c r="C3248" s="14" t="str">
        <x:v>Познавательная литература</x:v>
      </x:c>
      <x:c r="D3248" s="14" t="str">
        <x:v>Печатная книга: Познавательная литература для детей</x:v>
      </x:c>
      <x:c r="E3248" s="2" t="n">
        <x:v>5</x:v>
      </x:c>
      <x:c r="F3248" s="2" t="n">
        <x:v>0</x:v>
      </x:c>
      <x:c r="G3248" s="12" t="n">
        <x:v>405275.9554</x:v>
      </x:c>
      <x:c r="H3248" s="12" t="n">
        <x:v>34255.99961778</x:v>
      </x:c>
      <x:c r="I3248" s="13" t="n">
        <x:v>0.09108</x:v>
      </x:c>
      <x:c r="J3248" s="2" t="n">
        <x:v>1</x:v>
      </x:c>
      <x:c r="K3248" s="2" t="n">
        <x:v>5</x:v>
      </x:c>
      <x:c r="L3248" s="12" t="n">
        <x:v>2823.8077</x:v>
      </x:c>
      <x:c r="M3248" s="13" t="n">
        <x:v>0.2264695039936731</x:v>
      </x:c>
      <x:c r="N3248" s="13" t="n">
        <x:f>H3248/G3248</x:f>
        <x:v>0.08452512210839143</x:v>
      </x:c>
      <x:c r="O3248" s="13" t="n">
        <x:f>F3248/E3248</x:f>
        <x:v>0</x:v>
      </x:c>
      <x:c r="P3248" s="2" t="str">
        <x:f>IF(AND(E3248&gt;='Итоги'!$F$5,N3248&lt;='Итоги'!$B$5,O3248&gt;='Итоги'!$D$5),"Да","Нет")</x:f>
        <x:v>Нет</x:v>
      </x:c>
    </x:row>
    <x:row r="3249" ht="60" customHeight="1">
      <x:c r="A3249" s="14" t="str">
        <x:v>Товары для красоты и здоровья</x:v>
      </x:c>
      <x:c r="B3249" s="14" t="str">
        <x:v>Косметическая техника</x:v>
      </x:c>
      <x:c r="C3249" s="14" t="str">
        <x:v>Массажная техника</x:v>
      </x:c>
      <x:c r="D3249" s="14" t="str">
        <x:v>Массажная подушка</x:v>
      </x:c>
      <x:c r="E3249" s="2" t="n">
        <x:v>29</x:v>
      </x:c>
      <x:c r="F3249" s="2" t="n">
        <x:v>0</x:v>
      </x:c>
      <x:c r="G3249" s="12" t="n">
        <x:v>5912936.8144000005</x:v>
      </x:c>
      <x:c r="H3249" s="12" t="n">
        <x:v>500166.42513216</x:v>
      </x:c>
      <x:c r="I3249" s="13" t="n">
        <x:v>0.0848482758620689</x:v>
      </x:c>
      <x:c r="J3249" s="2" t="n">
        <x:v>6</x:v>
      </x:c>
      <x:c r="K3249" s="2" t="n">
        <x:v>7</x:v>
      </x:c>
      <x:c r="L3249" s="12" t="n">
        <x:v>3427.0645</x:v>
      </x:c>
      <x:c r="M3249" s="13" t="n">
        <x:v>0.7067379995373826</x:v>
      </x:c>
      <x:c r="N3249" s="13" t="n">
        <x:f>H3249/G3249</x:f>
        <x:v>0.08458849482613878</x:v>
      </x:c>
      <x:c r="O3249" s="13" t="n">
        <x:f>F3249/E3249</x:f>
        <x:v>0</x:v>
      </x:c>
      <x:c r="P3249" s="2" t="str">
        <x:f>IF(AND(E3249&gt;='Итоги'!$F$5,N3249&lt;='Итоги'!$B$5,O3249&gt;='Итоги'!$D$5),"Да","Нет")</x:f>
        <x:v>Нет</x:v>
      </x:c>
    </x:row>
    <x:row r="3250" ht="60" customHeight="1">
      <x:c r="A3250" s="14" t="str">
        <x:v>Строительство и ремонт (DIY)</x:v>
      </x:c>
      <x:c r="B3250" s="14" t="str">
        <x:v>Сад и огород</x:v>
      </x:c>
      <x:c r="C3250" s="14" t="str">
        <x:v>Аксессуары для садовых растений</x:v>
      </x:c>
      <x:c r="D3250" s="14" t="str">
        <x:v>Сетка садовая</x:v>
      </x:c>
      <x:c r="E3250" s="2" t="n">
        <x:v>34</x:v>
      </x:c>
      <x:c r="F3250" s="2" t="n">
        <x:v>0</x:v>
      </x:c>
      <x:c r="G3250" s="12" t="n">
        <x:v>6451863.3316</x:v>
      </x:c>
      <x:c r="H3250" s="12" t="n">
        <x:v>545758.76861652</x:v>
      </x:c>
      <x:c r="I3250" s="13" t="n">
        <x:v>0.0772088235294117</x:v>
      </x:c>
      <x:c r="J3250" s="2" t="n">
        <x:v>6</x:v>
      </x:c>
      <x:c r="K3250" s="2" t="n">
        <x:v>8</x:v>
      </x:c>
      <x:c r="L3250" s="12" t="n">
        <x:v>1520.90095</x:v>
      </x:c>
      <x:c r="M3250" s="13" t="n">
        <x:v>0.3924903133327865</x:v>
      </x:c>
      <x:c r="N3250" s="13" t="n">
        <x:f>H3250/G3250</x:f>
        <x:v>0.08458932568262835</x:v>
      </x:c>
      <x:c r="O3250" s="13" t="n">
        <x:f>F3250/E3250</x:f>
        <x:v>0</x:v>
      </x:c>
      <x:c r="P3250" s="2" t="str">
        <x:f>IF(AND(E3250&gt;='Итоги'!$F$5,N3250&lt;='Итоги'!$B$5,O3250&gt;='Итоги'!$D$5),"Да","Нет")</x:f>
        <x:v>Нет</x:v>
      </x:c>
    </x:row>
    <x:row r="3251" ht="60" customHeight="1">
      <x:c r="A3251" s="14" t="str">
        <x:v>Аксессуары для электроники</x:v>
      </x:c>
      <x:c r="B3251" s="14" t="str">
        <x:v>Фото и видео Access</x:v>
      </x:c>
      <x:c r="C3251" s="14" t="str">
        <x:v>Аксессуар к фото и видео Access</x:v>
      </x:c>
      <x:c r="D3251" s="14" t="str">
        <x:v>Фон для фото/видео</x:v>
      </x:c>
      <x:c r="E3251" s="2" t="n">
        <x:v>23</x:v>
      </x:c>
      <x:c r="F3251" s="2" t="n">
        <x:v>0</x:v>
      </x:c>
      <x:c r="G3251" s="12" t="n">
        <x:v>2651791.2935</x:v>
      </x:c>
      <x:c r="H3251" s="12" t="n">
        <x:v>224569.972748</x:v>
      </x:c>
      <x:c r="I3251" s="13" t="n">
        <x:v>0.0762304347826086</x:v>
      </x:c>
      <x:c r="J3251" s="2" t="n">
        <x:v>5</x:v>
      </x:c>
      <x:c r="K3251" s="2" t="n">
        <x:v>8</x:v>
      </x:c>
      <x:c r="L3251" s="12" t="n">
        <x:v>2858.0408</x:v>
      </x:c>
      <x:c r="M3251" s="13" t="n">
        <x:v>0.5093229232672265</x:v>
      </x:c>
      <x:c r="N3251" s="13" t="n">
        <x:f>H3251/G3251</x:f>
        <x:v>0.08468614151440194</x:v>
      </x:c>
      <x:c r="O3251" s="13" t="n">
        <x:f>F3251/E3251</x:f>
        <x:v>0</x:v>
      </x:c>
      <x:c r="P3251" s="2" t="str">
        <x:f>IF(AND(E3251&gt;='Итоги'!$F$5,N3251&lt;='Итоги'!$B$5,O3251&gt;='Итоги'!$D$5),"Да","Нет")</x:f>
        <x:v>Нет</x:v>
      </x:c>
    </x:row>
    <x:row r="3252" ht="60" customHeight="1">
      <x:c r="A3252" s="14" t="str">
        <x:v>Спорт и отдых</x:v>
      </x:c>
      <x:c r="B3252" s="14" t="str">
        <x:v>Всесезонные виды спорта</x:v>
      </x:c>
      <x:c r="C3252" s="14" t="str">
        <x:v>Теннис настольный</x:v>
      </x:c>
      <x:c r="D3252" s="14" t="str">
        <x:v>Ракетка для настольного тенниса</x:v>
      </x:c>
      <x:c r="E3252" s="2" t="n">
        <x:v>40</x:v>
      </x:c>
      <x:c r="F3252" s="2" t="n">
        <x:v>0</x:v>
      </x:c>
      <x:c r="G3252" s="12" t="n">
        <x:v>5402906.711</x:v>
      </x:c>
      <x:c r="H3252" s="12" t="n">
        <x:v>457766.77606961</x:v>
      </x:c>
      <x:c r="I3252" s="13" t="n">
        <x:v>0.0719225</x:v>
      </x:c>
      <x:c r="J3252" s="2" t="n">
        <x:v>6</x:v>
      </x:c>
      <x:c r="K3252" s="2" t="n">
        <x:v>11</x:v>
      </x:c>
      <x:c r="L3252" s="12" t="n">
        <x:v>2446.72485</x:v>
      </x:c>
      <x:c r="M3252" s="13" t="n">
        <x:v>0.3924739920055969</x:v>
      </x:c>
      <x:c r="N3252" s="13" t="n">
        <x:f>H3252/G3252</x:f>
        <x:v>0.08472601889231657</x:v>
      </x:c>
      <x:c r="O3252" s="13" t="n">
        <x:f>F3252/E3252</x:f>
        <x:v>0</x:v>
      </x:c>
      <x:c r="P3252" s="2" t="str">
        <x:f>IF(AND(E3252&gt;='Итоги'!$F$5,N3252&lt;='Итоги'!$B$5,O3252&gt;='Итоги'!$D$5),"Да","Нет")</x:f>
        <x:v>Нет</x:v>
      </x:c>
    </x:row>
    <x:row r="3253" ht="60" customHeight="1">
      <x:c r="A3253" s="14" t="str">
        <x:v>Товары для детей и спорта</x:v>
      </x:c>
      <x:c r="B3253" s="14" t="str">
        <x:v>КГТ и аксессуары для детей</x:v>
      </x:c>
      <x:c r="C3253" s="14" t="str">
        <x:v>Детская мебель и аксессуары в дом</x:v>
      </x:c>
      <x:c r="D3253" s="14" t="str">
        <x:v>Стул, табурет для малышей</x:v>
      </x:c>
      <x:c r="E3253" s="2" t="n">
        <x:v>62</x:v>
      </x:c>
      <x:c r="F3253" s="2" t="n">
        <x:v>0</x:v>
      </x:c>
      <x:c r="G3253" s="12" t="n">
        <x:v>8101123.3016</x:v>
      </x:c>
      <x:c r="H3253" s="12" t="n">
        <x:v>686445.6044449001</x:v>
      </x:c>
      <x:c r="I3253" s="13" t="n">
        <x:v>0.0801467741935483</x:v>
      </x:c>
      <x:c r="J3253" s="2" t="n">
        <x:v>17</x:v>
      </x:c>
      <x:c r="K3253" s="2" t="n">
        <x:v>23</x:v>
      </x:c>
      <x:c r="L3253" s="12" t="n">
        <x:v>2668.75625</x:v>
      </x:c>
      <x:c r="M3253" s="13" t="n">
        <x:v>0.4406060112422965</x:v>
      </x:c>
      <x:c r="N3253" s="13" t="n">
        <x:f>H3253/G3253</x:f>
        <x:v>0.0847346199889742</x:v>
      </x:c>
      <x:c r="O3253" s="13" t="n">
        <x:f>F3253/E3253</x:f>
        <x:v>0</x:v>
      </x:c>
      <x:c r="P3253" s="2" t="str">
        <x:f>IF(AND(E3253&gt;='Итоги'!$F$5,N3253&lt;='Итоги'!$B$5,O3253&gt;='Итоги'!$D$5),"Да","Нет")</x:f>
        <x:v>Нет</x:v>
      </x:c>
    </x:row>
    <x:row r="3254" ht="60" customHeight="1">
      <x:c r="A3254" s="14" t="str">
        <x:v>Строительство и ремонт (DIY)</x:v>
      </x:c>
      <x:c r="B3254" s="14" t="str">
        <x:v>Сад и огород</x:v>
      </x:c>
      <x:c r="C3254" s="14" t="str">
        <x:v>Загородный отдых</x:v>
      </x:c>
      <x:c r="D3254" s="14" t="str">
        <x:v>Канистра для воды пищевая</x:v>
      </x:c>
      <x:c r="E3254" s="2" t="n">
        <x:v>5</x:v>
      </x:c>
      <x:c r="F3254" s="2" t="n">
        <x:v>0</x:v>
      </x:c>
      <x:c r="G3254" s="12" t="n">
        <x:v>351991.1482</x:v>
      </x:c>
      <x:c r="H3254" s="12" t="n">
        <x:v>29836.226843140004</x:v>
      </x:c>
      <x:c r="I3254" s="13" t="n">
        <x:v>0.07962</x:v>
      </x:c>
      <x:c r="J3254" s="2" t="n">
        <x:v>2</x:v>
      </x:c>
      <x:c r="K3254" s="2" t="n">
        <x:v>4</x:v>
      </x:c>
      <x:c r="L3254" s="12" t="n">
        <x:v>971.9464</x:v>
      </x:c>
      <x:c r="M3254" s="13" t="n">
        <x:v>0.4805602614298924</x:v>
      </x:c>
      <x:c r="N3254" s="13" t="n">
        <x:f>H3254/G3254</x:f>
        <x:v>0.08476413965440738</x:v>
      </x:c>
      <x:c r="O3254" s="13" t="n">
        <x:f>F3254/E3254</x:f>
        <x:v>0</x:v>
      </x:c>
      <x:c r="P3254" s="2" t="str">
        <x:f>IF(AND(E3254&gt;='Итоги'!$F$5,N3254&lt;='Итоги'!$B$5,O3254&gt;='Итоги'!$D$5),"Да","Нет")</x:f>
        <x:v>Нет</x:v>
      </x:c>
    </x:row>
    <x:row r="3255" ht="60" customHeight="1">
      <x:c r="A3255" s="14" t="str">
        <x:v>Школьные принадлежности и канцелярия</x:v>
      </x:c>
      <x:c r="B3255" s="14" t="str">
        <x:v>Товары для школы, канцелярия, оборудование</x:v>
      </x:c>
      <x:c r="C3255" s="14" t="str">
        <x:v>Ранец, рюкзак, сумка школьные</x:v>
      </x:c>
      <x:c r="D3255" s="14" t="str">
        <x:v>Ранец с мягкой спинкой</x:v>
      </x:c>
      <x:c r="E3255" s="2" t="n">
        <x:v>16</x:v>
      </x:c>
      <x:c r="F3255" s="2" t="n">
        <x:v>0</x:v>
      </x:c>
      <x:c r="G3255" s="12" t="n">
        <x:v>1494193.6035</x:v>
      </x:c>
      <x:c r="H3255" s="12" t="n">
        <x:v>126743.29969865</x:v>
      </x:c>
      <x:c r="I3255" s="13" t="n">
        <x:v>0.06888125</x:v>
      </x:c>
      <x:c r="J3255" s="2" t="n">
        <x:v>5</x:v>
      </x:c>
      <x:c r="K3255" s="2" t="n">
        <x:v>4</x:v>
      </x:c>
      <x:c r="L3255" s="12" t="n">
        <x:v>2314.2307</x:v>
      </x:c>
      <x:c r="M3255" s="13" t="n">
        <x:v>0.6951054976859296</x:v>
      </x:c>
      <x:c r="N3255" s="13" t="n">
        <x:f>H3255/G3255</x:f>
        <x:v>0.08482388052108268</x:v>
      </x:c>
      <x:c r="O3255" s="13" t="n">
        <x:f>F3255/E3255</x:f>
        <x:v>0</x:v>
      </x:c>
      <x:c r="P3255" s="2" t="str">
        <x:f>IF(AND(E3255&gt;='Итоги'!$F$5,N3255&lt;='Итоги'!$B$5,O3255&gt;='Итоги'!$D$5),"Да","Нет")</x:f>
        <x:v>Нет</x:v>
      </x:c>
    </x:row>
    <x:row r="3256" ht="60" customHeight="1">
      <x:c r="A3256" s="14" t="str">
        <x:v>Товары для детей и спорта</x:v>
      </x:c>
      <x:c r="B3256" s="14" t="str">
        <x:v>Спорт детский</x:v>
      </x:c>
      <x:c r="C3256" s="14" t="str">
        <x:v>Товары для активных игр</x:v>
      </x:c>
      <x:c r="D3256" s="14" t="str">
        <x:v>Игрушка для подвижных игр</x:v>
      </x:c>
      <x:c r="E3256" s="2" t="n">
        <x:v>10</x:v>
      </x:c>
      <x:c r="F3256" s="2" t="n">
        <x:v>0</x:v>
      </x:c>
      <x:c r="G3256" s="12" t="n">
        <x:v>1038162.4571</x:v>
      </x:c>
      <x:c r="H3256" s="12" t="n">
        <x:v>88074.96944242</x:v>
      </x:c>
      <x:c r="I3256" s="13" t="n">
        <x:v>0.09626</x:v>
      </x:c>
      <x:c r="J3256" s="2" t="n">
        <x:v>1</x:v>
      </x:c>
      <x:c r="K3256" s="2" t="n">
        <x:v>9</x:v>
      </x:c>
      <x:c r="L3256" s="12" t="n">
        <x:v>1103.24515</x:v>
      </x:c>
      <x:c r="M3256" s="13" t="n">
        <x:v>0.1956013710679193</x:v>
      </x:c>
      <x:c r="N3256" s="13" t="n">
        <x:f>H3256/G3256</x:f>
        <x:v>0.08483736706146007</x:v>
      </x:c>
      <x:c r="O3256" s="13" t="n">
        <x:f>F3256/E3256</x:f>
        <x:v>0</x:v>
      </x:c>
      <x:c r="P3256" s="2" t="str">
        <x:f>IF(AND(E3256&gt;='Итоги'!$F$5,N3256&lt;='Итоги'!$B$5,O3256&gt;='Итоги'!$D$5),"Да","Нет")</x:f>
        <x:v>Нет</x:v>
      </x:c>
    </x:row>
    <x:row r="3257" ht="60" customHeight="1">
      <x:c r="A3257" s="14" t="str">
        <x:v>Строительство и ремонт (DIY)</x:v>
      </x:c>
      <x:c r="B3257" s="14" t="str">
        <x:v>Ремонт и строительство</x:v>
      </x:c>
      <x:c r="C3257" s="14" t="str">
        <x:v>Электротовары</x:v>
      </x:c>
      <x:c r="D3257" s="14" t="str">
        <x:v>Удлинитель строительный</x:v>
      </x:c>
      <x:c r="E3257" s="2" t="n">
        <x:v>104</x:v>
      </x:c>
      <x:c r="F3257" s="2" t="n">
        <x:v>0</x:v>
      </x:c>
      <x:c r="G3257" s="12" t="n">
        <x:v>18668650.0191</x:v>
      </x:c>
      <x:c r="H3257" s="12" t="n">
        <x:v>1584890.29385782</x:v>
      </x:c>
      <x:c r="I3257" s="13" t="n">
        <x:v>0.0731211538461538</x:v>
      </x:c>
      <x:c r="J3257" s="2" t="n">
        <x:v>15</x:v>
      </x:c>
      <x:c r="K3257" s="2" t="n">
        <x:v>17</x:v>
      </x:c>
      <x:c r="L3257" s="12" t="n">
        <x:v>2148.70095</x:v>
      </x:c>
      <x:c r="M3257" s="13" t="n">
        <x:v>0.6419515771166487</x:v>
      </x:c>
      <x:c r="N3257" s="13" t="n">
        <x:f>H3257/G3257</x:f>
        <x:v>0.08489581690354203</x:v>
      </x:c>
      <x:c r="O3257" s="13" t="n">
        <x:f>F3257/E3257</x:f>
        <x:v>0</x:v>
      </x:c>
      <x:c r="P3257" s="2" t="str">
        <x:f>IF(AND(E3257&gt;='Итоги'!$F$5,N3257&lt;='Итоги'!$B$5,O3257&gt;='Итоги'!$D$5),"Да","Нет")</x:f>
        <x:v>Нет</x:v>
      </x:c>
    </x:row>
    <x:row r="3258" ht="60" customHeight="1">
      <x:c r="A3258" s="14" t="str">
        <x:v>Спорт и отдых</x:v>
      </x:c>
      <x:c r="B3258" s="14" t="str">
        <x:v>Колесный транспорт</x:v>
      </x:c>
      <x:c r="C3258" s="14" t="str">
        <x:v>Велоаксессуары</x:v>
      </x:c>
      <x:c r="D3258" s="14" t="str">
        <x:v>Замок велосипедный</x:v>
      </x:c>
      <x:c r="E3258" s="2" t="n">
        <x:v>15</x:v>
      </x:c>
      <x:c r="F3258" s="2" t="n">
        <x:v>0</x:v>
      </x:c>
      <x:c r="G3258" s="12" t="n">
        <x:v>2514564.5207</x:v>
      </x:c>
      <x:c r="H3258" s="12" t="n">
        <x:v>213496.84245595</x:v>
      </x:c>
      <x:c r="I3258" s="13" t="n">
        <x:v>0.0816866666666666</x:v>
      </x:c>
      <x:c r="J3258" s="2" t="n">
        <x:v>2</x:v>
      </x:c>
      <x:c r="K3258" s="2" t="n">
        <x:v>8</x:v>
      </x:c>
      <x:c r="L3258" s="12" t="n">
        <x:v>1303.6369</x:v>
      </x:c>
      <x:c r="M3258" s="13" t="n">
        <x:v>0.3740172640462563</x:v>
      </x:c>
      <x:c r="N3258" s="13" t="n">
        <x:f>H3258/G3258</x:f>
        <x:v>0.08490410196216286</x:v>
      </x:c>
      <x:c r="O3258" s="13" t="n">
        <x:f>F3258/E3258</x:f>
        <x:v>0</x:v>
      </x:c>
      <x:c r="P3258" s="2" t="str">
        <x:f>IF(AND(E3258&gt;='Итоги'!$F$5,N3258&lt;='Итоги'!$B$5,O3258&gt;='Итоги'!$D$5),"Да","Нет")</x:f>
        <x:v>Нет</x:v>
      </x:c>
    </x:row>
    <x:row r="3259" ht="60" customHeight="1">
      <x:c r="A3259" s="14" t="str">
        <x:v>Аксессуары для электроники</x:v>
      </x:c>
      <x:c r="B3259" s="14" t="str">
        <x:v>Электропитание Access</x:v>
      </x:c>
      <x:c r="C3259" s="14" t="str">
        <x:v>Кабели и переходники Access</x:v>
      </x:c>
      <x:c r="D3259" s="14" t="str">
        <x:v>Акустические кабели</x:v>
      </x:c>
      <x:c r="E3259" s="2" t="n">
        <x:v>13</x:v>
      </x:c>
      <x:c r="F3259" s="2" t="n">
        <x:v>0</x:v>
      </x:c>
      <x:c r="G3259" s="12" t="n">
        <x:v>1660480.42</x:v>
      </x:c>
      <x:c r="H3259" s="12" t="n">
        <x:v>140996.33184</x:v>
      </x:c>
      <x:c r="I3259" s="13" t="n">
        <x:v>0.0866384615384615</x:v>
      </x:c>
      <x:c r="J3259" s="2" t="n">
        <x:v>1</x:v>
      </x:c>
      <x:c r="K3259" s="2" t="n">
        <x:v>2</x:v>
      </x:c>
      <x:c r="L3259" s="12" t="n">
        <x:v>1052.6169</x:v>
      </x:c>
      <x:c r="M3259" s="13" t="n">
        <x:v>0.9298805342131043</x:v>
      </x:c>
      <x:c r="N3259" s="13" t="n">
        <x:f>H3259/G3259</x:f>
        <x:v>0.08491297466789763</x:v>
      </x:c>
      <x:c r="O3259" s="13" t="n">
        <x:f>F3259/E3259</x:f>
        <x:v>0</x:v>
      </x:c>
      <x:c r="P3259" s="2" t="str">
        <x:f>IF(AND(E3259&gt;='Итоги'!$F$5,N3259&lt;='Итоги'!$B$5,O3259&gt;='Итоги'!$D$5),"Да","Нет")</x:f>
        <x:v>Нет</x:v>
      </x:c>
    </x:row>
    <x:row r="3260" ht="60" customHeight="1">
      <x:c r="A3260" s="14" t="str">
        <x:v>Спорт и отдых</x:v>
      </x:c>
      <x:c r="B3260" s="14" t="str">
        <x:v>Тренажеры и фитнес</x:v>
      </x:c>
      <x:c r="C3260" s="14" t="str">
        <x:v>Художественная гимнастика</x:v>
      </x:c>
      <x:c r="D3260" s="14" t="str">
        <x:v>Наколенники для гимнастики</x:v>
      </x:c>
      <x:c r="E3260" s="2" t="n">
        <x:v>2</x:v>
      </x:c>
      <x:c r="F3260" s="2" t="n">
        <x:v>0</x:v>
      </x:c>
      <x:c r="G3260" s="12" t="n">
        <x:v>216310.58</x:v>
      </x:c>
      <x:c r="H3260" s="12" t="n">
        <x:v>18375.52858</x:v>
      </x:c>
      <x:c r="I3260" s="13" t="n">
        <x:v>0.081</x:v>
      </x:c>
      <x:c r="J3260" s="2" t="n">
        <x:v>0</x:v>
      </x:c>
      <x:c r="K3260" s="2" t="n">
        <x:v>1</x:v>
      </x:c>
      <x:c r="L3260" s="12" t="n">
        <x:v>1131.6568</x:v>
      </x:c>
      <x:c r="M3260" s="13" t="n">
        <x:v>1</x:v>
      </x:c>
      <x:c r="N3260" s="13" t="n">
        <x:f>H3260/G3260</x:f>
        <x:v>0.08494974485297944</x:v>
      </x:c>
      <x:c r="O3260" s="13" t="n">
        <x:f>F3260/E3260</x:f>
        <x:v>0</x:v>
      </x:c>
      <x:c r="P3260" s="2" t="str">
        <x:f>IF(AND(E3260&gt;='Итоги'!$F$5,N3260&lt;='Итоги'!$B$5,O3260&gt;='Итоги'!$D$5),"Да","Нет")</x:f>
        <x:v>Нет</x:v>
      </x:c>
    </x:row>
    <x:row r="3261" ht="60" customHeight="1">
      <x:c r="A3261" s="14" t="str">
        <x:v>Спорт и отдых</x:v>
      </x:c>
      <x:c r="B3261" s="14" t="str">
        <x:v>Туризм</x:v>
      </x:c>
      <x:c r="C3261" s="14" t="str">
        <x:v>Аксессуары для туризма</x:v>
      </x:c>
      <x:c r="D3261" s="14" t="str">
        <x:v>Плащ, пончо для туризма</x:v>
      </x:c>
      <x:c r="E3261" s="2" t="n">
        <x:v>2</x:v>
      </x:c>
      <x:c r="F3261" s="2" t="n">
        <x:v>0</x:v>
      </x:c>
      <x:c r="G3261" s="12" t="n">
        <x:v>133717.0552</x:v>
      </x:c>
      <x:c r="H3261" s="12" t="n">
        <x:v>11367.101486800002</x:v>
      </x:c>
      <x:c r="I3261" s="13" t="n">
        <x:v>0.0834</x:v>
      </x:c>
      <x:c r="J3261" s="2" t="n">
        <x:v>0</x:v>
      </x:c>
      <x:c r="K3261" s="2" t="n">
        <x:v>2</x:v>
      </x:c>
      <x:c r="L3261" s="12" t="n">
        <x:v>962.2623</x:v>
      </x:c>
      <x:c r="M3261" s="13" t="n">
        <x:v>0.5129936483973662</x:v>
      </x:c>
      <x:c r="N3261" s="13" t="n">
        <x:f>H3261/G3261</x:f>
        <x:v>0.08500861367159394</x:v>
      </x:c>
      <x:c r="O3261" s="13" t="n">
        <x:f>F3261/E3261</x:f>
        <x:v>0</x:v>
      </x:c>
      <x:c r="P3261" s="2" t="str">
        <x:f>IF(AND(E3261&gt;='Итоги'!$F$5,N3261&lt;='Итоги'!$B$5,O3261&gt;='Итоги'!$D$5),"Да","Нет")</x:f>
        <x:v>Нет</x:v>
      </x:c>
    </x:row>
    <x:row r="3262" ht="60" customHeight="1">
      <x:c r="A3262" s="14" t="str">
        <x:v>Товары для дома</x:v>
      </x:c>
      <x:c r="B3262" s="14" t="str">
        <x:v>Домашний текстиль</x:v>
      </x:c>
      <x:c r="C3262" s="14" t="str">
        <x:v>Полотенце</x:v>
      </x:c>
      <x:c r="D3262" s="14" t="str">
        <x:v>Полотенце банное</x:v>
      </x:c>
      <x:c r="E3262" s="2" t="n">
        <x:v>137</x:v>
      </x:c>
      <x:c r="F3262" s="2" t="n">
        <x:v>0</x:v>
      </x:c>
      <x:c r="G3262" s="12" t="n">
        <x:v>18964679.596</x:v>
      </x:c>
      <x:c r="H3262" s="12" t="n">
        <x:v>1614468.55603444</x:v>
      </x:c>
      <x:c r="I3262" s="13" t="n">
        <x:v>0.0794868613138686</x:v>
      </x:c>
      <x:c r="J3262" s="2" t="n">
        <x:v>19</x:v>
      </x:c>
      <x:c r="K3262" s="2" t="n">
        <x:v>20</x:v>
      </x:c>
      <x:c r="L3262" s="12" t="n">
        <x:v>995.9804</x:v>
      </x:c>
      <x:c r="M3262" s="13" t="n">
        <x:v>0.6431577132614795</x:v>
      </x:c>
      <x:c r="N3262" s="13" t="n">
        <x:f>H3262/G3262</x:f>
        <x:v>0.08513028379213752</x:v>
      </x:c>
      <x:c r="O3262" s="13" t="n">
        <x:f>F3262/E3262</x:f>
        <x:v>0</x:v>
      </x:c>
      <x:c r="P3262" s="2" t="str">
        <x:f>IF(AND(E3262&gt;='Итоги'!$F$5,N3262&lt;='Итоги'!$B$5,O3262&gt;='Итоги'!$D$5),"Да","Нет")</x:f>
        <x:v>Нет</x:v>
      </x:c>
    </x:row>
    <x:row r="3263" ht="60" customHeight="1">
      <x:c r="A3263" s="14" t="str">
        <x:v>Аксессуары для электроники</x:v>
      </x:c>
      <x:c r="B3263" s="14" t="str">
        <x:v>Аксессуары для МБТ (дом) Access</x:v>
      </x:c>
      <x:c r="C3263" s="14" t="str">
        <x:v>Аксессуары для пароочистителя Access</x:v>
      </x:c>
      <x:c r="D3263" s="14" t="str">
        <x:v>Аксессуары для пароочистителей</x:v>
      </x:c>
      <x:c r="E3263" s="2" t="n">
        <x:v>7</x:v>
      </x:c>
      <x:c r="F3263" s="2" t="n">
        <x:v>0</x:v>
      </x:c>
      <x:c r="G3263" s="12" t="n">
        <x:v>743173.0947</x:v>
      </x:c>
      <x:c r="H3263" s="12" t="n">
        <x:v>63267.154001840005</x:v>
      </x:c>
      <x:c r="I3263" s="13" t="n">
        <x:v>0.0890999999999999</x:v>
      </x:c>
      <x:c r="J3263" s="2" t="n">
        <x:v>0</x:v>
      </x:c>
      <x:c r="K3263" s="2" t="n">
        <x:v>1</x:v>
      </x:c>
      <x:c r="L3263" s="12" t="n">
        <x:v>835.75</x:v>
      </x:c>
      <x:c r="M3263" s="13" t="n">
        <x:v>1</x:v>
      </x:c>
      <x:c r="N3263" s="13" t="n">
        <x:f>H3263/G3263</x:f>
        <x:v>0.0851311147470689</x:v>
      </x:c>
      <x:c r="O3263" s="13" t="n">
        <x:f>F3263/E3263</x:f>
        <x:v>0</x:v>
      </x:c>
      <x:c r="P3263" s="2" t="str">
        <x:f>IF(AND(E3263&gt;='Итоги'!$F$5,N3263&lt;='Итоги'!$B$5,O3263&gt;='Итоги'!$D$5),"Да","Нет")</x:f>
        <x:v>Нет</x:v>
      </x:c>
    </x:row>
    <x:row r="3264" ht="60" customHeight="1">
      <x:c r="A3264" s="14" t="str">
        <x:v>Одежда</x:v>
      </x:c>
      <x:c r="B3264" s="14" t="str">
        <x:v>Основная одежда мужская</x:v>
      </x:c>
      <x:c r="C3264" s="14" t="str">
        <x:v>Основная одежда мужская верха</x:v>
      </x:c>
      <x:c r="D3264" s="14" t="str">
        <x:v>Жилет мужской</x:v>
      </x:c>
      <x:c r="E3264" s="2" t="n">
        <x:v>16</x:v>
      </x:c>
      <x:c r="F3264" s="2" t="n">
        <x:v>0</x:v>
      </x:c>
      <x:c r="G3264" s="12" t="n">
        <x:v>895451.1496</x:v>
      </x:c>
      <x:c r="H3264" s="12" t="n">
        <x:v>76246.482833</x:v>
      </x:c>
      <x:c r="I3264" s="13" t="n">
        <x:v>0.0455374999999999</x:v>
      </x:c>
      <x:c r="J3264" s="2" t="n">
        <x:v>9</x:v>
      </x:c>
      <x:c r="K3264" s="2" t="n">
        <x:v>7</x:v>
      </x:c>
      <x:c r="L3264" s="12" t="n">
        <x:v>3497.71635</x:v>
      </x:c>
      <x:c r="M3264" s="13" t="n">
        <x:v>0.6499420658066907</x:v>
      </x:c>
      <x:c r="N3264" s="13" t="n">
        <x:f>H3264/G3264</x:f>
        <x:v>0.08514867937470344</x:v>
      </x:c>
      <x:c r="O3264" s="13" t="n">
        <x:f>F3264/E3264</x:f>
        <x:v>0</x:v>
      </x:c>
      <x:c r="P3264" s="2" t="str">
        <x:f>IF(AND(E3264&gt;='Итоги'!$F$5,N3264&lt;='Итоги'!$B$5,O3264&gt;='Итоги'!$D$5),"Да","Нет")</x:f>
        <x:v>Нет</x:v>
      </x:c>
    </x:row>
    <x:row r="3265" ht="60" customHeight="1">
      <x:c r="A3265" s="14" t="str">
        <x:v>Товары для красоты и здоровья</x:v>
      </x:c>
      <x:c r="B3265" s="14" t="str">
        <x:v>Декоративная косметика</x:v>
      </x:c>
      <x:c r="C3265" s="14" t="str">
        <x:v>Тон для лица</x:v>
      </x:c>
      <x:c r="D3265" s="14" t="str">
        <x:v>Тональное средство</x:v>
      </x:c>
      <x:c r="E3265" s="2" t="n">
        <x:v>84</x:v>
      </x:c>
      <x:c r="F3265" s="2" t="n">
        <x:v>0</x:v>
      </x:c>
      <x:c r="G3265" s="12" t="n">
        <x:v>13558842.0506</x:v>
      </x:c>
      <x:c r="H3265" s="12" t="n">
        <x:v>1156021.3774425</x:v>
      </x:c>
      <x:c r="I3265" s="13" t="n">
        <x:v>0.073222619047619</x:v>
      </x:c>
      <x:c r="J3265" s="2" t="n">
        <x:v>24</x:v>
      </x:c>
      <x:c r="K3265" s="2" t="n">
        <x:v>20</x:v>
      </x:c>
      <x:c r="L3265" s="12" t="n">
        <x:v>1458.1697</x:v>
      </x:c>
      <x:c r="M3265" s="13" t="n">
        <x:v>0.4235822943704732</x:v>
      </x:c>
      <x:c r="N3265" s="13" t="n">
        <x:f>H3265/G3265</x:f>
        <x:v>0.08525959467101724</x:v>
      </x:c>
      <x:c r="O3265" s="13" t="n">
        <x:f>F3265/E3265</x:f>
        <x:v>0</x:v>
      </x:c>
      <x:c r="P3265" s="2" t="str">
        <x:f>IF(AND(E3265&gt;='Итоги'!$F$5,N3265&lt;='Итоги'!$B$5,O3265&gt;='Итоги'!$D$5),"Да","Нет")</x:f>
        <x:v>Нет</x:v>
      </x:c>
    </x:row>
    <x:row r="3266" ht="60" customHeight="1">
      <x:c r="A3266" s="14" t="str">
        <x:v>Аксессуары для электроники</x:v>
      </x:c>
      <x:c r="B3266" s="14" t="str">
        <x:v>Аксессуары для климатической техники Access</x:v>
      </x:c>
      <x:c r="C3266" s="14" t="str">
        <x:v>Аксессуары для воздухоочистителя Access</x:v>
      </x:c>
      <x:c r="D3266" s="14" t="str">
        <x:v>Аксессуары для воздухоочистителя</x:v>
      </x:c>
      <x:c r="E3266" s="2" t="n">
        <x:v>23</x:v>
      </x:c>
      <x:c r="F3266" s="2" t="n">
        <x:v>0</x:v>
      </x:c>
      <x:c r="G3266" s="12" t="n">
        <x:v>2991407.59</x:v>
      </x:c>
      <x:c r="H3266" s="12" t="n">
        <x:v>255292.6048529</x:v>
      </x:c>
      <x:c r="I3266" s="13" t="n">
        <x:v>0.0785304347826087</x:v>
      </x:c>
      <x:c r="J3266" s="2" t="n">
        <x:v>5</x:v>
      </x:c>
      <x:c r="K3266" s="2" t="n">
        <x:v>5</x:v>
      </x:c>
      <x:c r="L3266" s="12" t="n">
        <x:v>3085.4</x:v>
      </x:c>
      <x:c r="M3266" s="13" t="n">
        <x:v>0.6675780871773479</x:v>
      </x:c>
      <x:c r="N3266" s="13" t="n">
        <x:f>H3266/G3266</x:f>
        <x:v>0.08534196600500703</x:v>
      </x:c>
      <x:c r="O3266" s="13" t="n">
        <x:f>F3266/E3266</x:f>
        <x:v>0</x:v>
      </x:c>
      <x:c r="P3266" s="2" t="str">
        <x:f>IF(AND(E3266&gt;='Итоги'!$F$5,N3266&lt;='Итоги'!$B$5,O3266&gt;='Итоги'!$D$5),"Да","Нет")</x:f>
        <x:v>Нет</x:v>
      </x:c>
    </x:row>
    <x:row r="3267" ht="60" customHeight="1">
      <x:c r="A3267" s="14" t="str">
        <x:v>Автотовары</x:v>
      </x:c>
      <x:c r="B3267" s="14" t="str">
        <x:v>Электронные устройства для авто</x:v>
      </x:c>
      <x:c r="C3267" s="14" t="str">
        <x:v>Автоакустика</x:v>
      </x:c>
      <x:c r="D3267" s="14" t="str">
        <x:v>Автомагнитола, чейнджер</x:v>
      </x:c>
      <x:c r="E3267" s="2" t="n">
        <x:v>246</x:v>
      </x:c>
      <x:c r="F3267" s="2" t="n">
        <x:v>0</x:v>
      </x:c>
      <x:c r="G3267" s="12" t="n">
        <x:v>46183715.8245</x:v>
      </x:c>
      <x:c r="H3267" s="12" t="n">
        <x:v>3941490.89252376</x:v>
      </x:c>
      <x:c r="I3267" s="13" t="n">
        <x:v>0.0841589430894309</x:v>
      </x:c>
      <x:c r="J3267" s="2" t="n">
        <x:v>57</x:v>
      </x:c>
      <x:c r="K3267" s="2" t="n">
        <x:v>76</x:v>
      </x:c>
      <x:c r="L3267" s="12" t="n">
        <x:v>4488.4458</x:v>
      </x:c>
      <x:c r="M3267" s="13" t="n">
        <x:v>0.414656889830439</x:v>
      </x:c>
      <x:c r="N3267" s="13" t="n">
        <x:f>H3267/G3267</x:f>
        <x:v>0.08534373690288555</x:v>
      </x:c>
      <x:c r="O3267" s="13" t="n">
        <x:f>F3267/E3267</x:f>
        <x:v>0</x:v>
      </x:c>
      <x:c r="P3267" s="2" t="str">
        <x:f>IF(AND(E3267&gt;='Итоги'!$F$5,N3267&lt;='Итоги'!$B$5,O3267&gt;='Итоги'!$D$5),"Да","Нет")</x:f>
        <x:v>Нет</x:v>
      </x:c>
    </x:row>
    <x:row r="3268" ht="60" customHeight="1">
      <x:c r="A3268" s="14" t="str">
        <x:v>Автотовары</x:v>
      </x:c>
      <x:c r="B3268" s="14" t="str">
        <x:v>Авто и мото запчасти</x:v>
      </x:c>
      <x:c r="C3268" s="14" t="str">
        <x:v>Рулевое управление</x:v>
      </x:c>
      <x:c r="D3268" s="14" t="str">
        <x:v>Насос ГУР и составляющие</x:v>
      </x:c>
      <x:c r="E3268" s="2" t="n">
        <x:v>15</x:v>
      </x:c>
      <x:c r="F3268" s="2" t="n">
        <x:v>0</x:v>
      </x:c>
      <x:c r="G3268" s="12" t="n">
        <x:v>1696579.8095</x:v>
      </x:c>
      <x:c r="H3268" s="12" t="n">
        <x:v>144796.00458993</x:v>
      </x:c>
      <x:c r="I3268" s="13" t="n">
        <x:v>0.0806333333333333</x:v>
      </x:c>
      <x:c r="J3268" s="2" t="n">
        <x:v>3</x:v>
      </x:c>
      <x:c r="K3268" s="2" t="n">
        <x:v>8</x:v>
      </x:c>
      <x:c r="L3268" s="12" t="n">
        <x:v>4363.5217</x:v>
      </x:c>
      <x:c r="M3268" s="13" t="n">
        <x:v>0.4633289753292917</x:v>
      </x:c>
      <x:c r="N3268" s="13" t="n">
        <x:f>H3268/G3268</x:f>
        <x:v>0.08534582563056843</x:v>
      </x:c>
      <x:c r="O3268" s="13" t="n">
        <x:f>F3268/E3268</x:f>
        <x:v>0</x:v>
      </x:c>
      <x:c r="P3268" s="2" t="str">
        <x:f>IF(AND(E3268&gt;='Итоги'!$F$5,N3268&lt;='Итоги'!$B$5,O3268&gt;='Итоги'!$D$5),"Да","Нет")</x:f>
        <x:v>Нет</x:v>
      </x:c>
    </x:row>
    <x:row r="3269" ht="60" customHeight="1">
      <x:c r="A3269" s="14" t="str">
        <x:v>Спорт и отдых</x:v>
      </x:c>
      <x:c r="B3269" s="14" t="str">
        <x:v>Туризм</x:v>
      </x:c>
      <x:c r="C3269" s="14" t="str">
        <x:v>Мультитул, нож туристический</x:v>
      </x:c>
      <x:c r="D3269" s="14" t="str">
        <x:v>Нож туристический</x:v>
      </x:c>
      <x:c r="E3269" s="2" t="n">
        <x:v>228</x:v>
      </x:c>
      <x:c r="F3269" s="2" t="n">
        <x:v>0</x:v>
      </x:c>
      <x:c r="G3269" s="12" t="n">
        <x:v>29220529.6809</x:v>
      </x:c>
      <x:c r="H3269" s="12" t="n">
        <x:v>2493941.20647039</x:v>
      </x:c>
      <x:c r="I3269" s="13" t="n">
        <x:v>0.0748701754385964</x:v>
      </x:c>
      <x:c r="J3269" s="2" t="n">
        <x:v>86</x:v>
      </x:c>
      <x:c r="K3269" s="2" t="n">
        <x:v>52</x:v>
      </x:c>
      <x:c r="L3269" s="12" t="n">
        <x:v>2681.9294</x:v>
      </x:c>
      <x:c r="M3269" s="13" t="n">
        <x:v>0.4655021371871671</x:v>
      </x:c>
      <x:c r="N3269" s="13" t="n">
        <x:f>H3269/G3269</x:f>
        <x:v>0.0853489390406415</x:v>
      </x:c>
      <x:c r="O3269" s="13" t="n">
        <x:f>F3269/E3269</x:f>
        <x:v>0</x:v>
      </x:c>
      <x:c r="P3269" s="2" t="str">
        <x:f>IF(AND(E3269&gt;='Итоги'!$F$5,N3269&lt;='Итоги'!$B$5,O3269&gt;='Итоги'!$D$5),"Да","Нет")</x:f>
        <x:v>Нет</x:v>
      </x:c>
    </x:row>
    <x:row r="3270" ht="60" customHeight="1">
      <x:c r="A3270" s="14" t="str">
        <x:v>Автотовары</x:v>
      </x:c>
      <x:c r="B3270" s="14" t="str">
        <x:v>Автоинструменты и гаражное оборудование</x:v>
      </x:c>
      <x:c r="C3270" s="14" t="str">
        <x:v>Аксессуары для АКБ</x:v>
      </x:c>
      <x:c r="D3270" s="14" t="str">
        <x:v>ПЗУ и тестеры АКБ</x:v>
      </x:c>
      <x:c r="E3270" s="2" t="n">
        <x:v>246</x:v>
      </x:c>
      <x:c r="F3270" s="2" t="n">
        <x:v>0</x:v>
      </x:c>
      <x:c r="G3270" s="12" t="n">
        <x:v>45858495.9073</x:v>
      </x:c>
      <x:c r="H3270" s="12" t="n">
        <x:v>3918391.59035906</x:v>
      </x:c>
      <x:c r="I3270" s="13" t="n">
        <x:v>0.0881162601626016</x:v>
      </x:c>
      <x:c r="J3270" s="2" t="n">
        <x:v>45</x:v>
      </x:c>
      <x:c r="K3270" s="2" t="n">
        <x:v>88</x:v>
      </x:c>
      <x:c r="L3270" s="12" t="n">
        <x:v>2816.56135</x:v>
      </x:c>
      <x:c r="M3270" s="13" t="n">
        <x:v>0.2940009613323099</x:v>
      </x:c>
      <x:c r="N3270" s="13" t="n">
        <x:f>H3270/G3270</x:f>
        <x:v>0.08544527056185698</x:v>
      </x:c>
      <x:c r="O3270" s="13" t="n">
        <x:f>F3270/E3270</x:f>
        <x:v>0</x:v>
      </x:c>
      <x:c r="P3270" s="2" t="str">
        <x:f>IF(AND(E3270&gt;='Итоги'!$F$5,N3270&lt;='Итоги'!$B$5,O3270&gt;='Итоги'!$D$5),"Да","Нет")</x:f>
        <x:v>Нет</x:v>
      </x:c>
    </x:row>
    <x:row r="3271" ht="60" customHeight="1">
      <x:c r="A3271" s="14" t="str">
        <x:v>Игрушки</x:v>
      </x:c>
      <x:c r="B3271" s="14" t="str">
        <x:v>Игрушки</x:v>
      </x:c>
      <x:c r="C3271" s="14" t="str">
        <x:v>Сюжетно-ролевые игрушки</x:v>
      </x:c>
      <x:c r="D3271" s="14" t="str">
        <x:v>Сюжетно-ролевой набор разное</x:v>
      </x:c>
      <x:c r="E3271" s="2" t="n">
        <x:v>127</x:v>
      </x:c>
      <x:c r="F3271" s="2" t="n">
        <x:v>0</x:v>
      </x:c>
      <x:c r="G3271" s="12" t="n">
        <x:v>13772856.2736</x:v>
      </x:c>
      <x:c r="H3271" s="12" t="n">
        <x:v>1177262.19126961</x:v>
      </x:c>
      <x:c r="I3271" s="13" t="n">
        <x:v>0.0829330708661417</x:v>
      </x:c>
      <x:c r="J3271" s="2" t="n">
        <x:v>28</x:v>
      </x:c>
      <x:c r="K3271" s="2" t="n">
        <x:v>35</x:v>
      </x:c>
      <x:c r="L3271" s="12" t="n">
        <x:v>1979.5652</x:v>
      </x:c>
      <x:c r="M3271" s="13" t="n">
        <x:v>0.5671237977174036</x:v>
      </x:c>
      <x:c r="N3271" s="13" t="n">
        <x:f>H3271/G3271</x:f>
        <x:v>0.08547698225285356</x:v>
      </x:c>
      <x:c r="O3271" s="13" t="n">
        <x:f>F3271/E3271</x:f>
        <x:v>0</x:v>
      </x:c>
      <x:c r="P3271" s="2" t="str">
        <x:f>IF(AND(E3271&gt;='Итоги'!$F$5,N3271&lt;='Итоги'!$B$5,O3271&gt;='Итоги'!$D$5),"Да","Нет")</x:f>
        <x:v>Нет</x:v>
      </x:c>
    </x:row>
    <x:row r="3272" ht="60" customHeight="1">
      <x:c r="A3272" s="14" t="str">
        <x:v>Строительство и ремонт (DIY)</x:v>
      </x:c>
      <x:c r="B3272" s="14" t="str">
        <x:v>Ремонт и строительство</x:v>
      </x:c>
      <x:c r="C3272" s="14" t="str">
        <x:v>Электротовары</x:v>
      </x:c>
      <x:c r="D3272" s="14" t="str">
        <x:v>Термоусадочная трубка</x:v>
      </x:c>
      <x:c r="E3272" s="2" t="n">
        <x:v>5</x:v>
      </x:c>
      <x:c r="F3272" s="2" t="n">
        <x:v>0</x:v>
      </x:c>
      <x:c r="G3272" s="12" t="n">
        <x:v>776257.8424</x:v>
      </x:c>
      <x:c r="H3272" s="12" t="n">
        <x:v>66355.18758923</x:v>
      </x:c>
      <x:c r="I3272" s="13" t="n">
        <x:v>0.09482</x:v>
      </x:c>
      <x:c r="J3272" s="2" t="n">
        <x:v>0</x:v>
      </x:c>
      <x:c r="K3272" s="2" t="n">
        <x:v>4</x:v>
      </x:c>
      <x:c r="L3272" s="12" t="n">
        <x:v>891.5495</x:v>
      </x:c>
      <x:c r="M3272" s="13" t="n">
        <x:v>0.6090371221736207</x:v>
      </x:c>
      <x:c r="N3272" s="13" t="n">
        <x:f>H3272/G3272</x:f>
        <x:v>0.08548085953512037</x:v>
      </x:c>
      <x:c r="O3272" s="13" t="n">
        <x:f>F3272/E3272</x:f>
        <x:v>0</x:v>
      </x:c>
      <x:c r="P3272" s="2" t="str">
        <x:f>IF(AND(E3272&gt;='Итоги'!$F$5,N3272&lt;='Итоги'!$B$5,O3272&gt;='Итоги'!$D$5),"Да","Нет")</x:f>
        <x:v>Нет</x:v>
      </x:c>
    </x:row>
    <x:row r="3273" ht="60" customHeight="1">
      <x:c r="A3273" s="14" t="str">
        <x:v>Спорт и отдых</x:v>
      </x:c>
      <x:c r="B3273" s="14" t="str">
        <x:v>Тренажеры и фитнес</x:v>
      </x:c>
      <x:c r="C3273" s="14" t="str">
        <x:v>Кросстренинг и тяжёлая атлетика</x:v>
      </x:c>
      <x:c r="D3273" s="14" t="str">
        <x:v>Координационная дорожка</x:v>
      </x:c>
      <x:c r="E3273" s="2" t="n">
        <x:v>2</x:v>
      </x:c>
      <x:c r="F3273" s="2" t="n">
        <x:v>0</x:v>
      </x:c>
      <x:c r="G3273" s="12" t="n">
        <x:v>236393.8978</x:v>
      </x:c>
      <x:c r="H3273" s="12" t="n">
        <x:v>20216.54644438</x:v>
      </x:c>
      <x:c r="I3273" s="13" t="n">
        <x:v>0.0721</x:v>
      </x:c>
      <x:c r="J3273" s="2" t="n">
        <x:v>0</x:v>
      </x:c>
      <x:c r="K3273" s="2" t="n">
        <x:v>2</x:v>
      </x:c>
      <x:c r="L3273" s="12" t="n">
        <x:v>993.4296</x:v>
      </x:c>
      <x:c r="M3273" s="13" t="n">
        <x:v>0.7982354115572267</x:v>
      </x:c>
      <x:c r="N3273" s="13" t="n">
        <x:f>H3273/G3273</x:f>
        <x:v>0.08552059352007521</x:v>
      </x:c>
      <x:c r="O3273" s="13" t="n">
        <x:f>F3273/E3273</x:f>
        <x:v>0</x:v>
      </x:c>
      <x:c r="P3273" s="2" t="str">
        <x:f>IF(AND(E3273&gt;='Итоги'!$F$5,N3273&lt;='Итоги'!$B$5,O3273&gt;='Итоги'!$D$5),"Да","Нет")</x:f>
        <x:v>Нет</x:v>
      </x:c>
    </x:row>
    <x:row r="3274" ht="60" customHeight="1">
      <x:c r="A3274" s="14" t="str">
        <x:v>Строительство и ремонт (DIY)</x:v>
      </x:c>
      <x:c r="B3274" s="14" t="str">
        <x:v>Сад и огород</x:v>
      </x:c>
      <x:c r="C3274" s="14" t="str">
        <x:v>Загородный отдых</x:v>
      </x:c>
      <x:c r="D3274" s="14" t="str">
        <x:v>Аксессуары для барбекю, пикника</x:v>
      </x:c>
      <x:c r="E3274" s="2" t="n">
        <x:v>49</x:v>
      </x:c>
      <x:c r="F3274" s="2" t="n">
        <x:v>0</x:v>
      </x:c>
      <x:c r="G3274" s="12" t="n">
        <x:v>6214589.0878</x:v>
      </x:c>
      <x:c r="H3274" s="12" t="n">
        <x:v>531632.79335742</x:v>
      </x:c>
      <x:c r="I3274" s="13" t="n">
        <x:v>0.0801551020408163</x:v>
      </x:c>
      <x:c r="J3274" s="2" t="n">
        <x:v>15</x:v>
      </x:c>
      <x:c r="K3274" s="2" t="n">
        <x:v>19</x:v>
      </x:c>
      <x:c r="L3274" s="12" t="n">
        <x:v>1215.3815</x:v>
      </x:c>
      <x:c r="M3274" s="13" t="n">
        <x:v>0.4756400235379694</x:v>
      </x:c>
      <x:c r="N3274" s="13" t="n">
        <x:f>H3274/G3274</x:f>
        <x:v>0.08554592843492748</x:v>
      </x:c>
      <x:c r="O3274" s="13" t="n">
        <x:f>F3274/E3274</x:f>
        <x:v>0</x:v>
      </x:c>
      <x:c r="P3274" s="2" t="str">
        <x:f>IF(AND(E3274&gt;='Итоги'!$F$5,N3274&lt;='Итоги'!$B$5,O3274&gt;='Итоги'!$D$5),"Да","Нет")</x:f>
        <x:v>Нет</x:v>
      </x:c>
    </x:row>
    <x:row r="3275" ht="60" customHeight="1">
      <x:c r="A3275" s="14" t="str">
        <x:v>Спорт и отдых</x:v>
      </x:c>
      <x:c r="B3275" s="14" t="str">
        <x:v>Туризм</x:v>
      </x:c>
      <x:c r="C3275" s="14" t="str">
        <x:v>Фонарь, лампа туристические</x:v>
      </x:c>
      <x:c r="D3275" s="14" t="str">
        <x:v>Фонарь-прожектор ручной</x:v>
      </x:c>
      <x:c r="E3275" s="2" t="n">
        <x:v>21</x:v>
      </x:c>
      <x:c r="F3275" s="2" t="n">
        <x:v>0</x:v>
      </x:c>
      <x:c r="G3275" s="12" t="n">
        <x:v>3267235.937</x:v>
      </x:c>
      <x:c r="H3275" s="12" t="n">
        <x:v>279710.02749290003</x:v>
      </x:c>
      <x:c r="I3275" s="13" t="n">
        <x:v>0.0968904761904762</x:v>
      </x:c>
      <x:c r="J3275" s="2" t="n">
        <x:v>5</x:v>
      </x:c>
      <x:c r="K3275" s="2" t="n">
        <x:v>10</x:v>
      </x:c>
      <x:c r="L3275" s="12" t="n">
        <x:v>1254.4473</x:v>
      </x:c>
      <x:c r="M3275" s="13" t="n">
        <x:v>0.4938657969346399</x:v>
      </x:c>
      <x:c r="N3275" s="13" t="n">
        <x:f>H3275/G3275</x:f>
        <x:v>0.08561059956684115</x:v>
      </x:c>
      <x:c r="O3275" s="13" t="n">
        <x:f>F3275/E3275</x:f>
        <x:v>0</x:v>
      </x:c>
      <x:c r="P3275" s="2" t="str">
        <x:f>IF(AND(E3275&gt;='Итоги'!$F$5,N3275&lt;='Итоги'!$B$5,O3275&gt;='Итоги'!$D$5),"Да","Нет")</x:f>
        <x:v>Нет</x:v>
      </x:c>
    </x:row>
    <x:row r="3276" ht="60" customHeight="1">
      <x:c r="A3276" s="14" t="str">
        <x:v>Строительство и ремонт (DIY)</x:v>
      </x:c>
      <x:c r="B3276" s="14" t="str">
        <x:v>Инструменты</x:v>
      </x:c>
      <x:c r="C3276" s="14" t="str">
        <x:v>Электроинструмент для строительства, ремонта</x:v>
      </x:c>
      <x:c r="D3276" s="14" t="str">
        <x:v>Пила сабельная электрическая</x:v>
      </x:c>
      <x:c r="E3276" s="2" t="n">
        <x:v>57</x:v>
      </x:c>
      <x:c r="F3276" s="2" t="n">
        <x:v>0</x:v>
      </x:c>
      <x:c r="G3276" s="12" t="n">
        <x:v>13379646.6964</x:v>
      </x:c>
      <x:c r="H3276" s="12" t="n">
        <x:v>1146439.88113427</x:v>
      </x:c>
      <x:c r="I3276" s="13" t="n">
        <x:v>0.099098245614035</x:v>
      </x:c>
      <x:c r="J3276" s="2" t="n">
        <x:v>15</x:v>
      </x:c>
      <x:c r="K3276" s="2" t="n">
        <x:v>22</x:v>
      </x:c>
      <x:c r="L3276" s="12" t="n">
        <x:v>3887.1411</x:v>
      </x:c>
      <x:c r="M3276" s="13" t="n">
        <x:v>0.482550954124759</x:v>
      </x:c>
      <x:c r="N3276" s="13" t="n">
        <x:f>H3276/G3276</x:f>
        <x:v>0.0856853627863535</x:v>
      </x:c>
      <x:c r="O3276" s="13" t="n">
        <x:f>F3276/E3276</x:f>
        <x:v>0</x:v>
      </x:c>
      <x:c r="P3276" s="2" t="str">
        <x:f>IF(AND(E3276&gt;='Итоги'!$F$5,N3276&lt;='Итоги'!$B$5,O3276&gt;='Итоги'!$D$5),"Да","Нет")</x:f>
        <x:v>Нет</x:v>
      </x:c>
    </x:row>
    <x:row r="3277" ht="60" customHeight="1">
      <x:c r="A3277" s="14" t="str">
        <x:v>Строительство и ремонт (DIY)</x:v>
      </x:c>
      <x:c r="B3277" s="14" t="str">
        <x:v>Сад и огород</x:v>
      </x:c>
      <x:c r="C3277" s="14" t="str">
        <x:v>Загородный отдых</x:v>
      </x:c>
      <x:c r="D3277" s="14" t="str">
        <x:v>Очаг, подставка для дров</x:v>
      </x:c>
      <x:c r="E3277" s="2" t="n">
        <x:v>38</x:v>
      </x:c>
      <x:c r="F3277" s="2" t="n">
        <x:v>0</x:v>
      </x:c>
      <x:c r="G3277" s="12" t="n">
        <x:v>9356174.1288</x:v>
      </x:c>
      <x:c r="H3277" s="12" t="n">
        <x:v>802781.71177873</x:v>
      </x:c>
      <x:c r="I3277" s="13" t="n">
        <x:v>0.0871105263157894</x:v>
      </x:c>
      <x:c r="J3277" s="2" t="n">
        <x:v>10</x:v>
      </x:c>
      <x:c r="K3277" s="2" t="n">
        <x:v>8</x:v>
      </x:c>
      <x:c r="L3277" s="12" t="n">
        <x:v>7879.97985</x:v>
      </x:c>
      <x:c r="M3277" s="13" t="n">
        <x:v>0.6182262976161466</x:v>
      </x:c>
      <x:c r="N3277" s="13" t="n">
        <x:f>H3277/G3277</x:f>
        <x:v>0.0858023483453159</x:v>
      </x:c>
      <x:c r="O3277" s="13" t="n">
        <x:f>F3277/E3277</x:f>
        <x:v>0</x:v>
      </x:c>
      <x:c r="P3277" s="2" t="str">
        <x:f>IF(AND(E3277&gt;='Итоги'!$F$5,N3277&lt;='Итоги'!$B$5,O3277&gt;='Итоги'!$D$5),"Да","Нет")</x:f>
        <x:v>Нет</x:v>
      </x:c>
    </x:row>
    <x:row r="3278" ht="60" customHeight="1">
      <x:c r="A3278" s="14" t="str">
        <x:v>Автотовары</x:v>
      </x:c>
      <x:c r="B3278" s="14" t="str">
        <x:v>Дополнительное оборудование для авто и мото техники</x:v>
      </x:c>
      <x:c r="C3278" s="14" t="str">
        <x:v>Дополнительное электрооборудование для авто</x:v>
      </x:c>
      <x:c r="D3278" s="14" t="str">
        <x:v>Парктроник</x:v>
      </x:c>
      <x:c r="E3278" s="2" t="n">
        <x:v>15</x:v>
      </x:c>
      <x:c r="F3278" s="2" t="n">
        <x:v>0</x:v>
      </x:c>
      <x:c r="G3278" s="12" t="n">
        <x:v>1588847.9166</x:v>
      </x:c>
      <x:c r="H3278" s="12" t="n">
        <x:v>136329.06989616</x:v>
      </x:c>
      <x:c r="I3278" s="13" t="n">
        <x:v>0.0732266666666666</x:v>
      </x:c>
      <x:c r="J3278" s="2" t="n">
        <x:v>5</x:v>
      </x:c>
      <x:c r="K3278" s="2" t="n">
        <x:v>7</x:v>
      </x:c>
      <x:c r="L3278" s="12" t="n">
        <x:v>1023.4571</x:v>
      </x:c>
      <x:c r="M3278" s="13" t="n">
        <x:v>0.3440977348983358</x:v>
      </x:c>
      <x:c r="N3278" s="13" t="n">
        <x:f>H3278/G3278</x:f>
        <x:v>0.08580372512171755</x:v>
      </x:c>
      <x:c r="O3278" s="13" t="n">
        <x:f>F3278/E3278</x:f>
        <x:v>0</x:v>
      </x:c>
      <x:c r="P3278" s="2" t="str">
        <x:f>IF(AND(E3278&gt;='Итоги'!$F$5,N3278&lt;='Итоги'!$B$5,O3278&gt;='Итоги'!$D$5),"Да","Нет")</x:f>
        <x:v>Нет</x:v>
      </x:c>
    </x:row>
    <x:row r="3279" ht="60" customHeight="1">
      <x:c r="A3279" s="14" t="str">
        <x:v>Аптека</x:v>
      </x:c>
      <x:c r="B3279" s="14" t="str">
        <x:v>Витамины и БАДы</x:v>
      </x:c>
      <x:c r="C3279" s="14" t="str">
        <x:v>Для сердца и сосудов</x:v>
      </x:c>
      <x:c r="D3279" s="14" t="str">
        <x:v>БАД рыбий жир и Омега</x:v>
      </x:c>
      <x:c r="E3279" s="2" t="n">
        <x:v>90</x:v>
      </x:c>
      <x:c r="F3279" s="2" t="n">
        <x:v>0</x:v>
      </x:c>
      <x:c r="G3279" s="12" t="n">
        <x:v>19353144.0506</x:v>
      </x:c>
      <x:c r="H3279" s="12" t="n">
        <x:v>1660747.67198857</x:v>
      </x:c>
      <x:c r="I3279" s="13" t="n">
        <x:v>0.0856377777777777</x:v>
      </x:c>
      <x:c r="J3279" s="2" t="n">
        <x:v>26</x:v>
      </x:c>
      <x:c r="K3279" s="2" t="n">
        <x:v>26</x:v>
      </x:c>
      <x:c r="L3279" s="12" t="n">
        <x:v>1555.43975</x:v>
      </x:c>
      <x:c r="M3279" s="13" t="n">
        <x:v>0.723854772628827</x:v>
      </x:c>
      <x:c r="N3279" s="13" t="n">
        <x:f>H3279/G3279</x:f>
        <x:v>0.08581280993137042</x:v>
      </x:c>
      <x:c r="O3279" s="13" t="n">
        <x:f>F3279/E3279</x:f>
        <x:v>0</x:v>
      </x:c>
      <x:c r="P3279" s="2" t="str">
        <x:f>IF(AND(E3279&gt;='Итоги'!$F$5,N3279&lt;='Итоги'!$B$5,O3279&gt;='Итоги'!$D$5),"Да","Нет")</x:f>
        <x:v>Нет</x:v>
      </x:c>
    </x:row>
    <x:row r="3280" ht="60" customHeight="1">
      <x:c r="A3280" s="14" t="str">
        <x:v>Аптека</x:v>
      </x:c>
      <x:c r="B3280" s="14" t="str">
        <x:v>Медицинская техника</x:v>
      </x:c>
      <x:c r="C3280" s="14" t="str">
        <x:v>Приборы и средства диагностики</x:v>
      </x:c>
      <x:c r="D3280" s="14" t="str">
        <x:v>Аппарат для измерения давления (тонометр)</x:v>
      </x:c>
      <x:c r="E3280" s="2" t="n">
        <x:v>110</x:v>
      </x:c>
      <x:c r="F3280" s="2" t="n">
        <x:v>0</x:v>
      </x:c>
      <x:c r="G3280" s="12" t="n">
        <x:v>20405907.6837</x:v>
      </x:c>
      <x:c r="H3280" s="12" t="n">
        <x:v>1752430.33314638</x:v>
      </x:c>
      <x:c r="I3280" s="13" t="n">
        <x:v>0.0805536363636363</x:v>
      </x:c>
      <x:c r="J3280" s="2" t="n">
        <x:v>53</x:v>
      </x:c>
      <x:c r="K3280" s="2" t="n">
        <x:v>30</x:v>
      </x:c>
      <x:c r="L3280" s="12" t="n">
        <x:v>1897.5632</x:v>
      </x:c>
      <x:c r="M3280" s="13" t="n">
        <x:v>0.7104381343781214</x:v>
      </x:c>
      <x:c r="N3280" s="13" t="n">
        <x:f>H3280/G3280</x:f>
        <x:v>0.08587857792506828</x:v>
      </x:c>
      <x:c r="O3280" s="13" t="n">
        <x:f>F3280/E3280</x:f>
        <x:v>0</x:v>
      </x:c>
      <x:c r="P3280" s="2" t="str">
        <x:f>IF(AND(E3280&gt;='Итоги'!$F$5,N3280&lt;='Итоги'!$B$5,O3280&gt;='Итоги'!$D$5),"Да","Нет")</x:f>
        <x:v>Нет</x:v>
      </x:c>
    </x:row>
    <x:row r="3281" ht="60" customHeight="1">
      <x:c r="A3281" s="14" t="str">
        <x:v>Игрушки</x:v>
      </x:c>
      <x:c r="B3281" s="14" t="str">
        <x:v>Игрушки</x:v>
      </x:c>
      <x:c r="C3281" s="14" t="str">
        <x:v>Интерактивные игрушки</x:v>
      </x:c>
      <x:c r="D3281" s="14" t="str">
        <x:v>Интерактивная игрушка</x:v>
      </x:c>
      <x:c r="E3281" s="2" t="n">
        <x:v>91</x:v>
      </x:c>
      <x:c r="F3281" s="2" t="n">
        <x:v>0</x:v>
      </x:c>
      <x:c r="G3281" s="12" t="n">
        <x:v>8830645.7742</x:v>
      </x:c>
      <x:c r="H3281" s="12" t="n">
        <x:v>759036.87142688</x:v>
      </x:c>
      <x:c r="I3281" s="13" t="n">
        <x:v>0.0779747252747252</x:v>
      </x:c>
      <x:c r="J3281" s="2" t="n">
        <x:v>31</x:v>
      </x:c>
      <x:c r="K3281" s="2" t="n">
        <x:v>31</x:v>
      </x:c>
      <x:c r="L3281" s="12" t="n">
        <x:v>2466.3333</x:v>
      </x:c>
      <x:c r="M3281" s="13" t="n">
        <x:v>0.5015233285247724</x:v>
      </x:c>
      <x:c r="N3281" s="13" t="n">
        <x:f>H3281/G3281</x:f>
        <x:v>0.08595485436008715</x:v>
      </x:c>
      <x:c r="O3281" s="13" t="n">
        <x:f>F3281/E3281</x:f>
        <x:v>0</x:v>
      </x:c>
      <x:c r="P3281" s="2" t="str">
        <x:f>IF(AND(E3281&gt;='Итоги'!$F$5,N3281&lt;='Итоги'!$B$5,O3281&gt;='Итоги'!$D$5),"Да","Нет")</x:f>
        <x:v>Нет</x:v>
      </x:c>
    </x:row>
    <x:row r="3282" ht="60" customHeight="1">
      <x:c r="A3282" s="14" t="str">
        <x:v>Товары для животных</x:v>
      </x:c>
      <x:c r="B3282" s="14" t="str">
        <x:v>Гигиена и уход животных</x:v>
      </x:c>
      <x:c r="C3282" s="14" t="str">
        <x:v>Уход за животными</x:v>
      </x:c>
      <x:c r="D3282" s="14" t="str">
        <x:v>Подгузники для животных</x:v>
      </x:c>
      <x:c r="E3282" s="2" t="n">
        <x:v>6</x:v>
      </x:c>
      <x:c r="F3282" s="2" t="n">
        <x:v>0</x:v>
      </x:c>
      <x:c r="G3282" s="12" t="n">
        <x:v>1085668.4967</x:v>
      </x:c>
      <x:c r="H3282" s="12" t="n">
        <x:v>93326.67181809</x:v>
      </x:c>
      <x:c r="I3282" s="13" t="n">
        <x:v>0.0757</x:v>
      </x:c>
      <x:c r="J3282" s="2" t="n">
        <x:v>0</x:v>
      </x:c>
      <x:c r="K3282" s="2" t="n">
        <x:v>3</x:v>
      </x:c>
      <x:c r="L3282" s="12" t="n">
        <x:v>1314.82515</x:v>
      </x:c>
      <x:c r="M3282" s="13" t="n">
        <x:v>0.795821753441508</x:v>
      </x:c>
      <x:c r="N3282" s="13" t="n">
        <x:f>H3282/G3282</x:f>
        <x:v>0.08596240206081869</x:v>
      </x:c>
      <x:c r="O3282" s="13" t="n">
        <x:f>F3282/E3282</x:f>
        <x:v>0</x:v>
      </x:c>
      <x:c r="P3282" s="2" t="str">
        <x:f>IF(AND(E3282&gt;='Итоги'!$F$5,N3282&lt;='Итоги'!$B$5,O3282&gt;='Итоги'!$D$5),"Да","Нет")</x:f>
        <x:v>Нет</x:v>
      </x:c>
    </x:row>
    <x:row r="3283" ht="60" customHeight="1">
      <x:c r="A3283" s="14" t="str">
        <x:v>Автотовары</x:v>
      </x:c>
      <x:c r="B3283" s="14" t="str">
        <x:v>Авто и мото запчасти</x:v>
      </x:c>
      <x:c r="C3283" s="14" t="str">
        <x:v>Запчасти для ТО</x:v>
      </x:c>
      <x:c r="D3283" s="14" t="str">
        <x:v>Фильтр АКПП</x:v>
      </x:c>
      <x:c r="E3283" s="2" t="n">
        <x:v>4</x:v>
      </x:c>
      <x:c r="F3283" s="2" t="n">
        <x:v>0</x:v>
      </x:c>
      <x:c r="G3283" s="12" t="n">
        <x:v>580602.79</x:v>
      </x:c>
      <x:c r="H3283" s="12" t="n">
        <x:v>49918.175366</x:v>
      </x:c>
      <x:c r="I3283" s="13" t="n">
        <x:v>0.085075</x:v>
      </x:c>
      <x:c r="J3283" s="2" t="n">
        <x:v>1</x:v>
      </x:c>
      <x:c r="K3283" s="2" t="n">
        <x:v>1</x:v>
      </x:c>
      <x:c r="L3283" s="12" t="n">
        <x:v>2824.01075</x:v>
      </x:c>
      <x:c r="M3283" s="13" t="n">
        <x:v>1</x:v>
      </x:c>
      <x:c r="N3283" s="13" t="n">
        <x:f>H3283/G3283</x:f>
        <x:v>0.0859764648495747</x:v>
      </x:c>
      <x:c r="O3283" s="13" t="n">
        <x:f>F3283/E3283</x:f>
        <x:v>0</x:v>
      </x:c>
      <x:c r="P3283" s="2" t="str">
        <x:f>IF(AND(E3283&gt;='Итоги'!$F$5,N3283&lt;='Итоги'!$B$5,O3283&gt;='Итоги'!$D$5),"Да","Нет")</x:f>
        <x:v>Нет</x:v>
      </x:c>
    </x:row>
    <x:row r="3284" ht="60" customHeight="1">
      <x:c r="A3284" s="14" t="str">
        <x:v>Бакалея и кондитерские изделия</x:v>
      </x:c>
      <x:c r="B3284" s="14" t="str">
        <x:v>Бакалея</x:v>
      </x:c>
      <x:c r="C3284" s="14" t="str">
        <x:v>Приправы, специи, травы</x:v>
      </x:c>
      <x:c r="D3284" s="14" t="str">
        <x:v>Смесь приправ, специй и трав</x:v>
      </x:c>
      <x:c r="E3284" s="2" t="n">
        <x:v>16</x:v>
      </x:c>
      <x:c r="F3284" s="2" t="n">
        <x:v>0</x:v>
      </x:c>
      <x:c r="G3284" s="12" t="n">
        <x:v>2264636.0975</x:v>
      </x:c>
      <x:c r="H3284" s="12" t="n">
        <x:v>194988.98508492</x:v>
      </x:c>
      <x:c r="I3284" s="13" t="n">
        <x:v>0.07491875</x:v>
      </x:c>
      <x:c r="J3284" s="2" t="n">
        <x:v>5</x:v>
      </x:c>
      <x:c r="K3284" s="2" t="n">
        <x:v>8</x:v>
      </x:c>
      <x:c r="L3284" s="12" t="n">
        <x:v>1192.18845</x:v>
      </x:c>
      <x:c r="M3284" s="13" t="n">
        <x:v>0.4364121009954006</x:v>
      </x:c>
      <x:c r="N3284" s="13" t="n">
        <x:f>H3284/G3284</x:f>
        <x:v>0.08610168552032452</x:v>
      </x:c>
      <x:c r="O3284" s="13" t="n">
        <x:f>F3284/E3284</x:f>
        <x:v>0</x:v>
      </x:c>
      <x:c r="P3284" s="2" t="str">
        <x:f>IF(AND(E3284&gt;='Итоги'!$F$5,N3284&lt;='Итоги'!$B$5,O3284&gt;='Итоги'!$D$5),"Да","Нет")</x:f>
        <x:v>Нет</x:v>
      </x:c>
    </x:row>
    <x:row r="3285" ht="60" customHeight="1">
      <x:c r="A3285" s="14" t="str">
        <x:v>Спорт и отдых</x:v>
      </x:c>
      <x:c r="B3285" s="14" t="str">
        <x:v>Зимние виды спорта</x:v>
      </x:c>
      <x:c r="C3285" s="14" t="str">
        <x:v>Лыжный спорт</x:v>
      </x:c>
      <x:c r="D3285" s="14" t="str">
        <x:v>Крепления для лыж</x:v>
      </x:c>
      <x:c r="E3285" s="2" t="n">
        <x:v>3</x:v>
      </x:c>
      <x:c r="F3285" s="2" t="n">
        <x:v>0</x:v>
      </x:c>
      <x:c r="G3285" s="12" t="n">
        <x:v>443233.0668</x:v>
      </x:c>
      <x:c r="H3285" s="12" t="n">
        <x:v>38168.1734</x:v>
      </x:c>
      <x:c r="I3285" s="13" t="n">
        <x:v>0.0547333333333333</x:v>
      </x:c>
      <x:c r="J3285" s="2" t="n">
        <x:v>1</x:v>
      </x:c>
      <x:c r="K3285" s="2" t="n">
        <x:v>1</x:v>
      </x:c>
      <x:c r="L3285" s="12" t="n">
        <x:v>4965.1667</x:v>
      </x:c>
      <x:c r="M3285" s="13" t="n">
        <x:v>1</x:v>
      </x:c>
      <x:c r="N3285" s="13" t="n">
        <x:f>H3285/G3285</x:f>
        <x:v>0.08611309998949745</x:v>
      </x:c>
      <x:c r="O3285" s="13" t="n">
        <x:f>F3285/E3285</x:f>
        <x:v>0</x:v>
      </x:c>
      <x:c r="P3285" s="2" t="str">
        <x:f>IF(AND(E3285&gt;='Итоги'!$F$5,N3285&lt;='Итоги'!$B$5,O3285&gt;='Итоги'!$D$5),"Да","Нет")</x:f>
        <x:v>Нет</x:v>
      </x:c>
    </x:row>
    <x:row r="3286" ht="60" customHeight="1">
      <x:c r="A3286" s="14" t="str">
        <x:v>Детская одежда</x:v>
      </x:c>
      <x:c r="B3286" s="14" t="str">
        <x:v>Одежда для новорожденных</x:v>
      </x:c>
      <x:c r="C3286" s="14" t="str">
        <x:v>Одежда для новорожденных</x:v>
      </x:c>
      <x:c r="D3286" s="14" t="str">
        <x:v>Боди для новорожденных</x:v>
      </x:c>
      <x:c r="E3286" s="2" t="n">
        <x:v>16</x:v>
      </x:c>
      <x:c r="F3286" s="2" t="n">
        <x:v>0</x:v>
      </x:c>
      <x:c r="G3286" s="12" t="n">
        <x:v>1336547.7214</x:v>
      </x:c>
      <x:c r="H3286" s="12" t="n">
        <x:v>115195.33888375</x:v>
      </x:c>
      <x:c r="I3286" s="13" t="n">
        <x:v>0.0685625</x:v>
      </x:c>
      <x:c r="J3286" s="2" t="n">
        <x:v>5</x:v>
      </x:c>
      <x:c r="K3286" s="2" t="n">
        <x:v>4</x:v>
      </x:c>
      <x:c r="L3286" s="12" t="n">
        <x:v>867.31855</x:v>
      </x:c>
      <x:c r="M3286" s="13" t="n">
        <x:v>0.8032353016736811</x:v>
      </x:c>
      <x:c r="N3286" s="13" t="n">
        <x:f>H3286/G3286</x:f>
        <x:v>0.08618872116521645</x:v>
      </x:c>
      <x:c r="O3286" s="13" t="n">
        <x:f>F3286/E3286</x:f>
        <x:v>0</x:v>
      </x:c>
      <x:c r="P3286" s="2" t="str">
        <x:f>IF(AND(E3286&gt;='Итоги'!$F$5,N3286&lt;='Итоги'!$B$5,O3286&gt;='Итоги'!$D$5),"Да","Нет")</x:f>
        <x:v>Нет</x:v>
      </x:c>
    </x:row>
    <x:row r="3287" ht="60" customHeight="1">
      <x:c r="A3287" s="14" t="str">
        <x:v>Автотовары</x:v>
      </x:c>
      <x:c r="B3287" s="14" t="str">
        <x:v>Авто и мото запчасти</x:v>
      </x:c>
      <x:c r="C3287" s="14" t="str">
        <x:v>Система зажигания</x:v>
      </x:c>
      <x:c r="D3287" s="14" t="str">
        <x:v>Свечи зажигания и накала</x:v>
      </x:c>
      <x:c r="E3287" s="2" t="n">
        <x:v>146</x:v>
      </x:c>
      <x:c r="F3287" s="2" t="n">
        <x:v>0</x:v>
      </x:c>
      <x:c r="G3287" s="12" t="n">
        <x:v>21759468.3974</x:v>
      </x:c>
      <x:c r="H3287" s="12" t="n">
        <x:v>1877272.41173481</x:v>
      </x:c>
      <x:c r="I3287" s="13" t="n">
        <x:v>0.0790897260273972</x:v>
      </x:c>
      <x:c r="J3287" s="2" t="n">
        <x:v>30</x:v>
      </x:c>
      <x:c r="K3287" s="2" t="n">
        <x:v>31</x:v>
      </x:c>
      <x:c r="L3287" s="12" t="n">
        <x:v>1549.06945</x:v>
      </x:c>
      <x:c r="M3287" s="13" t="n">
        <x:v>0.6487018023375344</x:v>
      </x:c>
      <x:c r="N3287" s="13" t="n">
        <x:f>H3287/G3287</x:f>
        <x:v>0.08627381779047148</x:v>
      </x:c>
      <x:c r="O3287" s="13" t="n">
        <x:f>F3287/E3287</x:f>
        <x:v>0</x:v>
      </x:c>
      <x:c r="P3287" s="2" t="str">
        <x:f>IF(AND(E3287&gt;='Итоги'!$F$5,N3287&lt;='Итоги'!$B$5,O3287&gt;='Итоги'!$D$5),"Да","Нет")</x:f>
        <x:v>Нет</x:v>
      </x:c>
    </x:row>
    <x:row r="3288" ht="60" customHeight="1">
      <x:c r="A3288" s="14" t="str">
        <x:v>Спорт и отдых</x:v>
      </x:c>
      <x:c r="B3288" s="14" t="str">
        <x:v>Тренажеры и фитнес</x:v>
      </x:c>
      <x:c r="C3288" s="14" t="str">
        <x:v>Фитнес</x:v>
      </x:c>
      <x:c r="D3288" s="14" t="str">
        <x:v>Подушка балансировочная</x:v>
      </x:c>
      <x:c r="E3288" s="2" t="n">
        <x:v>6</x:v>
      </x:c>
      <x:c r="F3288" s="2" t="n">
        <x:v>0</x:v>
      </x:c>
      <x:c r="G3288" s="12" t="n">
        <x:v>1036244.6199</x:v>
      </x:c>
      <x:c r="H3288" s="12" t="n">
        <x:v>89480.13871474001</x:v>
      </x:c>
      <x:c r="I3288" s="13" t="n">
        <x:v>0.08275</x:v>
      </x:c>
      <x:c r="J3288" s="2" t="n">
        <x:v>1</x:v>
      </x:c>
      <x:c r="K3288" s="2" t="n">
        <x:v>3</x:v>
      </x:c>
      <x:c r="L3288" s="12" t="n">
        <x:v>1468.57165</x:v>
      </x:c>
      <x:c r="M3288" s="13" t="n">
        <x:v>0.4582699594096102</x:v>
      </x:c>
      <x:c r="N3288" s="13" t="n">
        <x:f>H3288/G3288</x:f>
        <x:v>0.08635040124345837</x:v>
      </x:c>
      <x:c r="O3288" s="13" t="n">
        <x:f>F3288/E3288</x:f>
        <x:v>0</x:v>
      </x:c>
      <x:c r="P3288" s="2" t="str">
        <x:f>IF(AND(E3288&gt;='Итоги'!$F$5,N3288&lt;='Итоги'!$B$5,O3288&gt;='Итоги'!$D$5),"Да","Нет")</x:f>
        <x:v>Нет</x:v>
      </x:c>
    </x:row>
    <x:row r="3289" ht="60" customHeight="1">
      <x:c r="A3289" s="14" t="str">
        <x:v>Товары для красоты и здоровья</x:v>
      </x:c>
      <x:c r="B3289" s="14" t="str">
        <x:v>Косметика для ухода за кожей</x:v>
      </x:c>
      <x:c r="C3289" s="14" t="str">
        <x:v>Лицо</x:v>
      </x:c>
      <x:c r="D3289" s="14" t="str">
        <x:v>Скраб для лица</x:v>
      </x:c>
      <x:c r="E3289" s="2" t="n">
        <x:v>15</x:v>
      </x:c>
      <x:c r="F3289" s="2" t="n">
        <x:v>0</x:v>
      </x:c>
      <x:c r="G3289" s="12" t="n">
        <x:v>2287266.1179</x:v>
      </x:c>
      <x:c r="H3289" s="12" t="n">
        <x:v>197550.89605878</x:v>
      </x:c>
      <x:c r="I3289" s="13" t="n">
        <x:v>0.0726866666666666</x:v>
      </x:c>
      <x:c r="J3289" s="2" t="n">
        <x:v>4</x:v>
      </x:c>
      <x:c r="K3289" s="2" t="n">
        <x:v>5</x:v>
      </x:c>
      <x:c r="L3289" s="12" t="n">
        <x:v>2292.4848</x:v>
      </x:c>
      <x:c r="M3289" s="13" t="n">
        <x:v>0.7420302110968459</x:v>
      </x:c>
      <x:c r="N3289" s="13" t="n">
        <x:f>H3289/G3289</x:f>
        <x:v>0.08636987821957366</x:v>
      </x:c>
      <x:c r="O3289" s="13" t="n">
        <x:f>F3289/E3289</x:f>
        <x:v>0</x:v>
      </x:c>
      <x:c r="P3289" s="2" t="str">
        <x:f>IF(AND(E3289&gt;='Итоги'!$F$5,N3289&lt;='Итоги'!$B$5,O3289&gt;='Итоги'!$D$5),"Да","Нет")</x:f>
        <x:v>Нет</x:v>
      </x:c>
    </x:row>
    <x:row r="3290" ht="60" customHeight="1">
      <x:c r="A3290" s="14" t="str">
        <x:v>Бакалея и кондитерские изделия</x:v>
      </x:c>
      <x:c r="B3290" s="14" t="str">
        <x:v>Кондитерские изделия</x:v>
      </x:c>
      <x:c r="C3290" s="14" t="str">
        <x:v>Конфеты</x:v>
      </x:c>
      <x:c r="D3290" s="14" t="str">
        <x:v>Марципан</x:v>
      </x:c>
      <x:c r="E3290" s="2" t="n">
        <x:v>6</x:v>
      </x:c>
      <x:c r="F3290" s="2" t="n">
        <x:v>0</x:v>
      </x:c>
      <x:c r="G3290" s="12" t="n">
        <x:v>615888.5934</x:v>
      </x:c>
      <x:c r="H3290" s="12" t="n">
        <x:v>53218.27682625</x:v>
      </x:c>
      <x:c r="I3290" s="13" t="n">
        <x:v>0.0803499999999999</x:v>
      </x:c>
      <x:c r="J3290" s="2" t="n">
        <x:v>3</x:v>
      </x:c>
      <x:c r="K3290" s="2" t="n">
        <x:v>5</x:v>
      </x:c>
      <x:c r="L3290" s="12" t="n">
        <x:v>1609.56765</x:v>
      </x:c>
      <x:c r="M3290" s="13" t="n">
        <x:v>0.2562745418431384</x:v>
      </x:c>
      <x:c r="N3290" s="13" t="n">
        <x:f>H3290/G3290</x:f>
        <x:v>0.08640893401265905</x:v>
      </x:c>
      <x:c r="O3290" s="13" t="n">
        <x:f>F3290/E3290</x:f>
        <x:v>0</x:v>
      </x:c>
      <x:c r="P3290" s="2" t="str">
        <x:f>IF(AND(E3290&gt;='Итоги'!$F$5,N3290&lt;='Итоги'!$B$5,O3290&gt;='Итоги'!$D$5),"Да","Нет")</x:f>
        <x:v>Нет</x:v>
      </x:c>
    </x:row>
    <x:row r="3291" ht="60" customHeight="1">
      <x:c r="A3291" s="14" t="str">
        <x:v>Мебель</x:v>
      </x:c>
      <x:c r="B3291" s="14" t="str">
        <x:v>Компьютерная и офисная мебель</x:v>
      </x:c>
      <x:c r="C3291" s="14" t="str">
        <x:v>Комплект компьютерной мебели</x:v>
      </x:c>
      <x:c r="D3291" s="14" t="str">
        <x:v>Парта и стул (комплект)</x:v>
      </x:c>
      <x:c r="E3291" s="2" t="n">
        <x:v>16</x:v>
      </x:c>
      <x:c r="F3291" s="2" t="n">
        <x:v>0</x:v>
      </x:c>
      <x:c r="G3291" s="12" t="n">
        <x:v>3013362.0389</x:v>
      </x:c>
      <x:c r="H3291" s="12" t="n">
        <x:v>260390.71654272</x:v>
      </x:c>
      <x:c r="I3291" s="13" t="n">
        <x:v>0.101675</x:v>
      </x:c>
      <x:c r="J3291" s="2" t="n">
        <x:v>4</x:v>
      </x:c>
      <x:c r="K3291" s="2" t="n">
        <x:v>6</x:v>
      </x:c>
      <x:c r="L3291" s="12" t="n">
        <x:v>6073.1491000000005</x:v>
      </x:c>
      <x:c r="M3291" s="13" t="n">
        <x:v>0.3041311124814408</x:v>
      </x:c>
      <x:c r="N3291" s="13" t="n">
        <x:f>H3291/G3291</x:f>
        <x:v>0.08641202523337463</x:v>
      </x:c>
      <x:c r="O3291" s="13" t="n">
        <x:f>F3291/E3291</x:f>
        <x:v>0</x:v>
      </x:c>
      <x:c r="P3291" s="2" t="str">
        <x:f>IF(AND(E3291&gt;='Итоги'!$F$5,N3291&lt;='Итоги'!$B$5,O3291&gt;='Итоги'!$D$5),"Да","Нет")</x:f>
        <x:v>Нет</x:v>
      </x:c>
    </x:row>
    <x:row r="3292" ht="60" customHeight="1">
      <x:c r="A3292" s="14" t="str">
        <x:v>Автотовары</x:v>
      </x:c>
      <x:c r="B3292" s="14" t="str">
        <x:v>Универсальные авто и мото аксессуары</x:v>
      </x:c>
      <x:c r="C3292" s="14" t="str">
        <x:v>Аксессуар для салона авто</x:v>
      </x:c>
      <x:c r="D3292" s="14" t="str">
        <x:v>Чехол для автомобильных ключей</x:v>
      </x:c>
      <x:c r="E3292" s="2" t="n">
        <x:v>9</x:v>
      </x:c>
      <x:c r="F3292" s="2" t="n">
        <x:v>0</x:v>
      </x:c>
      <x:c r="G3292" s="12" t="n">
        <x:v>664906.3862000001</x:v>
      </x:c>
      <x:c r="H3292" s="12" t="n">
        <x:v>57456.167268820005</x:v>
      </x:c>
      <x:c r="I3292" s="13" t="n">
        <x:v>0.0859777777777777</x:v>
      </x:c>
      <x:c r="J3292" s="2" t="n">
        <x:v>2</x:v>
      </x:c>
      <x:c r="K3292" s="2" t="n">
        <x:v>7</x:v>
      </x:c>
      <x:c r="L3292" s="12" t="n">
        <x:v>1097.3559</x:v>
      </x:c>
      <x:c r="M3292" s="13" t="n">
        <x:v>0.2567085829563054</x:v>
      </x:c>
      <x:c r="N3292" s="13" t="n">
        <x:f>H3292/G3292</x:f>
        <x:v>0.08641241603526653</x:v>
      </x:c>
      <x:c r="O3292" s="13" t="n">
        <x:f>F3292/E3292</x:f>
        <x:v>0</x:v>
      </x:c>
      <x:c r="P3292" s="2" t="str">
        <x:f>IF(AND(E3292&gt;='Итоги'!$F$5,N3292&lt;='Итоги'!$B$5,O3292&gt;='Итоги'!$D$5),"Да","Нет")</x:f>
        <x:v>Нет</x:v>
      </x:c>
    </x:row>
    <x:row r="3293" ht="60" customHeight="1">
      <x:c r="A3293" s="14" t="str">
        <x:v>Спорт и отдых</x:v>
      </x:c>
      <x:c r="B3293" s="14" t="str">
        <x:v>Всесезонные виды спорта</x:v>
      </x:c>
      <x:c r="C3293" s="14" t="str">
        <x:v>Футбол</x:v>
      </x:c>
      <x:c r="D3293" s="14" t="str">
        <x:v>Мяч для футбола</x:v>
      </x:c>
      <x:c r="E3293" s="2" t="n">
        <x:v>91</x:v>
      </x:c>
      <x:c r="F3293" s="2" t="n">
        <x:v>0</x:v>
      </x:c>
      <x:c r="G3293" s="12" t="n">
        <x:v>14848503.5265</x:v>
      </x:c>
      <x:c r="H3293" s="12" t="n">
        <x:v>1283102.41198769</x:v>
      </x:c>
      <x:c r="I3293" s="13" t="n">
        <x:v>0.0822241758241758</x:v>
      </x:c>
      <x:c r="J3293" s="2" t="n">
        <x:v>13</x:v>
      </x:c>
      <x:c r="K3293" s="2" t="n">
        <x:v>26</x:v>
      </x:c>
      <x:c r="L3293" s="12" t="n">
        <x:v>1672.7058</x:v>
      </x:c>
      <x:c r="M3293" s="13" t="n">
        <x:v>0.4166213418651606</x:v>
      </x:c>
      <x:c r="N3293" s="13" t="n">
        <x:f>H3293/G3293</x:f>
        <x:v>0.08641291088342659</x:v>
      </x:c>
      <x:c r="O3293" s="13" t="n">
        <x:f>F3293/E3293</x:f>
        <x:v>0</x:v>
      </x:c>
      <x:c r="P3293" s="2" t="str">
        <x:f>IF(AND(E3293&gt;='Итоги'!$F$5,N3293&lt;='Итоги'!$B$5,O3293&gt;='Итоги'!$D$5),"Да","Нет")</x:f>
        <x:v>Нет</x:v>
      </x:c>
    </x:row>
    <x:row r="3294" ht="60" customHeight="1">
      <x:c r="A3294" s="14" t="str">
        <x:v>Одежда</x:v>
      </x:c>
      <x:c r="B3294" s="14" t="str">
        <x:v>Верхняя одежда</x:v>
      </x:c>
      <x:c r="C3294" s="14" t="str">
        <x:v>Спортивная верхняя одежда женская</x:v>
      </x:c>
      <x:c r="D3294" s="14" t="str">
        <x:v>Спортивный жилет женский</x:v>
      </x:c>
      <x:c r="E3294" s="2" t="n">
        <x:v>4</x:v>
      </x:c>
      <x:c r="F3294" s="2" t="n">
        <x:v>0</x:v>
      </x:c>
      <x:c r="G3294" s="12" t="n">
        <x:v>124522.83</x:v>
      </x:c>
      <x:c r="H3294" s="12" t="n">
        <x:v>10761.384983</x:v>
      </x:c>
      <x:c r="I3294" s="13" t="n">
        <x:v>0.059225</x:v>
      </x:c>
      <x:c r="J3294" s="2" t="n">
        <x:v>2</x:v>
      </x:c>
      <x:c r="K3294" s="2" t="n">
        <x:v>3</x:v>
      </x:c>
      <x:c r="L3294" s="12" t="n">
        <x:v>1778</x:v>
      </x:c>
      <x:c r="M3294" s="13" t="n">
        <x:v>0.7173048508454233</x:v>
      </x:c>
      <x:c r="N3294" s="13" t="n">
        <x:f>H3294/G3294</x:f>
        <x:v>0.08642097985566181</x:v>
      </x:c>
      <x:c r="O3294" s="13" t="n">
        <x:f>F3294/E3294</x:f>
        <x:v>0</x:v>
      </x:c>
      <x:c r="P3294" s="2" t="str">
        <x:f>IF(AND(E3294&gt;='Итоги'!$F$5,N3294&lt;='Итоги'!$B$5,O3294&gt;='Итоги'!$D$5),"Да","Нет")</x:f>
        <x:v>Нет</x:v>
      </x:c>
    </x:row>
    <x:row r="3295" ht="60" customHeight="1">
      <x:c r="A3295" s="14" t="str">
        <x:v>Бакалея и кондитерские изделия</x:v>
      </x:c>
      <x:c r="B3295" s="14" t="str">
        <x:v>Бакалея</x:v>
      </x:c>
      <x:c r="C3295" s="14" t="str">
        <x:v>Пищевые материалы</x:v>
      </x:c>
      <x:c r="D3295" s="14" t="str">
        <x:v>Оболочка для колбас</x:v>
      </x:c>
      <x:c r="E3295" s="2" t="n">
        <x:v>3</x:v>
      </x:c>
      <x:c r="F3295" s="2" t="n">
        <x:v>0</x:v>
      </x:c>
      <x:c r="G3295" s="12" t="n">
        <x:v>457319.0116</x:v>
      </x:c>
      <x:c r="H3295" s="12" t="n">
        <x:v>39532.74657148</x:v>
      </x:c>
      <x:c r="I3295" s="13" t="n">
        <x:v>0.0833333333333333</x:v>
      </x:c>
      <x:c r="J3295" s="2" t="n">
        <x:v>0</x:v>
      </x:c>
      <x:c r="K3295" s="2" t="n">
        <x:v>1</x:v>
      </x:c>
      <x:c r="L3295" s="12" t="n">
        <x:v>1364.9085</x:v>
      </x:c>
      <x:c r="M3295" s="13" t="n">
        <x:v>1</x:v>
      </x:c>
      <x:c r="N3295" s="13" t="n">
        <x:f>H3295/G3295</x:f>
        <x:v>0.08644457275714097</x:v>
      </x:c>
      <x:c r="O3295" s="13" t="n">
        <x:f>F3295/E3295</x:f>
        <x:v>0</x:v>
      </x:c>
      <x:c r="P3295" s="2" t="str">
        <x:f>IF(AND(E3295&gt;='Итоги'!$F$5,N3295&lt;='Итоги'!$B$5,O3295&gt;='Итоги'!$D$5),"Да","Нет")</x:f>
        <x:v>Нет</x:v>
      </x:c>
    </x:row>
    <x:row r="3296" ht="60" customHeight="1">
      <x:c r="A3296" s="14" t="str">
        <x:v>Аксессуары для электроники</x:v>
      </x:c>
      <x:c r="B3296" s="14" t="str">
        <x:v>Компьютеры Access</x:v>
      </x:c>
      <x:c r="C3296" s="14" t="str">
        <x:v>Аксессуар к компьютерной технике Access</x:v>
      </x:c>
      <x:c r="D3296" s="14" t="str">
        <x:v>Рюкзак для ноутбука</x:v>
      </x:c>
      <x:c r="E3296" s="2" t="n">
        <x:v>11</x:v>
      </x:c>
      <x:c r="F3296" s="2" t="n">
        <x:v>0</x:v>
      </x:c>
      <x:c r="G3296" s="12" t="n">
        <x:v>1549261.3374</x:v>
      </x:c>
      <x:c r="H3296" s="12" t="n">
        <x:v>133926.77135698</x:v>
      </x:c>
      <x:c r="I3296" s="13" t="n">
        <x:v>0.0802363636363636</x:v>
      </x:c>
      <x:c r="J3296" s="2" t="n">
        <x:v>4</x:v>
      </x:c>
      <x:c r="K3296" s="2" t="n">
        <x:v>3</x:v>
      </x:c>
      <x:c r="L3296" s="12" t="n">
        <x:v>2646.1751</x:v>
      </x:c>
      <x:c r="M3296" s="13" t="n">
        <x:v>0.7037938912423026</x:v>
      </x:c>
      <x:c r="N3296" s="13" t="n">
        <x:f>H3296/G3296</x:f>
        <x:v>0.0864455648146093</x:v>
      </x:c>
      <x:c r="O3296" s="13" t="n">
        <x:f>F3296/E3296</x:f>
        <x:v>0</x:v>
      </x:c>
      <x:c r="P3296" s="2" t="str">
        <x:f>IF(AND(E3296&gt;='Итоги'!$F$5,N3296&lt;='Итоги'!$B$5,O3296&gt;='Итоги'!$D$5),"Да","Нет")</x:f>
        <x:v>Нет</x:v>
      </x:c>
    </x:row>
    <x:row r="3297" ht="60" customHeight="1">
      <x:c r="A3297" s="14" t="str">
        <x:v>Автотовары</x:v>
      </x:c>
      <x:c r="B3297" s="14" t="str">
        <x:v>Универсальные авто и мото аксессуары</x:v>
      </x:c>
      <x:c r="C3297" s="14" t="str">
        <x:v>Аксессуар для салона авто</x:v>
      </x:c>
      <x:c r="D3297" s="14" t="str">
        <x:v>Подушка, одеяло автомобильные</x:v>
      </x:c>
      <x:c r="E3297" s="2" t="n">
        <x:v>39</x:v>
      </x:c>
      <x:c r="F3297" s="2" t="n">
        <x:v>0</x:v>
      </x:c>
      <x:c r="G3297" s="12" t="n">
        <x:v>5288231.6933</x:v>
      </x:c>
      <x:c r="H3297" s="12" t="n">
        <x:v>457698.0693684</x:v>
      </x:c>
      <x:c r="I3297" s="13" t="n">
        <x:v>0.0824333333333333</x:v>
      </x:c>
      <x:c r="J3297" s="2" t="n">
        <x:v>10</x:v>
      </x:c>
      <x:c r="K3297" s="2" t="n">
        <x:v>28</x:v>
      </x:c>
      <x:c r="L3297" s="12" t="n">
        <x:v>1059.2916</x:v>
      </x:c>
      <x:c r="M3297" s="13" t="n">
        <x:v>0.2750438030245145</x:v>
      </x:c>
      <x:c r="N3297" s="13" t="n">
        <x:f>H3297/G3297</x:f>
        <x:v>0.08655030564343219</x:v>
      </x:c>
      <x:c r="O3297" s="13" t="n">
        <x:f>F3297/E3297</x:f>
        <x:v>0</x:v>
      </x:c>
      <x:c r="P3297" s="2" t="str">
        <x:f>IF(AND(E3297&gt;='Итоги'!$F$5,N3297&lt;='Итоги'!$B$5,O3297&gt;='Итоги'!$D$5),"Да","Нет")</x:f>
        <x:v>Нет</x:v>
      </x:c>
    </x:row>
    <x:row r="3298" ht="60" customHeight="1">
      <x:c r="A3298" s="14" t="str">
        <x:v>Товары для животных</x:v>
      </x:c>
      <x:c r="B3298" s="14" t="str">
        <x:v>Фермерское хозяйство - Содержание, уход птицы и сельскохозяйственных животных</x:v>
      </x:c>
      <x:c r="C3298" s="14" t="str">
        <x:v>Обогрев для сельскохозяйственных животных и птиц</x:v>
      </x:c>
      <x:c r="D3298" s="14" t="str">
        <x:v>Брудеры и обогревательные панели для сельхозживотных и птиц</x:v>
      </x:c>
      <x:c r="E3298" s="2" t="n">
        <x:v>5</x:v>
      </x:c>
      <x:c r="F3298" s="2" t="n">
        <x:v>0</x:v>
      </x:c>
      <x:c r="G3298" s="12" t="n">
        <x:v>929730.99</x:v>
      </x:c>
      <x:c r="H3298" s="12" t="n">
        <x:v>80502.23874799999</x:v>
      </x:c>
      <x:c r="I3298" s="13" t="n">
        <x:v>0.0854999999999999</x:v>
      </x:c>
      <x:c r="J3298" s="2" t="n">
        <x:v>0</x:v>
      </x:c>
      <x:c r="K3298" s="2" t="n">
        <x:v>1</x:v>
      </x:c>
      <x:c r="L3298" s="12" t="n">
        <x:v>8022.0811</x:v>
      </x:c>
      <x:c r="M3298" s="13" t="n">
        <x:v>1</x:v>
      </x:c>
      <x:c r="N3298" s="13" t="n">
        <x:f>H3298/G3298</x:f>
        <x:v>0.08658659291113872</x:v>
      </x:c>
      <x:c r="O3298" s="13" t="n">
        <x:f>F3298/E3298</x:f>
        <x:v>0</x:v>
      </x:c>
      <x:c r="P3298" s="2" t="str">
        <x:f>IF(AND(E3298&gt;='Итоги'!$F$5,N3298&lt;='Итоги'!$B$5,O3298&gt;='Итоги'!$D$5),"Да","Нет")</x:f>
        <x:v>Нет</x:v>
      </x:c>
    </x:row>
    <x:row r="3299" ht="60" customHeight="1">
      <x:c r="A3299" s="14" t="str">
        <x:v>Товары для дома</x:v>
      </x:c>
      <x:c r="B3299" s="14" t="str">
        <x:v>Кухня</x:v>
      </x:c>
      <x:c r="C3299" s="14" t="str">
        <x:v>Питьевое стекло, аксессуар для бара, сосуд для жидкости</x:v>
      </x:c>
      <x:c r="D3299" s="14" t="str">
        <x:v>Стакан</x:v>
      </x:c>
      <x:c r="E3299" s="2" t="n">
        <x:v>30</x:v>
      </x:c>
      <x:c r="F3299" s="2" t="n">
        <x:v>0</x:v>
      </x:c>
      <x:c r="G3299" s="12" t="n">
        <x:v>2712951.1391</x:v>
      </x:c>
      <x:c r="H3299" s="12" t="n">
        <x:v>234980.20666271</x:v>
      </x:c>
      <x:c r="I3299" s="13" t="n">
        <x:v>0.0694033333333333</x:v>
      </x:c>
      <x:c r="J3299" s="2" t="n">
        <x:v>7</x:v>
      </x:c>
      <x:c r="K3299" s="2" t="n">
        <x:v>13</x:v>
      </x:c>
      <x:c r="L3299" s="12" t="n">
        <x:v>1206.3808</x:v>
      </x:c>
      <x:c r="M3299" s="13" t="n">
        <x:v>0.3872699040014937</x:v>
      </x:c>
      <x:c r="N3299" s="13" t="n">
        <x:f>H3299/G3299</x:f>
        <x:v>0.08661424206138221</x:v>
      </x:c>
      <x:c r="O3299" s="13" t="n">
        <x:f>F3299/E3299</x:f>
        <x:v>0</x:v>
      </x:c>
      <x:c r="P3299" s="2" t="str">
        <x:f>IF(AND(E3299&gt;='Итоги'!$F$5,N3299&lt;='Итоги'!$B$5,O3299&gt;='Итоги'!$D$5),"Да","Нет")</x:f>
        <x:v>Нет</x:v>
      </x:c>
    </x:row>
    <x:row r="3300" ht="60" customHeight="1">
      <x:c r="A3300" s="14" t="str">
        <x:v>Товары для красоты и здоровья</x:v>
      </x:c>
      <x:c r="B3300" s="14" t="str">
        <x:v>Косметика для ухода за кожей</x:v>
      </x:c>
      <x:c r="C3300" s="14" t="str">
        <x:v>Лицо</x:v>
      </x:c>
      <x:c r="D3300" s="14" t="str">
        <x:v>Масло для лица</x:v>
      </x:c>
      <x:c r="E3300" s="2" t="n">
        <x:v>5</x:v>
      </x:c>
      <x:c r="F3300" s="2" t="n">
        <x:v>0</x:v>
      </x:c>
      <x:c r="G3300" s="12" t="n">
        <x:v>486775.3382</x:v>
      </x:c>
      <x:c r="H3300" s="12" t="n">
        <x:v>42171.85091688</x:v>
      </x:c>
      <x:c r="I3300" s="13" t="n">
        <x:v>0.0756199999999999</x:v>
      </x:c>
      <x:c r="J3300" s="2" t="n">
        <x:v>1</x:v>
      </x:c>
      <x:c r="K3300" s="2" t="n">
        <x:v>3</x:v>
      </x:c>
      <x:c r="L3300" s="12" t="n">
        <x:v>1631.9806</x:v>
      </x:c>
      <x:c r="M3300" s="13" t="n">
        <x:v>0.6874034188694237</x:v>
      </x:c>
      <x:c r="N3300" s="13" t="n">
        <x:f>H3300/G3300</x:f>
        <x:v>0.08663514275974468</x:v>
      </x:c>
      <x:c r="O3300" s="13" t="n">
        <x:f>F3300/E3300</x:f>
        <x:v>0</x:v>
      </x:c>
      <x:c r="P3300" s="2" t="str">
        <x:f>IF(AND(E3300&gt;='Итоги'!$F$5,N3300&lt;='Итоги'!$B$5,O3300&gt;='Итоги'!$D$5),"Да","Нет")</x:f>
        <x:v>Нет</x:v>
      </x:c>
    </x:row>
    <x:row r="3301" ht="60" customHeight="1">
      <x:c r="A3301" s="14" t="str">
        <x:v>Аксессуары для электроники</x:v>
      </x:c>
      <x:c r="B3301" s="14" t="str">
        <x:v>Игровые приставки и аксессуары Access</x:v>
      </x:c>
      <x:c r="C3301" s="14" t="str">
        <x:v>Комплект аксессуаров для игровой приставки Access</x:v>
      </x:c>
      <x:c r="D3301" s="14" t="str">
        <x:v>Комплект аксессуаров универсальных для игровой приставки</x:v>
      </x:c>
      <x:c r="E3301" s="2" t="n">
        <x:v>21</x:v>
      </x:c>
      <x:c r="F3301" s="2" t="n">
        <x:v>0</x:v>
      </x:c>
      <x:c r="G3301" s="12" t="n">
        <x:v>2514819.2021</x:v>
      </x:c>
      <x:c r="H3301" s="12" t="n">
        <x:v>217975.35542281</x:v>
      </x:c>
      <x:c r="I3301" s="13" t="n">
        <x:v>0.0915285714285714</x:v>
      </x:c>
      <x:c r="J3301" s="2" t="n">
        <x:v>3</x:v>
      </x:c>
      <x:c r="K3301" s="2" t="n">
        <x:v>17</x:v>
      </x:c>
      <x:c r="L3301" s="12" t="n">
        <x:v>2155.5833</x:v>
      </x:c>
      <x:c r="M3301" s="13" t="n">
        <x:v>0.1399238009261898</x:v>
      </x:c>
      <x:c r="N3301" s="13" t="n">
        <x:f>H3301/G3301</x:f>
        <x:v>0.0866763524156288</x:v>
      </x:c>
      <x:c r="O3301" s="13" t="n">
        <x:f>F3301/E3301</x:f>
        <x:v>0</x:v>
      </x:c>
      <x:c r="P3301" s="2" t="str">
        <x:f>IF(AND(E3301&gt;='Итоги'!$F$5,N3301&lt;='Итоги'!$B$5,O3301&gt;='Итоги'!$D$5),"Да","Нет")</x:f>
        <x:v>Нет</x:v>
      </x:c>
    </x:row>
    <x:row r="3302" ht="60" customHeight="1">
      <x:c r="A3302" s="14" t="str">
        <x:v>Товары для дома</x:v>
      </x:c>
      <x:c r="B3302" s="14" t="str">
        <x:v>Кухня</x:v>
      </x:c>
      <x:c r="C3302" s="14" t="str">
        <x:v>Столовая посуда</x:v>
      </x:c>
      <x:c r="D3302" s="14" t="str">
        <x:v>Соусник</x:v>
      </x:c>
      <x:c r="E3302" s="2" t="n">
        <x:v>2</x:v>
      </x:c>
      <x:c r="F3302" s="2" t="n">
        <x:v>0</x:v>
      </x:c>
      <x:c r="G3302" s="12" t="n">
        <x:v>227953.99</x:v>
      </x:c>
      <x:c r="H3302" s="12" t="n">
        <x:v>19775.583763</x:v>
      </x:c>
      <x:c r="I3302" s="13" t="n">
        <x:v>0.07325</x:v>
      </x:c>
      <x:c r="J3302" s="2" t="n">
        <x:v>0</x:v>
      </x:c>
      <x:c r="K3302" s="2" t="n">
        <x:v>1</x:v>
      </x:c>
      <x:c r="L3302" s="12" t="n">
        <x:v>1456.7392</x:v>
      </x:c>
      <x:c r="M3302" s="13" t="n">
        <x:v>1</x:v>
      </x:c>
      <x:c r="N3302" s="13" t="n">
        <x:f>H3302/G3302</x:f>
        <x:v>0.08675252301133224</x:v>
      </x:c>
      <x:c r="O3302" s="13" t="n">
        <x:f>F3302/E3302</x:f>
        <x:v>0</x:v>
      </x:c>
      <x:c r="P3302" s="2" t="str">
        <x:f>IF(AND(E3302&gt;='Итоги'!$F$5,N3302&lt;='Итоги'!$B$5,O3302&gt;='Итоги'!$D$5),"Да","Нет")</x:f>
        <x:v>Нет</x:v>
      </x:c>
    </x:row>
    <x:row r="3303" ht="60" customHeight="1">
      <x:c r="A3303" s="14" t="str">
        <x:v>Школьные принадлежности и канцелярия</x:v>
      </x:c>
      <x:c r="B3303" s="14" t="str">
        <x:v>Товары для школы, канцелярия, оборудование</x:v>
      </x:c>
      <x:c r="C3303" s="14" t="str">
        <x:v>Офисные принадлежности</x:v>
      </x:c>
      <x:c r="D3303" s="14" t="str">
        <x:v>Канцелярский набор</x:v>
      </x:c>
      <x:c r="E3303" s="2" t="n">
        <x:v>19</x:v>
      </x:c>
      <x:c r="F3303" s="2" t="n">
        <x:v>0</x:v>
      </x:c>
      <x:c r="G3303" s="12" t="n">
        <x:v>1846939.5194</x:v>
      </x:c>
      <x:c r="H3303" s="12" t="n">
        <x:v>160273.05497055</x:v>
      </x:c>
      <x:c r="I3303" s="13" t="n">
        <x:v>0.0828105263157894</x:v>
      </x:c>
      <x:c r="J3303" s="2" t="n">
        <x:v>6</x:v>
      </x:c>
      <x:c r="K3303" s="2" t="n">
        <x:v>6</x:v>
      </x:c>
      <x:c r="L3303" s="12" t="n">
        <x:v>2373.8105</x:v>
      </x:c>
      <x:c r="M3303" s="13" t="n">
        <x:v>0.8252110604548256</x:v>
      </x:c>
      <x:c r="N3303" s="13" t="n">
        <x:f>H3303/G3303</x:f>
        <x:v>0.08677764122055094</x:v>
      </x:c>
      <x:c r="O3303" s="13" t="n">
        <x:f>F3303/E3303</x:f>
        <x:v>0</x:v>
      </x:c>
      <x:c r="P3303" s="2" t="str">
        <x:f>IF(AND(E3303&gt;='Итоги'!$F$5,N3303&lt;='Итоги'!$B$5,O3303&gt;='Итоги'!$D$5),"Да","Нет")</x:f>
        <x:v>Нет</x:v>
      </x:c>
    </x:row>
    <x:row r="3304" ht="60" customHeight="1">
      <x:c r="A3304" s="14" t="str">
        <x:v>Товары для дома</x:v>
      </x:c>
      <x:c r="B3304" s="14" t="str">
        <x:v>Кухня</x:v>
      </x:c>
      <x:c r="C3304" s="14" t="str">
        <x:v>Питьевое стекло, аксессуар для бара, сосуд для жидкости</x:v>
      </x:c>
      <x:c r="D3304" s="14" t="str">
        <x:v>Штопор</x:v>
      </x:c>
      <x:c r="E3304" s="2" t="n">
        <x:v>4</x:v>
      </x:c>
      <x:c r="F3304" s="2" t="n">
        <x:v>0</x:v>
      </x:c>
      <x:c r="G3304" s="12" t="n">
        <x:v>145250.77370000002</x:v>
      </x:c>
      <x:c r="H3304" s="12" t="n">
        <x:v>12610.21615776</x:v>
      </x:c>
      <x:c r="I3304" s="13" t="n">
        <x:v>0.0318499999999999</x:v>
      </x:c>
      <x:c r="J3304" s="2" t="n">
        <x:v>2</x:v>
      </x:c>
      <x:c r="K3304" s="2" t="n">
        <x:v>4</x:v>
      </x:c>
      <x:c r="L3304" s="12" t="n">
        <x:v>3677</x:v>
      </x:c>
      <x:c r="M3304" s="13" t="n">
        <x:v>0.6923389882087767</x:v>
      </x:c>
      <x:c r="N3304" s="13" t="n">
        <x:f>H3304/G3304</x:f>
        <x:v>0.08681686049951828</x:v>
      </x:c>
      <x:c r="O3304" s="13" t="n">
        <x:f>F3304/E3304</x:f>
        <x:v>0</x:v>
      </x:c>
      <x:c r="P3304" s="2" t="str">
        <x:f>IF(AND(E3304&gt;='Итоги'!$F$5,N3304&lt;='Итоги'!$B$5,O3304&gt;='Итоги'!$D$5),"Да","Нет")</x:f>
        <x:v>Нет</x:v>
      </x:c>
    </x:row>
    <x:row r="3305" ht="60" customHeight="1">
      <x:c r="A3305" s="14" t="str">
        <x:v>Аптека</x:v>
      </x:c>
      <x:c r="B3305" s="14" t="str">
        <x:v>Медицинские изделия</x:v>
      </x:c>
      <x:c r="C3305" s="14" t="str">
        <x:v>Медицинские изделия</x:v>
      </x:c>
      <x:c r="D3305" s="14" t="str">
        <x:v>Жгут для забора крови</x:v>
      </x:c>
      <x:c r="E3305" s="2" t="n">
        <x:v>11</x:v>
      </x:c>
      <x:c r="F3305" s="2" t="n">
        <x:v>0</x:v>
      </x:c>
      <x:c r="G3305" s="12" t="n">
        <x:v>2259277.95</x:v>
      </x:c>
      <x:c r="H3305" s="12" t="n">
        <x:v>196281.010198</x:v>
      </x:c>
      <x:c r="I3305" s="13" t="n">
        <x:v>0.0668636363636363</x:v>
      </x:c>
      <x:c r="J3305" s="2" t="n">
        <x:v>4</x:v>
      </x:c>
      <x:c r="K3305" s="2" t="n">
        <x:v>4</x:v>
      </x:c>
      <x:c r="L3305" s="12" t="n">
        <x:v>2002.9333</x:v>
      </x:c>
      <x:c r="M3305" s="13" t="n">
        <x:v>0.805063383192847</x:v>
      </x:c>
      <x:c r="N3305" s="13" t="n">
        <x:f>H3305/G3305</x:f>
        <x:v>0.08687776118825928</x:v>
      </x:c>
      <x:c r="O3305" s="13" t="n">
        <x:f>F3305/E3305</x:f>
        <x:v>0</x:v>
      </x:c>
      <x:c r="P3305" s="2" t="str">
        <x:f>IF(AND(E3305&gt;='Итоги'!$F$5,N3305&lt;='Итоги'!$B$5,O3305&gt;='Итоги'!$D$5),"Да","Нет")</x:f>
        <x:v>Нет</x:v>
      </x:c>
    </x:row>
    <x:row r="3306" ht="60" customHeight="1">
      <x:c r="A3306" s="14" t="str">
        <x:v>Строительство и ремонт (DIY)</x:v>
      </x:c>
      <x:c r="B3306" s="14" t="str">
        <x:v>Ремонт и строительство</x:v>
      </x:c>
      <x:c r="C3306" s="14" t="str">
        <x:v>Электротовары</x:v>
      </x:c>
      <x:c r="D3306" s="14" t="str">
        <x:v>Светорегулятор/диммер</x:v>
      </x:c>
      <x:c r="E3306" s="2" t="n">
        <x:v>3</x:v>
      </x:c>
      <x:c r="F3306" s="2" t="n">
        <x:v>0</x:v>
      </x:c>
      <x:c r="G3306" s="12" t="n">
        <x:v>323991.5</x:v>
      </x:c>
      <x:c r="H3306" s="12" t="n">
        <x:v>28164.123441</x:v>
      </x:c>
      <x:c r="I3306" s="13" t="n">
        <x:v>0.0721666666666666</x:v>
      </x:c>
      <x:c r="J3306" s="2" t="n">
        <x:v>0</x:v>
      </x:c>
      <x:c r="K3306" s="2" t="n">
        <x:v>2</x:v>
      </x:c>
      <x:c r="L3306" s="12" t="n">
        <x:v>2439.4242</x:v>
      </x:c>
      <x:c r="M3306" s="13" t="n">
        <x:v>0.553405351683609</x:v>
      </x:c>
      <x:c r="N3306" s="13" t="n">
        <x:f>H3306/G3306</x:f>
        <x:v>0.0869285874505967</x:v>
      </x:c>
      <x:c r="O3306" s="13" t="n">
        <x:f>F3306/E3306</x:f>
        <x:v>0</x:v>
      </x:c>
      <x:c r="P3306" s="2" t="str">
        <x:f>IF(AND(E3306&gt;='Итоги'!$F$5,N3306&lt;='Итоги'!$B$5,O3306&gt;='Итоги'!$D$5),"Да","Нет")</x:f>
        <x:v>Нет</x:v>
      </x:c>
    </x:row>
    <x:row r="3307" ht="60" customHeight="1">
      <x:c r="A3307" s="14" t="str">
        <x:v>Строительство и ремонт (DIY)</x:v>
      </x:c>
      <x:c r="B3307" s="14" t="str">
        <x:v>Ремонт и строительство</x:v>
      </x:c>
      <x:c r="C3307" s="14" t="str">
        <x:v>Аксессуары для ремонта</x:v>
      </x:c>
      <x:c r="D3307" s="14" t="str">
        <x:v>Лента клейкая для ремонта</x:v>
      </x:c>
      <x:c r="E3307" s="2" t="n">
        <x:v>18</x:v>
      </x:c>
      <x:c r="F3307" s="2" t="n">
        <x:v>0</x:v>
      </x:c>
      <x:c r="G3307" s="12" t="n">
        <x:v>2220424.2634</x:v>
      </x:c>
      <x:c r="H3307" s="12" t="n">
        <x:v>193266.05289432</x:v>
      </x:c>
      <x:c r="I3307" s="13" t="n">
        <x:v>0.0542333333333333</x:v>
      </x:c>
      <x:c r="J3307" s="2" t="n">
        <x:v>5</x:v>
      </x:c>
      <x:c r="K3307" s="2" t="n">
        <x:v>10</x:v>
      </x:c>
      <x:c r="L3307" s="12" t="n">
        <x:v>1217.7893</x:v>
      </x:c>
      <x:c r="M3307" s="13" t="n">
        <x:v>0.3199336176917044</x:v>
      </x:c>
      <x:c r="N3307" s="13" t="n">
        <x:f>H3307/G3307</x:f>
        <x:v>0.08704014637201968</x:v>
      </x:c>
      <x:c r="O3307" s="13" t="n">
        <x:f>F3307/E3307</x:f>
        <x:v>0</x:v>
      </x:c>
      <x:c r="P3307" s="2" t="str">
        <x:f>IF(AND(E3307&gt;='Итоги'!$F$5,N3307&lt;='Итоги'!$B$5,O3307&gt;='Итоги'!$D$5),"Да","Нет")</x:f>
        <x:v>Нет</x:v>
      </x:c>
    </x:row>
    <x:row r="3308" ht="60" customHeight="1">
      <x:c r="A3308" s="14" t="str">
        <x:v>Аксессуары для электроники</x:v>
      </x:c>
      <x:c r="B3308" s="14" t="str">
        <x:v>Домашняя Аудио и Видеотехника Access</x:v>
      </x:c>
      <x:c r="C3308" s="14" t="str">
        <x:v>Аксессуар к TV и аудиотехнике Access</x:v>
      </x:c>
      <x:c r="D3308" s="14" t="str">
        <x:v>Универсальный пульт для электроники</x:v>
      </x:c>
      <x:c r="E3308" s="2" t="n">
        <x:v>43</x:v>
      </x:c>
      <x:c r="F3308" s="2" t="n">
        <x:v>0</x:v>
      </x:c>
      <x:c r="G3308" s="12" t="n">
        <x:v>5958779.8214</x:v>
      </x:c>
      <x:c r="H3308" s="12" t="n">
        <x:v>518780.54265425</x:v>
      </x:c>
      <x:c r="I3308" s="13" t="n">
        <x:v>0.0880465116279069</x:v>
      </x:c>
      <x:c r="J3308" s="2" t="n">
        <x:v>6</x:v>
      </x:c>
      <x:c r="K3308" s="2" t="n">
        <x:v>11</x:v>
      </x:c>
      <x:c r="L3308" s="12" t="n">
        <x:v>1066.3242</x:v>
      </x:c>
      <x:c r="M3308" s="13" t="n">
        <x:v>0.6614446417276713</x:v>
      </x:c>
      <x:c r="N3308" s="13" t="n">
        <x:f>H3308/G3308</x:f>
        <x:v>0.08706153914113977</x:v>
      </x:c>
      <x:c r="O3308" s="13" t="n">
        <x:f>F3308/E3308</x:f>
        <x:v>0</x:v>
      </x:c>
      <x:c r="P3308" s="2" t="str">
        <x:f>IF(AND(E3308&gt;='Итоги'!$F$5,N3308&lt;='Итоги'!$B$5,O3308&gt;='Итоги'!$D$5),"Да","Нет")</x:f>
        <x:v>Нет</x:v>
      </x:c>
    </x:row>
    <x:row r="3309" ht="60" customHeight="1">
      <x:c r="A3309" s="14" t="str">
        <x:v>Товары для животных</x:v>
      </x:c>
      <x:c r="B3309" s="14" t="str">
        <x:v>Фермерское хозяйство - Оборудование для птицеводства и животноводства</x:v>
      </x:c>
      <x:c r="C3309" s="14" t="str">
        <x:v>Система кормления и поения для сельскохозяйственных животных и птиц</x:v>
      </x:c>
      <x:c r="D3309" s="14" t="str">
        <x:v>Ниппельная поилка</x:v>
      </x:c>
      <x:c r="E3309" s="2" t="n">
        <x:v>2</x:v>
      </x:c>
      <x:c r="F3309" s="2" t="n">
        <x:v>0</x:v>
      </x:c>
      <x:c r="G3309" s="12" t="n">
        <x:v>357583.07</x:v>
      </x:c>
      <x:c r="H3309" s="12" t="n">
        <x:v>31144.833</x:v>
      </x:c>
      <x:c r="I3309" s="13" t="n">
        <x:v>0.0753</x:v>
      </x:c>
      <x:c r="J3309" s="2" t="n">
        <x:v>1</x:v>
      </x:c>
      <x:c r="K3309" s="2" t="n">
        <x:v>2</x:v>
      </x:c>
      <x:c r="L3309" s="12" t="n">
        <x:v>1283.8735</x:v>
      </x:c>
      <x:c r="M3309" s="13" t="n">
        <x:v>0.5783411390254019</x:v>
      </x:c>
      <x:c r="N3309" s="13" t="n">
        <x:f>H3309/G3309</x:f>
        <x:v>0.08709817553722551</x:v>
      </x:c>
      <x:c r="O3309" s="13" t="n">
        <x:f>F3309/E3309</x:f>
        <x:v>0</x:v>
      </x:c>
      <x:c r="P3309" s="2" t="str">
        <x:f>IF(AND(E3309&gt;='Итоги'!$F$5,N3309&lt;='Итоги'!$B$5,O3309&gt;='Итоги'!$D$5),"Да","Нет")</x:f>
        <x:v>Нет</x:v>
      </x:c>
    </x:row>
    <x:row r="3310" ht="60" customHeight="1">
      <x:c r="A3310" s="14" t="str">
        <x:v>Товары для красоты и здоровья</x:v>
      </x:c>
      <x:c r="B3310" s="14" t="str">
        <x:v>Косметические аксессуары</x:v>
      </x:c>
      <x:c r="C3310" s="14" t="str">
        <x:v>Аксессуары для солярия</x:v>
      </x:c>
      <x:c r="D3310" s="14" t="str">
        <x:v>Аксессуары для солярия</x:v>
      </x:c>
      <x:c r="E3310" s="2" t="n">
        <x:v>28</x:v>
      </x:c>
      <x:c r="F3310" s="2" t="n">
        <x:v>0</x:v>
      </x:c>
      <x:c r="G3310" s="12" t="n">
        <x:v>3944667.1386</x:v>
      </x:c>
      <x:c r="H3310" s="12" t="n">
        <x:v>343591.29432676</x:v>
      </x:c>
      <x:c r="I3310" s="13" t="n">
        <x:v>0.0967107142857142</x:v>
      </x:c>
      <x:c r="J3310" s="2" t="n">
        <x:v>1</x:v>
      </x:c>
      <x:c r="K3310" s="2" t="n">
        <x:v>10</x:v>
      </x:c>
      <x:c r="L3310" s="12" t="n">
        <x:v>1653.51095</x:v>
      </x:c>
      <x:c r="M3310" s="13" t="n">
        <x:v>0.4218331624783343</x:v>
      </x:c>
      <x:c r="N3310" s="13" t="n">
        <x:f>H3310/G3310</x:f>
        <x:v>0.08710273446511986</x:v>
      </x:c>
      <x:c r="O3310" s="13" t="n">
        <x:f>F3310/E3310</x:f>
        <x:v>0</x:v>
      </x:c>
      <x:c r="P3310" s="2" t="str">
        <x:f>IF(AND(E3310&gt;='Итоги'!$F$5,N3310&lt;='Итоги'!$B$5,O3310&gt;='Итоги'!$D$5),"Да","Нет")</x:f>
        <x:v>Нет</x:v>
      </x:c>
    </x:row>
    <x:row r="3311" ht="60" customHeight="1">
      <x:c r="A3311" s="14" t="str">
        <x:v>Одежда</x:v>
      </x:c>
      <x:c r="B3311" s="14" t="str">
        <x:v>Белье, домашняя одежда и ЧНИ</x:v>
      </x:c>
      <x:c r="C3311" s="14" t="str">
        <x:v>Белье мужское</x:v>
      </x:c>
      <x:c r="D3311" s="14" t="str">
        <x:v>Трусы мужские</x:v>
      </x:c>
      <x:c r="E3311" s="2" t="n">
        <x:v>435</x:v>
      </x:c>
      <x:c r="F3311" s="2" t="n">
        <x:v>0</x:v>
      </x:c>
      <x:c r="G3311" s="12" t="n">
        <x:v>62995985.4441</x:v>
      </x:c>
      <x:c r="H3311" s="12" t="n">
        <x:v>5490387.36599594</x:v>
      </x:c>
      <x:c r="I3311" s="13" t="n">
        <x:v>0.074963908045977</x:v>
      </x:c>
      <x:c r="J3311" s="2" t="n">
        <x:v>175</x:v>
      </x:c>
      <x:c r="K3311" s="2" t="n">
        <x:v>59</x:v>
      </x:c>
      <x:c r="L3311" s="12" t="n">
        <x:v>974.3432</x:v>
      </x:c>
      <x:c r="M3311" s="13" t="n">
        <x:v>0.4712008896922508</x:v>
      </x:c>
      <x:c r="N3311" s="13" t="n">
        <x:f>H3311/G3311</x:f>
        <x:v>0.08715455956900428</x:v>
      </x:c>
      <x:c r="O3311" s="13" t="n">
        <x:f>F3311/E3311</x:f>
        <x:v>0</x:v>
      </x:c>
      <x:c r="P3311" s="2" t="str">
        <x:f>IF(AND(E3311&gt;='Итоги'!$F$5,N3311&lt;='Итоги'!$B$5,O3311&gt;='Итоги'!$D$5),"Да","Нет")</x:f>
        <x:v>Нет</x:v>
      </x:c>
    </x:row>
    <x:row r="3312" ht="60" customHeight="1">
      <x:c r="A3312" s="14" t="str">
        <x:v>Игрушки</x:v>
      </x:c>
      <x:c r="B3312" s="14" t="str">
        <x:v>Игрушки</x:v>
      </x:c>
      <x:c r="C3312" s="14" t="str">
        <x:v>Конструктор</x:v>
      </x:c>
      <x:c r="D3312" s="14" t="str">
        <x:v>Конструктор электронный</x:v>
      </x:c>
      <x:c r="E3312" s="2" t="n">
        <x:v>30</x:v>
      </x:c>
      <x:c r="F3312" s="2" t="n">
        <x:v>0</x:v>
      </x:c>
      <x:c r="G3312" s="12" t="n">
        <x:v>3188828.2204</x:v>
      </x:c>
      <x:c r="H3312" s="12" t="n">
        <x:v>277925.32420477</x:v>
      </x:c>
      <x:c r="I3312" s="13" t="n">
        <x:v>0.0815533333333333</x:v>
      </x:c>
      <x:c r="J3312" s="2" t="n">
        <x:v>6</x:v>
      </x:c>
      <x:c r="K3312" s="2" t="n">
        <x:v>15</x:v>
      </x:c>
      <x:c r="L3312" s="12" t="n">
        <x:v>2404.7728500000003</x:v>
      </x:c>
      <x:c r="M3312" s="13" t="n">
        <x:v>0.3483143907201982</x:v>
      </x:c>
      <x:c r="N3312" s="13" t="n">
        <x:f>H3312/G3312</x:f>
        <x:v>0.08715594099010689</x:v>
      </x:c>
      <x:c r="O3312" s="13" t="n">
        <x:f>F3312/E3312</x:f>
        <x:v>0</x:v>
      </x:c>
      <x:c r="P3312" s="2" t="str">
        <x:f>IF(AND(E3312&gt;='Итоги'!$F$5,N3312&lt;='Итоги'!$B$5,O3312&gt;='Итоги'!$D$5),"Да","Нет")</x:f>
        <x:v>Нет</x:v>
      </x:c>
    </x:row>
    <x:row r="3313" ht="60" customHeight="1">
      <x:c r="A3313" s="14" t="str">
        <x:v>Аптека</x:v>
      </x:c>
      <x:c r="B3313" s="14" t="str">
        <x:v>Медицинская техника</x:v>
      </x:c>
      <x:c r="C3313" s="14" t="str">
        <x:v>Медицинская техника</x:v>
      </x:c>
      <x:c r="D3313" s="14" t="str">
        <x:v>Насадки для лечебных приборов</x:v>
      </x:c>
      <x:c r="E3313" s="2" t="n">
        <x:v>2</x:v>
      </x:c>
      <x:c r="F3313" s="2" t="n">
        <x:v>0</x:v>
      </x:c>
      <x:c r="G3313" s="12" t="n">
        <x:v>249181</x:v>
      </x:c>
      <x:c r="H3313" s="12" t="n">
        <x:v>21720.2894</x:v>
      </x:c>
      <x:c r="I3313" s="13" t="n">
        <x:v>0.06885</x:v>
      </x:c>
      <x:c r="J3313" s="2" t="n">
        <x:v>0</x:v>
      </x:c>
      <x:c r="K3313" s="2" t="n">
        <x:v>2</x:v>
      </x:c>
      <x:c r="L3313" s="12" t="n">
        <x:v>3314.92565</x:v>
      </x:c>
      <x:c r="M3313" s="13" t="n">
        <x:v>0.6337963167336194</x:v>
      </x:c>
      <x:c r="N3313" s="13" t="n">
        <x:f>H3313/G3313</x:f>
        <x:v>0.0871667157608325</x:v>
      </x:c>
      <x:c r="O3313" s="13" t="n">
        <x:f>F3313/E3313</x:f>
        <x:v>0</x:v>
      </x:c>
      <x:c r="P3313" s="2" t="str">
        <x:f>IF(AND(E3313&gt;='Итоги'!$F$5,N3313&lt;='Итоги'!$B$5,O3313&gt;='Итоги'!$D$5),"Да","Нет")</x:f>
        <x:v>Нет</x:v>
      </x:c>
    </x:row>
    <x:row r="3314" ht="60" customHeight="1">
      <x:c r="A3314" s="14" t="str">
        <x:v>Спорт и отдых</x:v>
      </x:c>
      <x:c r="B3314" s="14" t="str">
        <x:v>Товары для рыбалки</x:v>
      </x:c>
      <x:c r="C3314" s="14" t="str">
        <x:v>Прикормки, насадки, ароматизаторы рыболовные</x:v>
      </x:c>
      <x:c r="D3314" s="14" t="str">
        <x:v>Насадка рыболовная</x:v>
      </x:c>
      <x:c r="E3314" s="2" t="n">
        <x:v>2</x:v>
      </x:c>
      <x:c r="F3314" s="2" t="n">
        <x:v>0</x:v>
      </x:c>
      <x:c r="G3314" s="12" t="n">
        <x:v>201136.7</x:v>
      </x:c>
      <x:c r="H3314" s="12" t="n">
        <x:v>17533.282721000003</x:v>
      </x:c>
      <x:c r="I3314" s="13" t="n">
        <x:v>0.08785</x:v>
      </x:c>
      <x:c r="J3314" s="2" t="n">
        <x:v>0</x:v>
      </x:c>
      <x:c r="K3314" s="2" t="n">
        <x:v>1</x:v>
      </x:c>
      <x:c r="L3314" s="12" t="n">
        <x:v>795.40525</x:v>
      </x:c>
      <x:c r="M3314" s="13" t="n">
        <x:v>1</x:v>
      </x:c>
      <x:c r="N3314" s="13" t="n">
        <x:f>H3314/G3314</x:f>
        <x:v>0.08717097735520173</x:v>
      </x:c>
      <x:c r="O3314" s="13" t="n">
        <x:f>F3314/E3314</x:f>
        <x:v>0</x:v>
      </x:c>
      <x:c r="P3314" s="2" t="str">
        <x:f>IF(AND(E3314&gt;='Итоги'!$F$5,N3314&lt;='Итоги'!$B$5,O3314&gt;='Итоги'!$D$5),"Да","Нет")</x:f>
        <x:v>Нет</x:v>
      </x:c>
    </x:row>
    <x:row r="3315" ht="60" customHeight="1">
      <x:c r="A3315" s="14" t="str">
        <x:v>Аптека</x:v>
      </x:c>
      <x:c r="B3315" s="14" t="str">
        <x:v>Спортивное питание</x:v>
      </x:c>
      <x:c r="C3315" s="14" t="str">
        <x:v>Протеины (высокобелковые смеси)</x:v>
      </x:c>
      <x:c r="D3315" s="14" t="str">
        <x:v>Казеиновый протеин</x:v>
      </x:c>
      <x:c r="E3315" s="2" t="n">
        <x:v>48</x:v>
      </x:c>
      <x:c r="F3315" s="2" t="n">
        <x:v>0</x:v>
      </x:c>
      <x:c r="G3315" s="12" t="n">
        <x:v>9693318.2261</x:v>
      </x:c>
      <x:c r="H3315" s="12" t="n">
        <x:v>845576.06451436</x:v>
      </x:c>
      <x:c r="I3315" s="13" t="n">
        <x:v>0.0810979166666666</x:v>
      </x:c>
      <x:c r="J3315" s="2" t="n">
        <x:v>11</x:v>
      </x:c>
      <x:c r="K3315" s="2" t="n">
        <x:v>5</x:v>
      </x:c>
      <x:c r="L3315" s="12" t="n">
        <x:v>1966.1537</x:v>
      </x:c>
      <x:c r="M3315" s="13" t="n">
        <x:v>0.934634303370547</x:v>
      </x:c>
      <x:c r="N3315" s="13" t="n">
        <x:f>H3315/G3315</x:f>
        <x:v>0.08723287988602106</x:v>
      </x:c>
      <x:c r="O3315" s="13" t="n">
        <x:f>F3315/E3315</x:f>
        <x:v>0</x:v>
      </x:c>
      <x:c r="P3315" s="2" t="str">
        <x:f>IF(AND(E3315&gt;='Итоги'!$F$5,N3315&lt;='Итоги'!$B$5,O3315&gt;='Итоги'!$D$5),"Да","Нет")</x:f>
        <x:v>Нет</x:v>
      </x:c>
    </x:row>
    <x:row r="3316" ht="60" customHeight="1">
      <x:c r="A3316" s="14" t="str">
        <x:v>Аптека</x:v>
      </x:c>
      <x:c r="B3316" s="14" t="str">
        <x:v>Медицинская техника</x:v>
      </x:c>
      <x:c r="C3316" s="14" t="str">
        <x:v>Медицинская техника</x:v>
      </x:c>
      <x:c r="D3316" s="14" t="str">
        <x:v>Аппарат для прессотерапии</x:v>
      </x:c>
      <x:c r="E3316" s="2" t="n">
        <x:v>3</x:v>
      </x:c>
      <x:c r="F3316" s="2" t="n">
        <x:v>0</x:v>
      </x:c>
      <x:c r="G3316" s="12" t="n">
        <x:v>263127.41000000003</x:v>
      </x:c>
      <x:c r="H3316" s="12" t="n">
        <x:v>22969.843138</x:v>
      </x:c>
      <x:c r="I3316" s="13" t="n">
        <x:v>0.0855</x:v>
      </x:c>
      <x:c r="J3316" s="2" t="n">
        <x:v>1</x:v>
      </x:c>
      <x:c r="K3316" s="2" t="n">
        <x:v>3</x:v>
      </x:c>
      <x:c r="L3316" s="12" t="n">
        <x:v>5423.6924</x:v>
      </x:c>
      <x:c r="M3316" s="13" t="n">
        <x:v>0.3504111183247689</x:v>
      </x:c>
      <x:c r="N3316" s="13" t="n">
        <x:f>H3316/G3316</x:f>
        <x:v>0.08729551641161215</x:v>
      </x:c>
      <x:c r="O3316" s="13" t="n">
        <x:f>F3316/E3316</x:f>
        <x:v>0</x:v>
      </x:c>
      <x:c r="P3316" s="2" t="str">
        <x:f>IF(AND(E3316&gt;='Итоги'!$F$5,N3316&lt;='Итоги'!$B$5,O3316&gt;='Итоги'!$D$5),"Да","Нет")</x:f>
        <x:v>Нет</x:v>
      </x:c>
    </x:row>
    <x:row r="3317" ht="60" customHeight="1">
      <x:c r="A3317" s="14" t="str">
        <x:v>Хобби и творчество</x:v>
      </x:c>
      <x:c r="B3317" s="14" t="str">
        <x:v>Детское творчество и хобби</x:v>
      </x:c>
      <x:c r="C3317" s="14" t="str">
        <x:v>Настольные и обучающие игры</x:v>
      </x:c>
      <x:c r="D3317" s="14" t="str">
        <x:v>Развлекательная настольная игра</x:v>
      </x:c>
      <x:c r="E3317" s="2" t="n">
        <x:v>140</x:v>
      </x:c>
      <x:c r="F3317" s="2" t="n">
        <x:v>0</x:v>
      </x:c>
      <x:c r="G3317" s="12" t="n">
        <x:v>11908004.7502</x:v>
      </x:c>
      <x:c r="H3317" s="12" t="n">
        <x:v>1040262.72394198</x:v>
      </x:c>
      <x:c r="I3317" s="13" t="n">
        <x:v>0.0836192857142857</x:v>
      </x:c>
      <x:c r="J3317" s="2" t="n">
        <x:v>34</x:v>
      </x:c>
      <x:c r="K3317" s="2" t="n">
        <x:v>53</x:v>
      </x:c>
      <x:c r="L3317" s="12" t="n">
        <x:v>1537.2529</x:v>
      </x:c>
      <x:c r="M3317" s="13" t="n">
        <x:v>0.5380233396524632</x:v>
      </x:c>
      <x:c r="N3317" s="13" t="n">
        <x:f>H3317/G3317</x:f>
        <x:v>0.087358272503587</x:v>
      </x:c>
      <x:c r="O3317" s="13" t="n">
        <x:f>F3317/E3317</x:f>
        <x:v>0</x:v>
      </x:c>
      <x:c r="P3317" s="2" t="str">
        <x:f>IF(AND(E3317&gt;='Итоги'!$F$5,N3317&lt;='Итоги'!$B$5,O3317&gt;='Итоги'!$D$5),"Да","Нет")</x:f>
        <x:v>Нет</x:v>
      </x:c>
    </x:row>
    <x:row r="3318" ht="60" customHeight="1">
      <x:c r="A3318" s="14" t="str">
        <x:v>Аптека</x:v>
      </x:c>
      <x:c r="B3318" s="14" t="str">
        <x:v>Медицинская техника</x:v>
      </x:c>
      <x:c r="C3318" s="14" t="str">
        <x:v>Приборы и средства диагностики</x:v>
      </x:c>
      <x:c r="D3318" s="14" t="str">
        <x:v>Фетальный допплер</x:v>
      </x:c>
      <x:c r="E3318" s="2" t="n">
        <x:v>6</x:v>
      </x:c>
      <x:c r="F3318" s="2" t="n">
        <x:v>0</x:v>
      </x:c>
      <x:c r="G3318" s="12" t="n">
        <x:v>787018.08</x:v>
      </x:c>
      <x:c r="H3318" s="12" t="n">
        <x:v>68800.37475999999</x:v>
      </x:c>
      <x:c r="I3318" s="13" t="n">
        <x:v>0.0778499999999999</x:v>
      </x:c>
      <x:c r="J3318" s="2" t="n">
        <x:v>1</x:v>
      </x:c>
      <x:c r="K3318" s="2" t="n">
        <x:v>5</x:v>
      </x:c>
      <x:c r="L3318" s="12" t="n">
        <x:v>1299.02515</x:v>
      </x:c>
      <x:c r="M3318" s="13" t="n">
        <x:v>0.4328936763434965</x:v>
      </x:c>
      <x:c r="N3318" s="13" t="n">
        <x:f>H3318/G3318</x:f>
        <x:v>0.08741905238060096</x:v>
      </x:c>
      <x:c r="O3318" s="13" t="n">
        <x:f>F3318/E3318</x:f>
        <x:v>0</x:v>
      </x:c>
      <x:c r="P3318" s="2" t="str">
        <x:f>IF(AND(E3318&gt;='Итоги'!$F$5,N3318&lt;='Итоги'!$B$5,O3318&gt;='Итоги'!$D$5),"Да","Нет")</x:f>
        <x:v>Нет</x:v>
      </x:c>
    </x:row>
    <x:row r="3319" ht="60" customHeight="1">
      <x:c r="A3319" s="14" t="str">
        <x:v>Строительство и ремонт (DIY)</x:v>
      </x:c>
      <x:c r="B3319" s="14" t="str">
        <x:v>Ремонт и строительство</x:v>
      </x:c>
      <x:c r="C3319" s="14" t="str">
        <x:v>Столярные изделия</x:v>
      </x:c>
      <x:c r="D3319" s="14" t="str">
        <x:v>Рейка, брусок, декоративный брусок, доска половая</x:v>
      </x:c>
      <x:c r="E3319" s="2" t="n">
        <x:v>15</x:v>
      </x:c>
      <x:c r="F3319" s="2" t="n">
        <x:v>0</x:v>
      </x:c>
      <x:c r="G3319" s="12" t="n">
        <x:v>1378378.2154</x:v>
      </x:c>
      <x:c r="H3319" s="12" t="n">
        <x:v>120544.0398908</x:v>
      </x:c>
      <x:c r="I3319" s="13" t="n">
        <x:v>0.0606266666666666</x:v>
      </x:c>
      <x:c r="J3319" s="2" t="n">
        <x:v>5</x:v>
      </x:c>
      <x:c r="K3319" s="2" t="n">
        <x:v>6</x:v>
      </x:c>
      <x:c r="L3319" s="12" t="n">
        <x:v>1460.0417</x:v>
      </x:c>
      <x:c r="M3319" s="13" t="n">
        <x:v>0.3230182764248002</x:v>
      </x:c>
      <x:c r="N3319" s="13" t="n">
        <x:f>H3319/G3319</x:f>
        <x:v>0.08745352947689948</x:v>
      </x:c>
      <x:c r="O3319" s="13" t="n">
        <x:f>F3319/E3319</x:f>
        <x:v>0</x:v>
      </x:c>
      <x:c r="P3319" s="2" t="str">
        <x:f>IF(AND(E3319&gt;='Итоги'!$F$5,N3319&lt;='Итоги'!$B$5,O3319&gt;='Итоги'!$D$5),"Да","Нет")</x:f>
        <x:v>Нет</x:v>
      </x:c>
    </x:row>
    <x:row r="3320" ht="60" customHeight="1">
      <x:c r="A3320" s="14" t="str">
        <x:v>Товары для красоты и здоровья</x:v>
      </x:c>
      <x:c r="B3320" s="14" t="str">
        <x:v>Косметика для ухода за кожей</x:v>
      </x:c>
      <x:c r="C3320" s="14" t="str">
        <x:v>Средства для бритья и депиляции женские</x:v>
      </x:c>
      <x:c r="D3320" s="14" t="str">
        <x:v>Набор средств для депиляции женский</x:v>
      </x:c>
      <x:c r="E3320" s="2" t="n">
        <x:v>11</x:v>
      </x:c>
      <x:c r="F3320" s="2" t="n">
        <x:v>0</x:v>
      </x:c>
      <x:c r="G3320" s="12" t="n">
        <x:v>1993270.9544</x:v>
      </x:c>
      <x:c r="H3320" s="12" t="n">
        <x:v>174353.0676359</x:v>
      </x:c>
      <x:c r="I3320" s="13" t="n">
        <x:v>0.0916999999999999</x:v>
      </x:c>
      <x:c r="J3320" s="2" t="n">
        <x:v>1</x:v>
      </x:c>
      <x:c r="K3320" s="2" t="n">
        <x:v>5</x:v>
      </x:c>
      <x:c r="L3320" s="12" t="n">
        <x:v>897.2316</x:v>
      </x:c>
      <x:c r="M3320" s="13" t="n">
        <x:v>0.7220339843025608</x:v>
      </x:c>
      <x:c r="N3320" s="13" t="n">
        <x:f>H3320/G3320</x:f>
        <x:v>0.08747083142461307</x:v>
      </x:c>
      <x:c r="O3320" s="13" t="n">
        <x:f>F3320/E3320</x:f>
        <x:v>0</x:v>
      </x:c>
      <x:c r="P3320" s="2" t="str">
        <x:f>IF(AND(E3320&gt;='Итоги'!$F$5,N3320&lt;='Итоги'!$B$5,O3320&gt;='Итоги'!$D$5),"Да","Нет")</x:f>
        <x:v>Нет</x:v>
      </x:c>
    </x:row>
    <x:row r="3321" ht="60" customHeight="1">
      <x:c r="A3321" s="14" t="str">
        <x:v>Аксессуары</x:v>
      </x:c>
      <x:c r="B3321" s="14" t="str">
        <x:v>Галантерея</x:v>
      </x:c>
      <x:c r="C3321" s="14" t="str">
        <x:v>Галантерея женская</x:v>
      </x:c>
      <x:c r="D3321" s="14" t="str">
        <x:v>Женская Косметичка</x:v>
      </x:c>
      <x:c r="E3321" s="2" t="n">
        <x:v>19</x:v>
      </x:c>
      <x:c r="F3321" s="2" t="n">
        <x:v>0</x:v>
      </x:c>
      <x:c r="G3321" s="12" t="n">
        <x:v>2008330.4343</x:v>
      </x:c>
      <x:c r="H3321" s="12" t="n">
        <x:v>175678.96737311</x:v>
      </x:c>
      <x:c r="I3321" s="13" t="n">
        <x:v>0.0773052631578947</x:v>
      </x:c>
      <x:c r="J3321" s="2" t="n">
        <x:v>6</x:v>
      </x:c>
      <x:c r="K3321" s="2" t="n">
        <x:v>8</x:v>
      </x:c>
      <x:c r="L3321" s="12" t="n">
        <x:v>1610.1838</x:v>
      </x:c>
      <x:c r="M3321" s="13" t="n">
        <x:v>0.3432140777870798</x:v>
      </x:c>
      <x:c r="N3321" s="13" t="n">
        <x:f>H3321/G3321</x:f>
        <x:v>0.08747513077166637</x:v>
      </x:c>
      <x:c r="O3321" s="13" t="n">
        <x:f>F3321/E3321</x:f>
        <x:v>0</x:v>
      </x:c>
      <x:c r="P3321" s="2" t="str">
        <x:f>IF(AND(E3321&gt;='Итоги'!$F$5,N3321&lt;='Итоги'!$B$5,O3321&gt;='Итоги'!$D$5),"Да","Нет")</x:f>
        <x:v>Нет</x:v>
      </x:c>
    </x:row>
    <x:row r="3322" ht="60" customHeight="1">
      <x:c r="A3322" s="14" t="str">
        <x:v>Аксессуары</x:v>
      </x:c>
      <x:c r="B3322" s="14" t="str">
        <x:v>Галантерея</x:v>
      </x:c>
      <x:c r="C3322" s="14" t="str">
        <x:v>Галантерея женская</x:v>
      </x:c>
      <x:c r="D3322" s="14" t="str">
        <x:v>Женский Несессер</x:v>
      </x:c>
      <x:c r="E3322" s="2" t="n">
        <x:v>2</x:v>
      </x:c>
      <x:c r="F3322" s="2" t="n">
        <x:v>0</x:v>
      </x:c>
      <x:c r="G3322" s="12" t="n">
        <x:v>160346.41</x:v>
      </x:c>
      <x:c r="H3322" s="12" t="n">
        <x:v>14028.088146</x:v>
      </x:c>
      <x:c r="I3322" s="13" t="n">
        <x:v>0.0453</x:v>
      </x:c>
      <x:c r="J3322" s="2" t="n">
        <x:v>1</x:v>
      </x:c>
      <x:c r="K3322" s="2" t="n">
        <x:v>1</x:v>
      </x:c>
      <x:c r="L3322" s="12" t="n">
        <x:v>2407.302</x:v>
      </x:c>
      <x:c r="M3322" s="13" t="n">
        <x:v>1</x:v>
      </x:c>
      <x:c r="N3322" s="13" t="n">
        <x:f>H3322/G3322</x:f>
        <x:v>0.08748613795594176</x:v>
      </x:c>
      <x:c r="O3322" s="13" t="n">
        <x:f>F3322/E3322</x:f>
        <x:v>0</x:v>
      </x:c>
      <x:c r="P3322" s="2" t="str">
        <x:f>IF(AND(E3322&gt;='Итоги'!$F$5,N3322&lt;='Итоги'!$B$5,O3322&gt;='Итоги'!$D$5),"Да","Нет")</x:f>
        <x:v>Нет</x:v>
      </x:c>
    </x:row>
    <x:row r="3323" ht="60" customHeight="1">
      <x:c r="A3323" s="14" t="str">
        <x:v>Строительство и ремонт (DIY)</x:v>
      </x:c>
      <x:c r="B3323" s="14" t="str">
        <x:v>Сад и огород</x:v>
      </x:c>
      <x:c r="C3323" s="14" t="str">
        <x:v>Садовый инструмент</x:v>
      </x:c>
      <x:c r="D3323" s="14" t="str">
        <x:v>Лопата садовая</x:v>
      </x:c>
      <x:c r="E3323" s="2" t="n">
        <x:v>33</x:v>
      </x:c>
      <x:c r="F3323" s="2" t="n">
        <x:v>0</x:v>
      </x:c>
      <x:c r="G3323" s="12" t="n">
        <x:v>7393989.475</x:v>
      </x:c>
      <x:c r="H3323" s="12" t="n">
        <x:v>647003.68627791</x:v>
      </x:c>
      <x:c r="I3323" s="13" t="n">
        <x:v>0.0815151515151515</x:v>
      </x:c>
      <x:c r="J3323" s="2" t="n">
        <x:v>3</x:v>
      </x:c>
      <x:c r="K3323" s="2" t="n">
        <x:v>9</x:v>
      </x:c>
      <x:c r="L3323" s="12" t="n">
        <x:v>1572.6955</x:v>
      </x:c>
      <x:c r="M3323" s="13" t="n">
        <x:v>0.7848758755773046</x:v>
      </x:c>
      <x:c r="N3323" s="13" t="n">
        <x:f>H3323/G3323</x:f>
        <x:v>0.0875040042274215</x:v>
      </x:c>
      <x:c r="O3323" s="13" t="n">
        <x:f>F3323/E3323</x:f>
        <x:v>0</x:v>
      </x:c>
      <x:c r="P3323" s="2" t="str">
        <x:f>IF(AND(E3323&gt;='Итоги'!$F$5,N3323&lt;='Итоги'!$B$5,O3323&gt;='Итоги'!$D$5),"Да","Нет")</x:f>
        <x:v>Нет</x:v>
      </x:c>
    </x:row>
    <x:row r="3324" ht="60" customHeight="1">
      <x:c r="A3324" s="14" t="str">
        <x:v>Строительство и ремонт (DIY)</x:v>
      </x:c>
      <x:c r="B3324" s="14" t="str">
        <x:v>Освещение</x:v>
      </x:c>
      <x:c r="C3324" s="14" t="str">
        <x:v>Лампочка</x:v>
      </x:c>
      <x:c r="D3324" s="14" t="str">
        <x:v>Лампочка</x:v>
      </x:c>
      <x:c r="E3324" s="2" t="n">
        <x:v>58</x:v>
      </x:c>
      <x:c r="F3324" s="2" t="n">
        <x:v>0</x:v>
      </x:c>
      <x:c r="G3324" s="12" t="n">
        <x:v>8919418.9307</x:v>
      </x:c>
      <x:c r="H3324" s="12" t="n">
        <x:v>780516.776622</x:v>
      </x:c>
      <x:c r="I3324" s="13" t="n">
        <x:v>0.0851103448275862</x:v>
      </x:c>
      <x:c r="J3324" s="2" t="n">
        <x:v>10</x:v>
      </x:c>
      <x:c r="K3324" s="2" t="n">
        <x:v>9</x:v>
      </x:c>
      <x:c r="L3324" s="12" t="n">
        <x:v>1091.8588</x:v>
      </x:c>
      <x:c r="M3324" s="13" t="n">
        <x:v>0.9008022692538152</x:v>
      </x:c>
      <x:c r="N3324" s="13" t="n">
        <x:f>H3324/G3324</x:f>
        <x:v>0.08750758123217167</x:v>
      </x:c>
      <x:c r="O3324" s="13" t="n">
        <x:f>F3324/E3324</x:f>
        <x:v>0</x:v>
      </x:c>
      <x:c r="P3324" s="2" t="str">
        <x:f>IF(AND(E3324&gt;='Итоги'!$F$5,N3324&lt;='Итоги'!$B$5,O3324&gt;='Итоги'!$D$5),"Да","Нет")</x:f>
        <x:v>Нет</x:v>
      </x:c>
    </x:row>
    <x:row r="3325" ht="60" customHeight="1">
      <x:c r="A3325" s="14" t="str">
        <x:v>Одежда</x:v>
      </x:c>
      <x:c r="B3325" s="14" t="str">
        <x:v>Основная одежда женская</x:v>
      </x:c>
      <x:c r="C3325" s="14" t="str">
        <x:v>Основная одежда для беременных и кормящих</x:v>
      </x:c>
      <x:c r="D3325" s="14" t="str">
        <x:v>Кофта, толстовка, водолазка для беременных</x:v>
      </x:c>
      <x:c r="E3325" s="2" t="n">
        <x:v>14</x:v>
      </x:c>
      <x:c r="F3325" s="2" t="n">
        <x:v>0</x:v>
      </x:c>
      <x:c r="G3325" s="12" t="n">
        <x:v>1302481.37</x:v>
      </x:c>
      <x:c r="H3325" s="12" t="n">
        <x:v>113995.86804</x:v>
      </x:c>
      <x:c r="I3325" s="13" t="n">
        <x:v>0.0665785714285714</x:v>
      </x:c>
      <x:c r="J3325" s="2" t="n">
        <x:v>6</x:v>
      </x:c>
      <x:c r="K3325" s="2" t="n">
        <x:v>5</x:v>
      </x:c>
      <x:c r="L3325" s="12" t="n">
        <x:v>1477.60865</x:v>
      </x:c>
      <x:c r="M3325" s="13" t="n">
        <x:v>0.4685911630352148</x:v>
      </x:c>
      <x:c r="N3325" s="13" t="n">
        <x:f>H3325/G3325</x:f>
        <x:v>0.08752207184353047</x:v>
      </x:c>
      <x:c r="O3325" s="13" t="n">
        <x:f>F3325/E3325</x:f>
        <x:v>0</x:v>
      </x:c>
      <x:c r="P3325" s="2" t="str">
        <x:f>IF(AND(E3325&gt;='Итоги'!$F$5,N3325&lt;='Итоги'!$B$5,O3325&gt;='Итоги'!$D$5),"Да","Нет")</x:f>
        <x:v>Нет</x:v>
      </x:c>
    </x:row>
    <x:row r="3326" ht="60" customHeight="1">
      <x:c r="A3326" s="14" t="str">
        <x:v>Строительство и ремонт (DIY)</x:v>
      </x:c>
      <x:c r="B3326" s="14" t="str">
        <x:v>Сад и огород</x:v>
      </x:c>
      <x:c r="C3326" s="14" t="str">
        <x:v>Садовый инструмент</x:v>
      </x:c>
      <x:c r="D3326" s="14" t="str">
        <x:v>Садовые ножи и ножницы</x:v>
      </x:c>
      <x:c r="E3326" s="2" t="n">
        <x:v>15</x:v>
      </x:c>
      <x:c r="F3326" s="2" t="n">
        <x:v>0</x:v>
      </x:c>
      <x:c r="G3326" s="12" t="n">
        <x:v>1331220.4619</x:v>
      </x:c>
      <x:c r="H3326" s="12" t="n">
        <x:v>116530.73559525</x:v>
      </x:c>
      <x:c r="I3326" s="13" t="n">
        <x:v>0.0637466666666666</x:v>
      </x:c>
      <x:c r="J3326" s="2" t="n">
        <x:v>4</x:v>
      </x:c>
      <x:c r="K3326" s="2" t="n">
        <x:v>6</x:v>
      </x:c>
      <x:c r="L3326" s="12" t="n">
        <x:v>2327.7727</x:v>
      </x:c>
      <x:c r="M3326" s="13" t="n">
        <x:v>0.5392473915067606</x:v>
      </x:c>
      <x:c r="N3326" s="13" t="n">
        <x:f>H3326/G3326</x:f>
        <x:v>0.08753676714744163</x:v>
      </x:c>
      <x:c r="O3326" s="13" t="n">
        <x:f>F3326/E3326</x:f>
        <x:v>0</x:v>
      </x:c>
      <x:c r="P3326" s="2" t="str">
        <x:f>IF(AND(E3326&gt;='Итоги'!$F$5,N3326&lt;='Итоги'!$B$5,O3326&gt;='Итоги'!$D$5),"Да","Нет")</x:f>
        <x:v>Нет</x:v>
      </x:c>
    </x:row>
    <x:row r="3327" ht="60" customHeight="1">
      <x:c r="A3327" s="14" t="str">
        <x:v>Товары для красоты и здоровья</x:v>
      </x:c>
      <x:c r="B3327" s="14" t="str">
        <x:v>Косметика для ухода за волосами</x:v>
      </x:c>
      <x:c r="C3327" s="14" t="str">
        <x:v>Уход за волосами для женщин</x:v>
      </x:c>
      <x:c r="D3327" s="14" t="str">
        <x:v>Лосьон для волос женский</x:v>
      </x:c>
      <x:c r="E3327" s="2" t="n">
        <x:v>30</x:v>
      </x:c>
      <x:c r="F3327" s="2" t="n">
        <x:v>0</x:v>
      </x:c>
      <x:c r="G3327" s="12" t="n">
        <x:v>5743779.7634</x:v>
      </x:c>
      <x:c r="H3327" s="12" t="n">
        <x:v>502818.29128511</x:v>
      </x:c>
      <x:c r="I3327" s="13" t="n">
        <x:v>0.0721033333333333</x:v>
      </x:c>
      <x:c r="J3327" s="2" t="n">
        <x:v>14</x:v>
      </x:c>
      <x:c r="K3327" s="2" t="n">
        <x:v>13</x:v>
      </x:c>
      <x:c r="L3327" s="12" t="n">
        <x:v>2256.44115</x:v>
      </x:c>
      <x:c r="M3327" s="13" t="n">
        <x:v>0.3992320930743018</x:v>
      </x:c>
      <x:c r="N3327" s="13" t="n">
        <x:f>H3327/G3327</x:f>
        <x:v>0.08754135987057231</x:v>
      </x:c>
      <x:c r="O3327" s="13" t="n">
        <x:f>F3327/E3327</x:f>
        <x:v>0</x:v>
      </x:c>
      <x:c r="P3327" s="2" t="str">
        <x:f>IF(AND(E3327&gt;='Итоги'!$F$5,N3327&lt;='Итоги'!$B$5,O3327&gt;='Итоги'!$D$5),"Да","Нет")</x:f>
        <x:v>Нет</x:v>
      </x:c>
    </x:row>
    <x:row r="3328" ht="60" customHeight="1">
      <x:c r="A3328" s="14" t="str">
        <x:v>Аксессуары для электроники</x:v>
      </x:c>
      <x:c r="B3328" s="14" t="str">
        <x:v>Аксессуары для мобильных устройств Access</x:v>
      </x:c>
      <x:c r="C3328" s="14" t="str">
        <x:v>Аксессуары для смартфонов Access</x:v>
      </x:c>
      <x:c r="D3328" s="14" t="str">
        <x:v>Водонепроницаемый чехол для смартфона</x:v>
      </x:c>
      <x:c r="E3328" s="2" t="n">
        <x:v>3</x:v>
      </x:c>
      <x:c r="F3328" s="2" t="n">
        <x:v>0</x:v>
      </x:c>
      <x:c r="G3328" s="12" t="n">
        <x:v>507503.7699</x:v>
      </x:c>
      <x:c r="H3328" s="12" t="n">
        <x:v>44443.999489320006</x:v>
      </x:c>
      <x:c r="I3328" s="13" t="n">
        <x:v>0.1118</x:v>
      </x:c>
      <x:c r="J3328" s="2" t="n">
        <x:v>0</x:v>
      </x:c>
      <x:c r="K3328" s="2" t="n">
        <x:v>2</x:v>
      </x:c>
      <x:c r="L3328" s="12" t="n">
        <x:v>837.7399</x:v>
      </x:c>
      <x:c r="M3328" s="13" t="n">
        <x:v>0.5592643068561371</x:v>
      </x:c>
      <x:c r="N3328" s="13" t="n">
        <x:f>H3328/G3328</x:f>
        <x:v>0.08757373269971448</x:v>
      </x:c>
      <x:c r="O3328" s="13" t="n">
        <x:f>F3328/E3328</x:f>
        <x:v>0</x:v>
      </x:c>
      <x:c r="P3328" s="2" t="str">
        <x:f>IF(AND(E3328&gt;='Итоги'!$F$5,N3328&lt;='Итоги'!$B$5,O3328&gt;='Итоги'!$D$5),"Да","Нет")</x:f>
        <x:v>Нет</x:v>
      </x:c>
    </x:row>
    <x:row r="3329" ht="60" customHeight="1">
      <x:c r="A3329" s="14" t="str">
        <x:v>Аптека</x:v>
      </x:c>
      <x:c r="B3329" s="14" t="str">
        <x:v>Медицинские изделия</x:v>
      </x:c>
      <x:c r="C3329" s="14" t="str">
        <x:v>Медицинские изделия</x:v>
      </x:c>
      <x:c r="D3329" s="14" t="str">
        <x:v>Аптечка без наполнения</x:v>
      </x:c>
      <x:c r="E3329" s="2" t="n">
        <x:v>24</x:v>
      </x:c>
      <x:c r="F3329" s="2" t="n">
        <x:v>0</x:v>
      </x:c>
      <x:c r="G3329" s="12" t="n">
        <x:v>4130197.76</x:v>
      </x:c>
      <x:c r="H3329" s="12" t="n">
        <x:v>362009.444919</x:v>
      </x:c>
      <x:c r="I3329" s="13" t="n">
        <x:v>0.0916958333333333</x:v>
      </x:c>
      <x:c r="J3329" s="2" t="n">
        <x:v>5</x:v>
      </x:c>
      <x:c r="K3329" s="2" t="n">
        <x:v>12</x:v>
      </x:c>
      <x:c r="L3329" s="12" t="n">
        <x:v>1379.9033</x:v>
      </x:c>
      <x:c r="M3329" s="13" t="n">
        <x:v>0.5162695090900441</x:v>
      </x:c>
      <x:c r="N3329" s="13" t="n">
        <x:f>H3329/G3329</x:f>
        <x:v>0.08764942163907424</x:v>
      </x:c>
      <x:c r="O3329" s="13" t="n">
        <x:f>F3329/E3329</x:f>
        <x:v>0</x:v>
      </x:c>
      <x:c r="P3329" s="2" t="str">
        <x:f>IF(AND(E3329&gt;='Итоги'!$F$5,N3329&lt;='Итоги'!$B$5,O3329&gt;='Итоги'!$D$5),"Да","Нет")</x:f>
        <x:v>Нет</x:v>
      </x:c>
    </x:row>
    <x:row r="3330" ht="60" customHeight="1">
      <x:c r="A3330" s="14" t="str">
        <x:v>Аксессуары</x:v>
      </x:c>
      <x:c r="B3330" s="14" t="str">
        <x:v>Сумки и рюкзаки</x:v>
      </x:c>
      <x:c r="C3330" s="14" t="str">
        <x:v>Сумка мужская</x:v>
      </x:c>
      <x:c r="D3330" s="14" t="str">
        <x:v>Мужская Сумка на пояс</x:v>
      </x:c>
      <x:c r="E3330" s="2" t="n">
        <x:v>57</x:v>
      </x:c>
      <x:c r="F3330" s="2" t="n">
        <x:v>0</x:v>
      </x:c>
      <x:c r="G3330" s="12" t="n">
        <x:v>7208529.4779</x:v>
      </x:c>
      <x:c r="H3330" s="12" t="n">
        <x:v>632008.12932901</x:v>
      </x:c>
      <x:c r="I3330" s="13" t="n">
        <x:v>0.0808684210526315</x:v>
      </x:c>
      <x:c r="J3330" s="2" t="n">
        <x:v>15</x:v>
      </x:c>
      <x:c r="K3330" s="2" t="n">
        <x:v>19</x:v>
      </x:c>
      <x:c r="L3330" s="12" t="n">
        <x:v>1842.8633</x:v>
      </x:c>
      <x:c r="M3330" s="13" t="n">
        <x:v>0.5095513642222155</x:v>
      </x:c>
      <x:c r="N3330" s="13" t="n">
        <x:f>H3330/G3330</x:f>
        <x:v>0.08767504263756269</x:v>
      </x:c>
      <x:c r="O3330" s="13" t="n">
        <x:f>F3330/E3330</x:f>
        <x:v>0</x:v>
      </x:c>
      <x:c r="P3330" s="2" t="str">
        <x:f>IF(AND(E3330&gt;='Итоги'!$F$5,N3330&lt;='Итоги'!$B$5,O3330&gt;='Итоги'!$D$5),"Да","Нет")</x:f>
        <x:v>Нет</x:v>
      </x:c>
    </x:row>
    <x:row r="3331" ht="60" customHeight="1">
      <x:c r="A3331" s="14" t="str">
        <x:v>Аптека</x:v>
      </x:c>
      <x:c r="B3331" s="14" t="str">
        <x:v>Товары для взрослых</x:v>
      </x:c>
      <x:c r="C3331" s="14" t="str">
        <x:v>Секс игрушки</x:v>
      </x:c>
      <x:c r="D3331" s="14" t="str">
        <x:v>Анальный стимулятор, шарики, бусы</x:v>
      </x:c>
      <x:c r="E3331" s="2" t="n">
        <x:v>3</x:v>
      </x:c>
      <x:c r="F3331" s="2" t="n">
        <x:v>0</x:v>
      </x:c>
      <x:c r="G3331" s="12" t="n">
        <x:v>374203.4003</x:v>
      </x:c>
      <x:c r="H3331" s="12" t="n">
        <x:v>32822.666955220004</x:v>
      </x:c>
      <x:c r="I3331" s="13" t="n">
        <x:v>0.0828</x:v>
      </x:c>
      <x:c r="J3331" s="2" t="n">
        <x:v>1</x:v>
      </x:c>
      <x:c r="K3331" s="2" t="n">
        <x:v>3</x:v>
      </x:c>
      <x:c r="L3331" s="12" t="n">
        <x:v>1164.3303</x:v>
      </x:c>
      <x:c r="M3331" s="13" t="n">
        <x:v>0.4318789197811574</x:v>
      </x:c>
      <x:c r="N3331" s="13" t="n">
        <x:f>H3331/G3331</x:f>
        <x:v>0.08771343854413395</x:v>
      </x:c>
      <x:c r="O3331" s="13" t="n">
        <x:f>F3331/E3331</x:f>
        <x:v>0</x:v>
      </x:c>
      <x:c r="P3331" s="2" t="str">
        <x:f>IF(AND(E3331&gt;='Итоги'!$F$5,N3331&lt;='Итоги'!$B$5,O3331&gt;='Итоги'!$D$5),"Да","Нет")</x:f>
        <x:v>Нет</x:v>
      </x:c>
    </x:row>
    <x:row r="3332" ht="60" customHeight="1">
      <x:c r="A3332" s="14" t="str">
        <x:v>Бакалея и кондитерские изделия</x:v>
      </x:c>
      <x:c r="B3332" s="14" t="str">
        <x:v>Бакалея</x:v>
      </x:c>
      <x:c r="C3332" s="14" t="str">
        <x:v>Приправы, специи, травы</x:v>
      </x:c>
      <x:c r="D3332" s="14" t="str">
        <x:v>Солодовый экстракт</x:v>
      </x:c>
      <x:c r="E3332" s="2" t="n">
        <x:v>21</x:v>
      </x:c>
      <x:c r="F3332" s="2" t="n">
        <x:v>0</x:v>
      </x:c>
      <x:c r="G3332" s="12" t="n">
        <x:v>2708844.2907</x:v>
      </x:c>
      <x:c r="H3332" s="12" t="n">
        <x:v>237794.04505764</x:v>
      </x:c>
      <x:c r="I3332" s="13" t="n">
        <x:v>0.0953714285714285</x:v>
      </x:c>
      <x:c r="J3332" s="2" t="n">
        <x:v>2</x:v>
      </x:c>
      <x:c r="K3332" s="2" t="n">
        <x:v>3</x:v>
      </x:c>
      <x:c r="L3332" s="12" t="n">
        <x:v>1820.3762</x:v>
      </x:c>
      <x:c r="M3332" s="13" t="n">
        <x:v>0.62258546044527</x:v>
      </x:c>
      <x:c r="N3332" s="13" t="n">
        <x:f>H3332/G3332</x:f>
        <x:v>0.08778431668222281</x:v>
      </x:c>
      <x:c r="O3332" s="13" t="n">
        <x:f>F3332/E3332</x:f>
        <x:v>0</x:v>
      </x:c>
      <x:c r="P3332" s="2" t="str">
        <x:f>IF(AND(E3332&gt;='Итоги'!$F$5,N3332&lt;='Итоги'!$B$5,O3332&gt;='Итоги'!$D$5),"Да","Нет")</x:f>
        <x:v>Нет</x:v>
      </x:c>
    </x:row>
    <x:row r="3333" ht="60" customHeight="1">
      <x:c r="A3333" s="14" t="str">
        <x:v>Строительство и ремонт (DIY)</x:v>
      </x:c>
      <x:c r="B3333" s="14" t="str">
        <x:v>Инструменты</x:v>
      </x:c>
      <x:c r="C3333" s="14" t="str">
        <x:v>Оснастка для инструмента</x:v>
      </x:c>
      <x:c r="D3333" s="14" t="str">
        <x:v>Диск, круг для электроинструмента</x:v>
      </x:c>
      <x:c r="E3333" s="2" t="n">
        <x:v>103</x:v>
      </x:c>
      <x:c r="F3333" s="2" t="n">
        <x:v>0</x:v>
      </x:c>
      <x:c r="G3333" s="12" t="n">
        <x:v>16237361.9389</x:v>
      </x:c>
      <x:c r="H3333" s="12" t="n">
        <x:v>1426811.01117371</x:v>
      </x:c>
      <x:c r="I3333" s="13" t="n">
        <x:v>0.086657281553398</x:v>
      </x:c>
      <x:c r="J3333" s="2" t="n">
        <x:v>12</x:v>
      </x:c>
      <x:c r="K3333" s="2" t="n">
        <x:v>41</x:v>
      </x:c>
      <x:c r="L3333" s="12" t="n">
        <x:v>1163.0865</x:v>
      </x:c>
      <x:c r="M3333" s="13" t="n">
        <x:v>0.3899220722445086</x:v>
      </x:c>
      <x:c r="N3333" s="13" t="n">
        <x:f>H3333/G3333</x:f>
        <x:v>0.0878720950202807</x:v>
      </x:c>
      <x:c r="O3333" s="13" t="n">
        <x:f>F3333/E3333</x:f>
        <x:v>0</x:v>
      </x:c>
      <x:c r="P3333" s="2" t="str">
        <x:f>IF(AND(E3333&gt;='Итоги'!$F$5,N3333&lt;='Итоги'!$B$5,O3333&gt;='Итоги'!$D$5),"Да","Нет")</x:f>
        <x:v>Нет</x:v>
      </x:c>
    </x:row>
    <x:row r="3334" ht="60" customHeight="1">
      <x:c r="A3334" s="14" t="str">
        <x:v>Товары для животных</x:v>
      </x:c>
      <x:c r="B3334" s="14" t="str">
        <x:v>Спальное место животного</x:v>
      </x:c>
      <x:c r="C3334" s="14" t="str">
        <x:v>Клетка, вольер для животных, птиц</x:v>
      </x:c>
      <x:c r="D3334" s="14" t="str">
        <x:v>Клетка, аксессуары для птиц</x:v>
      </x:c>
      <x:c r="E3334" s="2" t="n">
        <x:v>28</x:v>
      </x:c>
      <x:c r="F3334" s="2" t="n">
        <x:v>0</x:v>
      </x:c>
      <x:c r="G3334" s="12" t="n">
        <x:v>5285924.4989</x:v>
      </x:c>
      <x:c r="H3334" s="12" t="n">
        <x:v>464518.36832361</x:v>
      </x:c>
      <x:c r="I3334" s="13" t="n">
        <x:v>0.0850535714285714</x:v>
      </x:c>
      <x:c r="J3334" s="2" t="n">
        <x:v>3</x:v>
      </x:c>
      <x:c r="K3334" s="2" t="n">
        <x:v>5</x:v>
      </x:c>
      <x:c r="L3334" s="12" t="n">
        <x:v>4015.25105</x:v>
      </x:c>
      <x:c r="M3334" s="13" t="n">
        <x:v>0.3731771420515928</x:v>
      </x:c>
      <x:c r="N3334" s="13" t="n">
        <x:f>H3334/G3334</x:f>
        <x:v>0.08787835853884712</x:v>
      </x:c>
      <x:c r="O3334" s="13" t="n">
        <x:f>F3334/E3334</x:f>
        <x:v>0</x:v>
      </x:c>
      <x:c r="P3334" s="2" t="str">
        <x:f>IF(AND(E3334&gt;='Итоги'!$F$5,N3334&lt;='Итоги'!$B$5,O3334&gt;='Итоги'!$D$5),"Да","Нет")</x:f>
        <x:v>Нет</x:v>
      </x:c>
    </x:row>
    <x:row r="3335" ht="60" customHeight="1">
      <x:c r="A3335" s="14" t="str">
        <x:v>Спорт и отдых</x:v>
      </x:c>
      <x:c r="B3335" s="14" t="str">
        <x:v>Товары для рыбалки</x:v>
      </x:c>
      <x:c r="C3335" s="14" t="str">
        <x:v>Зимняя рыбалка</x:v>
      </x:c>
      <x:c r="D3335" s="14" t="str">
        <x:v>Палатка зимняя для рыбалки</x:v>
      </x:c>
      <x:c r="E3335" s="2" t="n">
        <x:v>28</x:v>
      </x:c>
      <x:c r="F3335" s="2" t="n">
        <x:v>0</x:v>
      </x:c>
      <x:c r="G3335" s="12" t="n">
        <x:v>5252148.92</x:v>
      </x:c>
      <x:c r="H3335" s="12" t="n">
        <x:v>461869.169309</x:v>
      </x:c>
      <x:c r="I3335" s="13" t="n">
        <x:v>0.0815392857142857</x:v>
      </x:c>
      <x:c r="J3335" s="2" t="n">
        <x:v>6</x:v>
      </x:c>
      <x:c r="K3335" s="2" t="n">
        <x:v>6</x:v>
      </x:c>
      <x:c r="L3335" s="12" t="n">
        <x:v>8670.337650000001</x:v>
      </x:c>
      <x:c r="M3335" s="13" t="n">
        <x:v>0.817273406634479</x:v>
      </x:c>
      <x:c r="N3335" s="13" t="n">
        <x:f>H3335/G3335</x:f>
        <x:v>0.08793908480968968</x:v>
      </x:c>
      <x:c r="O3335" s="13" t="n">
        <x:f>F3335/E3335</x:f>
        <x:v>0</x:v>
      </x:c>
      <x:c r="P3335" s="2" t="str">
        <x:f>IF(AND(E3335&gt;='Итоги'!$F$5,N3335&lt;='Итоги'!$B$5,O3335&gt;='Итоги'!$D$5),"Да","Нет")</x:f>
        <x:v>Нет</x:v>
      </x:c>
    </x:row>
    <x:row r="3336" ht="60" customHeight="1">
      <x:c r="A3336" s="14" t="str">
        <x:v>Товары для красоты и здоровья</x:v>
      </x:c>
      <x:c r="B3336" s="14" t="str">
        <x:v>Декоративная косметика</x:v>
      </x:c>
      <x:c r="C3336" s="14" t="str">
        <x:v>Тон для лица</x:v>
      </x:c>
      <x:c r="D3336" s="14" t="str">
        <x:v>Бронзер</x:v>
      </x:c>
      <x:c r="E3336" s="2" t="n">
        <x:v>5</x:v>
      </x:c>
      <x:c r="F3336" s="2" t="n">
        <x:v>0</x:v>
      </x:c>
      <x:c r="G3336" s="12" t="n">
        <x:v>730272.5192</x:v>
      </x:c>
      <x:c r="H3336" s="12" t="n">
        <x:v>64229.728022</x:v>
      </x:c>
      <x:c r="I3336" s="13" t="n">
        <x:v>0.07878</x:v>
      </x:c>
      <x:c r="J3336" s="2" t="n">
        <x:v>1</x:v>
      </x:c>
      <x:c r="K3336" s="2" t="n">
        <x:v>4</x:v>
      </x:c>
      <x:c r="L3336" s="12" t="n">
        <x:v>1206.1347</x:v>
      </x:c>
      <x:c r="M3336" s="13" t="n">
        <x:v>0.2923757287675299</x:v>
      </x:c>
      <x:c r="N3336" s="13" t="n">
        <x:f>H3336/G3336</x:f>
        <x:v>0.0879530946780833</x:v>
      </x:c>
      <x:c r="O3336" s="13" t="n">
        <x:f>F3336/E3336</x:f>
        <x:v>0</x:v>
      </x:c>
      <x:c r="P3336" s="2" t="str">
        <x:f>IF(AND(E3336&gt;='Итоги'!$F$5,N3336&lt;='Итоги'!$B$5,O3336&gt;='Итоги'!$D$5),"Да","Нет")</x:f>
        <x:v>Нет</x:v>
      </x:c>
    </x:row>
    <x:row r="3337" ht="60" customHeight="1">
      <x:c r="A3337" s="14" t="str">
        <x:v>Аксессуары</x:v>
      </x:c>
      <x:c r="B3337" s="14" t="str">
        <x:v>Ювелирные изделия</x:v>
      </x:c>
      <x:c r="C3337" s="14" t="str">
        <x:v>Аксессуар ювелирный</x:v>
      </x:c>
      <x:c r="D3337" s="14" t="str">
        <x:v>Серебро шнурок</x:v>
      </x:c>
      <x:c r="E3337" s="2" t="n">
        <x:v>31</x:v>
      </x:c>
      <x:c r="F3337" s="2" t="n">
        <x:v>0</x:v>
      </x:c>
      <x:c r="G3337" s="12" t="n">
        <x:v>2964190.32</x:v>
      </x:c>
      <x:c r="H3337" s="12" t="n">
        <x:v>260772.12658</x:v>
      </x:c>
      <x:c r="I3337" s="13" t="n">
        <x:v>0.085716129032258</x:v>
      </x:c>
      <x:c r="J3337" s="2" t="n">
        <x:v>5</x:v>
      </x:c>
      <x:c r="K3337" s="2" t="n">
        <x:v>1</x:v>
      </x:c>
      <x:c r="L3337" s="12" t="n">
        <x:v>3716.6</x:v>
      </x:c>
      <x:c r="M3337" s="13" t="n">
        <x:v>1</x:v>
      </x:c>
      <x:c r="N3337" s="13" t="n">
        <x:f>H3337/G3337</x:f>
        <x:v>0.08797415092429019</x:v>
      </x:c>
      <x:c r="O3337" s="13" t="n">
        <x:f>F3337/E3337</x:f>
        <x:v>0</x:v>
      </x:c>
      <x:c r="P3337" s="2" t="str">
        <x:f>IF(AND(E3337&gt;='Итоги'!$F$5,N3337&lt;='Итоги'!$B$5,O3337&gt;='Итоги'!$D$5),"Да","Нет")</x:f>
        <x:v>Нет</x:v>
      </x:c>
    </x:row>
    <x:row r="3338" ht="60" customHeight="1">
      <x:c r="A3338" s="14" t="str">
        <x:v>Игрушки</x:v>
      </x:c>
      <x:c r="B3338" s="14" t="str">
        <x:v>Игрушки</x:v>
      </x:c>
      <x:c r="C3338" s="14" t="str">
        <x:v>Транспорт и радиоуправляемые игрушки</x:v>
      </x:c>
      <x:c r="D3338" s="14" t="str">
        <x:v>Игрушка р/у</x:v>
      </x:c>
      <x:c r="E3338" s="2" t="n">
        <x:v>10</x:v>
      </x:c>
      <x:c r="F3338" s="2" t="n">
        <x:v>0</x:v>
      </x:c>
      <x:c r="G3338" s="12" t="n">
        <x:v>1166013.9623</x:v>
      </x:c>
      <x:c r="H3338" s="12" t="n">
        <x:v>102590.69276254</x:v>
      </x:c>
      <x:c r="I3338" s="13" t="n">
        <x:v>0.08775</x:v>
      </x:c>
      <x:c r="J3338" s="2" t="n">
        <x:v>1</x:v>
      </x:c>
      <x:c r="K3338" s="2" t="n">
        <x:v>2</x:v>
      </x:c>
      <x:c r="L3338" s="12" t="n">
        <x:v>1611.2947</x:v>
      </x:c>
      <x:c r="M3338" s="13" t="n">
        <x:v>0.8679058184722047</x:v>
      </x:c>
      <x:c r="N3338" s="13" t="n">
        <x:f>H3338/G3338</x:f>
        <x:v>0.08798410317503966</x:v>
      </x:c>
      <x:c r="O3338" s="13" t="n">
        <x:f>F3338/E3338</x:f>
        <x:v>0</x:v>
      </x:c>
      <x:c r="P3338" s="2" t="str">
        <x:f>IF(AND(E3338&gt;='Итоги'!$F$5,N3338&lt;='Итоги'!$B$5,O3338&gt;='Итоги'!$D$5),"Да","Нет")</x:f>
        <x:v>Нет</x:v>
      </x:c>
    </x:row>
    <x:row r="3339" ht="60" customHeight="1">
      <x:c r="A3339" s="14" t="str">
        <x:v>Аптека</x:v>
      </x:c>
      <x:c r="B3339" s="14" t="str">
        <x:v>Товары для взрослых</x:v>
      </x:c>
      <x:c r="C3339" s="14" t="str">
        <x:v>Эротические белье и обувь</x:v>
      </x:c>
      <x:c r="D3339" s="14" t="str">
        <x:v>Костюм для ролевых игр</x:v>
      </x:c>
      <x:c r="E3339" s="2" t="n">
        <x:v>9</x:v>
      </x:c>
      <x:c r="F3339" s="2" t="n">
        <x:v>0</x:v>
      </x:c>
      <x:c r="G3339" s="12" t="n">
        <x:v>1214754.2455</x:v>
      </x:c>
      <x:c r="H3339" s="12" t="n">
        <x:v>106917.69895435</x:v>
      </x:c>
      <x:c r="I3339" s="13" t="n">
        <x:v>0.1040444444444444</x:v>
      </x:c>
      <x:c r="J3339" s="2" t="n">
        <x:v>0</x:v>
      </x:c>
      <x:c r="K3339" s="2" t="n">
        <x:v>6</x:v>
      </x:c>
      <x:c r="L3339" s="12" t="n">
        <x:v>916.6209</x:v>
      </x:c>
      <x:c r="M3339" s="13" t="n">
        <x:v>0.2190983246084074</x:v>
      </x:c>
      <x:c r="N3339" s="13" t="n">
        <x:f>H3339/G3339</x:f>
        <x:v>0.08801590885598597</x:v>
      </x:c>
      <x:c r="O3339" s="13" t="n">
        <x:f>F3339/E3339</x:f>
        <x:v>0</x:v>
      </x:c>
      <x:c r="P3339" s="2" t="str">
        <x:f>IF(AND(E3339&gt;='Итоги'!$F$5,N3339&lt;='Итоги'!$B$5,O3339&gt;='Итоги'!$D$5),"Да","Нет")</x:f>
        <x:v>Нет</x:v>
      </x:c>
    </x:row>
    <x:row r="3340" ht="60" customHeight="1">
      <x:c r="A3340" s="14" t="str">
        <x:v>Строительство и ремонт (DIY)</x:v>
      </x:c>
      <x:c r="B3340" s="14" t="str">
        <x:v>Сад и огород</x:v>
      </x:c>
      <x:c r="C3340" s="14" t="str">
        <x:v>Садовая химия</x:v>
      </x:c>
      <x:c r="D3340" s="14" t="str">
        <x:v>Удобрение (НЕ агрохимикаты)</x:v>
      </x:c>
      <x:c r="E3340" s="2" t="n">
        <x:v>139</x:v>
      </x:c>
      <x:c r="F3340" s="2" t="n">
        <x:v>0</x:v>
      </x:c>
      <x:c r="G3340" s="12" t="n">
        <x:v>21492193.2221</x:v>
      </x:c>
      <x:c r="H3340" s="12" t="n">
        <x:v>1892154.45145747</x:v>
      </x:c>
      <x:c r="I3340" s="13" t="n">
        <x:v>0.0745402877697841</x:v>
      </x:c>
      <x:c r="J3340" s="2" t="n">
        <x:v>52</x:v>
      </x:c>
      <x:c r="K3340" s="2" t="n">
        <x:v>44</x:v>
      </x:c>
      <x:c r="L3340" s="12" t="n">
        <x:v>1167.6154</x:v>
      </x:c>
      <x:c r="M3340" s="13" t="n">
        <x:v>0.5027252829269081</x:v>
      </x:c>
      <x:c r="N3340" s="13" t="n">
        <x:f>H3340/G3340</x:f>
        <x:v>0.08803915132829741</x:v>
      </x:c>
      <x:c r="O3340" s="13" t="n">
        <x:f>F3340/E3340</x:f>
        <x:v>0</x:v>
      </x:c>
      <x:c r="P3340" s="2" t="str">
        <x:f>IF(AND(E3340&gt;='Итоги'!$F$5,N3340&lt;='Итоги'!$B$5,O3340&gt;='Итоги'!$D$5),"Да","Нет")</x:f>
        <x:v>Нет</x:v>
      </x:c>
    </x:row>
    <x:row r="3341" ht="60" customHeight="1">
      <x:c r="A3341" s="14" t="str">
        <x:v>Товары для дома</x:v>
      </x:c>
      <x:c r="B3341" s="14" t="str">
        <x:v>Аксессуары для уборки и стирки</x:v>
      </x:c>
      <x:c r="C3341" s="14" t="str">
        <x:v>Баки, ведра, корзины</x:v>
      </x:c>
      <x:c r="D3341" s="14" t="str">
        <x:v>Ведро, бак, контейнер, корзина для белья</x:v>
      </x:c>
      <x:c r="E3341" s="2" t="n">
        <x:v>75</x:v>
      </x:c>
      <x:c r="F3341" s="2" t="n">
        <x:v>0</x:v>
      </x:c>
      <x:c r="G3341" s="12" t="n">
        <x:v>11960420.068</x:v>
      </x:c>
      <x:c r="H3341" s="12" t="n">
        <x:v>1053288.6174806</x:v>
      </x:c>
      <x:c r="I3341" s="13" t="n">
        <x:v>0.0827613333333333</x:v>
      </x:c>
      <x:c r="J3341" s="2" t="n">
        <x:v>20</x:v>
      </x:c>
      <x:c r="K3341" s="2" t="n">
        <x:v>19</x:v>
      </x:c>
      <x:c r="L3341" s="12" t="n">
        <x:v>1458.5045</x:v>
      </x:c>
      <x:c r="M3341" s="13" t="n">
        <x:v>0.6921646621467142</x:v>
      </x:c>
      <x:c r="N3341" s="13" t="n">
        <x:f>H3341/G3341</x:f>
        <x:v>0.08806451708988589</x:v>
      </x:c>
      <x:c r="O3341" s="13" t="n">
        <x:f>F3341/E3341</x:f>
        <x:v>0</x:v>
      </x:c>
      <x:c r="P3341" s="2" t="str">
        <x:f>IF(AND(E3341&gt;='Итоги'!$F$5,N3341&lt;='Итоги'!$B$5,O3341&gt;='Итоги'!$D$5),"Да","Нет")</x:f>
        <x:v>Нет</x:v>
      </x:c>
    </x:row>
    <x:row r="3342" ht="60" customHeight="1">
      <x:c r="A3342" s="14" t="str">
        <x:v>Мелкая бытовая техника</x:v>
      </x:c>
      <x:c r="B3342" s="14" t="str">
        <x:v>Мелкая бытовая техника SDA</x:v>
      </x:c>
      <x:c r="C3342" s="14" t="str">
        <x:v>Электронная кухонная техника SDA</x:v>
      </x:c>
      <x:c r="D3342" s="14" t="str">
        <x:v>Вафельница, орешница</x:v>
      </x:c>
      <x:c r="E3342" s="2" t="n">
        <x:v>126</x:v>
      </x:c>
      <x:c r="F3342" s="2" t="n">
        <x:v>0</x:v>
      </x:c>
      <x:c r="G3342" s="12" t="n">
        <x:v>29156119.9813</x:v>
      </x:c>
      <x:c r="H3342" s="12" t="n">
        <x:v>2567918.22709246</x:v>
      </x:c>
      <x:c r="I3342" s="13" t="n">
        <x:v>0.1086603174603174</x:v>
      </x:c>
      <x:c r="J3342" s="2" t="n">
        <x:v>17</x:v>
      </x:c>
      <x:c r="K3342" s="2" t="n">
        <x:v>29</x:v>
      </x:c>
      <x:c r="L3342" s="12" t="n">
        <x:v>2175.9117</x:v>
      </x:c>
      <x:c r="M3342" s="13" t="n">
        <x:v>0.6950130521035289</x:v>
      </x:c>
      <x:c r="N3342" s="13" t="n">
        <x:f>H3342/G3342</x:f>
        <x:v>0.08807475853232384</x:v>
      </x:c>
      <x:c r="O3342" s="13" t="n">
        <x:f>F3342/E3342</x:f>
        <x:v>0</x:v>
      </x:c>
      <x:c r="P3342" s="2" t="str">
        <x:f>IF(AND(E3342&gt;='Итоги'!$F$5,N3342&lt;='Итоги'!$B$5,O3342&gt;='Итоги'!$D$5),"Да","Нет")</x:f>
        <x:v>Нет</x:v>
      </x:c>
    </x:row>
    <x:row r="3343" ht="60" customHeight="1">
      <x:c r="A3343" s="14" t="str">
        <x:v>Товары для животных</x:v>
      </x:c>
      <x:c r="B3343" s="14" t="str">
        <x:v>Зоокорм, витамины</x:v>
      </x:c>
      <x:c r="C3343" s="14" t="str">
        <x:v>Зоокорм, витамины для мелких животных</x:v>
      </x:c>
      <x:c r="D3343" s="14" t="str">
        <x:v>Корм для ежей</x:v>
      </x:c>
      <x:c r="E3343" s="2" t="n">
        <x:v>2</x:v>
      </x:c>
      <x:c r="F3343" s="2" t="n">
        <x:v>0</x:v>
      </x:c>
      <x:c r="G3343" s="12" t="n">
        <x:v>319541</x:v>
      </x:c>
      <x:c r="H3343" s="12" t="n">
        <x:v>28166.9228</x:v>
      </x:c>
      <x:c r="I3343" s="13" t="n">
        <x:v>0.0923</x:v>
      </x:c>
      <x:c r="J3343" s="2" t="n">
        <x:v>0</x:v>
      </x:c>
      <x:c r="K3343" s="2" t="n">
        <x:v>1</x:v>
      </x:c>
      <x:c r="L3343" s="12" t="n">
        <x:v>2106.5996</x:v>
      </x:c>
      <x:c r="M3343" s="13" t="n">
        <x:v>1</x:v>
      </x:c>
      <x:c r="N3343" s="13" t="n">
        <x:f>H3343/G3343</x:f>
        <x:v>0.08814807113954078</x:v>
      </x:c>
      <x:c r="O3343" s="13" t="n">
        <x:f>F3343/E3343</x:f>
        <x:v>0</x:v>
      </x:c>
      <x:c r="P3343" s="2" t="str">
        <x:f>IF(AND(E3343&gt;='Итоги'!$F$5,N3343&lt;='Итоги'!$B$5,O3343&gt;='Итоги'!$D$5),"Да","Нет")</x:f>
        <x:v>Нет</x:v>
      </x:c>
    </x:row>
    <x:row r="3344" ht="60" customHeight="1">
      <x:c r="A3344" s="14" t="str">
        <x:v>Спорт и отдых</x:v>
      </x:c>
      <x:c r="B3344" s="14" t="str">
        <x:v>Тренажеры и фитнес</x:v>
      </x:c>
      <x:c r="C3344" s="14" t="str">
        <x:v>Измерительные приборы для спорта</x:v>
      </x:c>
      <x:c r="D3344" s="14" t="str">
        <x:v>Часы наручные спортивные унисекс</x:v>
      </x:c>
      <x:c r="E3344" s="2" t="n">
        <x:v>27</x:v>
      </x:c>
      <x:c r="F3344" s="2" t="n">
        <x:v>0</x:v>
      </x:c>
      <x:c r="G3344" s="12" t="n">
        <x:v>7046060.482</x:v>
      </x:c>
      <x:c r="H3344" s="12" t="n">
        <x:v>621113.99695196</x:v>
      </x:c>
      <x:c r="I3344" s="13" t="n">
        <x:v>0.0833148148148148</x:v>
      </x:c>
      <x:c r="J3344" s="2" t="n">
        <x:v>6</x:v>
      </x:c>
      <x:c r="K3344" s="2" t="n">
        <x:v>6</x:v>
      </x:c>
      <x:c r="L3344" s="12" t="n">
        <x:v>21431</x:v>
      </x:c>
      <x:c r="M3344" s="13" t="n">
        <x:v>0.6038618730096789</x:v>
      </x:c>
      <x:c r="N3344" s="13" t="n">
        <x:f>H3344/G3344</x:f>
        <x:v>0.08815053440694551</x:v>
      </x:c>
      <x:c r="O3344" s="13" t="n">
        <x:f>F3344/E3344</x:f>
        <x:v>0</x:v>
      </x:c>
      <x:c r="P3344" s="2" t="str">
        <x:f>IF(AND(E3344&gt;='Итоги'!$F$5,N3344&lt;='Итоги'!$B$5,O3344&gt;='Итоги'!$D$5),"Да","Нет")</x:f>
        <x:v>Нет</x:v>
      </x:c>
    </x:row>
    <x:row r="3345" ht="60" customHeight="1">
      <x:c r="A3345" s="14" t="str">
        <x:v>Товары для животных</x:v>
      </x:c>
      <x:c r="B3345" s="14" t="str">
        <x:v>Товары для прогулки и дрессировки животных</x:v>
      </x:c>
      <x:c r="C3345" s="14" t="str">
        <x:v>Аксессуары для прогулки и дрессировки животных</x:v>
      </x:c>
      <x:c r="D3345" s="14" t="str">
        <x:v>Ошейник</x:v>
      </x:c>
      <x:c r="E3345" s="2" t="n">
        <x:v>4</x:v>
      </x:c>
      <x:c r="F3345" s="2" t="n">
        <x:v>0</x:v>
      </x:c>
      <x:c r="G3345" s="12" t="n">
        <x:v>307924.0373</x:v>
      </x:c>
      <x:c r="H3345" s="12" t="n">
        <x:v>27145.4011248</x:v>
      </x:c>
      <x:c r="I3345" s="13" t="n">
        <x:v>0.1289</x:v>
      </x:c>
      <x:c r="J3345" s="2" t="n">
        <x:v>1</x:v>
      </x:c>
      <x:c r="K3345" s="2" t="n">
        <x:v>4</x:v>
      </x:c>
      <x:c r="L3345" s="12" t="n">
        <x:v>1944.1126</x:v>
      </x:c>
      <x:c r="M3345" s="13" t="n">
        <x:v>0.4584433503074234</x:v>
      </x:c>
      <x:c r="N3345" s="13" t="n">
        <x:f>H3345/G3345</x:f>
        <x:v>0.08815616137935067</x:v>
      </x:c>
      <x:c r="O3345" s="13" t="n">
        <x:f>F3345/E3345</x:f>
        <x:v>0</x:v>
      </x:c>
      <x:c r="P3345" s="2" t="str">
        <x:f>IF(AND(E3345&gt;='Итоги'!$F$5,N3345&lt;='Итоги'!$B$5,O3345&gt;='Итоги'!$D$5),"Да","Нет")</x:f>
        <x:v>Нет</x:v>
      </x:c>
    </x:row>
    <x:row r="3346" ht="60" customHeight="1">
      <x:c r="A3346" s="14" t="str">
        <x:v>Мебель</x:v>
      </x:c>
      <x:c r="B3346" s="14" t="str">
        <x:v>Мягкая мебель</x:v>
      </x:c>
      <x:c r="C3346" s="14" t="str">
        <x:v>Уголок кухонный</x:v>
      </x:c>
      <x:c r="D3346" s="14" t="str">
        <x:v>Уголки кухонные</x:v>
      </x:c>
      <x:c r="E3346" s="2" t="n">
        <x:v>8</x:v>
      </x:c>
      <x:c r="F3346" s="2" t="n">
        <x:v>0</x:v>
      </x:c>
      <x:c r="G3346" s="12" t="n">
        <x:v>781711.66</x:v>
      </x:c>
      <x:c r="H3346" s="12" t="n">
        <x:v>68932.4945</x:v>
      </x:c>
      <x:c r="I3346" s="13" t="n">
        <x:v>0.0791625</x:v>
      </x:c>
      <x:c r="J3346" s="2" t="n">
        <x:v>6</x:v>
      </x:c>
      <x:c r="K3346" s="2" t="n">
        <x:v>3</x:v>
      </x:c>
      <x:c r="L3346" s="12" t="n">
        <x:v>10345.75</x:v>
      </x:c>
      <x:c r="M3346" s="13" t="n">
        <x:v>0.6533031117893265</x:v>
      </x:c>
      <x:c r="N3346" s="13" t="n">
        <x:f>H3346/G3346</x:f>
        <x:v>0.08818148433400622</x:v>
      </x:c>
      <x:c r="O3346" s="13" t="n">
        <x:f>F3346/E3346</x:f>
        <x:v>0</x:v>
      </x:c>
      <x:c r="P3346" s="2" t="str">
        <x:f>IF(AND(E3346&gt;='Итоги'!$F$5,N3346&lt;='Итоги'!$B$5,O3346&gt;='Итоги'!$D$5),"Да","Нет")</x:f>
        <x:v>Нет</x:v>
      </x:c>
    </x:row>
    <x:row r="3347" ht="60" customHeight="1">
      <x:c r="A3347" s="14" t="str">
        <x:v>Бакалея и кондитерские изделия</x:v>
      </x:c>
      <x:c r="B3347" s="14" t="str">
        <x:v>Бакалея</x:v>
      </x:c>
      <x:c r="C3347" s="14" t="str">
        <x:v>Приправы, специи, травы</x:v>
      </x:c>
      <x:c r="D3347" s="14" t="str">
        <x:v>Перец специя</x:v>
      </x:c>
      <x:c r="E3347" s="2" t="n">
        <x:v>3</x:v>
      </x:c>
      <x:c r="F3347" s="2" t="n">
        <x:v>0</x:v>
      </x:c>
      <x:c r="G3347" s="12" t="n">
        <x:v>150479</x:v>
      </x:c>
      <x:c r="H3347" s="12" t="n">
        <x:v>13274.0658</x:v>
      </x:c>
      <x:c r="I3347" s="13" t="n">
        <x:v>0.0669666666666666</x:v>
      </x:c>
      <x:c r="J3347" s="2" t="n">
        <x:v>0</x:v>
      </x:c>
      <x:c r="K3347" s="2" t="n">
        <x:v>3</x:v>
      </x:c>
      <x:c r="L3347" s="12" t="n">
        <x:v>1306.9268</x:v>
      </x:c>
      <x:c r="M3347" s="13" t="n">
        <x:v>0.565421088656889</x:v>
      </x:c>
      <x:c r="N3347" s="13" t="n">
        <x:f>H3347/G3347</x:f>
        <x:v>0.08821208141999881</x:v>
      </x:c>
      <x:c r="O3347" s="13" t="n">
        <x:f>F3347/E3347</x:f>
        <x:v>0</x:v>
      </x:c>
      <x:c r="P3347" s="2" t="str">
        <x:f>IF(AND(E3347&gt;='Итоги'!$F$5,N3347&lt;='Итоги'!$B$5,O3347&gt;='Итоги'!$D$5),"Да","Нет")</x:f>
        <x:v>Нет</x:v>
      </x:c>
    </x:row>
    <x:row r="3348" ht="60" customHeight="1">
      <x:c r="A3348" s="14" t="str">
        <x:v>Товары для дома</x:v>
      </x:c>
      <x:c r="B3348" s="14" t="str">
        <x:v>Домашний текстиль</x:v>
      </x:c>
      <x:c r="C3348" s="14" t="str">
        <x:v>Коврики, покрытия</x:v>
      </x:c>
      <x:c r="D3348" s="14" t="str">
        <x:v>Ковер детский</x:v>
      </x:c>
      <x:c r="E3348" s="2" t="n">
        <x:v>8</x:v>
      </x:c>
      <x:c r="F3348" s="2" t="n">
        <x:v>0</x:v>
      </x:c>
      <x:c r="G3348" s="12" t="n">
        <x:v>839986.2919000001</x:v>
      </x:c>
      <x:c r="H3348" s="12" t="n">
        <x:v>74132.39832184</x:v>
      </x:c>
      <x:c r="I3348" s="13" t="n">
        <x:v>0.087075</x:v>
      </x:c>
      <x:c r="J3348" s="2" t="n">
        <x:v>1</x:v>
      </x:c>
      <x:c r="K3348" s="2" t="n">
        <x:v>3</x:v>
      </x:c>
      <x:c r="L3348" s="12" t="n">
        <x:v>4352.17225</x:v>
      </x:c>
      <x:c r="M3348" s="13" t="n">
        <x:v>0.6487481194096377</x:v>
      </x:c>
      <x:c r="N3348" s="13" t="n">
        <x:f>H3348/G3348</x:f>
        <x:v>0.08825429538160298</x:v>
      </x:c>
      <x:c r="O3348" s="13" t="n">
        <x:f>F3348/E3348</x:f>
        <x:v>0</x:v>
      </x:c>
      <x:c r="P3348" s="2" t="str">
        <x:f>IF(AND(E3348&gt;='Итоги'!$F$5,N3348&lt;='Итоги'!$B$5,O3348&gt;='Итоги'!$D$5),"Да","Нет")</x:f>
        <x:v>Нет</x:v>
      </x:c>
    </x:row>
    <x:row r="3349" ht="60" customHeight="1">
      <x:c r="A3349" s="14" t="str">
        <x:v>Строительство и ремонт (DIY)</x:v>
      </x:c>
      <x:c r="B3349" s="14" t="str">
        <x:v>Сантехника</x:v>
      </x:c>
      <x:c r="C3349" s="14" t="str">
        <x:v>Системы отопления</x:v>
      </x:c>
      <x:c r="D3349" s="14" t="str">
        <x:v>Реагент для систем отопления</x:v>
      </x:c>
      <x:c r="E3349" s="2" t="n">
        <x:v>1</x:v>
      </x:c>
      <x:c r="F3349" s="2" t="n">
        <x:v>0</x:v>
      </x:c>
      <x:c r="G3349" s="12" t="n">
        <x:v>181730.9545</x:v>
      </x:c>
      <x:c r="H3349" s="12" t="n">
        <x:v>16046.84328235</x:v>
      </x:c>
      <x:c r="I3349" s="13" t="n">
        <x:v>0.0883</x:v>
      </x:c>
      <x:c r="J3349" s="2" t="n">
        <x:v>0</x:v>
      </x:c>
      <x:c r="K3349" s="2" t="n">
        <x:v>1</x:v>
      </x:c>
      <x:c r="L3349" s="12" t="n">
        <x:v>2672.514</x:v>
      </x:c>
      <x:c r="M3349" s="13" t="n">
        <x:v>1</x:v>
      </x:c>
      <x:c r="N3349" s="13" t="n">
        <x:f>H3349/G3349</x:f>
        <x:v>0.0883</x:v>
      </x:c>
      <x:c r="O3349" s="13" t="n">
        <x:f>F3349/E3349</x:f>
        <x:v>0</x:v>
      </x:c>
      <x:c r="P3349" s="2" t="str">
        <x:f>IF(AND(E3349&gt;='Итоги'!$F$5,N3349&lt;='Итоги'!$B$5,O3349&gt;='Итоги'!$D$5),"Да","Нет")</x:f>
        <x:v>Нет</x:v>
      </x:c>
    </x:row>
    <x:row r="3350" ht="60" customHeight="1">
      <x:c r="A3350" s="14" t="str">
        <x:v>Строительство и ремонт (DIY)</x:v>
      </x:c>
      <x:c r="B3350" s="14" t="str">
        <x:v>Освещение</x:v>
      </x:c>
      <x:c r="C3350" s="14" t="str">
        <x:v>Светильник домашний</x:v>
      </x:c>
      <x:c r="D3350" s="14" t="str">
        <x:v>Фитолампа</x:v>
      </x:c>
      <x:c r="E3350" s="2" t="n">
        <x:v>54</x:v>
      </x:c>
      <x:c r="F3350" s="2" t="n">
        <x:v>0</x:v>
      </x:c>
      <x:c r="G3350" s="12" t="n">
        <x:v>9220648.1118</x:v>
      </x:c>
      <x:c r="H3350" s="12" t="n">
        <x:v>814300.98815569</x:v>
      </x:c>
      <x:c r="I3350" s="13" t="n">
        <x:v>0.1039351851851851</x:v>
      </x:c>
      <x:c r="J3350" s="2" t="n">
        <x:v>2</x:v>
      </x:c>
      <x:c r="K3350" s="2" t="n">
        <x:v>18</x:v>
      </x:c>
      <x:c r="L3350" s="12" t="n">
        <x:v>2015.23405</x:v>
      </x:c>
      <x:c r="M3350" s="13" t="n">
        <x:v>0.4757525585632229</x:v>
      </x:c>
      <x:c r="N3350" s="13" t="n">
        <x:f>H3350/G3350</x:f>
        <x:v>0.08831277132391586</x:v>
      </x:c>
      <x:c r="O3350" s="13" t="n">
        <x:f>F3350/E3350</x:f>
        <x:v>0</x:v>
      </x:c>
      <x:c r="P3350" s="2" t="str">
        <x:f>IF(AND(E3350&gt;='Итоги'!$F$5,N3350&lt;='Итоги'!$B$5,O3350&gt;='Итоги'!$D$5),"Да","Нет")</x:f>
        <x:v>Нет</x:v>
      </x:c>
    </x:row>
    <x:row r="3351" ht="60" customHeight="1">
      <x:c r="A3351" s="14" t="str">
        <x:v>Автотовары</x:v>
      </x:c>
      <x:c r="B3351" s="14" t="str">
        <x:v>Дополнительное оборудование для авто и мото техники</x:v>
      </x:c>
      <x:c r="C3351" s="14" t="str">
        <x:v>Оборудование для дооснащения авто</x:v>
      </x:c>
      <x:c r="D3351" s="14" t="str">
        <x:v>Оборудование для автотуризма</x:v>
      </x:c>
      <x:c r="E3351" s="2" t="n">
        <x:v>2</x:v>
      </x:c>
      <x:c r="F3351" s="2" t="n">
        <x:v>0</x:v>
      </x:c>
      <x:c r="G3351" s="12" t="n">
        <x:v>100920.1758</x:v>
      </x:c>
      <x:c r="H3351" s="12" t="n">
        <x:v>8918.34407478</x:v>
      </x:c>
      <x:c r="I3351" s="13" t="n">
        <x:v>0.06705</x:v>
      </x:c>
      <x:c r="J3351" s="2" t="n">
        <x:v>1</x:v>
      </x:c>
      <x:c r="K3351" s="2" t="n">
        <x:v>2</x:v>
      </x:c>
      <x:c r="L3351" s="12" t="n">
        <x:v>2516.53695</x:v>
      </x:c>
      <x:c r="M3351" s="13" t="n">
        <x:v>0.6589879107206232</x:v>
      </x:c>
      <x:c r="N3351" s="13" t="n">
        <x:f>H3351/G3351</x:f>
        <x:v>0.08837027882763557</x:v>
      </x:c>
      <x:c r="O3351" s="13" t="n">
        <x:f>F3351/E3351</x:f>
        <x:v>0</x:v>
      </x:c>
      <x:c r="P3351" s="2" t="str">
        <x:f>IF(AND(E3351&gt;='Итоги'!$F$5,N3351&lt;='Итоги'!$B$5,O3351&gt;='Итоги'!$D$5),"Да","Нет")</x:f>
        <x:v>Нет</x:v>
      </x:c>
    </x:row>
    <x:row r="3352" ht="60" customHeight="1">
      <x:c r="A3352" s="14" t="str">
        <x:v>Товары для животных</x:v>
      </x:c>
      <x:c r="B3352" s="14" t="str">
        <x:v>Товары для прогулки и дрессировки животных</x:v>
      </x:c>
      <x:c r="C3352" s="14" t="str">
        <x:v>Аксессуары для прогулки и дрессировки животных</x:v>
      </x:c>
      <x:c r="D3352" s="14" t="str">
        <x:v>Игрушка для собак</x:v>
      </x:c>
      <x:c r="E3352" s="2" t="n">
        <x:v>27</x:v>
      </x:c>
      <x:c r="F3352" s="2" t="n">
        <x:v>0</x:v>
      </x:c>
      <x:c r="G3352" s="12" t="n">
        <x:v>3823040.9019</x:v>
      </x:c>
      <x:c r="H3352" s="12" t="n">
        <x:v>337872.23622562</x:v>
      </x:c>
      <x:c r="I3352" s="13" t="n">
        <x:v>0.0960333333333333</x:v>
      </x:c>
      <x:c r="J3352" s="2" t="n">
        <x:v>3</x:v>
      </x:c>
      <x:c r="K3352" s="2" t="n">
        <x:v>16</x:v>
      </x:c>
      <x:c r="L3352" s="12" t="n">
        <x:v>1438.5</x:v>
      </x:c>
      <x:c r="M3352" s="13" t="n">
        <x:v>0.3704955998760197</x:v>
      </x:c>
      <x:c r="N3352" s="13" t="n">
        <x:f>H3352/G3352</x:f>
        <x:v>0.08837787638047558</x:v>
      </x:c>
      <x:c r="O3352" s="13" t="n">
        <x:f>F3352/E3352</x:f>
        <x:v>0</x:v>
      </x:c>
      <x:c r="P3352" s="2" t="str">
        <x:f>IF(AND(E3352&gt;='Итоги'!$F$5,N3352&lt;='Итоги'!$B$5,O3352&gt;='Итоги'!$D$5),"Да","Нет")</x:f>
        <x:v>Нет</x:v>
      </x:c>
    </x:row>
    <x:row r="3353" ht="60" customHeight="1">
      <x:c r="A3353" s="14" t="str">
        <x:v>Товары для детей и спорта</x:v>
      </x:c>
      <x:c r="B3353" s="14" t="str">
        <x:v>Текстиль детский</x:v>
      </x:c>
      <x:c r="C3353" s="14" t="str">
        <x:v>Постельное белье для новорожденных и малышей</x:v>
      </x:c>
      <x:c r="D3353" s="14" t="str">
        <x:v>Плед, покрывало для новорожденных и малышей</x:v>
      </x:c>
      <x:c r="E3353" s="2" t="n">
        <x:v>11</x:v>
      </x:c>
      <x:c r="F3353" s="2" t="n">
        <x:v>0</x:v>
      </x:c>
      <x:c r="G3353" s="12" t="n">
        <x:v>1564147.604</x:v>
      </x:c>
      <x:c r="H3353" s="12" t="n">
        <x:v>138271.5794574</x:v>
      </x:c>
      <x:c r="I3353" s="13" t="n">
        <x:v>0.0834</x:v>
      </x:c>
      <x:c r="J3353" s="2" t="n">
        <x:v>3</x:v>
      </x:c>
      <x:c r="K3353" s="2" t="n">
        <x:v>5</x:v>
      </x:c>
      <x:c r="L3353" s="12" t="n">
        <x:v>1345.8542</x:v>
      </x:c>
      <x:c r="M3353" s="13" t="n">
        <x:v>0.3091291063346474</x:v>
      </x:c>
      <x:c r="N3353" s="13" t="n">
        <x:f>H3353/G3353</x:f>
        <x:v>0.08840059538102261</x:v>
      </x:c>
      <x:c r="O3353" s="13" t="n">
        <x:f>F3353/E3353</x:f>
        <x:v>0</x:v>
      </x:c>
      <x:c r="P3353" s="2" t="str">
        <x:f>IF(AND(E3353&gt;='Итоги'!$F$5,N3353&lt;='Итоги'!$B$5,O3353&gt;='Итоги'!$D$5),"Да","Нет")</x:f>
        <x:v>Нет</x:v>
      </x:c>
    </x:row>
    <x:row r="3354" ht="60" customHeight="1">
      <x:c r="A3354" s="14" t="str">
        <x:v>Мелкая бытовая техника</x:v>
      </x:c>
      <x:c r="B3354" s="14" t="str">
        <x:v>Мелкая бытовая техника SDA</x:v>
      </x:c>
      <x:c r="C3354" s="14" t="str">
        <x:v>Электронная кухонная техника SDA</x:v>
      </x:c>
      <x:c r="D3354" s="14" t="str">
        <x:v>Ланч бокс электрический</x:v>
      </x:c>
      <x:c r="E3354" s="2" t="n">
        <x:v>6</x:v>
      </x:c>
      <x:c r="F3354" s="2" t="n">
        <x:v>0</x:v>
      </x:c>
      <x:c r="G3354" s="12" t="n">
        <x:v>1091101.9193</x:v>
      </x:c>
      <x:c r="H3354" s="12" t="n">
        <x:v>96514.45407625</x:v>
      </x:c>
      <x:c r="I3354" s="13" t="n">
        <x:v>0.0779166666666666</x:v>
      </x:c>
      <x:c r="J3354" s="2" t="n">
        <x:v>0</x:v>
      </x:c>
      <x:c r="K3354" s="2" t="n">
        <x:v>5</x:v>
      </x:c>
      <x:c r="L3354" s="12" t="n">
        <x:v>1375.29065</x:v>
      </x:c>
      <x:c r="M3354" s="13" t="n">
        <x:v>0.4615872294708372</x:v>
      </x:c>
      <x:c r="N3354" s="13" t="n">
        <x:f>H3354/G3354</x:f>
        <x:v>0.08845594748671065</x:v>
      </x:c>
      <x:c r="O3354" s="13" t="n">
        <x:f>F3354/E3354</x:f>
        <x:v>0</x:v>
      </x:c>
      <x:c r="P3354" s="2" t="str">
        <x:f>IF(AND(E3354&gt;='Итоги'!$F$5,N3354&lt;='Итоги'!$B$5,O3354&gt;='Итоги'!$D$5),"Да","Нет")</x:f>
        <x:v>Нет</x:v>
      </x:c>
    </x:row>
    <x:row r="3355" ht="60" customHeight="1">
      <x:c r="A3355" s="14" t="str">
        <x:v>Товары для дома</x:v>
      </x:c>
      <x:c r="B3355" s="14" t="str">
        <x:v>Кухня</x:v>
      </x:c>
      <x:c r="C3355" s="14" t="str">
        <x:v>Кухонная навеска</x:v>
      </x:c>
      <x:c r="D3355" s="14" t="str">
        <x:v>Шумовка</x:v>
      </x:c>
      <x:c r="E3355" s="2" t="n">
        <x:v>2</x:v>
      </x:c>
      <x:c r="F3355" s="2" t="n">
        <x:v>0</x:v>
      </x:c>
      <x:c r="G3355" s="12" t="n">
        <x:v>930498.9515</x:v>
      </x:c>
      <x:c r="H3355" s="12" t="n">
        <x:v>82350.84325201</x:v>
      </x:c>
      <x:c r="I3355" s="13" t="n">
        <x:v>0.08885</x:v>
      </x:c>
      <x:c r="J3355" s="2" t="n">
        <x:v>0</x:v>
      </x:c>
      <x:c r="K3355" s="2" t="n">
        <x:v>1</x:v>
      </x:c>
      <x:c r="L3355" s="12" t="n">
        <x:v>915.0016</x:v>
      </x:c>
      <x:c r="M3355" s="13" t="n">
        <x:v>1</x:v>
      </x:c>
      <x:c r="N3355" s="13" t="n">
        <x:f>H3355/G3355</x:f>
        <x:v>0.08850181197867799</x:v>
      </x:c>
      <x:c r="O3355" s="13" t="n">
        <x:f>F3355/E3355</x:f>
        <x:v>0</x:v>
      </x:c>
      <x:c r="P3355" s="2" t="str">
        <x:f>IF(AND(E3355&gt;='Итоги'!$F$5,N3355&lt;='Итоги'!$B$5,O3355&gt;='Итоги'!$D$5),"Да","Нет")</x:f>
        <x:v>Нет</x:v>
      </x:c>
    </x:row>
    <x:row r="3356" ht="60" customHeight="1">
      <x:c r="A3356" s="14" t="str">
        <x:v>Аксессуары для электроники</x:v>
      </x:c>
      <x:c r="B3356" s="14" t="str">
        <x:v>Аксессуары для мобильных устройств Access</x:v>
      </x:c>
      <x:c r="C3356" s="14" t="str">
        <x:v>Аксессуары для смартфонов Access</x:v>
      </x:c>
      <x:c r="D3356" s="14" t="str">
        <x:v>Видеоэндоскоп для смартфона, компьютера</x:v>
      </x:c>
      <x:c r="E3356" s="2" t="n">
        <x:v>3</x:v>
      </x:c>
      <x:c r="F3356" s="2" t="n">
        <x:v>0</x:v>
      </x:c>
      <x:c r="G3356" s="12" t="n">
        <x:v>550124.1909</x:v>
      </x:c>
      <x:c r="H3356" s="12" t="n">
        <x:v>48690.39774387</x:v>
      </x:c>
      <x:c r="I3356" s="13" t="n">
        <x:v>0.064</x:v>
      </x:c>
      <x:c r="J3356" s="2" t="n">
        <x:v>1</x:v>
      </x:c>
      <x:c r="K3356" s="2" t="n">
        <x:v>1</x:v>
      </x:c>
      <x:c r="L3356" s="12" t="n">
        <x:v>13092.5473</x:v>
      </x:c>
      <x:c r="M3356" s="13" t="n">
        <x:v>1</x:v>
      </x:c>
      <x:c r="N3356" s="13" t="n">
        <x:f>H3356/G3356</x:f>
        <x:v>0.08850801064431067</x:v>
      </x:c>
      <x:c r="O3356" s="13" t="n">
        <x:f>F3356/E3356</x:f>
        <x:v>0</x:v>
      </x:c>
      <x:c r="P3356" s="2" t="str">
        <x:f>IF(AND(E3356&gt;='Итоги'!$F$5,N3356&lt;='Итоги'!$B$5,O3356&gt;='Итоги'!$D$5),"Да","Нет")</x:f>
        <x:v>Нет</x:v>
      </x:c>
    </x:row>
    <x:row r="3357" ht="60" customHeight="1">
      <x:c r="A3357" s="14" t="str">
        <x:v>Аптека</x:v>
      </x:c>
      <x:c r="B3357" s="14" t="str">
        <x:v>Медицинская техника</x:v>
      </x:c>
      <x:c r="C3357" s="14" t="str">
        <x:v>Медицинская техника</x:v>
      </x:c>
      <x:c r="D3357" s="14" t="str">
        <x:v>Аспиратор</x:v>
      </x:c>
      <x:c r="E3357" s="2" t="n">
        <x:v>28</x:v>
      </x:c>
      <x:c r="F3357" s="2" t="n">
        <x:v>0</x:v>
      </x:c>
      <x:c r="G3357" s="12" t="n">
        <x:v>6314705.55</x:v>
      </x:c>
      <x:c r="H3357" s="12" t="n">
        <x:v>559234.614044</x:v>
      </x:c>
      <x:c r="I3357" s="13" t="n">
        <x:v>0.1049178571428571</x:v>
      </x:c>
      <x:c r="J3357" s="2" t="n">
        <x:v>2</x:v>
      </x:c>
      <x:c r="K3357" s="2" t="n">
        <x:v>16</x:v>
      </x:c>
      <x:c r="L3357" s="12" t="n">
        <x:v>1546.8728999999998</x:v>
      </x:c>
      <x:c r="M3357" s="13" t="n">
        <x:v>0.3972313055832033</x:v>
      </x:c>
      <x:c r="N3357" s="13" t="n">
        <x:f>H3357/G3357</x:f>
        <x:v>0.08856067945147499</x:v>
      </x:c>
      <x:c r="O3357" s="13" t="n">
        <x:f>F3357/E3357</x:f>
        <x:v>0</x:v>
      </x:c>
      <x:c r="P3357" s="2" t="str">
        <x:f>IF(AND(E3357&gt;='Итоги'!$F$5,N3357&lt;='Итоги'!$B$5,O3357&gt;='Итоги'!$D$5),"Да","Нет")</x:f>
        <x:v>Нет</x:v>
      </x:c>
    </x:row>
    <x:row r="3358" ht="60" customHeight="1">
      <x:c r="A3358" s="14" t="str">
        <x:v>Автотовары</x:v>
      </x:c>
      <x:c r="B3358" s="14" t="str">
        <x:v>Универсальные авто и мото аксессуары</x:v>
      </x:c>
      <x:c r="C3358" s="14" t="str">
        <x:v>Аксессуар для салона авто</x:v>
      </x:c>
      <x:c r="D3358" s="14" t="str">
        <x:v>Шумоизоляция для автомобиля</x:v>
      </x:c>
      <x:c r="E3358" s="2" t="n">
        <x:v>130</x:v>
      </x:c>
      <x:c r="F3358" s="2" t="n">
        <x:v>0</x:v>
      </x:c>
      <x:c r="G3358" s="12" t="n">
        <x:v>24957135.6194</x:v>
      </x:c>
      <x:c r="H3358" s="12" t="n">
        <x:v>2211558.74933359</x:v>
      </x:c>
      <x:c r="I3358" s="13" t="n">
        <x:v>0.0861553846153846</x:v>
      </x:c>
      <x:c r="J3358" s="2" t="n">
        <x:v>12</x:v>
      </x:c>
      <x:c r="K3358" s="2" t="n">
        <x:v>9</x:v>
      </x:c>
      <x:c r="L3358" s="12" t="n">
        <x:v>1772.6222</x:v>
      </x:c>
      <x:c r="M3358" s="13" t="n">
        <x:v>0.7853898006373551</x:v>
      </x:c>
      <x:c r="N3358" s="13" t="n">
        <x:f>H3358/G3358</x:f>
        <x:v>0.08861428583232416</x:v>
      </x:c>
      <x:c r="O3358" s="13" t="n">
        <x:f>F3358/E3358</x:f>
        <x:v>0</x:v>
      </x:c>
      <x:c r="P3358" s="2" t="str">
        <x:f>IF(AND(E3358&gt;='Итоги'!$F$5,N3358&lt;='Итоги'!$B$5,O3358&gt;='Итоги'!$D$5),"Да","Нет")</x:f>
        <x:v>Нет</x:v>
      </x:c>
    </x:row>
    <x:row r="3359" ht="60" customHeight="1">
      <x:c r="A3359" s="14" t="str">
        <x:v>Товары для дома</x:v>
      </x:c>
      <x:c r="B3359" s="14" t="str">
        <x:v>Антиквариат Хоум Декор</x:v>
      </x:c>
      <x:c r="C3359" s="14" t="str">
        <x:v>Коллекционирование Хоум Декор</x:v>
      </x:c>
      <x:c r="D3359" s="14" t="str">
        <x:v>Медаль коллекционная</x:v>
      </x:c>
      <x:c r="E3359" s="2" t="n">
        <x:v>2</x:v>
      </x:c>
      <x:c r="F3359" s="2" t="n">
        <x:v>0</x:v>
      </x:c>
      <x:c r="G3359" s="12" t="n">
        <x:v>425851.6642</x:v>
      </x:c>
      <x:c r="H3359" s="12" t="n">
        <x:v>37737.51934472</x:v>
      </x:c>
      <x:c r="I3359" s="13" t="n">
        <x:v>0.1058</x:v>
      </x:c>
      <x:c r="J3359" s="2" t="n">
        <x:v>1</x:v>
      </x:c>
      <x:c r="K3359" s="2" t="n">
        <x:v>2</x:v>
      </x:c>
      <x:c r="L3359" s="12" t="n">
        <x:v>1014.72875</x:v>
      </x:c>
      <x:c r="M3359" s="13" t="n">
        <x:v>0.5812070746863598</x:v>
      </x:c>
      <x:c r="N3359" s="13" t="n">
        <x:f>H3359/G3359</x:f>
        <x:v>0.08861658299636627</x:v>
      </x:c>
      <x:c r="O3359" s="13" t="n">
        <x:f>F3359/E3359</x:f>
        <x:v>0</x:v>
      </x:c>
      <x:c r="P3359" s="2" t="str">
        <x:f>IF(AND(E3359&gt;='Итоги'!$F$5,N3359&lt;='Итоги'!$B$5,O3359&gt;='Итоги'!$D$5),"Да","Нет")</x:f>
        <x:v>Нет</x:v>
      </x:c>
    </x:row>
    <x:row r="3360" ht="60" customHeight="1">
      <x:c r="A3360" s="14" t="str">
        <x:v>Книги</x:v>
      </x:c>
      <x:c r="B3360" s="14" t="str">
        <x:v>Печатные книги: Книги детям и родителям</x:v>
      </x:c>
      <x:c r="C3360" s="14" t="str">
        <x:v>Художественная литература для детей</x:v>
      </x:c>
      <x:c r="D3360" s="14" t="str">
        <x:v>Печатная книга: Художественная литература для детей</x:v>
      </x:c>
      <x:c r="E3360" s="2" t="n">
        <x:v>12</x:v>
      </x:c>
      <x:c r="F3360" s="2" t="n">
        <x:v>0</x:v>
      </x:c>
      <x:c r="G3360" s="12" t="n">
        <x:v>988212.7249</x:v>
      </x:c>
      <x:c r="H3360" s="12" t="n">
        <x:v>87602.52813877</x:v>
      </x:c>
      <x:c r="I3360" s="13" t="n">
        <x:v>0.0839333333333333</x:v>
      </x:c>
      <x:c r="J3360" s="2" t="n">
        <x:v>3</x:v>
      </x:c>
      <x:c r="K3360" s="2" t="n">
        <x:v>3</x:v>
      </x:c>
      <x:c r="L3360" s="12" t="n">
        <x:v>983.6468</x:v>
      </x:c>
      <x:c r="M3360" s="13" t="n">
        <x:v>0.8960382802089538</x:v>
      </x:c>
      <x:c r="N3360" s="13" t="n">
        <x:f>H3360/G3360</x:f>
        <x:v>0.08864743989977941</x:v>
      </x:c>
      <x:c r="O3360" s="13" t="n">
        <x:f>F3360/E3360</x:f>
        <x:v>0</x:v>
      </x:c>
      <x:c r="P3360" s="2" t="str">
        <x:f>IF(AND(E3360&gt;='Итоги'!$F$5,N3360&lt;='Итоги'!$B$5,O3360&gt;='Итоги'!$D$5),"Да","Нет")</x:f>
        <x:v>Нет</x:v>
      </x:c>
    </x:row>
    <x:row r="3361" ht="60" customHeight="1">
      <x:c r="A3361" s="14" t="str">
        <x:v>Строительство и ремонт (DIY)</x:v>
      </x:c>
      <x:c r="B3361" s="14" t="str">
        <x:v>Ремонт и строительство</x:v>
      </x:c>
      <x:c r="C3361" s="14" t="str">
        <x:v>Строительная химия</x:v>
      </x:c>
      <x:c r="D3361" s="14" t="str">
        <x:v>Шпатлевка</x:v>
      </x:c>
      <x:c r="E3361" s="2" t="n">
        <x:v>17</x:v>
      </x:c>
      <x:c r="F3361" s="2" t="n">
        <x:v>0</x:v>
      </x:c>
      <x:c r="G3361" s="12" t="n">
        <x:v>3796739.5298</x:v>
      </x:c>
      <x:c r="H3361" s="12" t="n">
        <x:v>337204.86089868005</x:v>
      </x:c>
      <x:c r="I3361" s="13" t="n">
        <x:v>0.0603176470588235</x:v>
      </x:c>
      <x:c r="J3361" s="2" t="n">
        <x:v>4</x:v>
      </x:c>
      <x:c r="K3361" s="2" t="n">
        <x:v>5</x:v>
      </x:c>
      <x:c r="L3361" s="12" t="n">
        <x:v>1141.0627</x:v>
      </x:c>
      <x:c r="M3361" s="13" t="n">
        <x:v>0.862490058666863</x:v>
      </x:c>
      <x:c r="N3361" s="13" t="n">
        <x:f>H3361/G3361</x:f>
        <x:v>0.08881432562123716</x:v>
      </x:c>
      <x:c r="O3361" s="13" t="n">
        <x:f>F3361/E3361</x:f>
        <x:v>0</x:v>
      </x:c>
      <x:c r="P3361" s="2" t="str">
        <x:f>IF(AND(E3361&gt;='Итоги'!$F$5,N3361&lt;='Итоги'!$B$5,O3361&gt;='Итоги'!$D$5),"Да","Нет")</x:f>
        <x:v>Нет</x:v>
      </x:c>
    </x:row>
    <x:row r="3362" ht="60" customHeight="1">
      <x:c r="A3362" s="14" t="str">
        <x:v>Товары для красоты и здоровья</x:v>
      </x:c>
      <x:c r="B3362" s="14" t="str">
        <x:v>Косметические аксессуары</x:v>
      </x:c>
      <x:c r="C3362" s="14" t="str">
        <x:v>Аксессуары для макияжа</x:v>
      </x:c>
      <x:c r="D3362" s="14" t="str">
        <x:v>Кисти и аппликаторы</x:v>
      </x:c>
      <x:c r="E3362" s="2" t="n">
        <x:v>30</x:v>
      </x:c>
      <x:c r="F3362" s="2" t="n">
        <x:v>0</x:v>
      </x:c>
      <x:c r="G3362" s="12" t="n">
        <x:v>2843145.958</x:v>
      </x:c>
      <x:c r="H3362" s="12" t="n">
        <x:v>252607.39773127</x:v>
      </x:c>
      <x:c r="I3362" s="13" t="n">
        <x:v>0.0672033333333333</x:v>
      </x:c>
      <x:c r="J3362" s="2" t="n">
        <x:v>14</x:v>
      </x:c>
      <x:c r="K3362" s="2" t="n">
        <x:v>10</x:v>
      </x:c>
      <x:c r="L3362" s="12" t="n">
        <x:v>2180.9434</x:v>
      </x:c>
      <x:c r="M3362" s="13" t="n">
        <x:v>0.3569519631745899</x:v>
      </x:c>
      <x:c r="N3362" s="13" t="n">
        <x:f>H3362/G3362</x:f>
        <x:v>0.08884784723080685</x:v>
      </x:c>
      <x:c r="O3362" s="13" t="n">
        <x:f>F3362/E3362</x:f>
        <x:v>0</x:v>
      </x:c>
      <x:c r="P3362" s="2" t="str">
        <x:f>IF(AND(E3362&gt;='Итоги'!$F$5,N3362&lt;='Итоги'!$B$5,O3362&gt;='Итоги'!$D$5),"Да","Нет")</x:f>
        <x:v>Нет</x:v>
      </x:c>
    </x:row>
    <x:row r="3363" ht="60" customHeight="1">
      <x:c r="A3363" s="14" t="str">
        <x:v>Одежда</x:v>
      </x:c>
      <x:c r="B3363" s="14" t="str">
        <x:v>Основная одежда мужская</x:v>
      </x:c>
      <x:c r="C3363" s="14" t="str">
        <x:v>Головные уборы, перчатки, шарфы мужские</x:v>
      </x:c>
      <x:c r="D3363" s="14" t="str">
        <x:v>Мужское кепи</x:v>
      </x:c>
      <x:c r="E3363" s="2" t="n">
        <x:v>5</x:v>
      </x:c>
      <x:c r="F3363" s="2" t="n">
        <x:v>0</x:v>
      </x:c>
      <x:c r="G3363" s="12" t="n">
        <x:v>530965.72</x:v>
      </x:c>
      <x:c r="H3363" s="12" t="n">
        <x:v>47207.306693</x:v>
      </x:c>
      <x:c r="I3363" s="13" t="n">
        <x:v>0.06656</x:v>
      </x:c>
      <x:c r="J3363" s="2" t="n">
        <x:v>3</x:v>
      </x:c>
      <x:c r="K3363" s="2" t="n">
        <x:v>3</x:v>
      </x:c>
      <x:c r="L3363" s="12" t="n">
        <x:v>5165.3516</x:v>
      </x:c>
      <x:c r="M3363" s="13" t="n">
        <x:v>0.7188533753177135</x:v>
      </x:c>
      <x:c r="N3363" s="13" t="n">
        <x:f>H3363/G3363</x:f>
        <x:v>0.0889083888372304</x:v>
      </x:c>
      <x:c r="O3363" s="13" t="n">
        <x:f>F3363/E3363</x:f>
        <x:v>0</x:v>
      </x:c>
      <x:c r="P3363" s="2" t="str">
        <x:f>IF(AND(E3363&gt;='Итоги'!$F$5,N3363&lt;='Итоги'!$B$5,O3363&gt;='Итоги'!$D$5),"Да","Нет")</x:f>
        <x:v>Нет</x:v>
      </x:c>
    </x:row>
    <x:row r="3364" ht="60" customHeight="1">
      <x:c r="A3364" s="14" t="str">
        <x:v>Товары для животных</x:v>
      </x:c>
      <x:c r="B3364" s="14" t="str">
        <x:v>Гигиена и уход животных</x:v>
      </x:c>
      <x:c r="C3364" s="14" t="str">
        <x:v>Туалет для животных</x:v>
      </x:c>
      <x:c r="D3364" s="14" t="str">
        <x:v>Лоток</x:v>
      </x:c>
      <x:c r="E3364" s="2" t="n">
        <x:v>119</x:v>
      </x:c>
      <x:c r="F3364" s="2" t="n">
        <x:v>0</x:v>
      </x:c>
      <x:c r="G3364" s="12" t="n">
        <x:v>24568569.3007</x:v>
      </x:c>
      <x:c r="H3364" s="12" t="n">
        <x:v>2187169.37470244</x:v>
      </x:c>
      <x:c r="I3364" s="13" t="n">
        <x:v>0.0909302521008403</x:v>
      </x:c>
      <x:c r="J3364" s="2" t="n">
        <x:v>12</x:v>
      </x:c>
      <x:c r="K3364" s="2" t="n">
        <x:v>39</x:v>
      </x:c>
      <x:c r="L3364" s="12" t="n">
        <x:v>1732.3843</x:v>
      </x:c>
      <x:c r="M3364" s="13" t="n">
        <x:v>0.4580687463913233</x:v>
      </x:c>
      <x:c r="N3364" s="13" t="n">
        <x:f>H3364/G3364</x:f>
        <x:v>0.08902306633867052</x:v>
      </x:c>
      <x:c r="O3364" s="13" t="n">
        <x:f>F3364/E3364</x:f>
        <x:v>0</x:v>
      </x:c>
      <x:c r="P3364" s="2" t="str">
        <x:f>IF(AND(E3364&gt;='Итоги'!$F$5,N3364&lt;='Итоги'!$B$5,O3364&gt;='Итоги'!$D$5),"Да","Нет")</x:f>
        <x:v>Нет</x:v>
      </x:c>
    </x:row>
    <x:row r="3365" ht="60" customHeight="1">
      <x:c r="A3365" s="14" t="str">
        <x:v>Товары для дома</x:v>
      </x:c>
      <x:c r="B3365" s="14" t="str">
        <x:v>Ванная комната</x:v>
      </x:c>
      <x:c r="C3365" s="14" t="str">
        <x:v>Коврик для ванной</x:v>
      </x:c>
      <x:c r="D3365" s="14" t="str">
        <x:v>Набор ковриков для ванной</x:v>
      </x:c>
      <x:c r="E3365" s="2" t="n">
        <x:v>21</x:v>
      </x:c>
      <x:c r="F3365" s="2" t="n">
        <x:v>0</x:v>
      </x:c>
      <x:c r="G3365" s="12" t="n">
        <x:v>2642984.8032</x:v>
      </x:c>
      <x:c r="H3365" s="12" t="n">
        <x:v>235317.38904714</x:v>
      </x:c>
      <x:c r="I3365" s="13" t="n">
        <x:v>0.0850095238095238</x:v>
      </x:c>
      <x:c r="J3365" s="2" t="n">
        <x:v>8</x:v>
      </x:c>
      <x:c r="K3365" s="2" t="n">
        <x:v>7</x:v>
      </x:c>
      <x:c r="L3365" s="12" t="n">
        <x:v>1194.2128</x:v>
      </x:c>
      <x:c r="M3365" s="13" t="n">
        <x:v>0.3743482959501263</x:v>
      </x:c>
      <x:c r="N3365" s="13" t="n">
        <x:f>H3365/G3365</x:f>
        <x:v>0.08903471134689421</x:v>
      </x:c>
      <x:c r="O3365" s="13" t="n">
        <x:f>F3365/E3365</x:f>
        <x:v>0</x:v>
      </x:c>
      <x:c r="P3365" s="2" t="str">
        <x:f>IF(AND(E3365&gt;='Итоги'!$F$5,N3365&lt;='Итоги'!$B$5,O3365&gt;='Итоги'!$D$5),"Да","Нет")</x:f>
        <x:v>Нет</x:v>
      </x:c>
    </x:row>
    <x:row r="3366" ht="60" customHeight="1">
      <x:c r="A3366" s="14" t="str">
        <x:v>Товары для дома</x:v>
      </x:c>
      <x:c r="B3366" s="14" t="str">
        <x:v>Кухня</x:v>
      </x:c>
      <x:c r="C3366" s="14" t="str">
        <x:v>Питьевое стекло, аксессуар для бара, сосуд для жидкости</x:v>
      </x:c>
      <x:c r="D3366" s="14" t="str">
        <x:v>Набор питьевого стекла</x:v>
      </x:c>
      <x:c r="E3366" s="2" t="n">
        <x:v>3</x:v>
      </x:c>
      <x:c r="F3366" s="2" t="n">
        <x:v>0</x:v>
      </x:c>
      <x:c r="G3366" s="12" t="n">
        <x:v>364727.9046</x:v>
      </x:c>
      <x:c r="H3366" s="12" t="n">
        <x:v>32477.28000466001</x:v>
      </x:c>
      <x:c r="I3366" s="13" t="n">
        <x:v>0.0803333333333333</x:v>
      </x:c>
      <x:c r="J3366" s="2" t="n">
        <x:v>0</x:v>
      </x:c>
      <x:c r="K3366" s="2" t="n">
        <x:v>3</x:v>
      </x:c>
      <x:c r="L3366" s="12" t="n">
        <x:v>2153.9219</x:v>
      </x:c>
      <x:c r="M3366" s="13" t="n">
        <x:v>0.3779557260670315</x:v>
      </x:c>
      <x:c r="N3366" s="13" t="n">
        <x:f>H3366/G3366</x:f>
        <x:v>0.08904522959458805</x:v>
      </x:c>
      <x:c r="O3366" s="13" t="n">
        <x:f>F3366/E3366</x:f>
        <x:v>0</x:v>
      </x:c>
      <x:c r="P3366" s="2" t="str">
        <x:f>IF(AND(E3366&gt;='Итоги'!$F$5,N3366&lt;='Итоги'!$B$5,O3366&gt;='Итоги'!$D$5),"Да","Нет")</x:f>
        <x:v>Нет</x:v>
      </x:c>
    </x:row>
    <x:row r="3367" ht="60" customHeight="1">
      <x:c r="A3367" s="14" t="str">
        <x:v>Товары для дома</x:v>
      </x:c>
      <x:c r="B3367" s="14" t="str">
        <x:v>Кухня</x:v>
      </x:c>
      <x:c r="C3367" s="14" t="str">
        <x:v>Кухонная утварь и принадлежности</x:v>
      </x:c>
      <x:c r="D3367" s="14" t="str">
        <x:v>Венчик, миксер ручной</x:v>
      </x:c>
      <x:c r="E3367" s="2" t="n">
        <x:v>2</x:v>
      </x:c>
      <x:c r="F3367" s="2" t="n">
        <x:v>0</x:v>
      </x:c>
      <x:c r="G3367" s="12" t="n">
        <x:v>243991.1465</x:v>
      </x:c>
      <x:c r="H3367" s="12" t="n">
        <x:v>21773.8693</x:v>
      </x:c>
      <x:c r="I3367" s="13" t="n">
        <x:v>0.10195</x:v>
      </x:c>
      <x:c r="J3367" s="2" t="n">
        <x:v>1</x:v>
      </x:c>
      <x:c r="K3367" s="2" t="n">
        <x:v>2</x:v>
      </x:c>
      <x:c r="L3367" s="12" t="n">
        <x:v>1936.29525</x:v>
      </x:c>
      <x:c r="M3367" s="13" t="n">
        <x:v>0.5623324799615219</x:v>
      </x:c>
      <x:c r="N3367" s="13" t="n">
        <x:f>H3367/G3367</x:f>
        <x:v>0.08924040733584568</x:v>
      </x:c>
      <x:c r="O3367" s="13" t="n">
        <x:f>F3367/E3367</x:f>
        <x:v>0</x:v>
      </x:c>
      <x:c r="P3367" s="2" t="str">
        <x:f>IF(AND(E3367&gt;='Итоги'!$F$5,N3367&lt;='Итоги'!$B$5,O3367&gt;='Итоги'!$D$5),"Да","Нет")</x:f>
        <x:v>Нет</x:v>
      </x:c>
    </x:row>
    <x:row r="3368" ht="60" customHeight="1">
      <x:c r="A3368" s="14" t="str">
        <x:v>Товары для дома</x:v>
      </x:c>
      <x:c r="B3368" s="14" t="str">
        <x:v>Домашний текстиль</x:v>
      </x:c>
      <x:c r="C3368" s="14" t="str">
        <x:v>Постельное белье</x:v>
      </x:c>
      <x:c r="D3368" s="14" t="str">
        <x:v>Электропростыня</x:v>
      </x:c>
      <x:c r="E3368" s="2" t="n">
        <x:v>4</x:v>
      </x:c>
      <x:c r="F3368" s="2" t="n">
        <x:v>0</x:v>
      </x:c>
      <x:c r="G3368" s="12" t="n">
        <x:v>324909</x:v>
      </x:c>
      <x:c r="H3368" s="12" t="n">
        <x:v>28997.6636</x:v>
      </x:c>
      <x:c r="I3368" s="13" t="n">
        <x:v>0.0493</x:v>
      </x:c>
      <x:c r="J3368" s="2" t="n">
        <x:v>1</x:v>
      </x:c>
      <x:c r="K3368" s="2" t="n">
        <x:v>2</x:v>
      </x:c>
      <x:c r="L3368" s="12" t="n">
        <x:v>2889.53705</x:v>
      </x:c>
      <x:c r="M3368" s="13" t="n">
        <x:v>0.5223924237247968</x:v>
      </x:c>
      <x:c r="N3368" s="13" t="n">
        <x:f>H3368/G3368</x:f>
        <x:v>0.08924856990726635</x:v>
      </x:c>
      <x:c r="O3368" s="13" t="n">
        <x:f>F3368/E3368</x:f>
        <x:v>0</x:v>
      </x:c>
      <x:c r="P3368" s="2" t="str">
        <x:f>IF(AND(E3368&gt;='Итоги'!$F$5,N3368&lt;='Итоги'!$B$5,O3368&gt;='Итоги'!$D$5),"Да","Нет")</x:f>
        <x:v>Нет</x:v>
      </x:c>
    </x:row>
    <x:row r="3369" ht="60" customHeight="1">
      <x:c r="A3369" s="14" t="str">
        <x:v>Спорт и отдых</x:v>
      </x:c>
      <x:c r="B3369" s="14" t="str">
        <x:v>Туризм</x:v>
      </x:c>
      <x:c r="C3369" s="14" t="str">
        <x:v>Туристическая мебель</x:v>
      </x:c>
      <x:c r="D3369" s="14" t="str">
        <x:v>Надувной диван</x:v>
      </x:c>
      <x:c r="E3369" s="2" t="n">
        <x:v>25</x:v>
      </x:c>
      <x:c r="F3369" s="2" t="n">
        <x:v>0</x:v>
      </x:c>
      <x:c r="G3369" s="12" t="n">
        <x:v>2962473.0474</x:v>
      </x:c>
      <x:c r="H3369" s="12" t="n">
        <x:v>264446.76458616</x:v>
      </x:c>
      <x:c r="I3369" s="13" t="n">
        <x:v>0.066448</x:v>
      </x:c>
      <x:c r="J3369" s="2" t="n">
        <x:v>8</x:v>
      </x:c>
      <x:c r="K3369" s="2" t="n">
        <x:v>16</x:v>
      </x:c>
      <x:c r="L3369" s="12" t="n">
        <x:v>1631.8276</x:v>
      </x:c>
      <x:c r="M3369" s="13" t="n">
        <x:v>0.387308758001023</x:v>
      </x:c>
      <x:c r="N3369" s="13" t="n">
        <x:f>H3369/G3369</x:f>
        <x:v>0.08926554279312361</x:v>
      </x:c>
      <x:c r="O3369" s="13" t="n">
        <x:f>F3369/E3369</x:f>
        <x:v>0</x:v>
      </x:c>
      <x:c r="P3369" s="2" t="str">
        <x:f>IF(AND(E3369&gt;='Итоги'!$F$5,N3369&lt;='Итоги'!$B$5,O3369&gt;='Итоги'!$D$5),"Да","Нет")</x:f>
        <x:v>Нет</x:v>
      </x:c>
    </x:row>
    <x:row r="3370" ht="60" customHeight="1">
      <x:c r="A3370" s="14" t="str">
        <x:v>Товары для животных</x:v>
      </x:c>
      <x:c r="B3370" s="14" t="str">
        <x:v>Товары для прогулки и дрессировки животных</x:v>
      </x:c>
      <x:c r="C3370" s="14" t="str">
        <x:v>Аксессуары для прогулки и дрессировки животных</x:v>
      </x:c>
      <x:c r="D3370" s="14" t="str">
        <x:v>Фурнитура для поводков и ошейников</x:v>
      </x:c>
      <x:c r="E3370" s="2" t="n">
        <x:v>2</x:v>
      </x:c>
      <x:c r="F3370" s="2" t="n">
        <x:v>0</x:v>
      </x:c>
      <x:c r="G3370" s="12" t="n">
        <x:v>379132.71</x:v>
      </x:c>
      <x:c r="H3370" s="12" t="n">
        <x:v>33857.511723</x:v>
      </x:c>
      <x:c r="I3370" s="13" t="n">
        <x:v>0.0877</x:v>
      </x:c>
      <x:c r="J3370" s="2" t="n">
        <x:v>0</x:v>
      </x:c>
      <x:c r="K3370" s="2" t="n">
        <x:v>1</x:v>
      </x:c>
      <x:c r="L3370" s="12" t="n">
        <x:v>1969.07865</x:v>
      </x:c>
      <x:c r="M3370" s="13" t="n">
        <x:v>1</x:v>
      </x:c>
      <x:c r="N3370" s="13" t="n">
        <x:f>H3370/G3370</x:f>
        <x:v>0.08930253399396744</x:v>
      </x:c>
      <x:c r="O3370" s="13" t="n">
        <x:f>F3370/E3370</x:f>
        <x:v>0</x:v>
      </x:c>
      <x:c r="P3370" s="2" t="str">
        <x:f>IF(AND(E3370&gt;='Итоги'!$F$5,N3370&lt;='Итоги'!$B$5,O3370&gt;='Итоги'!$D$5),"Да","Нет")</x:f>
        <x:v>Нет</x:v>
      </x:c>
    </x:row>
    <x:row r="3371" ht="60" customHeight="1">
      <x:c r="A3371" s="14" t="str">
        <x:v>Аксессуары</x:v>
      </x:c>
      <x:c r="B3371" s="14" t="str">
        <x:v>Галантерея</x:v>
      </x:c>
      <x:c r="C3371" s="14" t="str">
        <x:v>Галантерея мужская</x:v>
      </x:c>
      <x:c r="D3371" s="14" t="str">
        <x:v>Мужской Наборы МКГ</x:v>
      </x:c>
      <x:c r="E3371" s="2" t="n">
        <x:v>3</x:v>
      </x:c>
      <x:c r="F3371" s="2" t="n">
        <x:v>0</x:v>
      </x:c>
      <x:c r="G3371" s="12" t="n">
        <x:v>483718.15</x:v>
      </x:c>
      <x:c r="H3371" s="12" t="n">
        <x:v>43202.747177</x:v>
      </x:c>
      <x:c r="I3371" s="13" t="n">
        <x:v>0.0971</x:v>
      </x:c>
      <x:c r="J3371" s="2" t="n">
        <x:v>0</x:v>
      </x:c>
      <x:c r="K3371" s="2" t="n">
        <x:v>2</x:v>
      </x:c>
      <x:c r="L3371" s="12" t="n">
        <x:v>1817.4949</x:v>
      </x:c>
      <x:c r="M3371" s="13" t="n">
        <x:v>0.8122139927972519</x:v>
      </x:c>
      <x:c r="N3371" s="13" t="n">
        <x:f>H3371/G3371</x:f>
        <x:v>0.08931388490797791</x:v>
      </x:c>
      <x:c r="O3371" s="13" t="n">
        <x:f>F3371/E3371</x:f>
        <x:v>0</x:v>
      </x:c>
      <x:c r="P3371" s="2" t="str">
        <x:f>IF(AND(E3371&gt;='Итоги'!$F$5,N3371&lt;='Итоги'!$B$5,O3371&gt;='Итоги'!$D$5),"Да","Нет")</x:f>
        <x:v>Нет</x:v>
      </x:c>
    </x:row>
    <x:row r="3372" ht="60" customHeight="1">
      <x:c r="A3372" s="14" t="str">
        <x:v>Товары для дома</x:v>
      </x:c>
      <x:c r="B3372" s="14" t="str">
        <x:v>Кухня</x:v>
      </x:c>
      <x:c r="C3372" s="14" t="str">
        <x:v>Столовая посуда</x:v>
      </x:c>
      <x:c r="D3372" s="14" t="str">
        <x:v>Салатница, салатник</x:v>
      </x:c>
      <x:c r="E3372" s="2" t="n">
        <x:v>29</x:v>
      </x:c>
      <x:c r="F3372" s="2" t="n">
        <x:v>0</x:v>
      </x:c>
      <x:c r="G3372" s="12" t="n">
        <x:v>3314136.8858</x:v>
      </x:c>
      <x:c r="H3372" s="12" t="n">
        <x:v>296181.26612667</x:v>
      </x:c>
      <x:c r="I3372" s="13" t="n">
        <x:v>0.0914448275862069</x:v>
      </x:c>
      <x:c r="J3372" s="2" t="n">
        <x:v>8</x:v>
      </x:c>
      <x:c r="K3372" s="2" t="n">
        <x:v>15</x:v>
      </x:c>
      <x:c r="L3372" s="12" t="n">
        <x:v>1486.6713</x:v>
      </x:c>
      <x:c r="M3372" s="13" t="n">
        <x:v>0.4885136720625193</x:v>
      </x:c>
      <x:c r="N3372" s="13" t="n">
        <x:f>H3372/G3372</x:f>
        <x:v>0.08936905032369379</x:v>
      </x:c>
      <x:c r="O3372" s="13" t="n">
        <x:f>F3372/E3372</x:f>
        <x:v>0</x:v>
      </x:c>
      <x:c r="P3372" s="2" t="str">
        <x:f>IF(AND(E3372&gt;='Итоги'!$F$5,N3372&lt;='Итоги'!$B$5,O3372&gt;='Итоги'!$D$5),"Да","Нет")</x:f>
        <x:v>Нет</x:v>
      </x:c>
    </x:row>
    <x:row r="3373" ht="60" customHeight="1">
      <x:c r="A3373" s="14" t="str">
        <x:v>Аксессуары</x:v>
      </x:c>
      <x:c r="B3373" s="14" t="str">
        <x:v>Аксессуары</x:v>
      </x:c>
      <x:c r="C3373" s="14" t="str">
        <x:v>Аксессуары для путешествий</x:v>
      </x:c>
      <x:c r="D3373" s="14" t="str">
        <x:v>Органайзер/кошелек дорожный</x:v>
      </x:c>
      <x:c r="E3373" s="2" t="n">
        <x:v>2</x:v>
      </x:c>
      <x:c r="F3373" s="2" t="n">
        <x:v>0</x:v>
      </x:c>
      <x:c r="G3373" s="12" t="n">
        <x:v>245925.48</x:v>
      </x:c>
      <x:c r="H3373" s="12" t="n">
        <x:v>21992.326936</x:v>
      </x:c>
      <x:c r="I3373" s="13" t="n">
        <x:v>0.0873</x:v>
      </x:c>
      <x:c r="J3373" s="2" t="n">
        <x:v>0</x:v>
      </x:c>
      <x:c r="K3373" s="2" t="n">
        <x:v>1</x:v>
      </x:c>
      <x:c r="L3373" s="12" t="n">
        <x:v>898.59125</x:v>
      </x:c>
      <x:c r="M3373" s="13" t="n">
        <x:v>1</x:v>
      </x:c>
      <x:c r="N3373" s="13" t="n">
        <x:f>H3373/G3373</x:f>
        <x:v>0.08942679276665436</x:v>
      </x:c>
      <x:c r="O3373" s="13" t="n">
        <x:f>F3373/E3373</x:f>
        <x:v>0</x:v>
      </x:c>
      <x:c r="P3373" s="2" t="str">
        <x:f>IF(AND(E3373&gt;='Итоги'!$F$5,N3373&lt;='Итоги'!$B$5,O3373&gt;='Итоги'!$D$5),"Да","Нет")</x:f>
        <x:v>Нет</x:v>
      </x:c>
    </x:row>
    <x:row r="3374" ht="60" customHeight="1">
      <x:c r="A3374" s="14" t="str">
        <x:v>Спорт и отдых</x:v>
      </x:c>
      <x:c r="B3374" s="14" t="str">
        <x:v>Всесезонные виды спорта</x:v>
      </x:c>
      <x:c r="C3374" s="14" t="str">
        <x:v>Волейбол</x:v>
      </x:c>
      <x:c r="D3374" s="14" t="str">
        <x:v>Мяч для волейбола</x:v>
      </x:c>
      <x:c r="E3374" s="2" t="n">
        <x:v>31</x:v>
      </x:c>
      <x:c r="F3374" s="2" t="n">
        <x:v>0</x:v>
      </x:c>
      <x:c r="G3374" s="12" t="n">
        <x:v>4893798.9308</x:v>
      </x:c>
      <x:c r="H3374" s="12" t="n">
        <x:v>437637.24138259</x:v>
      </x:c>
      <x:c r="I3374" s="13" t="n">
        <x:v>0.0892967741935483</x:v>
      </x:c>
      <x:c r="J3374" s="2" t="n">
        <x:v>4</x:v>
      </x:c>
      <x:c r="K3374" s="2" t="n">
        <x:v>13</x:v>
      </x:c>
      <x:c r="L3374" s="12" t="n">
        <x:v>1674.3809</x:v>
      </x:c>
      <x:c r="M3374" s="13" t="n">
        <x:v>0.3630611930575478</x:v>
      </x:c>
      <x:c r="N3374" s="13" t="n">
        <x:f>H3374/G3374</x:f>
        <x:v>0.08942689464175604</x:v>
      </x:c>
      <x:c r="O3374" s="13" t="n">
        <x:f>F3374/E3374</x:f>
        <x:v>0</x:v>
      </x:c>
      <x:c r="P3374" s="2" t="str">
        <x:f>IF(AND(E3374&gt;='Итоги'!$F$5,N3374&lt;='Итоги'!$B$5,O3374&gt;='Итоги'!$D$5),"Да","Нет")</x:f>
        <x:v>Нет</x:v>
      </x:c>
    </x:row>
    <x:row r="3375" ht="60" customHeight="1">
      <x:c r="A3375" s="14" t="str">
        <x:v>Товары для дома</x:v>
      </x:c>
      <x:c r="B3375" s="14" t="str">
        <x:v>Аксессуары для уборки и стирки</x:v>
      </x:c>
      <x:c r="C3375" s="14" t="str">
        <x:v>Баки, ведра, корзины</x:v>
      </x:c>
      <x:c r="D3375" s="14" t="str">
        <x:v>Ведро, бак, контейнер для мусора</x:v>
      </x:c>
      <x:c r="E3375" s="2" t="n">
        <x:v>219</x:v>
      </x:c>
      <x:c r="F3375" s="2" t="n">
        <x:v>0</x:v>
      </x:c>
      <x:c r="G3375" s="12" t="n">
        <x:v>36907947.1117</x:v>
      </x:c>
      <x:c r="H3375" s="12" t="n">
        <x:v>3300626.81886869</x:v>
      </x:c>
      <x:c r="I3375" s="13" t="n">
        <x:v>0.0817132420091324</x:v>
      </x:c>
      <x:c r="J3375" s="2" t="n">
        <x:v>40</x:v>
      </x:c>
      <x:c r="K3375" s="2" t="n">
        <x:v>41</x:v>
      </x:c>
      <x:c r="L3375" s="12" t="n">
        <x:v>1726.6528</x:v>
      </x:c>
      <x:c r="M3375" s="13" t="n">
        <x:v>0.4326438725127052</x:v>
      </x:c>
      <x:c r="N3375" s="13" t="n">
        <x:f>H3375/G3375</x:f>
        <x:v>0.08942862112811405</x:v>
      </x:c>
      <x:c r="O3375" s="13" t="n">
        <x:f>F3375/E3375</x:f>
        <x:v>0</x:v>
      </x:c>
      <x:c r="P3375" s="2" t="str">
        <x:f>IF(AND(E3375&gt;='Итоги'!$F$5,N3375&lt;='Итоги'!$B$5,O3375&gt;='Итоги'!$D$5),"Да","Нет")</x:f>
        <x:v>Нет</x:v>
      </x:c>
    </x:row>
    <x:row r="3376" ht="60" customHeight="1">
      <x:c r="A3376" s="14" t="str">
        <x:v>Товары для дома</x:v>
      </x:c>
      <x:c r="B3376" s="14" t="str">
        <x:v>Домашний текстиль</x:v>
      </x:c>
      <x:c r="C3376" s="14" t="str">
        <x:v>Коврики, покрытия</x:v>
      </x:c>
      <x:c r="D3376" s="14" t="str">
        <x:v>Коврик в прихожую</x:v>
      </x:c>
      <x:c r="E3376" s="2" t="n">
        <x:v>82</x:v>
      </x:c>
      <x:c r="F3376" s="2" t="n">
        <x:v>0</x:v>
      </x:c>
      <x:c r="G3376" s="12" t="n">
        <x:v>9613967.2142</x:v>
      </x:c>
      <x:c r="H3376" s="12" t="n">
        <x:v>859795.57032164</x:v>
      </x:c>
      <x:c r="I3376" s="13" t="n">
        <x:v>0.0948</x:v>
      </x:c>
      <x:c r="J3376" s="2" t="n">
        <x:v>14</x:v>
      </x:c>
      <x:c r="K3376" s="2" t="n">
        <x:v>16</x:v>
      </x:c>
      <x:c r="L3376" s="12" t="n">
        <x:v>1269.1201</x:v>
      </x:c>
      <x:c r="M3376" s="13" t="n">
        <x:v>0.7292091191080027</x:v>
      </x:c>
      <x:c r="N3376" s="13" t="n">
        <x:f>H3376/G3376</x:f>
        <x:v>0.08943192244838392</x:v>
      </x:c>
      <x:c r="O3376" s="13" t="n">
        <x:f>F3376/E3376</x:f>
        <x:v>0</x:v>
      </x:c>
      <x:c r="P3376" s="2" t="str">
        <x:f>IF(AND(E3376&gt;='Итоги'!$F$5,N3376&lt;='Итоги'!$B$5,O3376&gt;='Итоги'!$D$5),"Да","Нет")</x:f>
        <x:v>Нет</x:v>
      </x:c>
    </x:row>
    <x:row r="3377" ht="60" customHeight="1">
      <x:c r="A3377" s="14" t="str">
        <x:v>Товары для животных</x:v>
      </x:c>
      <x:c r="B3377" s="14" t="str">
        <x:v>Гигиена и уход животных</x:v>
      </x:c>
      <x:c r="C3377" s="14" t="str">
        <x:v>Уход за шерстью животных</x:v>
      </x:c>
      <x:c r="D3377" s="14" t="str">
        <x:v>Маска для животных косметическая</x:v>
      </x:c>
      <x:c r="E3377" s="2" t="n">
        <x:v>4</x:v>
      </x:c>
      <x:c r="F3377" s="2" t="n">
        <x:v>0</x:v>
      </x:c>
      <x:c r="G3377" s="12" t="n">
        <x:v>354836</x:v>
      </x:c>
      <x:c r="H3377" s="12" t="n">
        <x:v>31738.6587</x:v>
      </x:c>
      <x:c r="I3377" s="13" t="n">
        <x:v>0.108975</x:v>
      </x:c>
      <x:c r="J3377" s="2" t="n">
        <x:v>1</x:v>
      </x:c>
      <x:c r="K3377" s="2" t="n">
        <x:v>2</x:v>
      </x:c>
      <x:c r="L3377" s="12" t="n">
        <x:v>2204.2409</x:v>
      </x:c>
      <x:c r="M3377" s="13" t="n">
        <x:v>0.622121205289204</x:v>
      </x:c>
      <x:c r="N3377" s="13" t="n">
        <x:f>H3377/G3377</x:f>
        <x:v>0.0894459939239536</x:v>
      </x:c>
      <x:c r="O3377" s="13" t="n">
        <x:f>F3377/E3377</x:f>
        <x:v>0</x:v>
      </x:c>
      <x:c r="P3377" s="2" t="str">
        <x:f>IF(AND(E3377&gt;='Итоги'!$F$5,N3377&lt;='Итоги'!$B$5,O3377&gt;='Итоги'!$D$5),"Да","Нет")</x:f>
        <x:v>Нет</x:v>
      </x:c>
    </x:row>
    <x:row r="3378" ht="60" customHeight="1">
      <x:c r="A3378" s="14" t="str">
        <x:v>Строительство и ремонт (DIY)</x:v>
      </x:c>
      <x:c r="B3378" s="14" t="str">
        <x:v>Освещение</x:v>
      </x:c>
      <x:c r="C3378" s="14" t="str">
        <x:v>Светильник домашний</x:v>
      </x:c>
      <x:c r="D3378" s="14" t="str">
        <x:v>Светильник встраиваемый</x:v>
      </x:c>
      <x:c r="E3378" s="2" t="n">
        <x:v>31</x:v>
      </x:c>
      <x:c r="F3378" s="2" t="n">
        <x:v>0</x:v>
      </x:c>
      <x:c r="G3378" s="12" t="n">
        <x:v>5371112.4712000005</x:v>
      </x:c>
      <x:c r="H3378" s="12" t="n">
        <x:v>480558.3565586</x:v>
      </x:c>
      <x:c r="I3378" s="13" t="n">
        <x:v>0.0743870967741935</x:v>
      </x:c>
      <x:c r="J3378" s="2" t="n">
        <x:v>5</x:v>
      </x:c>
      <x:c r="K3378" s="2" t="n">
        <x:v>5</x:v>
      </x:c>
      <x:c r="L3378" s="12" t="n">
        <x:v>1043.3542</x:v>
      </x:c>
      <x:c r="M3378" s="13" t="n">
        <x:v>0.5999196416529509</x:v>
      </x:c>
      <x:c r="N3378" s="13" t="n">
        <x:f>H3378/G3378</x:f>
        <x:v>0.08947091671145639</x:v>
      </x:c>
      <x:c r="O3378" s="13" t="n">
        <x:f>F3378/E3378</x:f>
        <x:v>0</x:v>
      </x:c>
      <x:c r="P3378" s="2" t="str">
        <x:f>IF(AND(E3378&gt;='Итоги'!$F$5,N3378&lt;='Итоги'!$B$5,O3378&gt;='Итоги'!$D$5),"Да","Нет")</x:f>
        <x:v>Нет</x:v>
      </x:c>
    </x:row>
    <x:row r="3379" ht="60" customHeight="1">
      <x:c r="A3379" s="14" t="str">
        <x:v>Товары для детей и спорта</x:v>
      </x:c>
      <x:c r="B3379" s="14" t="str">
        <x:v>Кормление детское</x:v>
      </x:c>
      <x:c r="C3379" s="14" t="str">
        <x:v>Кормление детское</x:v>
      </x:c>
      <x:c r="D3379" s="14" t="str">
        <x:v>Столовые приборы детские</x:v>
      </x:c>
      <x:c r="E3379" s="2" t="n">
        <x:v>1</x:v>
      </x:c>
      <x:c r="F3379" s="2" t="n">
        <x:v>0</x:v>
      </x:c>
      <x:c r="G3379" s="12" t="n">
        <x:v>218245.62</x:v>
      </x:c>
      <x:c r="H3379" s="12" t="n">
        <x:v>19532.98299</x:v>
      </x:c>
      <x:c r="I3379" s="13" t="n">
        <x:v>0.0895</x:v>
      </x:c>
      <x:c r="J3379" s="2" t="n">
        <x:v>0</x:v>
      </x:c>
      <x:c r="K3379" s="2" t="n">
        <x:v>1</x:v>
      </x:c>
      <x:c r="L3379" s="12" t="n">
        <x:v>965.6886</x:v>
      </x:c>
      <x:c r="M3379" s="13" t="n">
        <x:v>1</x:v>
      </x:c>
      <x:c r="N3379" s="13" t="n">
        <x:f>H3379/G3379</x:f>
        <x:v>0.08950000000000001</x:v>
      </x:c>
      <x:c r="O3379" s="13" t="n">
        <x:f>F3379/E3379</x:f>
        <x:v>0</x:v>
      </x:c>
      <x:c r="P3379" s="2" t="str">
        <x:f>IF(AND(E3379&gt;='Итоги'!$F$5,N3379&lt;='Итоги'!$B$5,O3379&gt;='Итоги'!$D$5),"Да","Нет")</x:f>
        <x:v>Нет</x:v>
      </x:c>
    </x:row>
    <x:row r="3380" ht="60" customHeight="1">
      <x:c r="A3380" s="14" t="str">
        <x:v>Товары для дома</x:v>
      </x:c>
      <x:c r="B3380" s="14" t="str">
        <x:v>Кухня</x:v>
      </x:c>
      <x:c r="C3380" s="14" t="str">
        <x:v>Кухонная утварь и принадлежности</x:v>
      </x:c>
      <x:c r="D3380" s="14" t="str">
        <x:v>Толкушка, картофелемялка</x:v>
      </x:c>
      <x:c r="E3380" s="2" t="n">
        <x:v>2</x:v>
      </x:c>
      <x:c r="F3380" s="2" t="n">
        <x:v>0</x:v>
      </x:c>
      <x:c r="G3380" s="12" t="n">
        <x:v>235756.01</x:v>
      </x:c>
      <x:c r="H3380" s="12" t="n">
        <x:v>21103.734106</x:v>
      </x:c>
      <x:c r="I3380" s="13" t="n">
        <x:v>0.09335</x:v>
      </x:c>
      <x:c r="J3380" s="2" t="n">
        <x:v>0</x:v>
      </x:c>
      <x:c r="K3380" s="2" t="n">
        <x:v>2</x:v>
      </x:c>
      <x:c r="L3380" s="12" t="n">
        <x:v>865.54505</x:v>
      </x:c>
      <x:c r="M3380" s="13" t="n">
        <x:v>0.5286825137564891</x:v>
      </x:c>
      <x:c r="N3380" s="13" t="n">
        <x:f>H3380/G3380</x:f>
        <x:v>0.08951514791075739</x:v>
      </x:c>
      <x:c r="O3380" s="13" t="n">
        <x:f>F3380/E3380</x:f>
        <x:v>0</x:v>
      </x:c>
      <x:c r="P3380" s="2" t="str">
        <x:f>IF(AND(E3380&gt;='Итоги'!$F$5,N3380&lt;='Итоги'!$B$5,O3380&gt;='Итоги'!$D$5),"Да","Нет")</x:f>
        <x:v>Нет</x:v>
      </x:c>
    </x:row>
    <x:row r="3381" ht="60" customHeight="1">
      <x:c r="A3381" s="14" t="str">
        <x:v>Спорт и отдых</x:v>
      </x:c>
      <x:c r="B3381" s="14" t="str">
        <x:v>Тренажеры и фитнес</x:v>
      </x:c>
      <x:c r="C3381" s="14" t="str">
        <x:v>Фитнес</x:v>
      </x:c>
      <x:c r="D3381" s="14" t="str">
        <x:v>Балансборд спортивный</x:v>
      </x:c>
      <x:c r="E3381" s="2" t="n">
        <x:v>28</x:v>
      </x:c>
      <x:c r="F3381" s="2" t="n">
        <x:v>0</x:v>
      </x:c>
      <x:c r="G3381" s="12" t="n">
        <x:v>5079349.5153</x:v>
      </x:c>
      <x:c r="H3381" s="12" t="n">
        <x:v>454738.75404487</x:v>
      </x:c>
      <x:c r="I3381" s="13" t="n">
        <x:v>0.0826928571428571</x:v>
      </x:c>
      <x:c r="J3381" s="2" t="n">
        <x:v>3</x:v>
      </x:c>
      <x:c r="K3381" s="2" t="n">
        <x:v>14</x:v>
      </x:c>
      <x:c r="L3381" s="12" t="n">
        <x:v>1799.58655</x:v>
      </x:c>
      <x:c r="M3381" s="13" t="n">
        <x:v>0.2968935655554965</x:v>
      </x:c>
      <x:c r="N3381" s="13" t="n">
        <x:f>H3381/G3381</x:f>
        <x:v>0.08952696652890442</x:v>
      </x:c>
      <x:c r="O3381" s="13" t="n">
        <x:f>F3381/E3381</x:f>
        <x:v>0</x:v>
      </x:c>
      <x:c r="P3381" s="2" t="str">
        <x:f>IF(AND(E3381&gt;='Итоги'!$F$5,N3381&lt;='Итоги'!$B$5,O3381&gt;='Итоги'!$D$5),"Да","Нет")</x:f>
        <x:v>Нет</x:v>
      </x:c>
    </x:row>
    <x:row r="3382" ht="60" customHeight="1">
      <x:c r="A3382" s="14" t="str">
        <x:v>Спорт и отдых</x:v>
      </x:c>
      <x:c r="B3382" s="14" t="str">
        <x:v>Всесезонные виды спорта</x:v>
      </x:c>
      <x:c r="C3382" s="14" t="str">
        <x:v>Волейбол</x:v>
      </x:c>
      <x:c r="D3382" s="14" t="str">
        <x:v>Аксессуары для волейбола</x:v>
      </x:c>
      <x:c r="E3382" s="2" t="n">
        <x:v>15</x:v>
      </x:c>
      <x:c r="F3382" s="2" t="n">
        <x:v>0</x:v>
      </x:c>
      <x:c r="G3382" s="12" t="n">
        <x:v>2221338.6387</x:v>
      </x:c>
      <x:c r="H3382" s="12" t="n">
        <x:v>198923.79658985</x:v>
      </x:c>
      <x:c r="I3382" s="13" t="n">
        <x:v>0.0958466666666666</x:v>
      </x:c>
      <x:c r="J3382" s="2" t="n">
        <x:v>0</x:v>
      </x:c>
      <x:c r="K3382" s="2" t="n">
        <x:v>6</x:v>
      </x:c>
      <x:c r="L3382" s="12" t="n">
        <x:v>1382.3996</x:v>
      </x:c>
      <x:c r="M3382" s="13" t="n">
        <x:v>0.7792239900949958</x:v>
      </x:c>
      <x:c r="N3382" s="13" t="n">
        <x:f>H3382/G3382</x:f>
        <x:v>0.08955131519535749</x:v>
      </x:c>
      <x:c r="O3382" s="13" t="n">
        <x:f>F3382/E3382</x:f>
        <x:v>0</x:v>
      </x:c>
      <x:c r="P3382" s="2" t="str">
        <x:f>IF(AND(E3382&gt;='Итоги'!$F$5,N3382&lt;='Итоги'!$B$5,O3382&gt;='Итоги'!$D$5),"Да","Нет")</x:f>
        <x:v>Нет</x:v>
      </x:c>
    </x:row>
    <x:row r="3383" ht="60" customHeight="1">
      <x:c r="A3383" s="14" t="str">
        <x:v>Аксессуары для электроники</x:v>
      </x:c>
      <x:c r="B3383" s="14" t="str">
        <x:v>Домашняя Аудио и Видеотехника Access</x:v>
      </x:c>
      <x:c r="C3383" s="14" t="str">
        <x:v>Аксессуар к TV и аудиотехнике Access</x:v>
      </x:c>
      <x:c r="D3383" s="14" t="str">
        <x:v>Микрофон</x:v>
      </x:c>
      <x:c r="E3383" s="2" t="n">
        <x:v>125</x:v>
      </x:c>
      <x:c r="F3383" s="2" t="n">
        <x:v>0</x:v>
      </x:c>
      <x:c r="G3383" s="12" t="n">
        <x:v>17771309.8631</x:v>
      </x:c>
      <x:c r="H3383" s="12" t="n">
        <x:v>1591812.21041448</x:v>
      </x:c>
      <x:c r="I3383" s="13" t="n">
        <x:v>0.0867864</x:v>
      </x:c>
      <x:c r="J3383" s="2" t="n">
        <x:v>26</x:v>
      </x:c>
      <x:c r="K3383" s="2" t="n">
        <x:v>54</x:v>
      </x:c>
      <x:c r="L3383" s="12" t="n">
        <x:v>2084.1686</x:v>
      </x:c>
      <x:c r="M3383" s="13" t="n">
        <x:v>0.5312722196805507</x:v>
      </x:c>
      <x:c r="N3383" s="13" t="n">
        <x:f>H3383/G3383</x:f>
        <x:v>0.08957202494790144</x:v>
      </x:c>
      <x:c r="O3383" s="13" t="n">
        <x:f>F3383/E3383</x:f>
        <x:v>0</x:v>
      </x:c>
      <x:c r="P3383" s="2" t="str">
        <x:f>IF(AND(E3383&gt;='Итоги'!$F$5,N3383&lt;='Итоги'!$B$5,O3383&gt;='Итоги'!$D$5),"Да","Нет")</x:f>
        <x:v>Нет</x:v>
      </x:c>
    </x:row>
    <x:row r="3384" ht="60" customHeight="1">
      <x:c r="A3384" s="14" t="str">
        <x:v>Аксессуары для электроники</x:v>
      </x:c>
      <x:c r="B3384" s="14" t="str">
        <x:v>Запчасти Access</x:v>
      </x:c>
      <x:c r="C3384" s="14" t="str">
        <x:v>Запчасти для телефонов Access</x:v>
      </x:c>
      <x:c r="D3384" s="14" t="str">
        <x:v>Дисплеи для телефонов</x:v>
      </x:c>
      <x:c r="E3384" s="2" t="n">
        <x:v>200</x:v>
      </x:c>
      <x:c r="F3384" s="2" t="n">
        <x:v>0</x:v>
      </x:c>
      <x:c r="G3384" s="12" t="n">
        <x:v>25604607.5755</x:v>
      </x:c>
      <x:c r="H3384" s="12" t="n">
        <x:v>2293728.85557356</x:v>
      </x:c>
      <x:c r="I3384" s="13" t="n">
        <x:v>0.0794395</x:v>
      </x:c>
      <x:c r="J3384" s="2" t="n">
        <x:v>39</x:v>
      </x:c>
      <x:c r="K3384" s="2" t="n">
        <x:v>10</x:v>
      </x:c>
      <x:c r="L3384" s="12" t="n">
        <x:v>1320.40175</x:v>
      </x:c>
      <x:c r="M3384" s="13" t="n">
        <x:v>0.892364543468455</x:v>
      </x:c>
      <x:c r="N3384" s="13" t="n">
        <x:f>H3384/G3384</x:f>
        <x:v>0.0895826600274997</x:v>
      </x:c>
      <x:c r="O3384" s="13" t="n">
        <x:f>F3384/E3384</x:f>
        <x:v>0</x:v>
      </x:c>
      <x:c r="P3384" s="2" t="str">
        <x:f>IF(AND(E3384&gt;='Итоги'!$F$5,N3384&lt;='Итоги'!$B$5,O3384&gt;='Итоги'!$D$5),"Да","Нет")</x:f>
        <x:v>Нет</x:v>
      </x:c>
    </x:row>
    <x:row r="3385" ht="60" customHeight="1">
      <x:c r="A3385" s="14" t="str">
        <x:v>Одежда</x:v>
      </x:c>
      <x:c r="B3385" s="14" t="str">
        <x:v>Белье, домашняя одежда и ЧНИ</x:v>
      </x:c>
      <x:c r="C3385" s="14" t="str">
        <x:v>Белье женское</x:v>
      </x:c>
      <x:c r="D3385" s="14" t="str">
        <x:v>Пеньюар</x:v>
      </x:c>
      <x:c r="E3385" s="2" t="n">
        <x:v>17</x:v>
      </x:c>
      <x:c r="F3385" s="2" t="n">
        <x:v>0</x:v>
      </x:c>
      <x:c r="G3385" s="12" t="n">
        <x:v>2169389.6861</x:v>
      </x:c>
      <x:c r="H3385" s="12" t="n">
        <x:v>194432.80471372</x:v>
      </x:c>
      <x:c r="I3385" s="13" t="n">
        <x:v>0.0926</x:v>
      </x:c>
      <x:c r="J3385" s="2" t="n">
        <x:v>2</x:v>
      </x:c>
      <x:c r="K3385" s="2" t="n">
        <x:v>6</x:v>
      </x:c>
      <x:c r="L3385" s="12" t="n">
        <x:v>1337.166</x:v>
      </x:c>
      <x:c r="M3385" s="13" t="n">
        <x:v>0.3696564269380574</x:v>
      </x:c>
      <x:c r="N3385" s="13" t="n">
        <x:f>H3385/G3385</x:f>
        <x:v>0.08962557808747572</x:v>
      </x:c>
      <x:c r="O3385" s="13" t="n">
        <x:f>F3385/E3385</x:f>
        <x:v>0</x:v>
      </x:c>
      <x:c r="P3385" s="2" t="str">
        <x:f>IF(AND(E3385&gt;='Итоги'!$F$5,N3385&lt;='Итоги'!$B$5,O3385&gt;='Итоги'!$D$5),"Да","Нет")</x:f>
        <x:v>Нет</x:v>
      </x:c>
    </x:row>
    <x:row r="3386" ht="60" customHeight="1">
      <x:c r="A3386" s="14" t="str">
        <x:v>Товары для красоты и здоровья</x:v>
      </x:c>
      <x:c r="B3386" s="14" t="str">
        <x:v>Косметика для ухода за кожей</x:v>
      </x:c>
      <x:c r="C3386" s="14" t="str">
        <x:v>Средства для бритья и депиляции женские</x:v>
      </x:c>
      <x:c r="D3386" s="14" t="str">
        <x:v>Средство после депиляции</x:v>
      </x:c>
      <x:c r="E3386" s="2" t="n">
        <x:v>4</x:v>
      </x:c>
      <x:c r="F3386" s="2" t="n">
        <x:v>0</x:v>
      </x:c>
      <x:c r="G3386" s="12" t="n">
        <x:v>365939.9619</x:v>
      </x:c>
      <x:c r="H3386" s="12" t="n">
        <x:v>32803.919924999995</x:v>
      </x:c>
      <x:c r="I3386" s="13" t="n">
        <x:v>0.093925</x:v>
      </x:c>
      <x:c r="J3386" s="2" t="n">
        <x:v>1</x:v>
      </x:c>
      <x:c r="K3386" s="2" t="n">
        <x:v>2</x:v>
      </x:c>
      <x:c r="L3386" s="12" t="n">
        <x:v>1077.93435</x:v>
      </x:c>
      <x:c r="M3386" s="13" t="n">
        <x:v>0.7271536306622761</x:v>
      </x:c>
      <x:c r="N3386" s="13" t="n">
        <x:f>H3386/G3386</x:f>
        <x:v>0.08964290140568</x:v>
      </x:c>
      <x:c r="O3386" s="13" t="n">
        <x:f>F3386/E3386</x:f>
        <x:v>0</x:v>
      </x:c>
      <x:c r="P3386" s="2" t="str">
        <x:f>IF(AND(E3386&gt;='Итоги'!$F$5,N3386&lt;='Итоги'!$B$5,O3386&gt;='Итоги'!$D$5),"Да","Нет")</x:f>
        <x:v>Нет</x:v>
      </x:c>
    </x:row>
    <x:row r="3387" ht="60" customHeight="1">
      <x:c r="A3387" s="14" t="str">
        <x:v>Товары для животных</x:v>
      </x:c>
      <x:c r="B3387" s="14" t="str">
        <x:v>Товары для прогулки и дрессировки животных</x:v>
      </x:c>
      <x:c r="C3387" s="14" t="str">
        <x:v>Аксессуары для прогулки и дрессировки животных</x:v>
      </x:c>
      <x:c r="D3387" s="14" t="str">
        <x:v>Поводок</x:v>
      </x:c>
      <x:c r="E3387" s="2" t="n">
        <x:v>12</x:v>
      </x:c>
      <x:c r="F3387" s="2" t="n">
        <x:v>0</x:v>
      </x:c>
      <x:c r="G3387" s="12" t="n">
        <x:v>1751628.3395</x:v>
      </x:c>
      <x:c r="H3387" s="12" t="n">
        <x:v>157254.27037675</x:v>
      </x:c>
      <x:c r="I3387" s="13" t="n">
        <x:v>0.0944416666666666</x:v>
      </x:c>
      <x:c r="J3387" s="2" t="n">
        <x:v>0</x:v>
      </x:c>
      <x:c r="K3387" s="2" t="n">
        <x:v>7</x:v>
      </x:c>
      <x:c r="L3387" s="12" t="n">
        <x:v>1018.91605</x:v>
      </x:c>
      <x:c r="M3387" s="13" t="n">
        <x:v>0.444013180456995</x:v>
      </x:c>
      <x:c r="N3387" s="13" t="n">
        <x:f>H3387/G3387</x:f>
        <x:v>0.08977604828067468</x:v>
      </x:c>
      <x:c r="O3387" s="13" t="n">
        <x:f>F3387/E3387</x:f>
        <x:v>0</x:v>
      </x:c>
      <x:c r="P3387" s="2" t="str">
        <x:f>IF(AND(E3387&gt;='Итоги'!$F$5,N3387&lt;='Итоги'!$B$5,O3387&gt;='Итоги'!$D$5),"Да","Нет")</x:f>
        <x:v>Нет</x:v>
      </x:c>
    </x:row>
    <x:row r="3388" ht="60" customHeight="1">
      <x:c r="A3388" s="14" t="str">
        <x:v>Товары для красоты и здоровья</x:v>
      </x:c>
      <x:c r="B3388" s="14" t="str">
        <x:v>Парфюмерия, ароматерапия</x:v>
      </x:c>
      <x:c r="C3388" s="14" t="str">
        <x:v>Парфюмерия для женщин</x:v>
      </x:c>
      <x:c r="D3388" s="14" t="str">
        <x:v>Духи женские</x:v>
      </x:c>
      <x:c r="E3388" s="2" t="n">
        <x:v>15</x:v>
      </x:c>
      <x:c r="F3388" s="2" t="n">
        <x:v>0</x:v>
      </x:c>
      <x:c r="G3388" s="12" t="n">
        <x:v>1860201.2477</x:v>
      </x:c>
      <x:c r="H3388" s="12" t="n">
        <x:v>167207.31450662</x:v>
      </x:c>
      <x:c r="I3388" s="13" t="n">
        <x:v>0.1066733333333333</x:v>
      </x:c>
      <x:c r="J3388" s="2" t="n">
        <x:v>4</x:v>
      </x:c>
      <x:c r="K3388" s="2" t="n">
        <x:v>5</x:v>
      </x:c>
      <x:c r="L3388" s="12" t="n">
        <x:v>834.5531</x:v>
      </x:c>
      <x:c r="M3388" s="13" t="n">
        <x:v>0.6726591140862399</x:v>
      </x:c>
      <x:c r="N3388" s="13" t="n">
        <x:f>H3388/G3388</x:f>
        <x:v>0.08988668011773424</x:v>
      </x:c>
      <x:c r="O3388" s="13" t="n">
        <x:f>F3388/E3388</x:f>
        <x:v>0</x:v>
      </x:c>
      <x:c r="P3388" s="2" t="str">
        <x:f>IF(AND(E3388&gt;='Итоги'!$F$5,N3388&lt;='Итоги'!$B$5,O3388&gt;='Итоги'!$D$5),"Да","Нет")</x:f>
        <x:v>Нет</x:v>
      </x:c>
    </x:row>
    <x:row r="3389" ht="60" customHeight="1">
      <x:c r="A3389" s="14" t="str">
        <x:v>Детская одежда</x:v>
      </x:c>
      <x:c r="B3389" s="14" t="str">
        <x:v>Детская обувь</x:v>
      </x:c>
      <x:c r="C3389" s="14" t="str">
        <x:v>Обувь для мальчика</x:v>
      </x:c>
      <x:c r="D3389" s="14" t="str">
        <x:v>Биркенштоки для мальчика</x:v>
      </x:c>
      <x:c r="E3389" s="2" t="n">
        <x:v>9</x:v>
      </x:c>
      <x:c r="F3389" s="2" t="n">
        <x:v>0</x:v>
      </x:c>
      <x:c r="G3389" s="12" t="n">
        <x:v>547085.88</x:v>
      </x:c>
      <x:c r="H3389" s="12" t="n">
        <x:v>49182.605236</x:v>
      </x:c>
      <x:c r="I3389" s="13" t="n">
        <x:v>0.0555777777777777</x:v>
      </x:c>
      <x:c r="J3389" s="2" t="n">
        <x:v>5</x:v>
      </x:c>
      <x:c r="K3389" s="2" t="n">
        <x:v>5</x:v>
      </x:c>
      <x:c r="L3389" s="12" t="n">
        <x:v>1504.3656</x:v>
      </x:c>
      <x:c r="M3389" s="13" t="n">
        <x:v>0.5272201870755647</x:v>
      </x:c>
      <x:c r="N3389" s="13" t="n">
        <x:f>H3389/G3389</x:f>
        <x:v>0.08989924074808876</x:v>
      </x:c>
      <x:c r="O3389" s="13" t="n">
        <x:f>F3389/E3389</x:f>
        <x:v>0</x:v>
      </x:c>
      <x:c r="P3389" s="2" t="str">
        <x:f>IF(AND(E3389&gt;='Итоги'!$F$5,N3389&lt;='Итоги'!$B$5,O3389&gt;='Итоги'!$D$5),"Да","Нет")</x:f>
        <x:v>Нет</x:v>
      </x:c>
    </x:row>
    <x:row r="3390" ht="60" customHeight="1">
      <x:c r="A3390" s="14" t="str">
        <x:v>Товары для дома</x:v>
      </x:c>
      <x:c r="B3390" s="14" t="str">
        <x:v>Кухня</x:v>
      </x:c>
      <x:c r="C3390" s="14" t="str">
        <x:v>Термопосуда</x:v>
      </x:c>
      <x:c r="D3390" s="14" t="str">
        <x:v>Термос</x:v>
      </x:c>
      <x:c r="E3390" s="2" t="n">
        <x:v>149</x:v>
      </x:c>
      <x:c r="F3390" s="2" t="n">
        <x:v>0</x:v>
      </x:c>
      <x:c r="G3390" s="12" t="n">
        <x:v>24093309.8777</x:v>
      </x:c>
      <x:c r="H3390" s="12" t="n">
        <x:v>2166100.71923371</x:v>
      </x:c>
      <x:c r="I3390" s="13" t="n">
        <x:v>0.0960087248322147</x:v>
      </x:c>
      <x:c r="J3390" s="2" t="n">
        <x:v>48</x:v>
      </x:c>
      <x:c r="K3390" s="2" t="n">
        <x:v>39</x:v>
      </x:c>
      <x:c r="L3390" s="12" t="n">
        <x:v>1563.8476</x:v>
      </x:c>
      <x:c r="M3390" s="13" t="n">
        <x:v>0.3718395357497984</x:v>
      </x:c>
      <x:c r="N3390" s="13" t="n">
        <x:f>H3390/G3390</x:f>
        <x:v>0.08990465528518286</x:v>
      </x:c>
      <x:c r="O3390" s="13" t="n">
        <x:f>F3390/E3390</x:f>
        <x:v>0</x:v>
      </x:c>
      <x:c r="P3390" s="2" t="str">
        <x:f>IF(AND(E3390&gt;='Итоги'!$F$5,N3390&lt;='Итоги'!$B$5,O3390&gt;='Итоги'!$D$5),"Да","Нет")</x:f>
        <x:v>Нет</x:v>
      </x:c>
    </x:row>
    <x:row r="3391" ht="60" customHeight="1">
      <x:c r="A3391" s="14" t="str">
        <x:v>Аксессуары для электроники</x:v>
      </x:c>
      <x:c r="B3391" s="14" t="str">
        <x:v>Аксессуары для мобильных устройств Access</x:v>
      </x:c>
      <x:c r="C3391" s="14" t="str">
        <x:v>Аксессуары для смартфонов Access</x:v>
      </x:c>
      <x:c r="D3391" s="14" t="str">
        <x:v>Стабилизатор для смартфона</x:v>
      </x:c>
      <x:c r="E3391" s="2" t="n">
        <x:v>30</x:v>
      </x:c>
      <x:c r="F3391" s="2" t="n">
        <x:v>0</x:v>
      </x:c>
      <x:c r="G3391" s="12" t="n">
        <x:v>4239646.2432</x:v>
      </x:c>
      <x:c r="H3391" s="12" t="n">
        <x:v>381535.10348038</x:v>
      </x:c>
      <x:c r="I3391" s="13" t="n">
        <x:v>0.0929633333333333</x:v>
      </x:c>
      <x:c r="J3391" s="2" t="n">
        <x:v>4</x:v>
      </x:c>
      <x:c r="K3391" s="2" t="n">
        <x:v>22</x:v>
      </x:c>
      <x:c r="L3391" s="12" t="n">
        <x:v>4982.9386</x:v>
      </x:c>
      <x:c r="M3391" s="13" t="n">
        <x:v>0.1569895050719216</x:v>
      </x:c>
      <x:c r="N3391" s="13" t="n">
        <x:f>H3391/G3391</x:f>
        <x:v>0.08999220255518417</x:v>
      </x:c>
      <x:c r="O3391" s="13" t="n">
        <x:f>F3391/E3391</x:f>
        <x:v>0</x:v>
      </x:c>
      <x:c r="P3391" s="2" t="str">
        <x:f>IF(AND(E3391&gt;='Итоги'!$F$5,N3391&lt;='Итоги'!$B$5,O3391&gt;='Итоги'!$D$5),"Да","Нет")</x:f>
        <x:v>Нет</x:v>
      </x:c>
    </x:row>
    <x:row r="3392" ht="60" customHeight="1">
      <x:c r="A3392" s="14" t="str">
        <x:v>Строительство и ремонт (DIY)</x:v>
      </x:c>
      <x:c r="B3392" s="14" t="str">
        <x:v>Ремонт и строительство</x:v>
      </x:c>
      <x:c r="C3392" s="14" t="str">
        <x:v>Скобяные изделия</x:v>
      </x:c>
      <x:c r="D3392" s="14" t="str">
        <x:v>Ролик мебельный</x:v>
      </x:c>
      <x:c r="E3392" s="2" t="n">
        <x:v>46</x:v>
      </x:c>
      <x:c r="F3392" s="2" t="n">
        <x:v>0</x:v>
      </x:c>
      <x:c r="G3392" s="12" t="n">
        <x:v>8500904.2107</x:v>
      </x:c>
      <x:c r="H3392" s="12" t="n">
        <x:v>765076.38195367</x:v>
      </x:c>
      <x:c r="I3392" s="13" t="n">
        <x:v>0.0865173913043478</x:v>
      </x:c>
      <x:c r="J3392" s="2" t="n">
        <x:v>6</x:v>
      </x:c>
      <x:c r="K3392" s="2" t="n">
        <x:v>18</x:v>
      </x:c>
      <x:c r="L3392" s="12" t="n">
        <x:v>1429.35085</x:v>
      </x:c>
      <x:c r="M3392" s="13" t="n">
        <x:v>0.5150956747622772</x:v>
      </x:c>
      <x:c r="N3392" s="13" t="n">
        <x:f>H3392/G3392</x:f>
        <x:v>0.08999941217908046</x:v>
      </x:c>
      <x:c r="O3392" s="13" t="n">
        <x:f>F3392/E3392</x:f>
        <x:v>0</x:v>
      </x:c>
      <x:c r="P3392" s="2" t="str">
        <x:f>IF(AND(E3392&gt;='Итоги'!$F$5,N3392&lt;='Итоги'!$B$5,O3392&gt;='Итоги'!$D$5),"Да","Нет")</x:f>
        <x:v>Нет</x:v>
      </x:c>
    </x:row>
    <x:row r="3393" ht="60" customHeight="1">
      <x:c r="A3393" s="14" t="str">
        <x:v>Мелкая бытовая техника</x:v>
      </x:c>
      <x:c r="B3393" s="14" t="str">
        <x:v>Мелкая бытовая техника SDA</x:v>
      </x:c>
      <x:c r="C3393" s="14" t="str">
        <x:v>Электронные товары для красоты и здоровья SDA</x:v>
      </x:c>
      <x:c r="D3393" s="14" t="str">
        <x:v>Электробигуди</x:v>
      </x:c>
      <x:c r="E3393" s="2" t="n">
        <x:v>4</x:v>
      </x:c>
      <x:c r="F3393" s="2" t="n">
        <x:v>0</x:v>
      </x:c>
      <x:c r="G3393" s="12" t="n">
        <x:v>724499.0247</x:v>
      </x:c>
      <x:c r="H3393" s="12" t="n">
        <x:v>65219.09371502</x:v>
      </x:c>
      <x:c r="I3393" s="13" t="n">
        <x:v>0.08435</x:v>
      </x:c>
      <x:c r="J3393" s="2" t="n">
        <x:v>2</x:v>
      </x:c>
      <x:c r="K3393" s="2" t="n">
        <x:v>4</x:v>
      </x:c>
      <x:c r="L3393" s="12" t="n">
        <x:v>4951.844</x:v>
      </x:c>
      <x:c r="M3393" s="13" t="n">
        <x:v>0.3340460324293933</x:v>
      </x:c>
      <x:c r="N3393" s="13" t="n">
        <x:f>H3393/G3393</x:f>
        <x:v>0.09001957420443164</x:v>
      </x:c>
      <x:c r="O3393" s="13" t="n">
        <x:f>F3393/E3393</x:f>
        <x:v>0</x:v>
      </x:c>
      <x:c r="P3393" s="2" t="str">
        <x:f>IF(AND(E3393&gt;='Итоги'!$F$5,N3393&lt;='Итоги'!$B$5,O3393&gt;='Итоги'!$D$5),"Да","Нет")</x:f>
        <x:v>Нет</x:v>
      </x:c>
    </x:row>
    <x:row r="3394" ht="60" customHeight="1">
      <x:c r="A3394" s="14" t="str">
        <x:v>Мебель</x:v>
      </x:c>
      <x:c r="B3394" s="14" t="str">
        <x:v>Корпусная мебель и мебель для хранения</x:v>
      </x:c>
      <x:c r="C3394" s="14" t="str">
        <x:v>Витрина, буфет</x:v>
      </x:c>
      <x:c r="D3394" s="14" t="str">
        <x:v>Витрины</x:v>
      </x:c>
      <x:c r="E3394" s="2" t="n">
        <x:v>23</x:v>
      </x:c>
      <x:c r="F3394" s="2" t="n">
        <x:v>0</x:v>
      </x:c>
      <x:c r="G3394" s="12" t="n">
        <x:v>4564146.3381</x:v>
      </x:c>
      <x:c r="H3394" s="12" t="n">
        <x:v>410913.55381912</x:v>
      </x:c>
      <x:c r="I3394" s="13" t="n">
        <x:v>0.0846521739130434</x:v>
      </x:c>
      <x:c r="J3394" s="2" t="n">
        <x:v>6</x:v>
      </x:c>
      <x:c r="K3394" s="2" t="n">
        <x:v>2</x:v>
      </x:c>
      <x:c r="L3394" s="12" t="n">
        <x:v>13788.625</x:v>
      </x:c>
      <x:c r="M3394" s="13" t="n">
        <x:v>0.9492763645487372</x:v>
      </x:c>
      <x:c r="N3394" s="13" t="n">
        <x:f>H3394/G3394</x:f>
        <x:v>0.09003075786351285</x:v>
      </x:c>
      <x:c r="O3394" s="13" t="n">
        <x:f>F3394/E3394</x:f>
        <x:v>0</x:v>
      </x:c>
      <x:c r="P3394" s="2" t="str">
        <x:f>IF(AND(E3394&gt;='Итоги'!$F$5,N3394&lt;='Итоги'!$B$5,O3394&gt;='Итоги'!$D$5),"Да","Нет")</x:f>
        <x:v>Нет</x:v>
      </x:c>
    </x:row>
    <x:row r="3395" ht="60" customHeight="1">
      <x:c r="A3395" s="14" t="str">
        <x:v>Хобби и творчество</x:v>
      </x:c>
      <x:c r="B3395" s="14" t="str">
        <x:v>Детское творчество и хобби</x:v>
      </x:c>
      <x:c r="C3395" s="14" t="str">
        <x:v>Настольные и обучающие игры</x:v>
      </x:c>
      <x:c r="D3395" s="14" t="str">
        <x:v>Головоломка</x:v>
      </x:c>
      <x:c r="E3395" s="2" t="n">
        <x:v>8</x:v>
      </x:c>
      <x:c r="F3395" s="2" t="n">
        <x:v>0</x:v>
      </x:c>
      <x:c r="G3395" s="12" t="n">
        <x:v>849280.1456</x:v>
      </x:c>
      <x:c r="H3395" s="12" t="n">
        <x:v>76498.25445753</x:v>
      </x:c>
      <x:c r="I3395" s="13" t="n">
        <x:v>0.0882749999999999</x:v>
      </x:c>
      <x:c r="J3395" s="2" t="n">
        <x:v>0</x:v>
      </x:c>
      <x:c r="K3395" s="2" t="n">
        <x:v>4</x:v>
      </x:c>
      <x:c r="L3395" s="12" t="n">
        <x:v>1234.562</x:v>
      </x:c>
      <x:c r="M3395" s="13" t="n">
        <x:v>0.4513614673391229</x:v>
      </x:c>
      <x:c r="N3395" s="13" t="n">
        <x:f>H3395/G3395</x:f>
        <x:v>0.09007422916202222</x:v>
      </x:c>
      <x:c r="O3395" s="13" t="n">
        <x:f>F3395/E3395</x:f>
        <x:v>0</x:v>
      </x:c>
      <x:c r="P3395" s="2" t="str">
        <x:f>IF(AND(E3395&gt;='Итоги'!$F$5,N3395&lt;='Итоги'!$B$5,O3395&gt;='Итоги'!$D$5),"Да","Нет")</x:f>
        <x:v>Нет</x:v>
      </x:c>
    </x:row>
    <x:row r="3396" ht="60" customHeight="1">
      <x:c r="A3396" s="14" t="str">
        <x:v>Товары для дома</x:v>
      </x:c>
      <x:c r="B3396" s="14" t="str">
        <x:v>Интерьер и декор</x:v>
      </x:c>
      <x:c r="C3396" s="14" t="str">
        <x:v>Камин</x:v>
      </x:c>
      <x:c r="D3396" s="14" t="str">
        <x:v>Биокамин</x:v>
      </x:c>
      <x:c r="E3396" s="2" t="n">
        <x:v>12</x:v>
      </x:c>
      <x:c r="F3396" s="2" t="n">
        <x:v>0</x:v>
      </x:c>
      <x:c r="G3396" s="12" t="n">
        <x:v>1717059.1757</x:v>
      </x:c>
      <x:c r="H3396" s="12" t="n">
        <x:v>154675.402061</x:v>
      </x:c>
      <x:c r="I3396" s="13" t="n">
        <x:v>0.096525</x:v>
      </x:c>
      <x:c r="J3396" s="2" t="n">
        <x:v>1</x:v>
      </x:c>
      <x:c r="K3396" s="2" t="n">
        <x:v>9</x:v>
      </x:c>
      <x:c r="L3396" s="12" t="n">
        <x:v>5745.16385</x:v>
      </x:c>
      <x:c r="M3396" s="13" t="n">
        <x:v>0.2743871446410278</x:v>
      </x:c>
      <x:c r="N3396" s="13" t="n">
        <x:f>H3396/G3396</x:f>
        <x:v>0.09008157916161677</x:v>
      </x:c>
      <x:c r="O3396" s="13" t="n">
        <x:f>F3396/E3396</x:f>
        <x:v>0</x:v>
      </x:c>
      <x:c r="P3396" s="2" t="str">
        <x:f>IF(AND(E3396&gt;='Итоги'!$F$5,N3396&lt;='Итоги'!$B$5,O3396&gt;='Итоги'!$D$5),"Да","Нет")</x:f>
        <x:v>Нет</x:v>
      </x:c>
    </x:row>
    <x:row r="3397" ht="60" customHeight="1">
      <x:c r="A3397" s="14" t="str">
        <x:v>Спорт и отдых</x:v>
      </x:c>
      <x:c r="B3397" s="14" t="str">
        <x:v>Туризм</x:v>
      </x:c>
      <x:c r="C3397" s="14" t="str">
        <x:v>Металлоискатель</x:v>
      </x:c>
      <x:c r="D3397" s="14" t="str">
        <x:v>Аксессуары для металлоискателя</x:v>
      </x:c>
      <x:c r="E3397" s="2" t="n">
        <x:v>2</x:v>
      </x:c>
      <x:c r="F3397" s="2" t="n">
        <x:v>0</x:v>
      </x:c>
      <x:c r="G3397" s="12" t="n">
        <x:v>181931.1975</x:v>
      </x:c>
      <x:c r="H3397" s="12" t="n">
        <x:v>16391.717958</x:v>
      </x:c>
      <x:c r="I3397" s="13" t="n">
        <x:v>0.06805</x:v>
      </x:c>
      <x:c r="J3397" s="2" t="n">
        <x:v>1</x:v>
      </x:c>
      <x:c r="K3397" s="2" t="n">
        <x:v>2</x:v>
      </x:c>
      <x:c r="L3397" s="12" t="n">
        <x:v>2681.543</x:v>
      </x:c>
      <x:c r="M3397" s="13" t="n">
        <x:v>0.6620017987844004</x:v>
      </x:c>
      <x:c r="N3397" s="13" t="n">
        <x:f>H3397/G3397</x:f>
        <x:v>0.0900984448145569</x:v>
      </x:c>
      <x:c r="O3397" s="13" t="n">
        <x:f>F3397/E3397</x:f>
        <x:v>0</x:v>
      </x:c>
      <x:c r="P3397" s="2" t="str">
        <x:f>IF(AND(E3397&gt;='Итоги'!$F$5,N3397&lt;='Итоги'!$B$5,O3397&gt;='Итоги'!$D$5),"Да","Нет")</x:f>
        <x:v>Нет</x:v>
      </x:c>
    </x:row>
    <x:row r="3398" ht="60" customHeight="1">
      <x:c r="A3398" s="14" t="str">
        <x:v>Спорт и отдых</x:v>
      </x:c>
      <x:c r="B3398" s="14" t="str">
        <x:v>Всесезонные виды спорта</x:v>
      </x:c>
      <x:c r="C3398" s="14" t="str">
        <x:v>Конный спорт</x:v>
      </x:c>
      <x:c r="D3398" s="14" t="str">
        <x:v>Головной убор для всадника</x:v>
      </x:c>
      <x:c r="E3398" s="2" t="n">
        <x:v>6</x:v>
      </x:c>
      <x:c r="F3398" s="2" t="n">
        <x:v>0</x:v>
      </x:c>
      <x:c r="G3398" s="12" t="n">
        <x:v>435054</x:v>
      </x:c>
      <x:c r="H3398" s="12" t="n">
        <x:v>39209.5943</x:v>
      </x:c>
      <x:c r="I3398" s="13" t="n">
        <x:v>0.0665666666666666</x:v>
      </x:c>
      <x:c r="J3398" s="2" t="n">
        <x:v>2</x:v>
      </x:c>
      <x:c r="K3398" s="2" t="n">
        <x:v>3</x:v>
      </x:c>
      <x:c r="L3398" s="12" t="n">
        <x:v>4670.32275</x:v>
      </x:c>
      <x:c r="M3398" s="13" t="n">
        <x:v>0.4546102322930027</x:v>
      </x:c>
      <x:c r="N3398" s="13" t="n">
        <x:f>H3398/G3398</x:f>
        <x:v>0.0901258103591738</x:v>
      </x:c>
      <x:c r="O3398" s="13" t="n">
        <x:f>F3398/E3398</x:f>
        <x:v>0</x:v>
      </x:c>
      <x:c r="P3398" s="2" t="str">
        <x:f>IF(AND(E3398&gt;='Итоги'!$F$5,N3398&lt;='Итоги'!$B$5,O3398&gt;='Итоги'!$D$5),"Да","Нет")</x:f>
        <x:v>Нет</x:v>
      </x:c>
    </x:row>
    <x:row r="3399" ht="60" customHeight="1">
      <x:c r="A3399" s="14" t="str">
        <x:v>Мелкая бытовая техника</x:v>
      </x:c>
      <x:c r="B3399" s="14" t="str">
        <x:v>SDA Климатическая техника</x:v>
      </x:c>
      <x:c r="C3399" s="14" t="str">
        <x:v>Климатическая техника SDA</x:v>
      </x:c>
      <x:c r="D3399" s="14" t="str">
        <x:v>Погодная станция</x:v>
      </x:c>
      <x:c r="E3399" s="2" t="n">
        <x:v>21</x:v>
      </x:c>
      <x:c r="F3399" s="2" t="n">
        <x:v>0</x:v>
      </x:c>
      <x:c r="G3399" s="12" t="n">
        <x:v>3958843.5129</x:v>
      </x:c>
      <x:c r="H3399" s="12" t="n">
        <x:v>356828.99266002</x:v>
      </x:c>
      <x:c r="I3399" s="13" t="n">
        <x:v>0.0769428571428571</x:v>
      </x:c>
      <x:c r="J3399" s="2" t="n">
        <x:v>4</x:v>
      </x:c>
      <x:c r="K3399" s="2" t="n">
        <x:v>14</x:v>
      </x:c>
      <x:c r="L3399" s="12" t="n">
        <x:v>1654.1209</x:v>
      </x:c>
      <x:c r="M3399" s="13" t="n">
        <x:v>0.3243456640849634</x:v>
      </x:c>
      <x:c r="N3399" s="13" t="n">
        <x:f>H3399/G3399</x:f>
        <x:v>0.09013465460235622</x:v>
      </x:c>
      <x:c r="O3399" s="13" t="n">
        <x:f>F3399/E3399</x:f>
        <x:v>0</x:v>
      </x:c>
      <x:c r="P3399" s="2" t="str">
        <x:f>IF(AND(E3399&gt;='Итоги'!$F$5,N3399&lt;='Итоги'!$B$5,O3399&gt;='Итоги'!$D$5),"Да","Нет")</x:f>
        <x:v>Нет</x:v>
      </x:c>
    </x:row>
    <x:row r="3400" ht="60" customHeight="1">
      <x:c r="A3400" s="14" t="str">
        <x:v>Аксессуары для электроники</x:v>
      </x:c>
      <x:c r="B3400" s="14" t="str">
        <x:v>Аксессуары для мобильных устройств Access</x:v>
      </x:c>
      <x:c r="C3400" s="14" t="str">
        <x:v>Аксессуары для планшетных компьютеров, электронных книг Access</x:v>
      </x:c>
      <x:c r="D3400" s="14" t="str">
        <x:v>Чехол для планшетного компьютера</x:v>
      </x:c>
      <x:c r="E3400" s="2" t="n">
        <x:v>52</x:v>
      </x:c>
      <x:c r="F3400" s="2" t="n">
        <x:v>0</x:v>
      </x:c>
      <x:c r="G3400" s="12" t="n">
        <x:v>5351828.3966</x:v>
      </x:c>
      <x:c r="H3400" s="12" t="n">
        <x:v>482683.27083557</x:v>
      </x:c>
      <x:c r="I3400" s="13" t="n">
        <x:v>0.0846192307692307</x:v>
      </x:c>
      <x:c r="J3400" s="2" t="n">
        <x:v>11</x:v>
      </x:c>
      <x:c r="K3400" s="2" t="n">
        <x:v>12</x:v>
      </x:c>
      <x:c r="L3400" s="12" t="n">
        <x:v>2059.2953</x:v>
      </x:c>
      <x:c r="M3400" s="13" t="n">
        <x:v>0.3858916314304905</x:v>
      </x:c>
      <x:c r="N3400" s="13" t="n">
        <x:f>H3400/G3400</x:f>
        <x:v>0.09019034899217195</x:v>
      </x:c>
      <x:c r="O3400" s="13" t="n">
        <x:f>F3400/E3400</x:f>
        <x:v>0</x:v>
      </x:c>
      <x:c r="P3400" s="2" t="str">
        <x:f>IF(AND(E3400&gt;='Итоги'!$F$5,N3400&lt;='Итоги'!$B$5,O3400&gt;='Итоги'!$D$5),"Да","Нет")</x:f>
        <x:v>Нет</x:v>
      </x:c>
    </x:row>
    <x:row r="3401" ht="60" customHeight="1">
      <x:c r="A3401" s="14" t="str">
        <x:v>Автотовары</x:v>
      </x:c>
      <x:c r="B3401" s="14" t="str">
        <x:v>Универсальные авто и мото аксессуары</x:v>
      </x:c>
      <x:c r="C3401" s="14" t="str">
        <x:v>Аксессуар для салона авто</x:v>
      </x:c>
      <x:c r="D3401" s="14" t="str">
        <x:v>Чехол для авто</x:v>
      </x:c>
      <x:c r="E3401" s="2" t="n">
        <x:v>88</x:v>
      </x:c>
      <x:c r="F3401" s="2" t="n">
        <x:v>0</x:v>
      </x:c>
      <x:c r="G3401" s="12" t="n">
        <x:v>16114892.5402</x:v>
      </x:c>
      <x:c r="H3401" s="12" t="n">
        <x:v>1453823.27152506</x:v>
      </x:c>
      <x:c r="I3401" s="13" t="n">
        <x:v>0.074165909090909</x:v>
      </x:c>
      <x:c r="J3401" s="2" t="n">
        <x:v>24</x:v>
      </x:c>
      <x:c r="K3401" s="2" t="n">
        <x:v>19</x:v>
      </x:c>
      <x:c r="L3401" s="12" t="n">
        <x:v>3054.3776500000004</x:v>
      </x:c>
      <x:c r="M3401" s="13" t="n">
        <x:v>0.5466538860823622</x:v>
      </x:c>
      <x:c r="N3401" s="13" t="n">
        <x:f>H3401/G3401</x:f>
        <x:v>0.09021613193500183</x:v>
      </x:c>
      <x:c r="O3401" s="13" t="n">
        <x:f>F3401/E3401</x:f>
        <x:v>0</x:v>
      </x:c>
      <x:c r="P3401" s="2" t="str">
        <x:f>IF(AND(E3401&gt;='Итоги'!$F$5,N3401&lt;='Итоги'!$B$5,O3401&gt;='Итоги'!$D$5),"Да","Нет")</x:f>
        <x:v>Нет</x:v>
      </x:c>
    </x:row>
    <x:row r="3402" ht="60" customHeight="1">
      <x:c r="A3402" s="14" t="str">
        <x:v>Товары для дома</x:v>
      </x:c>
      <x:c r="B3402" s="14" t="str">
        <x:v>Домашний текстиль</x:v>
      </x:c>
      <x:c r="C3402" s="14" t="str">
        <x:v>Подушка</x:v>
      </x:c>
      <x:c r="D3402" s="14" t="str">
        <x:v>Подушка-валик</x:v>
      </x:c>
      <x:c r="E3402" s="2" t="n">
        <x:v>2</x:v>
      </x:c>
      <x:c r="F3402" s="2" t="n">
        <x:v>0</x:v>
      </x:c>
      <x:c r="G3402" s="12" t="n">
        <x:v>304822.58</x:v>
      </x:c>
      <x:c r="H3402" s="12" t="n">
        <x:v>27525.719872</x:v>
      </x:c>
      <x:c r="I3402" s="13" t="n">
        <x:v>0.0794</x:v>
      </x:c>
      <x:c r="J3402" s="2" t="n">
        <x:v>0</x:v>
      </x:c>
      <x:c r="K3402" s="2" t="n">
        <x:v>1</x:v>
      </x:c>
      <x:c r="L3402" s="12" t="n">
        <x:v>1765.7426</x:v>
      </x:c>
      <x:c r="M3402" s="13" t="n">
        <x:v>1</x:v>
      </x:c>
      <x:c r="N3402" s="13" t="n">
        <x:f>H3402/G3402</x:f>
        <x:v>0.09030079028922332</x:v>
      </x:c>
      <x:c r="O3402" s="13" t="n">
        <x:f>F3402/E3402</x:f>
        <x:v>0</x:v>
      </x:c>
      <x:c r="P3402" s="2" t="str">
        <x:f>IF(AND(E3402&gt;='Итоги'!$F$5,N3402&lt;='Итоги'!$B$5,O3402&gt;='Итоги'!$D$5),"Да","Нет")</x:f>
        <x:v>Нет</x:v>
      </x:c>
    </x:row>
    <x:row r="3403" ht="60" customHeight="1">
      <x:c r="A3403" s="14" t="str">
        <x:v>Товары для детей и спорта</x:v>
      </x:c>
      <x:c r="B3403" s="14" t="str">
        <x:v>КГТ и аксессуары для детей</x:v>
      </x:c>
      <x:c r="C3403" s="14" t="str">
        <x:v>Ванная комната и купание</x:v>
      </x:c>
      <x:c r="D3403" s="14" t="str">
        <x:v>Гигиенический набор для ухода за новорожденным</x:v>
      </x:c>
      <x:c r="E3403" s="2" t="n">
        <x:v>2</x:v>
      </x:c>
      <x:c r="F3403" s="2" t="n">
        <x:v>0</x:v>
      </x:c>
      <x:c r="G3403" s="12" t="n">
        <x:v>248126.9708</x:v>
      </x:c>
      <x:c r="H3403" s="12" t="n">
        <x:v>22408.6300192</x:v>
      </x:c>
      <x:c r="I3403" s="13" t="n">
        <x:v>0.1016499999999999</x:v>
      </x:c>
      <x:c r="J3403" s="2" t="n">
        <x:v>0</x:v>
      </x:c>
      <x:c r="K3403" s="2" t="n">
        <x:v>2</x:v>
      </x:c>
      <x:c r="L3403" s="12" t="n">
        <x:v>1510.47355</x:v>
      </x:c>
      <x:c r="M3403" s="13" t="n">
        <x:v>0.5783611492830105</x:v>
      </x:c>
      <x:c r="N3403" s="13" t="n">
        <x:f>H3403/G3403</x:f>
        <x:v>0.09031114169874838</x:v>
      </x:c>
      <x:c r="O3403" s="13" t="n">
        <x:f>F3403/E3403</x:f>
        <x:v>0</x:v>
      </x:c>
      <x:c r="P3403" s="2" t="str">
        <x:f>IF(AND(E3403&gt;='Итоги'!$F$5,N3403&lt;='Итоги'!$B$5,O3403&gt;='Итоги'!$D$5),"Да","Нет")</x:f>
        <x:v>Нет</x:v>
      </x:c>
    </x:row>
    <x:row r="3404" ht="60" customHeight="1">
      <x:c r="A3404" s="14" t="str">
        <x:v>Аксессуары</x:v>
      </x:c>
      <x:c r="B3404" s="14" t="str">
        <x:v>Чемоданы, дорожные сумки</x:v>
      </x:c>
      <x:c r="C3404" s="14" t="str">
        <x:v>Чемодан</x:v>
      </x:c>
      <x:c r="D3404" s="14" t="str">
        <x:v>Чемодан мягкий (текстиль)</x:v>
      </x:c>
      <x:c r="E3404" s="2" t="n">
        <x:v>269</x:v>
      </x:c>
      <x:c r="F3404" s="2" t="n">
        <x:v>0</x:v>
      </x:c>
      <x:c r="G3404" s="12" t="n">
        <x:v>33555210.8683</x:v>
      </x:c>
      <x:c r="H3404" s="12" t="n">
        <x:v>3031059.07806974</x:v>
      </x:c>
      <x:c r="I3404" s="13" t="n">
        <x:v>0.0747092936802974</x:v>
      </x:c>
      <x:c r="J3404" s="2" t="n">
        <x:v>69</x:v>
      </x:c>
      <x:c r="K3404" s="2" t="n">
        <x:v>17</x:v>
      </x:c>
      <x:c r="L3404" s="12" t="n">
        <x:v>5060.0444</x:v>
      </x:c>
      <x:c r="M3404" s="13" t="n">
        <x:v>0.3791018043614063</x:v>
      </x:c>
      <x:c r="N3404" s="13" t="n">
        <x:f>H3404/G3404</x:f>
        <x:v>0.09033050306154437</x:v>
      </x:c>
      <x:c r="O3404" s="13" t="n">
        <x:f>F3404/E3404</x:f>
        <x:v>0</x:v>
      </x:c>
      <x:c r="P3404" s="2" t="str">
        <x:f>IF(AND(E3404&gt;='Итоги'!$F$5,N3404&lt;='Итоги'!$B$5,O3404&gt;='Итоги'!$D$5),"Да","Нет")</x:f>
        <x:v>Нет</x:v>
      </x:c>
    </x:row>
    <x:row r="3405" ht="60" customHeight="1">
      <x:c r="A3405" s="14" t="str">
        <x:v>Автотовары</x:v>
      </x:c>
      <x:c r="B3405" s="14" t="str">
        <x:v>Дополнительное оборудование для авто и мото техники</x:v>
      </x:c>
      <x:c r="C3405" s="14" t="str">
        <x:v>Аксессуар для экстерьера авто</x:v>
      </x:c>
      <x:c r="D3405" s="14" t="str">
        <x:v>Защитная, декоративная пленка для авто</x:v>
      </x:c>
      <x:c r="E3405" s="2" t="n">
        <x:v>17</x:v>
      </x:c>
      <x:c r="F3405" s="2" t="n">
        <x:v>0</x:v>
      </x:c>
      <x:c r="G3405" s="12" t="n">
        <x:v>2992427.6747</x:v>
      </x:c>
      <x:c r="H3405" s="12" t="n">
        <x:v>270435.74725958</x:v>
      </x:c>
      <x:c r="I3405" s="13" t="n">
        <x:v>0.1011823529411764</x:v>
      </x:c>
      <x:c r="J3405" s="2" t="n">
        <x:v>6</x:v>
      </x:c>
      <x:c r="K3405" s="2" t="n">
        <x:v>7</x:v>
      </x:c>
      <x:c r="L3405" s="12" t="n">
        <x:v>1303.4611</x:v>
      </x:c>
      <x:c r="M3405" s="13" t="n">
        <x:v>0.6771947804563592</x:v>
      </x:c>
      <x:c r="N3405" s="13" t="n">
        <x:f>H3405/G3405</x:f>
        <x:v>0.090373361249806</x:v>
      </x:c>
      <x:c r="O3405" s="13" t="n">
        <x:f>F3405/E3405</x:f>
        <x:v>0</x:v>
      </x:c>
      <x:c r="P3405" s="2" t="str">
        <x:f>IF(AND(E3405&gt;='Итоги'!$F$5,N3405&lt;='Итоги'!$B$5,O3405&gt;='Итоги'!$D$5),"Да","Нет")</x:f>
        <x:v>Нет</x:v>
      </x:c>
    </x:row>
    <x:row r="3406" ht="60" customHeight="1">
      <x:c r="A3406" s="14" t="str">
        <x:v>Бакалея и кондитерские изделия</x:v>
      </x:c>
      <x:c r="B3406" s="14" t="str">
        <x:v>Бакалея</x:v>
      </x:c>
      <x:c r="C3406" s="14" t="str">
        <x:v>Консервы</x:v>
      </x:c>
      <x:c r="D3406" s="14" t="str">
        <x:v>Сухой паек</x:v>
      </x:c>
      <x:c r="E3406" s="2" t="n">
        <x:v>4</x:v>
      </x:c>
      <x:c r="F3406" s="2" t="n">
        <x:v>0</x:v>
      </x:c>
      <x:c r="G3406" s="12" t="n">
        <x:v>772370.5814</x:v>
      </x:c>
      <x:c r="H3406" s="12" t="n">
        <x:v>69803.48329322</x:v>
      </x:c>
      <x:c r="I3406" s="13" t="n">
        <x:v>0.09475</x:v>
      </x:c>
      <x:c r="J3406" s="2" t="n">
        <x:v>0</x:v>
      </x:c>
      <x:c r="K3406" s="2" t="n">
        <x:v>3</x:v>
      </x:c>
      <x:c r="L3406" s="12" t="n">
        <x:v>1084.90995</x:v>
      </x:c>
      <x:c r="M3406" s="13" t="n">
        <x:v>0.3983084900027757</x:v>
      </x:c>
      <x:c r="N3406" s="13" t="n">
        <x:f>H3406/G3406</x:f>
        <x:v>0.0903756369988796</x:v>
      </x:c>
      <x:c r="O3406" s="13" t="n">
        <x:f>F3406/E3406</x:f>
        <x:v>0</x:v>
      </x:c>
      <x:c r="P3406" s="2" t="str">
        <x:f>IF(AND(E3406&gt;='Итоги'!$F$5,N3406&lt;='Итоги'!$B$5,O3406&gt;='Итоги'!$D$5),"Да","Нет")</x:f>
        <x:v>Нет</x:v>
      </x:c>
    </x:row>
    <x:row r="3407" ht="60" customHeight="1">
      <x:c r="A3407" s="14" t="str">
        <x:v>Товары для дома</x:v>
      </x:c>
      <x:c r="B3407" s="14" t="str">
        <x:v>Кухня</x:v>
      </x:c>
      <x:c r="C3407" s="14" t="str">
        <x:v>Посуда для чая и кофе</x:v>
      </x:c>
      <x:c r="D3407" s="14" t="str">
        <x:v>Кофемолка, мельница для кофе</x:v>
      </x:c>
      <x:c r="E3407" s="2" t="n">
        <x:v>26</x:v>
      </x:c>
      <x:c r="F3407" s="2" t="n">
        <x:v>0</x:v>
      </x:c>
      <x:c r="G3407" s="12" t="n">
        <x:v>3281707.955</x:v>
      </x:c>
      <x:c r="H3407" s="12" t="n">
        <x:v>296588.15082039</x:v>
      </x:c>
      <x:c r="I3407" s="13" t="n">
        <x:v>0.0899038461538461</x:v>
      </x:c>
      <x:c r="J3407" s="2" t="n">
        <x:v>2</x:v>
      </x:c>
      <x:c r="K3407" s="2" t="n">
        <x:v>10</x:v>
      </x:c>
      <x:c r="L3407" s="12" t="n">
        <x:v>3659.91135</x:v>
      </x:c>
      <x:c r="M3407" s="13" t="n">
        <x:v>0.5237478169808685</x:v>
      </x:c>
      <x:c r="N3407" s="13" t="n">
        <x:f>H3407/G3407</x:f>
        <x:v>0.09037615622331938</x:v>
      </x:c>
      <x:c r="O3407" s="13" t="n">
        <x:f>F3407/E3407</x:f>
        <x:v>0</x:v>
      </x:c>
      <x:c r="P3407" s="2" t="str">
        <x:f>IF(AND(E3407&gt;='Итоги'!$F$5,N3407&lt;='Итоги'!$B$5,O3407&gt;='Итоги'!$D$5),"Да","Нет")</x:f>
        <x:v>Нет</x:v>
      </x:c>
    </x:row>
    <x:row r="3408" ht="60" customHeight="1">
      <x:c r="A3408" s="14" t="str">
        <x:v>Товары для красоты и здоровья</x:v>
      </x:c>
      <x:c r="B3408" s="14" t="str">
        <x:v>Косметика для ухода за кожей</x:v>
      </x:c>
      <x:c r="C3408" s="14" t="str">
        <x:v>Лицо</x:v>
      </x:c>
      <x:c r="D3408" s="14" t="str">
        <x:v>Маска косметическая для лица</x:v>
      </x:c>
      <x:c r="E3408" s="2" t="n">
        <x:v>98</x:v>
      </x:c>
      <x:c r="F3408" s="2" t="n">
        <x:v>0</x:v>
      </x:c>
      <x:c r="G3408" s="12" t="n">
        <x:v>14004411.3741</x:v>
      </x:c>
      <x:c r="H3408" s="12" t="n">
        <x:v>1265962.66624208</x:v>
      </x:c>
      <x:c r="I3408" s="13" t="n">
        <x:v>0.0856795918367346</x:v>
      </x:c>
      <x:c r="J3408" s="2" t="n">
        <x:v>28</x:v>
      </x:c>
      <x:c r="K3408" s="2" t="n">
        <x:v>29</x:v>
      </x:c>
      <x:c r="L3408" s="12" t="n">
        <x:v>1273.28505</x:v>
      </x:c>
      <x:c r="M3408" s="13" t="n">
        <x:v>0.6395910198671689</x:v>
      </x:c>
      <x:c r="N3408" s="13" t="n">
        <x:f>H3408/G3408</x:f>
        <x:v>0.09039742067155877</x:v>
      </x:c>
      <x:c r="O3408" s="13" t="n">
        <x:f>F3408/E3408</x:f>
        <x:v>0</x:v>
      </x:c>
      <x:c r="P3408" s="2" t="str">
        <x:f>IF(AND(E3408&gt;='Итоги'!$F$5,N3408&lt;='Итоги'!$B$5,O3408&gt;='Итоги'!$D$5),"Да","Нет")</x:f>
        <x:v>Нет</x:v>
      </x:c>
    </x:row>
    <x:row r="3409" ht="60" customHeight="1">
      <x:c r="A3409" s="14" t="str">
        <x:v>Товары для детей и спорта</x:v>
      </x:c>
      <x:c r="B3409" s="14" t="str">
        <x:v>Спорт детский</x:v>
      </x:c>
      <x:c r="C3409" s="14" t="str">
        <x:v>Товары для плаванья и бассейны детские</x:v>
      </x:c>
      <x:c r="D3409" s="14" t="str">
        <x:v>Сухой бассейн детский</x:v>
      </x:c>
      <x:c r="E3409" s="2" t="n">
        <x:v>16</x:v>
      </x:c>
      <x:c r="F3409" s="2" t="n">
        <x:v>0</x:v>
      </x:c>
      <x:c r="G3409" s="12" t="n">
        <x:v>1788285.2993</x:v>
      </x:c>
      <x:c r="H3409" s="12" t="n">
        <x:v>161715.14963777</x:v>
      </x:c>
      <x:c r="I3409" s="13" t="n">
        <x:v>0.10393125</x:v>
      </x:c>
      <x:c r="J3409" s="2" t="n">
        <x:v>2</x:v>
      </x:c>
      <x:c r="K3409" s="2" t="n">
        <x:v>5</x:v>
      </x:c>
      <x:c r="L3409" s="12" t="n">
        <x:v>3002.28825</x:v>
      </x:c>
      <x:c r="M3409" s="13" t="n">
        <x:v>0.5336874235188206</x:v>
      </x:c>
      <x:c r="N3409" s="13" t="n">
        <x:f>H3409/G3409</x:f>
        <x:v>0.09043028520173553</x:v>
      </x:c>
      <x:c r="O3409" s="13" t="n">
        <x:f>F3409/E3409</x:f>
        <x:v>0</x:v>
      </x:c>
      <x:c r="P3409" s="2" t="str">
        <x:f>IF(AND(E3409&gt;='Итоги'!$F$5,N3409&lt;='Итоги'!$B$5,O3409&gt;='Итоги'!$D$5),"Да","Нет")</x:f>
        <x:v>Нет</x:v>
      </x:c>
    </x:row>
    <x:row r="3410" ht="60" customHeight="1">
      <x:c r="A3410" s="14" t="str">
        <x:v>Аптека</x:v>
      </x:c>
      <x:c r="B3410" s="14" t="str">
        <x:v>Товары для взрослых</x:v>
      </x:c>
      <x:c r="C3410" s="14" t="str">
        <x:v>Секс игрушки</x:v>
      </x:c>
      <x:c r="D3410" s="14" t="str">
        <x:v>Эрекционное кольцо, утяжка, лассо</x:v>
      </x:c>
      <x:c r="E3410" s="2" t="n">
        <x:v>23</x:v>
      </x:c>
      <x:c r="F3410" s="2" t="n">
        <x:v>0</x:v>
      </x:c>
      <x:c r="G3410" s="12" t="n">
        <x:v>3841493.9544</x:v>
      </x:c>
      <x:c r="H3410" s="12" t="n">
        <x:v>347671.52888654</x:v>
      </x:c>
      <x:c r="I3410" s="13" t="n">
        <x:v>0.0896434782608695</x:v>
      </x:c>
      <x:c r="J3410" s="2" t="n">
        <x:v>3</x:v>
      </x:c>
      <x:c r="K3410" s="2" t="n">
        <x:v>10</x:v>
      </x:c>
      <x:c r="L3410" s="12" t="n">
        <x:v>1251.8883</x:v>
      </x:c>
      <x:c r="M3410" s="13" t="n">
        <x:v>0.5101738646380622</x:v>
      </x:c>
      <x:c r="N3410" s="13" t="n">
        <x:f>H3410/G3410</x:f>
        <x:v>0.09050424991254281</x:v>
      </x:c>
      <x:c r="O3410" s="13" t="n">
        <x:f>F3410/E3410</x:f>
        <x:v>0</x:v>
      </x:c>
      <x:c r="P3410" s="2" t="str">
        <x:f>IF(AND(E3410&gt;='Итоги'!$F$5,N3410&lt;='Итоги'!$B$5,O3410&gt;='Итоги'!$D$5),"Да","Нет")</x:f>
        <x:v>Нет</x:v>
      </x:c>
    </x:row>
    <x:row r="3411" ht="60" customHeight="1">
      <x:c r="A3411" s="14" t="str">
        <x:v>Строительство и ремонт (DIY)</x:v>
      </x:c>
      <x:c r="B3411" s="14" t="str">
        <x:v>Ремонт и строительство</x:v>
      </x:c>
      <x:c r="C3411" s="14" t="str">
        <x:v>Стройматериалы</x:v>
      </x:c>
      <x:c r="D3411" s="14" t="str">
        <x:v>Кровля</x:v>
      </x:c>
      <x:c r="E3411" s="2" t="n">
        <x:v>6</x:v>
      </x:c>
      <x:c r="F3411" s="2" t="n">
        <x:v>0</x:v>
      </x:c>
      <x:c r="G3411" s="12" t="n">
        <x:v>1145862.9681</x:v>
      </x:c>
      <x:c r="H3411" s="12" t="n">
        <x:v>103775.13548966</x:v>
      </x:c>
      <x:c r="I3411" s="13" t="n">
        <x:v>0.0852499999999999</x:v>
      </x:c>
      <x:c r="J3411" s="2" t="n">
        <x:v>0</x:v>
      </x:c>
      <x:c r="K3411" s="2" t="n">
        <x:v>1</x:v>
      </x:c>
      <x:c r="L3411" s="12" t="n">
        <x:v>1627.4563</x:v>
      </x:c>
      <x:c r="M3411" s="13" t="n">
        <x:v>1</x:v>
      </x:c>
      <x:c r="N3411" s="13" t="n">
        <x:f>H3411/G3411</x:f>
        <x:v>0.09056504868268288</x:v>
      </x:c>
      <x:c r="O3411" s="13" t="n">
        <x:f>F3411/E3411</x:f>
        <x:v>0</x:v>
      </x:c>
      <x:c r="P3411" s="2" t="str">
        <x:f>IF(AND(E3411&gt;='Итоги'!$F$5,N3411&lt;='Итоги'!$B$5,O3411&gt;='Итоги'!$D$5),"Да","Нет")</x:f>
        <x:v>Нет</x:v>
      </x:c>
    </x:row>
    <x:row r="3412" ht="60" customHeight="1">
      <x:c r="A3412" s="14" t="str">
        <x:v>Товары для дома</x:v>
      </x:c>
      <x:c r="B3412" s="14" t="str">
        <x:v>Домашний текстиль</x:v>
      </x:c>
      <x:c r="C3412" s="14" t="str">
        <x:v>Шторы</x:v>
      </x:c>
      <x:c r="D3412" s="14" t="str">
        <x:v>Фотошторы</x:v>
      </x:c>
      <x:c r="E3412" s="2" t="n">
        <x:v>8</x:v>
      </x:c>
      <x:c r="F3412" s="2" t="n">
        <x:v>0</x:v>
      </x:c>
      <x:c r="G3412" s="12" t="n">
        <x:v>998886.8087</x:v>
      </x:c>
      <x:c r="H3412" s="12" t="n">
        <x:v>90506.27042441</x:v>
      </x:c>
      <x:c r="I3412" s="13" t="n">
        <x:v>0.0644875</x:v>
      </x:c>
      <x:c r="J3412" s="2" t="n">
        <x:v>4</x:v>
      </x:c>
      <x:c r="K3412" s="2" t="n">
        <x:v>4</x:v>
      </x:c>
      <x:c r="L3412" s="12" t="n">
        <x:v>1163.85625</x:v>
      </x:c>
      <x:c r="M3412" s="13" t="n">
        <x:v>0.5651768440457532</x:v>
      </x:c>
      <x:c r="N3412" s="13" t="n">
        <x:f>H3412/G3412</x:f>
        <x:v>0.09060713349713695</x:v>
      </x:c>
      <x:c r="O3412" s="13" t="n">
        <x:f>F3412/E3412</x:f>
        <x:v>0</x:v>
      </x:c>
      <x:c r="P3412" s="2" t="str">
        <x:f>IF(AND(E3412&gt;='Итоги'!$F$5,N3412&lt;='Итоги'!$B$5,O3412&gt;='Итоги'!$D$5),"Да","Нет")</x:f>
        <x:v>Нет</x:v>
      </x:c>
    </x:row>
    <x:row r="3413" ht="60" customHeight="1">
      <x:c r="A3413" s="14" t="str">
        <x:v>Товары для дома</x:v>
      </x:c>
      <x:c r="B3413" s="14" t="str">
        <x:v>Интерьер и декор</x:v>
      </x:c>
      <x:c r="C3413" s="14" t="str">
        <x:v>Украшение интерьера</x:v>
      </x:c>
      <x:c r="D3413" s="14" t="str">
        <x:v>Статуэтка, миниатюра интерьерная</x:v>
      </x:c>
      <x:c r="E3413" s="2" t="n">
        <x:v>14</x:v>
      </x:c>
      <x:c r="F3413" s="2" t="n">
        <x:v>0</x:v>
      </x:c>
      <x:c r="G3413" s="12" t="n">
        <x:v>606469.54</x:v>
      </x:c>
      <x:c r="H3413" s="12" t="n">
        <x:v>54969.483682000006</x:v>
      </x:c>
      <x:c r="I3413" s="13" t="n">
        <x:v>0.0519714285714285</x:v>
      </x:c>
      <x:c r="J3413" s="2" t="n">
        <x:v>8</x:v>
      </x:c>
      <x:c r="K3413" s="2" t="n">
        <x:v>6</x:v>
      </x:c>
      <x:c r="L3413" s="12" t="n">
        <x:v>6633.93525</x:v>
      </x:c>
      <x:c r="M3413" s="13" t="n">
        <x:v>0.3946984707591415</x:v>
      </x:c>
      <x:c r="N3413" s="13" t="n">
        <x:f>H3413/G3413</x:f>
        <x:v>0.09063849056953463</x:v>
      </x:c>
      <x:c r="O3413" s="13" t="n">
        <x:f>F3413/E3413</x:f>
        <x:v>0</x:v>
      </x:c>
      <x:c r="P3413" s="2" t="str">
        <x:f>IF(AND(E3413&gt;='Итоги'!$F$5,N3413&lt;='Итоги'!$B$5,O3413&gt;='Итоги'!$D$5),"Да","Нет")</x:f>
        <x:v>Нет</x:v>
      </x:c>
    </x:row>
    <x:row r="3414" ht="60" customHeight="1">
      <x:c r="A3414" s="14" t="str">
        <x:v>Спорт и отдых</x:v>
      </x:c>
      <x:c r="B3414" s="14" t="str">
        <x:v>Туризм</x:v>
      </x:c>
      <x:c r="C3414" s="14" t="str">
        <x:v>Снаряжение для альпинизма и скалолазания</x:v>
      </x:c>
      <x:c r="D3414" s="14" t="str">
        <x:v>Карабины для альпинизма, скалолазания</x:v>
      </x:c>
      <x:c r="E3414" s="2" t="n">
        <x:v>3</x:v>
      </x:c>
      <x:c r="F3414" s="2" t="n">
        <x:v>0</x:v>
      </x:c>
      <x:c r="G3414" s="12" t="n">
        <x:v>311487.95</x:v>
      </x:c>
      <x:c r="H3414" s="12" t="n">
        <x:v>28241.975388</x:v>
      </x:c>
      <x:c r="I3414" s="13" t="n">
        <x:v>0.0470666666666666</x:v>
      </x:c>
      <x:c r="J3414" s="2" t="n">
        <x:v>2</x:v>
      </x:c>
      <x:c r="K3414" s="2" t="n">
        <x:v>3</x:v>
      </x:c>
      <x:c r="L3414" s="12" t="n">
        <x:v>953.2423</x:v>
      </x:c>
      <x:c r="M3414" s="13" t="n">
        <x:v>0.6421243261577213</x:v>
      </x:c>
      <x:c r="N3414" s="13" t="n">
        <x:f>H3414/G3414</x:f>
        <x:v>0.09066795485347025</x:v>
      </x:c>
      <x:c r="O3414" s="13" t="n">
        <x:f>F3414/E3414</x:f>
        <x:v>0</x:v>
      </x:c>
      <x:c r="P3414" s="2" t="str">
        <x:f>IF(AND(E3414&gt;='Итоги'!$F$5,N3414&lt;='Итоги'!$B$5,O3414&gt;='Итоги'!$D$5),"Да","Нет")</x:f>
        <x:v>Нет</x:v>
      </x:c>
    </x:row>
    <x:row r="3415" ht="60" customHeight="1">
      <x:c r="A3415" s="14" t="str">
        <x:v>Строительство и ремонт (DIY)</x:v>
      </x:c>
      <x:c r="B3415" s="14" t="str">
        <x:v>Инструменты</x:v>
      </x:c>
      <x:c r="C3415" s="14" t="str">
        <x:v>Инструмент ручной для строительства, ремонта</x:v>
      </x:c>
      <x:c r="D3415" s="14" t="str">
        <x:v>Труборез ручной</x:v>
      </x:c>
      <x:c r="E3415" s="2" t="n">
        <x:v>8</x:v>
      </x:c>
      <x:c r="F3415" s="2" t="n">
        <x:v>0</x:v>
      </x:c>
      <x:c r="G3415" s="12" t="n">
        <x:v>857586.1465</x:v>
      </x:c>
      <x:c r="H3415" s="12" t="n">
        <x:v>77893.23828144</x:v>
      </x:c>
      <x:c r="I3415" s="13" t="n">
        <x:v>0.0688875</x:v>
      </x:c>
      <x:c r="J3415" s="2" t="n">
        <x:v>3</x:v>
      </x:c>
      <x:c r="K3415" s="2" t="n">
        <x:v>4</x:v>
      </x:c>
      <x:c r="L3415" s="12" t="n">
        <x:v>1220.071</x:v>
      </x:c>
      <x:c r="M3415" s="13" t="n">
        <x:v>0.6758311848499525</x:v>
      </x:c>
      <x:c r="N3415" s="13" t="n">
        <x:f>H3415/G3415</x:f>
        <x:v>0.09082847081816754</x:v>
      </x:c>
      <x:c r="O3415" s="13" t="n">
        <x:f>F3415/E3415</x:f>
        <x:v>0</x:v>
      </x:c>
      <x:c r="P3415" s="2" t="str">
        <x:f>IF(AND(E3415&gt;='Итоги'!$F$5,N3415&lt;='Итоги'!$B$5,O3415&gt;='Итоги'!$D$5),"Да","Нет")</x:f>
        <x:v>Нет</x:v>
      </x:c>
    </x:row>
    <x:row r="3416" ht="60" customHeight="1">
      <x:c r="A3416" s="14" t="str">
        <x:v>Товары для дома</x:v>
      </x:c>
      <x:c r="B3416" s="14" t="str">
        <x:v>Антиквариат Хоум Декор</x:v>
      </x:c>
      <x:c r="C3416" s="14" t="str">
        <x:v>Коллекционирование Хоум Декор</x:v>
      </x:c>
      <x:c r="D3416" s="14" t="str">
        <x:v>Журнал с вложением коллекционный</x:v>
      </x:c>
      <x:c r="E3416" s="2" t="n">
        <x:v>5</x:v>
      </x:c>
      <x:c r="F3416" s="2" t="n">
        <x:v>0</x:v>
      </x:c>
      <x:c r="G3416" s="12" t="n">
        <x:v>243252.15</x:v>
      </x:c>
      <x:c r="H3416" s="12" t="n">
        <x:v>22109.614405</x:v>
      </x:c>
      <x:c r="I3416" s="13" t="n">
        <x:v>0.04572</x:v>
      </x:c>
      <x:c r="J3416" s="2" t="n">
        <x:v>3</x:v>
      </x:c>
      <x:c r="K3416" s="2" t="n">
        <x:v>3</x:v>
      </x:c>
      <x:c r="L3416" s="12" t="n">
        <x:v>4101.5</x:v>
      </x:c>
      <x:c r="M3416" s="13" t="n">
        <x:v>0.7961950182146386</x:v>
      </x:c>
      <x:c r="N3416" s="13" t="n">
        <x:f>H3416/G3416</x:f>
        <x:v>0.09089175328974482</x:v>
      </x:c>
      <x:c r="O3416" s="13" t="n">
        <x:f>F3416/E3416</x:f>
        <x:v>0</x:v>
      </x:c>
      <x:c r="P3416" s="2" t="str">
        <x:f>IF(AND(E3416&gt;='Итоги'!$F$5,N3416&lt;='Итоги'!$B$5,O3416&gt;='Итоги'!$D$5),"Да","Нет")</x:f>
        <x:v>Нет</x:v>
      </x:c>
    </x:row>
    <x:row r="3417" ht="60" customHeight="1">
      <x:c r="A3417" s="14" t="str">
        <x:v>Строительство и ремонт (DIY)</x:v>
      </x:c>
      <x:c r="B3417" s="14" t="str">
        <x:v>Инструменты</x:v>
      </x:c>
      <x:c r="C3417" s="14" t="str">
        <x:v>Электроинструмент для строительства, ремонта</x:v>
      </x:c>
      <x:c r="D3417" s="14" t="str">
        <x:v>Отвертка электрическая</x:v>
      </x:c>
      <x:c r="E3417" s="2" t="n">
        <x:v>31</x:v>
      </x:c>
      <x:c r="F3417" s="2" t="n">
        <x:v>0</x:v>
      </x:c>
      <x:c r="G3417" s="12" t="n">
        <x:v>6302691.2686</x:v>
      </x:c>
      <x:c r="H3417" s="12" t="n">
        <x:v>573177.87859719</x:v>
      </x:c>
      <x:c r="I3417" s="13" t="n">
        <x:v>0.0892806451612903</x:v>
      </x:c>
      <x:c r="J3417" s="2" t="n">
        <x:v>5</x:v>
      </x:c>
      <x:c r="K3417" s="2" t="n">
        <x:v>18</x:v>
      </x:c>
      <x:c r="L3417" s="12" t="n">
        <x:v>2298.2461</x:v>
      </x:c>
      <x:c r="M3417" s="13" t="n">
        <x:v>0.2160568258807446</x:v>
      </x:c>
      <x:c r="N3417" s="13" t="n">
        <x:f>H3417/G3417</x:f>
        <x:v>0.0909417666470134</x:v>
      </x:c>
      <x:c r="O3417" s="13" t="n">
        <x:f>F3417/E3417</x:f>
        <x:v>0</x:v>
      </x:c>
      <x:c r="P3417" s="2" t="str">
        <x:f>IF(AND(E3417&gt;='Итоги'!$F$5,N3417&lt;='Итоги'!$B$5,O3417&gt;='Итоги'!$D$5),"Да","Нет")</x:f>
        <x:v>Нет</x:v>
      </x:c>
    </x:row>
    <x:row r="3418" ht="60" customHeight="1">
      <x:c r="A3418" s="14" t="str">
        <x:v>Одежда</x:v>
      </x:c>
      <x:c r="B3418" s="14" t="str">
        <x:v>Белье, домашняя одежда и ЧНИ</x:v>
      </x:c>
      <x:c r="C3418" s="14" t="str">
        <x:v>Белье женское</x:v>
      </x:c>
      <x:c r="D3418" s="14" t="str">
        <x:v>Трусы женские</x:v>
      </x:c>
      <x:c r="E3418" s="2" t="n">
        <x:v>445</x:v>
      </x:c>
      <x:c r="F3418" s="2" t="n">
        <x:v>0</x:v>
      </x:c>
      <x:c r="G3418" s="12" t="n">
        <x:v>62039612.8961</x:v>
      </x:c>
      <x:c r="H3418" s="12" t="n">
        <x:v>5643268.77468409</x:v>
      </x:c>
      <x:c r="I3418" s="13" t="n">
        <x:v>0.0852975280898876</x:v>
      </x:c>
      <x:c r="J3418" s="2" t="n">
        <x:v>65</x:v>
      </x:c>
      <x:c r="K3418" s="2" t="n">
        <x:v>57</x:v>
      </x:c>
      <x:c r="L3418" s="12" t="n">
        <x:v>868.135</x:v>
      </x:c>
      <x:c r="M3418" s="13" t="n">
        <x:v>0.303906948843732</x:v>
      </x:c>
      <x:c r="N3418" s="13" t="n">
        <x:f>H3418/G3418</x:f>
        <x:v>0.09096234665640288</x:v>
      </x:c>
      <x:c r="O3418" s="13" t="n">
        <x:f>F3418/E3418</x:f>
        <x:v>0</x:v>
      </x:c>
      <x:c r="P3418" s="2" t="str">
        <x:f>IF(AND(E3418&gt;='Итоги'!$F$5,N3418&lt;='Итоги'!$B$5,O3418&gt;='Итоги'!$D$5),"Да","Нет")</x:f>
        <x:v>Нет</x:v>
      </x:c>
    </x:row>
    <x:row r="3419" ht="60" customHeight="1">
      <x:c r="A3419" s="14" t="str">
        <x:v>Товары для дома</x:v>
      </x:c>
      <x:c r="B3419" s="14" t="str">
        <x:v>Кухня</x:v>
      </x:c>
      <x:c r="C3419" s="14" t="str">
        <x:v>Столовые приборы</x:v>
      </x:c>
      <x:c r="D3419" s="14" t="str">
        <x:v>Набор столовых приборов</x:v>
      </x:c>
      <x:c r="E3419" s="2" t="n">
        <x:v>143</x:v>
      </x:c>
      <x:c r="F3419" s="2" t="n">
        <x:v>0</x:v>
      </x:c>
      <x:c r="G3419" s="12" t="n">
        <x:v>23983658.2823</x:v>
      </x:c>
      <x:c r="H3419" s="12" t="n">
        <x:v>2182257.0442845603</x:v>
      </x:c>
      <x:c r="I3419" s="13" t="n">
        <x:v>0.0967468531468531</x:v>
      </x:c>
      <x:c r="J3419" s="2" t="n">
        <x:v>11</x:v>
      </x:c>
      <x:c r="K3419" s="2" t="n">
        <x:v>54</x:v>
      </x:c>
      <x:c r="L3419" s="12" t="n">
        <x:v>1768.8889</x:v>
      </x:c>
      <x:c r="M3419" s="13" t="n">
        <x:v>0.5002900203491948</x:v>
      </x:c>
      <x:c r="N3419" s="13" t="n">
        <x:f>H3419/G3419</x:f>
        <x:v>0.09098933192752631</x:v>
      </x:c>
      <x:c r="O3419" s="13" t="n">
        <x:f>F3419/E3419</x:f>
        <x:v>0</x:v>
      </x:c>
      <x:c r="P3419" s="2" t="str">
        <x:f>IF(AND(E3419&gt;='Итоги'!$F$5,N3419&lt;='Итоги'!$B$5,O3419&gt;='Итоги'!$D$5),"Да","Нет")</x:f>
        <x:v>Нет</x:v>
      </x:c>
    </x:row>
    <x:row r="3420" ht="60" customHeight="1">
      <x:c r="A3420" s="14" t="str">
        <x:v>Товары для животных</x:v>
      </x:c>
      <x:c r="B3420" s="14" t="str">
        <x:v>Спальное место животного</x:v>
      </x:c>
      <x:c r="C3420" s="14" t="str">
        <x:v>Террариум Лампы</x:v>
      </x:c>
      <x:c r="D3420" s="14" t="str">
        <x:v>Ультрафиолетовые лампы для террариума</x:v>
      </x:c>
      <x:c r="E3420" s="2" t="n">
        <x:v>2</x:v>
      </x:c>
      <x:c r="F3420" s="2" t="n">
        <x:v>0</x:v>
      </x:c>
      <x:c r="G3420" s="12" t="n">
        <x:v>190441</x:v>
      </x:c>
      <x:c r="H3420" s="12" t="n">
        <x:v>17330.019699999997</x:v>
      </x:c>
      <x:c r="I3420" s="13" t="n">
        <x:v>0.0797</x:v>
      </x:c>
      <x:c r="J3420" s="2" t="n">
        <x:v>0</x:v>
      </x:c>
      <x:c r="K3420" s="2" t="n">
        <x:v>1</x:v>
      </x:c>
      <x:c r="L3420" s="12" t="n">
        <x:v>893.76085</x:v>
      </x:c>
      <x:c r="M3420" s="13" t="n">
        <x:v>1</x:v>
      </x:c>
      <x:c r="N3420" s="13" t="n">
        <x:f>H3420/G3420</x:f>
        <x:v>0.090999415567026</x:v>
      </x:c>
      <x:c r="O3420" s="13" t="n">
        <x:f>F3420/E3420</x:f>
        <x:v>0</x:v>
      </x:c>
      <x:c r="P3420" s="2" t="str">
        <x:f>IF(AND(E3420&gt;='Итоги'!$F$5,N3420&lt;='Итоги'!$B$5,O3420&gt;='Итоги'!$D$5),"Да","Нет")</x:f>
        <x:v>Нет</x:v>
      </x:c>
    </x:row>
    <x:row r="3421" ht="60" customHeight="1">
      <x:c r="A3421" s="14" t="str">
        <x:v>Мелкая бытовая техника</x:v>
      </x:c>
      <x:c r="B3421" s="14" t="str">
        <x:v>SDA Климатическая техника</x:v>
      </x:c>
      <x:c r="C3421" s="14" t="str">
        <x:v>Климатическая техника SDA</x:v>
      </x:c>
      <x:c r="D3421" s="14" t="str">
        <x:v>Мойка воздуха</x:v>
      </x:c>
      <x:c r="E3421" s="2" t="n">
        <x:v>6</x:v>
      </x:c>
      <x:c r="F3421" s="2" t="n">
        <x:v>0</x:v>
      </x:c>
      <x:c r="G3421" s="12" t="n">
        <x:v>2148231.04</x:v>
      </x:c>
      <x:c r="H3421" s="12" t="n">
        <x:v>195535.463764</x:v>
      </x:c>
      <x:c r="I3421" s="13" t="n">
        <x:v>0.07725</x:v>
      </x:c>
      <x:c r="J3421" s="2" t="n">
        <x:v>1</x:v>
      </x:c>
      <x:c r="K3421" s="2" t="n">
        <x:v>2</x:v>
      </x:c>
      <x:c r="L3421" s="12" t="n">
        <x:v>17180.04205</x:v>
      </x:c>
      <x:c r="M3421" s="13" t="n">
        <x:v>0.7157098148996115</x:v>
      </x:c>
      <x:c r="N3421" s="13" t="n">
        <x:f>H3421/G3421</x:f>
        <x:v>0.09102161737873408</x:v>
      </x:c>
      <x:c r="O3421" s="13" t="n">
        <x:f>F3421/E3421</x:f>
        <x:v>0</x:v>
      </x:c>
      <x:c r="P3421" s="2" t="str">
        <x:f>IF(AND(E3421&gt;='Итоги'!$F$5,N3421&lt;='Итоги'!$B$5,O3421&gt;='Итоги'!$D$5),"Да","Нет")</x:f>
        <x:v>Нет</x:v>
      </x:c>
    </x:row>
    <x:row r="3422" ht="60" customHeight="1">
      <x:c r="A3422" s="14" t="str">
        <x:v>Товары для дома</x:v>
      </x:c>
      <x:c r="B3422" s="14" t="str">
        <x:v>Домашний текстиль</x:v>
      </x:c>
      <x:c r="C3422" s="14" t="str">
        <x:v>Покрывало</x:v>
      </x:c>
      <x:c r="D3422" s="14" t="str">
        <x:v>Покрывало - Евро размер от 200х220</x:v>
      </x:c>
      <x:c r="E3422" s="2" t="n">
        <x:v>69</x:v>
      </x:c>
      <x:c r="F3422" s="2" t="n">
        <x:v>0</x:v>
      </x:c>
      <x:c r="G3422" s="12" t="n">
        <x:v>11221231.2767</x:v>
      </x:c>
      <x:c r="H3422" s="12" t="n">
        <x:v>1021863.02504872</x:v>
      </x:c>
      <x:c r="I3422" s="13" t="n">
        <x:v>0.0915753623188405</x:v>
      </x:c>
      <x:c r="J3422" s="2" t="n">
        <x:v>12</x:v>
      </x:c>
      <x:c r="K3422" s="2" t="n">
        <x:v>9</x:v>
      </x:c>
      <x:c r="L3422" s="12" t="n">
        <x:v>1322.7624</x:v>
      </x:c>
      <x:c r="M3422" s="13" t="n">
        <x:v>0.7131293633717286</x:v>
      </x:c>
      <x:c r="N3422" s="13" t="n">
        <x:f>H3422/G3422</x:f>
        <x:v>0.09106514248311928</x:v>
      </x:c>
      <x:c r="O3422" s="13" t="n">
        <x:f>F3422/E3422</x:f>
        <x:v>0</x:v>
      </x:c>
      <x:c r="P3422" s="2" t="str">
        <x:f>IF(AND(E3422&gt;='Итоги'!$F$5,N3422&lt;='Итоги'!$B$5,O3422&gt;='Итоги'!$D$5),"Да","Нет")</x:f>
        <x:v>Нет</x:v>
      </x:c>
    </x:row>
    <x:row r="3423" ht="60" customHeight="1">
      <x:c r="A3423" s="14" t="str">
        <x:v>Товары для дома</x:v>
      </x:c>
      <x:c r="B3423" s="14" t="str">
        <x:v>Кухня</x:v>
      </x:c>
      <x:c r="C3423" s="14" t="str">
        <x:v>Банка, контейнер для хранения продуктов</x:v>
      </x:c>
      <x:c r="D3423" s="14" t="str">
        <x:v>Набор контейнеров для продуктов</x:v>
      </x:c>
      <x:c r="E3423" s="2" t="n">
        <x:v>96</x:v>
      </x:c>
      <x:c r="F3423" s="2" t="n">
        <x:v>0</x:v>
      </x:c>
      <x:c r="G3423" s="12" t="n">
        <x:v>17877874.895</x:v>
      </x:c>
      <x:c r="H3423" s="12" t="n">
        <x:v>1629672.91991107</x:v>
      </x:c>
      <x:c r="I3423" s="13" t="n">
        <x:v>0.0880385416666666</x:v>
      </x:c>
      <x:c r="J3423" s="2" t="n">
        <x:v>15</x:v>
      </x:c>
      <x:c r="K3423" s="2" t="n">
        <x:v>27</x:v>
      </x:c>
      <x:c r="L3423" s="12" t="n">
        <x:v>1124.99335</x:v>
      </x:c>
      <x:c r="M3423" s="13" t="n">
        <x:v>0.3385661940946254</x:v>
      </x:c>
      <x:c r="N3423" s="13" t="n">
        <x:f>H3423/G3423</x:f>
        <x:v>0.09115585210672043</x:v>
      </x:c>
      <x:c r="O3423" s="13" t="n">
        <x:f>F3423/E3423</x:f>
        <x:v>0</x:v>
      </x:c>
      <x:c r="P3423" s="2" t="str">
        <x:f>IF(AND(E3423&gt;='Итоги'!$F$5,N3423&lt;='Итоги'!$B$5,O3423&gt;='Итоги'!$D$5),"Да","Нет")</x:f>
        <x:v>Нет</x:v>
      </x:c>
    </x:row>
    <x:row r="3424" ht="60" customHeight="1">
      <x:c r="A3424" s="14" t="str">
        <x:v>Аксессуары</x:v>
      </x:c>
      <x:c r="B3424" s="14" t="str">
        <x:v>Очки и аксессуары к ним</x:v>
      </x:c>
      <x:c r="C3424" s="14" t="str">
        <x:v>Очки и оправы</x:v>
      </x:c>
      <x:c r="D3424" s="14" t="str">
        <x:v>Солнцезащитные очки унисекс</x:v>
      </x:c>
      <x:c r="E3424" s="2" t="n">
        <x:v>167</x:v>
      </x:c>
      <x:c r="F3424" s="2" t="n">
        <x:v>0</x:v>
      </x:c>
      <x:c r="G3424" s="12" t="n">
        <x:v>23260032.8092</x:v>
      </x:c>
      <x:c r="H3424" s="12" t="n">
        <x:v>2120561.78638943</x:v>
      </x:c>
      <x:c r="I3424" s="13" t="n">
        <x:v>0.0903443113772455</x:v>
      </x:c>
      <x:c r="J3424" s="2" t="n">
        <x:v>40</x:v>
      </x:c>
      <x:c r="K3424" s="2" t="n">
        <x:v>44</x:v>
      </x:c>
      <x:c r="L3424" s="12" t="n">
        <x:v>3720.3943</x:v>
      </x:c>
      <x:c r="M3424" s="13" t="n">
        <x:v>0.4213390778805643</x:v>
      </x:c>
      <x:c r="N3424" s="13" t="n">
        <x:f>H3424/G3424</x:f>
        <x:v>0.09116761802462668</x:v>
      </x:c>
      <x:c r="O3424" s="13" t="n">
        <x:f>F3424/E3424</x:f>
        <x:v>0</x:v>
      </x:c>
      <x:c r="P3424" s="2" t="str">
        <x:f>IF(AND(E3424&gt;='Итоги'!$F$5,N3424&lt;='Итоги'!$B$5,O3424&gt;='Итоги'!$D$5),"Да","Нет")</x:f>
        <x:v>Нет</x:v>
      </x:c>
    </x:row>
    <x:row r="3425" ht="60" customHeight="1">
      <x:c r="A3425" s="14" t="str">
        <x:v>Мелкая бытовая техника</x:v>
      </x:c>
      <x:c r="B3425" s="14" t="str">
        <x:v>Мелкая бытовая техника SDA</x:v>
      </x:c>
      <x:c r="C3425" s="14" t="str">
        <x:v>Электронная техника для дома SDA</x:v>
      </x:c>
      <x:c r="D3425" s="14" t="str">
        <x:v>Сушилка для рук</x:v>
      </x:c>
      <x:c r="E3425" s="2" t="n">
        <x:v>12</x:v>
      </x:c>
      <x:c r="F3425" s="2" t="n">
        <x:v>0</x:v>
      </x:c>
      <x:c r="G3425" s="12" t="n">
        <x:v>2223357.4429</x:v>
      </x:c>
      <x:c r="H3425" s="12" t="n">
        <x:v>202727.24472575</x:v>
      </x:c>
      <x:c r="I3425" s="13" t="n">
        <x:v>0.0758916666666666</x:v>
      </x:c>
      <x:c r="J3425" s="2" t="n">
        <x:v>3</x:v>
      </x:c>
      <x:c r="K3425" s="2" t="n">
        <x:v>3</x:v>
      </x:c>
      <x:c r="L3425" s="12" t="n">
        <x:v>15649.5982</x:v>
      </x:c>
      <x:c r="M3425" s="13" t="n">
        <x:v>0.706388441955367</x:v>
      </x:c>
      <x:c r="N3425" s="13" t="n">
        <x:f>H3425/G3425</x:f>
        <x:v>0.09118068053930456</x:v>
      </x:c>
      <x:c r="O3425" s="13" t="n">
        <x:f>F3425/E3425</x:f>
        <x:v>0</x:v>
      </x:c>
      <x:c r="P3425" s="2" t="str">
        <x:f>IF(AND(E3425&gt;='Итоги'!$F$5,N3425&lt;='Итоги'!$B$5,O3425&gt;='Итоги'!$D$5),"Да","Нет")</x:f>
        <x:v>Нет</x:v>
      </x:c>
    </x:row>
    <x:row r="3426" ht="60" customHeight="1">
      <x:c r="A3426" s="14" t="str">
        <x:v>Одежда</x:v>
      </x:c>
      <x:c r="B3426" s="14" t="str">
        <x:v>Белье, домашняя одежда и ЧНИ</x:v>
      </x:c>
      <x:c r="C3426" s="14" t="str">
        <x:v>Домашняя одежда женская</x:v>
      </x:c>
      <x:c r="D3426" s="14" t="str">
        <x:v>Брюки, шорты, легинсы домашние женские</x:v>
      </x:c>
      <x:c r="E3426" s="2" t="n">
        <x:v>31</x:v>
      </x:c>
      <x:c r="F3426" s="2" t="n">
        <x:v>0</x:v>
      </x:c>
      <x:c r="G3426" s="12" t="n">
        <x:v>1752377.3422</x:v>
      </x:c>
      <x:c r="H3426" s="12" t="n">
        <x:v>159802.65215126</x:v>
      </x:c>
      <x:c r="I3426" s="13" t="n">
        <x:v>0.0482290322580645</x:v>
      </x:c>
      <x:c r="J3426" s="2" t="n">
        <x:v>14</x:v>
      </x:c>
      <x:c r="K3426" s="2" t="n">
        <x:v>9</x:v>
      </x:c>
      <x:c r="L3426" s="12" t="n">
        <x:v>1398.75</x:v>
      </x:c>
      <x:c r="M3426" s="13" t="n">
        <x:v>0.5019877675978319</x:v>
      </x:c>
      <x:c r="N3426" s="13" t="n">
        <x:f>H3426/G3426</x:f>
        <x:v>0.09119191871691161</x:v>
      </x:c>
      <x:c r="O3426" s="13" t="n">
        <x:f>F3426/E3426</x:f>
        <x:v>0</x:v>
      </x:c>
      <x:c r="P3426" s="2" t="str">
        <x:f>IF(AND(E3426&gt;='Итоги'!$F$5,N3426&lt;='Итоги'!$B$5,O3426&gt;='Итоги'!$D$5),"Да","Нет")</x:f>
        <x:v>Нет</x:v>
      </x:c>
    </x:row>
    <x:row r="3427" ht="60" customHeight="1">
      <x:c r="A3427" s="14" t="str">
        <x:v>Товары для дома</x:v>
      </x:c>
      <x:c r="B3427" s="14" t="str">
        <x:v>Интерьер и декор</x:v>
      </x:c>
      <x:c r="C3427" s="14" t="str">
        <x:v>Принадлежности для праздника</x:v>
      </x:c>
      <x:c r="D3427" s="14" t="str">
        <x:v>Бумажное украшение для праздника</x:v>
      </x:c>
      <x:c r="E3427" s="2" t="n">
        <x:v>1</x:v>
      </x:c>
      <x:c r="F3427" s="2" t="n">
        <x:v>0</x:v>
      </x:c>
      <x:c r="G3427" s="12" t="n">
        <x:v>135200.59</x:v>
      </x:c>
      <x:c r="H3427" s="12" t="n">
        <x:v>12330.293808</x:v>
      </x:c>
      <x:c r="I3427" s="13" t="n">
        <x:v>0.0912</x:v>
      </x:c>
      <x:c r="J3427" s="2" t="n">
        <x:v>0</x:v>
      </x:c>
      <x:c r="K3427" s="2" t="n">
        <x:v>1</x:v>
      </x:c>
      <x:c r="L3427" s="12" t="n">
        <x:v>1064.5716</x:v>
      </x:c>
      <x:c r="M3427" s="13" t="n">
        <x:v>1</x:v>
      </x:c>
      <x:c r="N3427" s="13" t="n">
        <x:f>H3427/G3427</x:f>
        <x:v>0.0912</x:v>
      </x:c>
      <x:c r="O3427" s="13" t="n">
        <x:f>F3427/E3427</x:f>
        <x:v>0</x:v>
      </x:c>
      <x:c r="P3427" s="2" t="str">
        <x:f>IF(AND(E3427&gt;='Итоги'!$F$5,N3427&lt;='Итоги'!$B$5,O3427&gt;='Итоги'!$D$5),"Да","Нет")</x:f>
        <x:v>Нет</x:v>
      </x:c>
    </x:row>
    <x:row r="3428" ht="60" customHeight="1">
      <x:c r="A3428" s="14" t="str">
        <x:v>Товары для животных</x:v>
      </x:c>
      <x:c r="B3428" s="14" t="str">
        <x:v>Товары для прогулки и дрессировки животных</x:v>
      </x:c>
      <x:c r="C3428" s="14" t="str">
        <x:v>Аксессуары для прогулки и дрессировки животных</x:v>
      </x:c>
      <x:c r="D3428" s="14" t="str">
        <x:v>Шлейка</x:v>
      </x:c>
      <x:c r="E3428" s="2" t="n">
        <x:v>16</x:v>
      </x:c>
      <x:c r="F3428" s="2" t="n">
        <x:v>0</x:v>
      </x:c>
      <x:c r="G3428" s="12" t="n">
        <x:v>1867374.9338</x:v>
      </x:c>
      <x:c r="H3428" s="12" t="n">
        <x:v>170446.00787086</x:v>
      </x:c>
      <x:c r="I3428" s="13" t="n">
        <x:v>0.0913375</x:v>
      </x:c>
      <x:c r="J3428" s="2" t="n">
        <x:v>7</x:v>
      </x:c>
      <x:c r="K3428" s="2" t="n">
        <x:v>3</x:v>
      </x:c>
      <x:c r="L3428" s="12" t="n">
        <x:v>1004.7379</x:v>
      </x:c>
      <x:c r="M3428" s="13" t="n">
        <x:v>0.7154815130677428</x:v>
      </x:c>
      <x:c r="N3428" s="13" t="n">
        <x:f>H3428/G3428</x:f>
        <x:v>0.09127572871721708</x:v>
      </x:c>
      <x:c r="O3428" s="13" t="n">
        <x:f>F3428/E3428</x:f>
        <x:v>0</x:v>
      </x:c>
      <x:c r="P3428" s="2" t="str">
        <x:f>IF(AND(E3428&gt;='Итоги'!$F$5,N3428&lt;='Итоги'!$B$5,O3428&gt;='Итоги'!$D$5),"Да","Нет")</x:f>
        <x:v>Нет</x:v>
      </x:c>
    </x:row>
    <x:row r="3429" ht="60" customHeight="1">
      <x:c r="A3429" s="14" t="str">
        <x:v>Товары для красоты и здоровья</x:v>
      </x:c>
      <x:c r="B3429" s="14" t="str">
        <x:v>Косметика для ухода за волосами</x:v>
      </x:c>
      <x:c r="C3429" s="14" t="str">
        <x:v>Стайлинг для мужчин</x:v>
      </x:c>
      <x:c r="D3429" s="14" t="str">
        <x:v>Жидкость для укладки мужская</x:v>
      </x:c>
      <x:c r="E3429" s="2" t="n">
        <x:v>9</x:v>
      </x:c>
      <x:c r="F3429" s="2" t="n">
        <x:v>0</x:v>
      </x:c>
      <x:c r="G3429" s="12" t="n">
        <x:v>1263964.3514</x:v>
      </x:c>
      <x:c r="H3429" s="12" t="n">
        <x:v>115372.778477</x:v>
      </x:c>
      <x:c r="I3429" s="13" t="n">
        <x:v>0.0880222222222222</x:v>
      </x:c>
      <x:c r="J3429" s="2" t="n">
        <x:v>3</x:v>
      </x:c>
      <x:c r="K3429" s="2" t="n">
        <x:v>6</x:v>
      </x:c>
      <x:c r="L3429" s="12" t="n">
        <x:v>859.5977</x:v>
      </x:c>
      <x:c r="M3429" s="13" t="n">
        <x:v>0.4993461794242182</x:v>
      </x:c>
      <x:c r="N3429" s="13" t="n">
        <x:f>H3429/G3429</x:f>
        <x:v>0.09127850666769999</x:v>
      </x:c>
      <x:c r="O3429" s="13" t="n">
        <x:f>F3429/E3429</x:f>
        <x:v>0</x:v>
      </x:c>
      <x:c r="P3429" s="2" t="str">
        <x:f>IF(AND(E3429&gt;='Итоги'!$F$5,N3429&lt;='Итоги'!$B$5,O3429&gt;='Итоги'!$D$5),"Да","Нет")</x:f>
        <x:v>Нет</x:v>
      </x:c>
    </x:row>
    <x:row r="3430" ht="60" customHeight="1">
      <x:c r="A3430" s="14" t="str">
        <x:v>Аптека</x:v>
      </x:c>
      <x:c r="B3430" s="14" t="str">
        <x:v>Витамины и БАДы</x:v>
      </x:c>
      <x:c r="C3430" s="14" t="str">
        <x:v>Противопаразитарное</x:v>
      </x:c>
      <x:c r="D3430" s="14" t="str">
        <x:v>БАД от паразитов</x:v>
      </x:c>
      <x:c r="E3430" s="2" t="n">
        <x:v>9</x:v>
      </x:c>
      <x:c r="F3430" s="2" t="n">
        <x:v>0</x:v>
      </x:c>
      <x:c r="G3430" s="12" t="n">
        <x:v>1281412.2401</x:v>
      </x:c>
      <x:c r="H3430" s="12" t="n">
        <x:v>117010.1586328</x:v>
      </x:c>
      <x:c r="I3430" s="13" t="n">
        <x:v>0.0779555555555555</x:v>
      </x:c>
      <x:c r="J3430" s="2" t="n">
        <x:v>3</x:v>
      </x:c>
      <x:c r="K3430" s="2" t="n">
        <x:v>5</x:v>
      </x:c>
      <x:c r="L3430" s="12" t="n">
        <x:v>1563</x:v>
      </x:c>
      <x:c r="M3430" s="13" t="n">
        <x:v>0.655709954381604</x:v>
      </x:c>
      <x:c r="N3430" s="13" t="n">
        <x:f>H3430/G3430</x:f>
        <x:v>0.09131343916589141</x:v>
      </x:c>
      <x:c r="O3430" s="13" t="n">
        <x:f>F3430/E3430</x:f>
        <x:v>0</x:v>
      </x:c>
      <x:c r="P3430" s="2" t="str">
        <x:f>IF(AND(E3430&gt;='Итоги'!$F$5,N3430&lt;='Итоги'!$B$5,O3430&gt;='Итоги'!$D$5),"Да","Нет")</x:f>
        <x:v>Нет</x:v>
      </x:c>
    </x:row>
    <x:row r="3431" ht="60" customHeight="1">
      <x:c r="A3431" s="14" t="str">
        <x:v>Аксессуары для электроники</x:v>
      </x:c>
      <x:c r="B3431" s="14" t="str">
        <x:v>Электропитание Access</x:v>
      </x:c>
      <x:c r="C3431" s="14" t="str">
        <x:v>Кабели и переходники Access</x:v>
      </x:c>
      <x:c r="D3431" s="14" t="str">
        <x:v>Антенные кабели</x:v>
      </x:c>
      <x:c r="E3431" s="2" t="n">
        <x:v>14</x:v>
      </x:c>
      <x:c r="F3431" s="2" t="n">
        <x:v>0</x:v>
      </x:c>
      <x:c r="G3431" s="12" t="n">
        <x:v>1489361.92</x:v>
      </x:c>
      <x:c r="H3431" s="12" t="n">
        <x:v>136091.222484</x:v>
      </x:c>
      <x:c r="I3431" s="13" t="n">
        <x:v>0.0826285714285714</x:v>
      </x:c>
      <x:c r="J3431" s="2" t="n">
        <x:v>1</x:v>
      </x:c>
      <x:c r="K3431" s="2" t="n">
        <x:v>6</x:v>
      </x:c>
      <x:c r="L3431" s="12" t="n">
        <x:v>1213.2543500000002</x:v>
      </x:c>
      <x:c r="M3431" s="13" t="n">
        <x:v>0.5671871347429106</x:v>
      </x:c>
      <x:c r="N3431" s="13" t="n">
        <x:f>H3431/G3431</x:f>
        <x:v>0.09137552172946654</x:v>
      </x:c>
      <x:c r="O3431" s="13" t="n">
        <x:f>F3431/E3431</x:f>
        <x:v>0</x:v>
      </x:c>
      <x:c r="P3431" s="2" t="str">
        <x:f>IF(AND(E3431&gt;='Итоги'!$F$5,N3431&lt;='Итоги'!$B$5,O3431&gt;='Итоги'!$D$5),"Да","Нет")</x:f>
        <x:v>Нет</x:v>
      </x:c>
    </x:row>
    <x:row r="3432" ht="60" customHeight="1">
      <x:c r="A3432" s="14" t="str">
        <x:v>Одежда</x:v>
      </x:c>
      <x:c r="B3432" s="14" t="str">
        <x:v>Основная одежда женская</x:v>
      </x:c>
      <x:c r="C3432" s="14" t="str">
        <x:v>Головные уборы, перчатки, шарфы женские</x:v>
      </x:c>
      <x:c r="D3432" s="14" t="str">
        <x:v>Женский платок на шею</x:v>
      </x:c>
      <x:c r="E3432" s="2" t="n">
        <x:v>19</x:v>
      </x:c>
      <x:c r="F3432" s="2" t="n">
        <x:v>0</x:v>
      </x:c>
      <x:c r="G3432" s="12" t="n">
        <x:v>1550926.1052</x:v>
      </x:c>
      <x:c r="H3432" s="12" t="n">
        <x:v>141834.38303348</x:v>
      </x:c>
      <x:c r="I3432" s="13" t="n">
        <x:v>0.0749368421052631</x:v>
      </x:c>
      <x:c r="J3432" s="2" t="n">
        <x:v>6</x:v>
      </x:c>
      <x:c r="K3432" s="2" t="n">
        <x:v>8</x:v>
      </x:c>
      <x:c r="L3432" s="12" t="n">
        <x:v>2017.0281</x:v>
      </x:c>
      <x:c r="M3432" s="13" t="n">
        <x:v>0.3129195249037452</x:v>
      </x:c>
      <x:c r="N3432" s="13" t="n">
        <x:f>H3432/G3432</x:f>
        <x:v>0.0914514125192249</x:v>
      </x:c>
      <x:c r="O3432" s="13" t="n">
        <x:f>F3432/E3432</x:f>
        <x:v>0</x:v>
      </x:c>
      <x:c r="P3432" s="2" t="str">
        <x:f>IF(AND(E3432&gt;='Итоги'!$F$5,N3432&lt;='Итоги'!$B$5,O3432&gt;='Итоги'!$D$5),"Да","Нет")</x:f>
        <x:v>Нет</x:v>
      </x:c>
    </x:row>
    <x:row r="3433" ht="60" customHeight="1">
      <x:c r="A3433" s="14" t="str">
        <x:v>Одежда</x:v>
      </x:c>
      <x:c r="B3433" s="14" t="str">
        <x:v>Белье, домашняя одежда и ЧНИ</x:v>
      </x:c>
      <x:c r="C3433" s="14" t="str">
        <x:v>Домашняя одежда мужская</x:v>
      </x:c>
      <x:c r="D3433" s="14" t="str">
        <x:v>Пижама мужская</x:v>
      </x:c>
      <x:c r="E3433" s="2" t="n">
        <x:v>8</x:v>
      </x:c>
      <x:c r="F3433" s="2" t="n">
        <x:v>0</x:v>
      </x:c>
      <x:c r="G3433" s="12" t="n">
        <x:v>355608.61</x:v>
      </x:c>
      <x:c r="H3433" s="12" t="n">
        <x:v>32524.301948</x:v>
      </x:c>
      <x:c r="I3433" s="13" t="n">
        <x:v>0.0478375</x:v>
      </x:c>
      <x:c r="J3433" s="2" t="n">
        <x:v>4</x:v>
      </x:c>
      <x:c r="K3433" s="2" t="n">
        <x:v>3</x:v>
      </x:c>
      <x:c r="L3433" s="12" t="n">
        <x:v>4567.84145</x:v>
      </x:c>
      <x:c r="M3433" s="13" t="n">
        <x:v>0.8979531176143345</x:v>
      </x:c>
      <x:c r="N3433" s="13" t="n">
        <x:f>H3433/G3433</x:f>
        <x:v>0.09146095182566025</x:v>
      </x:c>
      <x:c r="O3433" s="13" t="n">
        <x:f>F3433/E3433</x:f>
        <x:v>0</x:v>
      </x:c>
      <x:c r="P3433" s="2" t="str">
        <x:f>IF(AND(E3433&gt;='Итоги'!$F$5,N3433&lt;='Итоги'!$B$5,O3433&gt;='Итоги'!$D$5),"Да","Нет")</x:f>
        <x:v>Нет</x:v>
      </x:c>
    </x:row>
    <x:row r="3434" ht="60" customHeight="1">
      <x:c r="A3434" s="14" t="str">
        <x:v>Аксессуары</x:v>
      </x:c>
      <x:c r="B3434" s="14" t="str">
        <x:v>Аксессуары</x:v>
      </x:c>
      <x:c r="C3434" s="14" t="str">
        <x:v>Мелкие аксессуары</x:v>
      </x:c>
      <x:c r="D3434" s="14" t="str">
        <x:v>Мужской зонт складной</x:v>
      </x:c>
      <x:c r="E3434" s="2" t="n">
        <x:v>54</x:v>
      </x:c>
      <x:c r="F3434" s="2" t="n">
        <x:v>0</x:v>
      </x:c>
      <x:c r="G3434" s="12" t="n">
        <x:v>7091840.1948</x:v>
      </x:c>
      <x:c r="H3434" s="12" t="n">
        <x:v>648752.16672258</x:v>
      </x:c>
      <x:c r="I3434" s="13" t="n">
        <x:v>0.0892999999999999</x:v>
      </x:c>
      <x:c r="J3434" s="2" t="n">
        <x:v>4</x:v>
      </x:c>
      <x:c r="K3434" s="2" t="n">
        <x:v>15</x:v>
      </x:c>
      <x:c r="L3434" s="12" t="n">
        <x:v>1475.66985</x:v>
      </x:c>
      <x:c r="M3434" s="13" t="n">
        <x:v>0.7119677163625644</x:v>
      </x:c>
      <x:c r="N3434" s="13" t="n">
        <x:f>H3434/G3434</x:f>
        <x:v>0.09147867815722485</x:v>
      </x:c>
      <x:c r="O3434" s="13" t="n">
        <x:f>F3434/E3434</x:f>
        <x:v>0</x:v>
      </x:c>
      <x:c r="P3434" s="2" t="str">
        <x:f>IF(AND(E3434&gt;='Итоги'!$F$5,N3434&lt;='Итоги'!$B$5,O3434&gt;='Итоги'!$D$5),"Да","Нет")</x:f>
        <x:v>Нет</x:v>
      </x:c>
    </x:row>
    <x:row r="3435" ht="60" customHeight="1">
      <x:c r="A3435" s="14" t="str">
        <x:v>Товары для дома</x:v>
      </x:c>
      <x:c r="B3435" s="14" t="str">
        <x:v>Домашний текстиль</x:v>
      </x:c>
      <x:c r="C3435" s="14" t="str">
        <x:v>Подушка</x:v>
      </x:c>
      <x:c r="D3435" s="14" t="str">
        <x:v>Подушка 70*70</x:v>
      </x:c>
      <x:c r="E3435" s="2" t="n">
        <x:v>91</x:v>
      </x:c>
      <x:c r="F3435" s="2" t="n">
        <x:v>0</x:v>
      </x:c>
      <x:c r="G3435" s="12" t="n">
        <x:v>15619330.8699</x:v>
      </x:c>
      <x:c r="H3435" s="12" t="n">
        <x:v>1429266.54181286</x:v>
      </x:c>
      <x:c r="I3435" s="13" t="n">
        <x:v>0.098565934065934</x:v>
      </x:c>
      <x:c r="J3435" s="2" t="n">
        <x:v>13</x:v>
      </x:c>
      <x:c r="K3435" s="2" t="n">
        <x:v>28</x:v>
      </x:c>
      <x:c r="L3435" s="12" t="n">
        <x:v>1508.9278</x:v>
      </x:c>
      <x:c r="M3435" s="13" t="n">
        <x:v>0.6399835272305745</x:v>
      </x:c>
      <x:c r="N3435" s="13" t="n">
        <x:f>H3435/G3435</x:f>
        <x:v>0.0915062593729414</x:v>
      </x:c>
      <x:c r="O3435" s="13" t="n">
        <x:f>F3435/E3435</x:f>
        <x:v>0</x:v>
      </x:c>
      <x:c r="P3435" s="2" t="str">
        <x:f>IF(AND(E3435&gt;='Итоги'!$F$5,N3435&lt;='Итоги'!$B$5,O3435&gt;='Итоги'!$D$5),"Да","Нет")</x:f>
        <x:v>Нет</x:v>
      </x:c>
    </x:row>
    <x:row r="3436" ht="60" customHeight="1">
      <x:c r="A3436" s="14" t="str">
        <x:v>Хобби и творчество</x:v>
      </x:c>
      <x:c r="B3436" s="14" t="str">
        <x:v>Взрослое творчество и хобби</x:v>
      </x:c>
      <x:c r="C3436" s="14" t="str">
        <x:v>Вязание</x:v>
      </x:c>
      <x:c r="D3436" s="14" t="str">
        <x:v>Набор для вязания</x:v>
      </x:c>
      <x:c r="E3436" s="2" t="n">
        <x:v>1</x:v>
      </x:c>
      <x:c r="F3436" s="2" t="n">
        <x:v>0</x:v>
      </x:c>
      <x:c r="G3436" s="12" t="n">
        <x:v>94286.3535</x:v>
      </x:c>
      <x:c r="H3436" s="12" t="n">
        <x:v>8646.05861595</x:v>
      </x:c>
      <x:c r="I3436" s="13" t="n">
        <x:v>0.0917</x:v>
      </x:c>
      <x:c r="J3436" s="2" t="n">
        <x:v>0</x:v>
      </x:c>
      <x:c r="K3436" s="2" t="n">
        <x:v>1</x:v>
      </x:c>
      <x:c r="L3436" s="12" t="n">
        <x:v>857.1487</x:v>
      </x:c>
      <x:c r="M3436" s="13" t="n">
        <x:v>1</x:v>
      </x:c>
      <x:c r="N3436" s="13" t="n">
        <x:f>H3436/G3436</x:f>
        <x:v>0.0917</x:v>
      </x:c>
      <x:c r="O3436" s="13" t="n">
        <x:f>F3436/E3436</x:f>
        <x:v>0</x:v>
      </x:c>
      <x:c r="P3436" s="2" t="str">
        <x:f>IF(AND(E3436&gt;='Итоги'!$F$5,N3436&lt;='Итоги'!$B$5,O3436&gt;='Итоги'!$D$5),"Да","Нет")</x:f>
        <x:v>Нет</x:v>
      </x:c>
    </x:row>
    <x:row r="3437" ht="60" customHeight="1">
      <x:c r="A3437" s="14" t="str">
        <x:v>Товары для детей и спорта</x:v>
      </x:c>
      <x:c r="B3437" s="14" t="str">
        <x:v>КГТ и аксессуары для детей</x:v>
      </x:c>
      <x:c r="C3437" s="14" t="str">
        <x:v>Детская мебель и аксессуары в дом</x:v>
      </x:c>
      <x:c r="D3437" s="14" t="str">
        <x:v>Набор детской мебели для малышей</x:v>
      </x:c>
      <x:c r="E3437" s="2" t="n">
        <x:v>30</x:v>
      </x:c>
      <x:c r="F3437" s="2" t="n">
        <x:v>0</x:v>
      </x:c>
      <x:c r="G3437" s="12" t="n">
        <x:v>3842932.6314</x:v>
      </x:c>
      <x:c r="H3437" s="12" t="n">
        <x:v>352572.17351979</x:v>
      </x:c>
      <x:c r="I3437" s="13" t="n">
        <x:v>0.07746</x:v>
      </x:c>
      <x:c r="J3437" s="2" t="n">
        <x:v>12</x:v>
      </x:c>
      <x:c r="K3437" s="2" t="n">
        <x:v>11</x:v>
      </x:c>
      <x:c r="L3437" s="12" t="n">
        <x:v>2458.11055</x:v>
      </x:c>
      <x:c r="M3437" s="13" t="n">
        <x:v>0.2368846268242702</x:v>
      </x:c>
      <x:c r="N3437" s="13" t="n">
        <x:f>H3437/G3437</x:f>
        <x:v>0.09174560351096922</x:v>
      </x:c>
      <x:c r="O3437" s="13" t="n">
        <x:f>F3437/E3437</x:f>
        <x:v>0</x:v>
      </x:c>
      <x:c r="P3437" s="2" t="str">
        <x:f>IF(AND(E3437&gt;='Итоги'!$F$5,N3437&lt;='Итоги'!$B$5,O3437&gt;='Итоги'!$D$5),"Да","Нет")</x:f>
        <x:v>Нет</x:v>
      </x:c>
    </x:row>
    <x:row r="3438" ht="60" customHeight="1">
      <x:c r="A3438" s="14" t="str">
        <x:v>Автотовары</x:v>
      </x:c>
      <x:c r="B3438" s="14" t="str">
        <x:v>Электронные устройства для авто</x:v>
      </x:c>
      <x:c r="C3438" s="14" t="str">
        <x:v>Автоакустика</x:v>
      </x:c>
      <x:c r="D3438" s="14" t="str">
        <x:v>Рамка переходная для автомагнитолы</x:v>
      </x:c>
      <x:c r="E3438" s="2" t="n">
        <x:v>4</x:v>
      </x:c>
      <x:c r="F3438" s="2" t="n">
        <x:v>0</x:v>
      </x:c>
      <x:c r="G3438" s="12" t="n">
        <x:v>358863.31090000004</x:v>
      </x:c>
      <x:c r="H3438" s="12" t="n">
        <x:v>32925.88544297</x:v>
      </x:c>
      <x:c r="I3438" s="13" t="n">
        <x:v>0.06545</x:v>
      </x:c>
      <x:c r="J3438" s="2" t="n">
        <x:v>0</x:v>
      </x:c>
      <x:c r="K3438" s="2" t="n">
        <x:v>4</x:v>
      </x:c>
      <x:c r="L3438" s="12" t="n">
        <x:v>1367.58195</x:v>
      </x:c>
      <x:c r="M3438" s="13" t="n">
        <x:v>0.4354452131317055</x:v>
      </x:c>
      <x:c r="N3438" s="13" t="n">
        <x:f>H3438/G3438</x:f>
        <x:v>0.0917504922985706</x:v>
      </x:c>
      <x:c r="O3438" s="13" t="n">
        <x:f>F3438/E3438</x:f>
        <x:v>0</x:v>
      </x:c>
      <x:c r="P3438" s="2" t="str">
        <x:f>IF(AND(E3438&gt;='Итоги'!$F$5,N3438&lt;='Итоги'!$B$5,O3438&gt;='Итоги'!$D$5),"Да","Нет")</x:f>
        <x:v>Нет</x:v>
      </x:c>
    </x:row>
    <x:row r="3439" ht="60" customHeight="1">
      <x:c r="A3439" s="14" t="str">
        <x:v>Товары для дома</x:v>
      </x:c>
      <x:c r="B3439" s="14" t="str">
        <x:v>Домашний текстиль</x:v>
      </x:c>
      <x:c r="C3439" s="14" t="str">
        <x:v>Подушка</x:v>
      </x:c>
      <x:c r="D3439" s="14" t="str">
        <x:v>Подушка 50*70</x:v>
      </x:c>
      <x:c r="E3439" s="2" t="n">
        <x:v>163</x:v>
      </x:c>
      <x:c r="F3439" s="2" t="n">
        <x:v>0</x:v>
      </x:c>
      <x:c r="G3439" s="12" t="n">
        <x:v>26934516.8194</x:v>
      </x:c>
      <x:c r="H3439" s="12" t="n">
        <x:v>2472574.80414707</x:v>
      </x:c>
      <x:c r="I3439" s="13" t="n">
        <x:v>0.0960496932515337</x:v>
      </x:c>
      <x:c r="J3439" s="2" t="n">
        <x:v>35</x:v>
      </x:c>
      <x:c r="K3439" s="2" t="n">
        <x:v>41</x:v>
      </x:c>
      <x:c r="L3439" s="12" t="n">
        <x:v>1479.1667</x:v>
      </x:c>
      <x:c r="M3439" s="13" t="n">
        <x:v>0.5828466243096952</x:v>
      </x:c>
      <x:c r="N3439" s="13" t="n">
        <x:f>H3439/G3439</x:f>
        <x:v>0.09179948616587619</x:v>
      </x:c>
      <x:c r="O3439" s="13" t="n">
        <x:f>F3439/E3439</x:f>
        <x:v>0</x:v>
      </x:c>
      <x:c r="P3439" s="2" t="str">
        <x:f>IF(AND(E3439&gt;='Итоги'!$F$5,N3439&lt;='Итоги'!$B$5,O3439&gt;='Итоги'!$D$5),"Да","Нет")</x:f>
        <x:v>Нет</x:v>
      </x:c>
    </x:row>
    <x:row r="3440" ht="60" customHeight="1">
      <x:c r="A3440" s="14" t="str">
        <x:v>Школьные принадлежности и канцелярия</x:v>
      </x:c>
      <x:c r="B3440" s="14" t="str">
        <x:v>Товары для школы, канцелярия, оборудование</x:v>
      </x:c>
      <x:c r="C3440" s="14" t="str">
        <x:v>Письменные принадлежности</x:v>
      </x:c>
      <x:c r="D3440" s="14" t="str">
        <x:v>Ручка перьевая</x:v>
      </x:c>
      <x:c r="E3440" s="2" t="n">
        <x:v>2</x:v>
      </x:c>
      <x:c r="F3440" s="2" t="n">
        <x:v>0</x:v>
      </x:c>
      <x:c r="G3440" s="12" t="n">
        <x:v>258331.504</x:v>
      </x:c>
      <x:c r="H3440" s="12" t="n">
        <x:v>23731.248304</x:v>
      </x:c>
      <x:c r="I3440" s="13" t="n">
        <x:v>0.08835</x:v>
      </x:c>
      <x:c r="J3440" s="2" t="n">
        <x:v>0</x:v>
      </x:c>
      <x:c r="K3440" s="2" t="n">
        <x:v>2</x:v>
      </x:c>
      <x:c r="L3440" s="12" t="n">
        <x:v>21584.82765</x:v>
      </x:c>
      <x:c r="M3440" s="13" t="n">
        <x:v>0.5200430528984185</x:v>
      </x:c>
      <x:c r="N3440" s="13" t="n">
        <x:f>H3440/G3440</x:f>
        <x:v>0.09186354717309277</x:v>
      </x:c>
      <x:c r="O3440" s="13" t="n">
        <x:f>F3440/E3440</x:f>
        <x:v>0</x:v>
      </x:c>
      <x:c r="P3440" s="2" t="str">
        <x:f>IF(AND(E3440&gt;='Итоги'!$F$5,N3440&lt;='Итоги'!$B$5,O3440&gt;='Итоги'!$D$5),"Да","Нет")</x:f>
        <x:v>Нет</x:v>
      </x:c>
    </x:row>
    <x:row r="3441" ht="60" customHeight="1">
      <x:c r="A3441" s="14" t="str">
        <x:v>Товары для красоты и здоровья</x:v>
      </x:c>
      <x:c r="B3441" s="14" t="str">
        <x:v>Косметика для ухода за кожей</x:v>
      </x:c>
      <x:c r="C3441" s="14" t="str">
        <x:v>Средства для бритья и депиляции женские</x:v>
      </x:c>
      <x:c r="D3441" s="14" t="str">
        <x:v>Средство для депиляции</x:v>
      </x:c>
      <x:c r="E3441" s="2" t="n">
        <x:v>51</x:v>
      </x:c>
      <x:c r="F3441" s="2" t="n">
        <x:v>0</x:v>
      </x:c>
      <x:c r="G3441" s="12" t="n">
        <x:v>8084715.1573</x:v>
      </x:c>
      <x:c r="H3441" s="12" t="n">
        <x:v>743448.93841004</x:v>
      </x:c>
      <x:c r="I3441" s="13" t="n">
        <x:v>0.0759</x:v>
      </x:c>
      <x:c r="J3441" s="2" t="n">
        <x:v>15</x:v>
      </x:c>
      <x:c r="K3441" s="2" t="n">
        <x:v>11</x:v>
      </x:c>
      <x:c r="L3441" s="12" t="n">
        <x:v>1063.3333</x:v>
      </x:c>
      <x:c r="M3441" s="13" t="n">
        <x:v>0.7543430248860772</x:v>
      </x:c>
      <x:c r="N3441" s="13" t="n">
        <x:f>H3441/G3441</x:f>
        <x:v>0.09195734468625667</x:v>
      </x:c>
      <x:c r="O3441" s="13" t="n">
        <x:f>F3441/E3441</x:f>
        <x:v>0</x:v>
      </x:c>
      <x:c r="P3441" s="2" t="str">
        <x:f>IF(AND(E3441&gt;='Итоги'!$F$5,N3441&lt;='Итоги'!$B$5,O3441&gt;='Итоги'!$D$5),"Да","Нет")</x:f>
        <x:v>Нет</x:v>
      </x:c>
    </x:row>
    <x:row r="3442" ht="60" customHeight="1">
      <x:c r="A3442" s="14" t="str">
        <x:v>Товары для красоты и здоровья</x:v>
      </x:c>
      <x:c r="B3442" s="14" t="str">
        <x:v>Косметические средства для детей и беременных</x:v>
      </x:c>
      <x:c r="C3442" s="14" t="str">
        <x:v>Косметические средства для беременных и кормящих</x:v>
      </x:c>
      <x:c r="D3442" s="14" t="str">
        <x:v>Средство для ухода за телом до и после родов</x:v>
      </x:c>
      <x:c r="E3442" s="2" t="n">
        <x:v>3</x:v>
      </x:c>
      <x:c r="F3442" s="2" t="n">
        <x:v>0</x:v>
      </x:c>
      <x:c r="G3442" s="12" t="n">
        <x:v>587567.0160000001</x:v>
      </x:c>
      <x:c r="H3442" s="12" t="n">
        <x:v>54055.4830524</x:v>
      </x:c>
      <x:c r="I3442" s="13" t="n">
        <x:v>0.0956333333333333</x:v>
      </x:c>
      <x:c r="J3442" s="2" t="n">
        <x:v>0</x:v>
      </x:c>
      <x:c r="K3442" s="2" t="n">
        <x:v>3</x:v>
      </x:c>
      <x:c r="L3442" s="12" t="n">
        <x:v>881.9386</x:v>
      </x:c>
      <x:c r="M3442" s="13" t="n">
        <x:v>0.3497331953705175</x:v>
      </x:c>
      <x:c r="N3442" s="13" t="n">
        <x:f>H3442/G3442</x:f>
        <x:v>0.09199883856720778</x:v>
      </x:c>
      <x:c r="O3442" s="13" t="n">
        <x:f>F3442/E3442</x:f>
        <x:v>0</x:v>
      </x:c>
      <x:c r="P3442" s="2" t="str">
        <x:f>IF(AND(E3442&gt;='Итоги'!$F$5,N3442&lt;='Итоги'!$B$5,O3442&gt;='Итоги'!$D$5),"Да","Нет")</x:f>
        <x:v>Нет</x:v>
      </x:c>
    </x:row>
    <x:row r="3443" ht="60" customHeight="1">
      <x:c r="A3443" s="14" t="str">
        <x:v>Товары для дома</x:v>
      </x:c>
      <x:c r="B3443" s="14" t="str">
        <x:v>Кухня</x:v>
      </x:c>
      <x:c r="C3443" s="14" t="str">
        <x:v>Кухонная утварь и принадлежности</x:v>
      </x:c>
      <x:c r="D3443" s="14" t="str">
        <x:v>Салфетка сервировочная</x:v>
      </x:c>
      <x:c r="E3443" s="2" t="n">
        <x:v>8</x:v>
      </x:c>
      <x:c r="F3443" s="2" t="n">
        <x:v>0</x:v>
      </x:c>
      <x:c r="G3443" s="12" t="n">
        <x:v>931615.7459</x:v>
      </x:c>
      <x:c r="H3443" s="12" t="n">
        <x:v>85761.09461408999</x:v>
      </x:c>
      <x:c r="I3443" s="13" t="n">
        <x:v>0.0853375</x:v>
      </x:c>
      <x:c r="J3443" s="2" t="n">
        <x:v>0</x:v>
      </x:c>
      <x:c r="K3443" s="2" t="n">
        <x:v>6</x:v>
      </x:c>
      <x:c r="L3443" s="12" t="n">
        <x:v>1132.25205</x:v>
      </x:c>
      <x:c r="M3443" s="13" t="n">
        <x:v>0.2223388890876839</x:v>
      </x:c>
      <x:c r="N3443" s="13" t="n">
        <x:f>H3443/G3443</x:f>
        <x:v>0.09205629573300023</x:v>
      </x:c>
      <x:c r="O3443" s="13" t="n">
        <x:f>F3443/E3443</x:f>
        <x:v>0</x:v>
      </x:c>
      <x:c r="P3443" s="2" t="str">
        <x:f>IF(AND(E3443&gt;='Итоги'!$F$5,N3443&lt;='Итоги'!$B$5,O3443&gt;='Итоги'!$D$5),"Да","Нет")</x:f>
        <x:v>Нет</x:v>
      </x:c>
    </x:row>
    <x:row r="3444" ht="60" customHeight="1">
      <x:c r="A3444" s="14" t="str">
        <x:v>Одежда</x:v>
      </x:c>
      <x:c r="B3444" s="14" t="str">
        <x:v>Верхняя одежда</x:v>
      </x:c>
      <x:c r="C3444" s="14" t="str">
        <x:v>Верхняя одежда женская</x:v>
      </x:c>
      <x:c r="D3444" s="14" t="str">
        <x:v>Дождевик</x:v>
      </x:c>
      <x:c r="E3444" s="2" t="n">
        <x:v>197</x:v>
      </x:c>
      <x:c r="F3444" s="2" t="n">
        <x:v>0</x:v>
      </x:c>
      <x:c r="G3444" s="12" t="n">
        <x:v>20906107.658</x:v>
      </x:c>
      <x:c r="H3444" s="12" t="n">
        <x:v>1924893.33765511</x:v>
      </x:c>
      <x:c r="I3444" s="13" t="n">
        <x:v>0.0919299492385786</x:v>
      </x:c>
      <x:c r="J3444" s="2" t="n">
        <x:v>34</x:v>
      </x:c>
      <x:c r="K3444" s="2" t="n">
        <x:v>32</x:v>
      </x:c>
      <x:c r="L3444" s="12" t="n">
        <x:v>995.9308</x:v>
      </x:c>
      <x:c r="M3444" s="13" t="n">
        <x:v>0.5867295781578051</x:v>
      </x:c>
      <x:c r="N3444" s="13" t="n">
        <x:f>H3444/G3444</x:f>
        <x:v>0.09207325290504395</x:v>
      </x:c>
      <x:c r="O3444" s="13" t="n">
        <x:f>F3444/E3444</x:f>
        <x:v>0</x:v>
      </x:c>
      <x:c r="P3444" s="2" t="str">
        <x:f>IF(AND(E3444&gt;='Итоги'!$F$5,N3444&lt;='Итоги'!$B$5,O3444&gt;='Итоги'!$D$5),"Да","Нет")</x:f>
        <x:v>Нет</x:v>
      </x:c>
    </x:row>
    <x:row r="3445" ht="60" customHeight="1">
      <x:c r="A3445" s="14" t="str">
        <x:v>Товары для дома</x:v>
      </x:c>
      <x:c r="B3445" s="14" t="str">
        <x:v>Кухня</x:v>
      </x:c>
      <x:c r="C3445" s="14" t="str">
        <x:v>Нож, ножницы кухонные</x:v>
      </x:c>
      <x:c r="D3445" s="14" t="str">
        <x:v>Набор кухонных ножей</x:v>
      </x:c>
      <x:c r="E3445" s="2" t="n">
        <x:v>143</x:v>
      </x:c>
      <x:c r="F3445" s="2" t="n">
        <x:v>0</x:v>
      </x:c>
      <x:c r="G3445" s="12" t="n">
        <x:v>24561354.4095</x:v>
      </x:c>
      <x:c r="H3445" s="12" t="n">
        <x:v>2262126.465243</x:v>
      </x:c>
      <x:c r="I3445" s="13" t="n">
        <x:v>0.096948951048951</x:v>
      </x:c>
      <x:c r="J3445" s="2" t="n">
        <x:v>22</x:v>
      </x:c>
      <x:c r="K3445" s="2" t="n">
        <x:v>41</x:v>
      </x:c>
      <x:c r="L3445" s="12" t="n">
        <x:v>2783.5122</x:v>
      </x:c>
      <x:c r="M3445" s="13" t="n">
        <x:v>0.5214313810620477</x:v>
      </x:c>
      <x:c r="N3445" s="13" t="n">
        <x:f>H3445/G3445</x:f>
        <x:v>0.09210104734159287</x:v>
      </x:c>
      <x:c r="O3445" s="13" t="n">
        <x:f>F3445/E3445</x:f>
        <x:v>0</x:v>
      </x:c>
      <x:c r="P3445" s="2" t="str">
        <x:f>IF(AND(E3445&gt;='Итоги'!$F$5,N3445&lt;='Итоги'!$B$5,O3445&gt;='Итоги'!$D$5),"Да","Нет")</x:f>
        <x:v>Нет</x:v>
      </x:c>
    </x:row>
    <x:row r="3446" ht="60" customHeight="1">
      <x:c r="A3446" s="14" t="str">
        <x:v>Аптека</x:v>
      </x:c>
      <x:c r="B3446" s="14" t="str">
        <x:v>Антибактериальные, дезинфицирующие средства</x:v>
      </x:c>
      <x:c r="C3446" s="14" t="str">
        <x:v>Антибактериальные, дезинфицирующие средства</x:v>
      </x:c>
      <x:c r="D3446" s="14" t="str">
        <x:v>Средство для дезинфекции поверхностей, инструментов</x:v>
      </x:c>
      <x:c r="E3446" s="2" t="n">
        <x:v>19</x:v>
      </x:c>
      <x:c r="F3446" s="2" t="n">
        <x:v>0</x:v>
      </x:c>
      <x:c r="G3446" s="12" t="n">
        <x:v>2692143.7344</x:v>
      </x:c>
      <x:c r="H3446" s="12" t="n">
        <x:v>248035.19467905</x:v>
      </x:c>
      <x:c r="I3446" s="13" t="n">
        <x:v>0.0685842105263157</x:v>
      </x:c>
      <x:c r="J3446" s="2" t="n">
        <x:v>5</x:v>
      </x:c>
      <x:c r="K3446" s="2" t="n">
        <x:v>11</x:v>
      </x:c>
      <x:c r="L3446" s="12" t="n">
        <x:v>936.5272</x:v>
      </x:c>
      <x:c r="M3446" s="13" t="n">
        <x:v>0.5531293673782531</x:v>
      </x:c>
      <x:c r="N3446" s="13" t="n">
        <x:f>H3446/G3446</x:f>
        <x:v>0.09213296879719901</x:v>
      </x:c>
      <x:c r="O3446" s="13" t="n">
        <x:f>F3446/E3446</x:f>
        <x:v>0</x:v>
      </x:c>
      <x:c r="P3446" s="2" t="str">
        <x:f>IF(AND(E3446&gt;='Итоги'!$F$5,N3446&lt;='Итоги'!$B$5,O3446&gt;='Итоги'!$D$5),"Да","Нет")</x:f>
        <x:v>Нет</x:v>
      </x:c>
    </x:row>
    <x:row r="3447" ht="60" customHeight="1">
      <x:c r="A3447" s="14" t="str">
        <x:v>Товары для красоты и здоровья</x:v>
      </x:c>
      <x:c r="B3447" s="14" t="str">
        <x:v>Косметическая техника</x:v>
      </x:c>
      <x:c r="C3447" s="14" t="str">
        <x:v>Приборы для косметических процедур</x:v>
      </x:c>
      <x:c r="D3447" s="14" t="str">
        <x:v>Фотоэпилятор</x:v>
      </x:c>
      <x:c r="E3447" s="2" t="n">
        <x:v>26</x:v>
      </x:c>
      <x:c r="F3447" s="2" t="n">
        <x:v>0</x:v>
      </x:c>
      <x:c r="G3447" s="12" t="n">
        <x:v>3879006.5926</x:v>
      </x:c>
      <x:c r="H3447" s="12" t="n">
        <x:v>357737.83027264</x:v>
      </x:c>
      <x:c r="I3447" s="13" t="n">
        <x:v>0.0979192307692307</x:v>
      </x:c>
      <x:c r="J3447" s="2" t="n">
        <x:v>5</x:v>
      </x:c>
      <x:c r="K3447" s="2" t="n">
        <x:v>18</x:v>
      </x:c>
      <x:c r="L3447" s="12" t="n">
        <x:v>4783.666649999999</x:v>
      </x:c>
      <x:c r="M3447" s="13" t="n">
        <x:v>0.2862869267658691</x:v>
      </x:c>
      <x:c r="N3447" s="13" t="n">
        <x:f>H3447/G3447</x:f>
        <x:v>0.09222408411346818</x:v>
      </x:c>
      <x:c r="O3447" s="13" t="n">
        <x:f>F3447/E3447</x:f>
        <x:v>0</x:v>
      </x:c>
      <x:c r="P3447" s="2" t="str">
        <x:f>IF(AND(E3447&gt;='Итоги'!$F$5,N3447&lt;='Итоги'!$B$5,O3447&gt;='Итоги'!$D$5),"Да","Нет")</x:f>
        <x:v>Нет</x:v>
      </x:c>
    </x:row>
    <x:row r="3448" ht="60" customHeight="1">
      <x:c r="A3448" s="14" t="str">
        <x:v>Товары для дома</x:v>
      </x:c>
      <x:c r="B3448" s="14" t="str">
        <x:v>Интерьер и декор</x:v>
      </x:c>
      <x:c r="C3448" s="14" t="str">
        <x:v>Свечи интерьерные</x:v>
      </x:c>
      <x:c r="D3448" s="14" t="str">
        <x:v>Подсвечник</x:v>
      </x:c>
      <x:c r="E3448" s="2" t="n">
        <x:v>8</x:v>
      </x:c>
      <x:c r="F3448" s="2" t="n">
        <x:v>0</x:v>
      </x:c>
      <x:c r="G3448" s="12" t="n">
        <x:v>700727.42</x:v>
      </x:c>
      <x:c r="H3448" s="12" t="n">
        <x:v>64628.174479</x:v>
      </x:c>
      <x:c r="I3448" s="13" t="n">
        <x:v>0.08255</x:v>
      </x:c>
      <x:c r="J3448" s="2" t="n">
        <x:v>1</x:v>
      </x:c>
      <x:c r="K3448" s="2" t="n">
        <x:v>6</x:v>
      </x:c>
      <x:c r="L3448" s="12" t="n">
        <x:v>1906.40365</x:v>
      </x:c>
      <x:c r="M3448" s="13" t="n">
        <x:v>0.3453668189550795</x:v>
      </x:c>
      <x:c r="N3448" s="13" t="n">
        <x:f>H3448/G3448</x:f>
        <x:v>0.09223012063521076</x:v>
      </x:c>
      <x:c r="O3448" s="13" t="n">
        <x:f>F3448/E3448</x:f>
        <x:v>0</x:v>
      </x:c>
      <x:c r="P3448" s="2" t="str">
        <x:f>IF(AND(E3448&gt;='Итоги'!$F$5,N3448&lt;='Итоги'!$B$5,O3448&gt;='Итоги'!$D$5),"Да","Нет")</x:f>
        <x:v>Нет</x:v>
      </x:c>
    </x:row>
    <x:row r="3449" ht="60" customHeight="1">
      <x:c r="A3449" s="14" t="str">
        <x:v>Спорт и отдых</x:v>
      </x:c>
      <x:c r="B3449" s="14" t="str">
        <x:v>Всесезонные виды спорта</x:v>
      </x:c>
      <x:c r="C3449" s="14" t="str">
        <x:v>Спортивные аксессуары</x:v>
      </x:c>
      <x:c r="D3449" s="14" t="str">
        <x:v>Спортивные солнцезащитные очки</x:v>
      </x:c>
      <x:c r="E3449" s="2" t="n">
        <x:v>23</x:v>
      </x:c>
      <x:c r="F3449" s="2" t="n">
        <x:v>0</x:v>
      </x:c>
      <x:c r="G3449" s="12" t="n">
        <x:v>4175331.9738</x:v>
      </x:c>
      <x:c r="H3449" s="12" t="n">
        <x:v>385091.71596924</x:v>
      </x:c>
      <x:c r="I3449" s="13" t="n">
        <x:v>0.0866608695652173</x:v>
      </x:c>
      <x:c r="J3449" s="2" t="n">
        <x:v>5</x:v>
      </x:c>
      <x:c r="K3449" s="2" t="n">
        <x:v>9</x:v>
      </x:c>
      <x:c r="L3449" s="12" t="n">
        <x:v>1106.0594</x:v>
      </x:c>
      <x:c r="M3449" s="13" t="n">
        <x:v>0.5224412494115345</x:v>
      </x:c>
      <x:c r="N3449" s="13" t="n">
        <x:f>H3449/G3449</x:f>
        <x:v>0.09223020310377027</x:v>
      </x:c>
      <x:c r="O3449" s="13" t="n">
        <x:f>F3449/E3449</x:f>
        <x:v>0</x:v>
      </x:c>
      <x:c r="P3449" s="2" t="str">
        <x:f>IF(AND(E3449&gt;='Итоги'!$F$5,N3449&lt;='Итоги'!$B$5,O3449&gt;='Итоги'!$D$5),"Да","Нет")</x:f>
        <x:v>Нет</x:v>
      </x:c>
    </x:row>
    <x:row r="3450" ht="60" customHeight="1">
      <x:c r="A3450" s="14" t="str">
        <x:v>Мебель</x:v>
      </x:c>
      <x:c r="B3450" s="14" t="str">
        <x:v>Корпусная мебель и мебель для хранения</x:v>
      </x:c>
      <x:c r="C3450" s="14" t="str">
        <x:v>Настенная полка, кронштейн для полки</x:v>
      </x:c>
      <x:c r="D3450" s="14" t="str">
        <x:v>Полки</x:v>
      </x:c>
      <x:c r="E3450" s="2" t="n">
        <x:v>123</x:v>
      </x:c>
      <x:c r="F3450" s="2" t="n">
        <x:v>0</x:v>
      </x:c>
      <x:c r="G3450" s="12" t="n">
        <x:v>18660393.2235</x:v>
      </x:c>
      <x:c r="H3450" s="12" t="n">
        <x:v>1721892.38055308</x:v>
      </x:c>
      <x:c r="I3450" s="13" t="n">
        <x:v>0.0930934959349593</x:v>
      </x:c>
      <x:c r="J3450" s="2" t="n">
        <x:v>15</x:v>
      </x:c>
      <x:c r="K3450" s="2" t="n">
        <x:v>48</x:v>
      </x:c>
      <x:c r="L3450" s="12" t="n">
        <x:v>1443.2462</x:v>
      </x:c>
      <x:c r="M3450" s="13" t="n">
        <x:v>0.3832494446094329</x:v>
      </x:c>
      <x:c r="N3450" s="13" t="n">
        <x:f>H3450/G3450</x:f>
        <x:v>0.09227524628926961</x:v>
      </x:c>
      <x:c r="O3450" s="13" t="n">
        <x:f>F3450/E3450</x:f>
        <x:v>0</x:v>
      </x:c>
      <x:c r="P3450" s="2" t="str">
        <x:f>IF(AND(E3450&gt;='Итоги'!$F$5,N3450&lt;='Итоги'!$B$5,O3450&gt;='Итоги'!$D$5),"Да","Нет")</x:f>
        <x:v>Нет</x:v>
      </x:c>
    </x:row>
    <x:row r="3451" ht="60" customHeight="1">
      <x:c r="A3451" s="14" t="str">
        <x:v>Товары для дома</x:v>
      </x:c>
      <x:c r="B3451" s="14" t="str">
        <x:v>Кухня</x:v>
      </x:c>
      <x:c r="C3451" s="14" t="str">
        <x:v>Кухонная утварь и принадлежности</x:v>
      </x:c>
      <x:c r="D3451" s="14" t="str">
        <x:v>Хлебница, сухарница</x:v>
      </x:c>
      <x:c r="E3451" s="2" t="n">
        <x:v>27</x:v>
      </x:c>
      <x:c r="F3451" s="2" t="n">
        <x:v>0</x:v>
      </x:c>
      <x:c r="G3451" s="12" t="n">
        <x:v>3579700.9756</x:v>
      </x:c>
      <x:c r="H3451" s="12" t="n">
        <x:v>330640.78215487</x:v>
      </x:c>
      <x:c r="I3451" s="13" t="n">
        <x:v>0.0887777777777777</x:v>
      </x:c>
      <x:c r="J3451" s="2" t="n">
        <x:v>9</x:v>
      </x:c>
      <x:c r="K3451" s="2" t="n">
        <x:v>15</x:v>
      </x:c>
      <x:c r="L3451" s="12" t="n">
        <x:v>1487.6998</x:v>
      </x:c>
      <x:c r="M3451" s="13" t="n">
        <x:v>0.4104526891533806</x:v>
      </x:c>
      <x:c r="N3451" s="13" t="n">
        <x:f>H3451/G3451</x:f>
        <x:v>0.09236547533120436</x:v>
      </x:c>
      <x:c r="O3451" s="13" t="n">
        <x:f>F3451/E3451</x:f>
        <x:v>0</x:v>
      </x:c>
      <x:c r="P3451" s="2" t="str">
        <x:f>IF(AND(E3451&gt;='Итоги'!$F$5,N3451&lt;='Итоги'!$B$5,O3451&gt;='Итоги'!$D$5),"Да","Нет")</x:f>
        <x:v>Нет</x:v>
      </x:c>
    </x:row>
    <x:row r="3452" ht="60" customHeight="1">
      <x:c r="A3452" s="14" t="str">
        <x:v>Товары для дома</x:v>
      </x:c>
      <x:c r="B3452" s="14" t="str">
        <x:v>Хранение</x:v>
      </x:c>
      <x:c r="C3452" s="14" t="str">
        <x:v>Товары для хранения</x:v>
      </x:c>
      <x:c r="D3452" s="14" t="str">
        <x:v>Пакет компрессионный для одежды</x:v>
      </x:c>
      <x:c r="E3452" s="2" t="n">
        <x:v>38</x:v>
      </x:c>
      <x:c r="F3452" s="2" t="n">
        <x:v>0</x:v>
      </x:c>
      <x:c r="G3452" s="12" t="n">
        <x:v>7339025.2596</x:v>
      </x:c>
      <x:c r="H3452" s="12" t="n">
        <x:v>678081.66918631</x:v>
      </x:c>
      <x:c r="I3452" s="13" t="n">
        <x:v>0.0950421052631579</x:v>
      </x:c>
      <x:c r="J3452" s="2" t="n">
        <x:v>4</x:v>
      </x:c>
      <x:c r="K3452" s="2" t="n">
        <x:v>12</x:v>
      </x:c>
      <x:c r="L3452" s="12" t="n">
        <x:v>955.15955</x:v>
      </x:c>
      <x:c r="M3452" s="13" t="n">
        <x:v>0.634160754238045</x:v>
      </x:c>
      <x:c r="N3452" s="13" t="n">
        <x:f>H3452/G3452</x:f>
        <x:v>0.09239396857223348</x:v>
      </x:c>
      <x:c r="O3452" s="13" t="n">
        <x:f>F3452/E3452</x:f>
        <x:v>0</x:v>
      </x:c>
      <x:c r="P3452" s="2" t="str">
        <x:f>IF(AND(E3452&gt;='Итоги'!$F$5,N3452&lt;='Итоги'!$B$5,O3452&gt;='Итоги'!$D$5),"Да","Нет")</x:f>
        <x:v>Нет</x:v>
      </x:c>
    </x:row>
    <x:row r="3453" ht="60" customHeight="1">
      <x:c r="A3453" s="14" t="str">
        <x:v>Товары для животных</x:v>
      </x:c>
      <x:c r="B3453" s="14" t="str">
        <x:v>Спальное место животного</x:v>
      </x:c>
      <x:c r="C3453" s="14" t="str">
        <x:v>Аквариум Оборудование</x:v>
      </x:c>
      <x:c r="D3453" s="14" t="str">
        <x:v>Шланг для аквариума</x:v>
      </x:c>
      <x:c r="E3453" s="2" t="n">
        <x:v>1</x:v>
      </x:c>
      <x:c r="F3453" s="2" t="n">
        <x:v>0</x:v>
      </x:c>
      <x:c r="G3453" s="12" t="n">
        <x:v>90396.95</x:v>
      </x:c>
      <x:c r="H3453" s="12" t="n">
        <x:v>8352.678179999999</x:v>
      </x:c>
      <x:c r="I3453" s="13" t="n">
        <x:v>0.0924</x:v>
      </x:c>
      <x:c r="J3453" s="2" t="n">
        <x:v>0</x:v>
      </x:c>
      <x:c r="K3453" s="2" t="n">
        <x:v>1</x:v>
      </x:c>
      <x:c r="L3453" s="12" t="n">
        <x:v>1238.3144</x:v>
      </x:c>
      <x:c r="M3453" s="13" t="n">
        <x:v>1</x:v>
      </x:c>
      <x:c r="N3453" s="13" t="n">
        <x:f>H3453/G3453</x:f>
        <x:v>0.0924</x:v>
      </x:c>
      <x:c r="O3453" s="13" t="n">
        <x:f>F3453/E3453</x:f>
        <x:v>0</x:v>
      </x:c>
      <x:c r="P3453" s="2" t="str">
        <x:f>IF(AND(E3453&gt;='Итоги'!$F$5,N3453&lt;='Итоги'!$B$5,O3453&gt;='Итоги'!$D$5),"Да","Нет")</x:f>
        <x:v>Нет</x:v>
      </x:c>
    </x:row>
    <x:row r="3454" ht="60" customHeight="1">
      <x:c r="A3454" s="14" t="str">
        <x:v>Школьные принадлежности и канцелярия</x:v>
      </x:c>
      <x:c r="B3454" s="14" t="str">
        <x:v>Товары для школы, канцелярия, оборудование</x:v>
      </x:c>
      <x:c r="C3454" s="14" t="str">
        <x:v>Офисные принадлежности</x:v>
      </x:c>
      <x:c r="D3454" s="14" t="str">
        <x:v>Набор лезвий для канц. ножа</x:v>
      </x:c>
      <x:c r="E3454" s="2" t="n">
        <x:v>2</x:v>
      </x:c>
      <x:c r="F3454" s="2" t="n">
        <x:v>0</x:v>
      </x:c>
      <x:c r="G3454" s="12" t="n">
        <x:v>190229.4484</x:v>
      </x:c>
      <x:c r="H3454" s="12" t="n">
        <x:v>17582.2070242</x:v>
      </x:c>
      <x:c r="I3454" s="13" t="n">
        <x:v>0.0881</x:v>
      </x:c>
      <x:c r="J3454" s="2" t="n">
        <x:v>0</x:v>
      </x:c>
      <x:c r="K3454" s="2" t="n">
        <x:v>1</x:v>
      </x:c>
      <x:c r="L3454" s="12" t="n">
        <x:v>1165.96145</x:v>
      </x:c>
      <x:c r="M3454" s="13" t="n">
        <x:v>1</x:v>
      </x:c>
      <x:c r="N3454" s="13" t="n">
        <x:f>H3454/G3454</x:f>
        <x:v>0.09242631554726204</x:v>
      </x:c>
      <x:c r="O3454" s="13" t="n">
        <x:f>F3454/E3454</x:f>
        <x:v>0</x:v>
      </x:c>
      <x:c r="P3454" s="2" t="str">
        <x:f>IF(AND(E3454&gt;='Итоги'!$F$5,N3454&lt;='Итоги'!$B$5,O3454&gt;='Итоги'!$D$5),"Да","Нет")</x:f>
        <x:v>Нет</x:v>
      </x:c>
    </x:row>
    <x:row r="3455" ht="60" customHeight="1">
      <x:c r="A3455" s="14" t="str">
        <x:v>Игрушки</x:v>
      </x:c>
      <x:c r="B3455" s="14" t="str">
        <x:v>Игрушки</x:v>
      </x:c>
      <x:c r="C3455" s="14" t="str">
        <x:v>Транспорт и радиоуправляемые игрушки</x:v>
      </x:c>
      <x:c r="D3455" s="14" t="str">
        <x:v>Самолеты, вертолеты р/у</x:v>
      </x:c>
      <x:c r="E3455" s="2" t="n">
        <x:v>50</x:v>
      </x:c>
      <x:c r="F3455" s="2" t="n">
        <x:v>0</x:v>
      </x:c>
      <x:c r="G3455" s="12" t="n">
        <x:v>5304241.22</x:v>
      </x:c>
      <x:c r="H3455" s="12" t="n">
        <x:v>490489.616639</x:v>
      </x:c>
      <x:c r="I3455" s="13" t="n">
        <x:v>0.0959179999999999</x:v>
      </x:c>
      <x:c r="J3455" s="2" t="n">
        <x:v>6</x:v>
      </x:c>
      <x:c r="K3455" s="2" t="n">
        <x:v>22</x:v>
      </x:c>
      <x:c r="L3455" s="12" t="n">
        <x:v>1886.12635</x:v>
      </x:c>
      <x:c r="M3455" s="13" t="n">
        <x:v>0.4194829057943937</x:v>
      </x:c>
      <x:c r="N3455" s="13" t="n">
        <x:f>H3455/G3455</x:f>
        <x:v>0.09247121243083285</x:v>
      </x:c>
      <x:c r="O3455" s="13" t="n">
        <x:f>F3455/E3455</x:f>
        <x:v>0</x:v>
      </x:c>
      <x:c r="P3455" s="2" t="str">
        <x:f>IF(AND(E3455&gt;='Итоги'!$F$5,N3455&lt;='Итоги'!$B$5,O3455&gt;='Итоги'!$D$5),"Да","Нет")</x:f>
        <x:v>Нет</x:v>
      </x:c>
    </x:row>
    <x:row r="3456" ht="60" customHeight="1">
      <x:c r="A3456" s="14" t="str">
        <x:v>Ноутбуки и компьютеры</x:v>
      </x:c>
      <x:c r="B3456" s="14" t="str">
        <x:v>Игровые приставки и аксессуары Lap&amp;Comp</x:v>
      </x:c>
      <x:c r="C3456" s="14" t="str">
        <x:v>Держатель для игровых приставок и аксессуаров Lap&amp;Comp</x:v>
      </x:c>
      <x:c r="D3456" s="14" t="str">
        <x:v>Держатель, кронштейн для игровых приставок и аксессуаров</x:v>
      </x:c>
      <x:c r="E3456" s="2" t="n">
        <x:v>23</x:v>
      </x:c>
      <x:c r="F3456" s="2" t="n">
        <x:v>0</x:v>
      </x:c>
      <x:c r="G3456" s="12" t="n">
        <x:v>4318128.61</x:v>
      </x:c>
      <x:c r="H3456" s="12" t="n">
        <x:v>399365.27110103</x:v>
      </x:c>
      <x:c r="I3456" s="13" t="n">
        <x:v>0.0941130434782608</x:v>
      </x:c>
      <x:c r="J3456" s="2" t="n">
        <x:v>2</x:v>
      </x:c>
      <x:c r="K3456" s="2" t="n">
        <x:v>12</x:v>
      </x:c>
      <x:c r="L3456" s="12" t="n">
        <x:v>1918.9073</x:v>
      </x:c>
      <x:c r="M3456" s="13" t="n">
        <x:v>0.1932095773080737</x:v>
      </x:c>
      <x:c r="N3456" s="13" t="n">
        <x:f>H3456/G3456</x:f>
        <x:v>0.09248572869649428</x:v>
      </x:c>
      <x:c r="O3456" s="13" t="n">
        <x:f>F3456/E3456</x:f>
        <x:v>0</x:v>
      </x:c>
      <x:c r="P3456" s="2" t="str">
        <x:f>IF(AND(E3456&gt;='Итоги'!$F$5,N3456&lt;='Итоги'!$B$5,O3456&gt;='Итоги'!$D$5),"Да","Нет")</x:f>
        <x:v>Нет</x:v>
      </x:c>
    </x:row>
    <x:row r="3457" ht="60" customHeight="1">
      <x:c r="A3457" s="14" t="str">
        <x:v>Спорт и отдых</x:v>
      </x:c>
      <x:c r="B3457" s="14" t="str">
        <x:v>Тренажеры и фитнес</x:v>
      </x:c>
      <x:c r="C3457" s="14" t="str">
        <x:v>Фитнес</x:v>
      </x:c>
      <x:c r="D3457" s="14" t="str">
        <x:v>Коврик спортивный</x:v>
      </x:c>
      <x:c r="E3457" s="2" t="n">
        <x:v>138</x:v>
      </x:c>
      <x:c r="F3457" s="2" t="n">
        <x:v>0</x:v>
      </x:c>
      <x:c r="G3457" s="12" t="n">
        <x:v>25019433.2811</x:v>
      </x:c>
      <x:c r="H3457" s="12" t="n">
        <x:v>2313973.59667066</x:v>
      </x:c>
      <x:c r="I3457" s="13" t="n">
        <x:v>0.1011840579710145</x:v>
      </x:c>
      <x:c r="J3457" s="2" t="n">
        <x:v>15</x:v>
      </x:c>
      <x:c r="K3457" s="2" t="n">
        <x:v>23</x:v>
      </x:c>
      <x:c r="L3457" s="12" t="n">
        <x:v>1389.3249</x:v>
      </x:c>
      <x:c r="M3457" s="13" t="n">
        <x:v>0.762198560904477</x:v>
      </x:c>
      <x:c r="N3457" s="13" t="n">
        <x:f>H3457/G3457</x:f>
        <x:v>0.09248705079257992</x:v>
      </x:c>
      <x:c r="O3457" s="13" t="n">
        <x:f>F3457/E3457</x:f>
        <x:v>0</x:v>
      </x:c>
      <x:c r="P3457" s="2" t="str">
        <x:f>IF(AND(E3457&gt;='Итоги'!$F$5,N3457&lt;='Итоги'!$B$5,O3457&gt;='Итоги'!$D$5),"Да","Нет")</x:f>
        <x:v>Нет</x:v>
      </x:c>
    </x:row>
    <x:row r="3458" ht="60" customHeight="1">
      <x:c r="A3458" s="14" t="str">
        <x:v>Бытовая химия и гигиена рта</x:v>
      </x:c>
      <x:c r="B3458" s="14" t="str">
        <x:v>Бытовая химия</x:v>
      </x:c>
      <x:c r="C3458" s="14" t="str">
        <x:v>Чистящее и моющее средство</x:v>
      </x:c>
      <x:c r="D3458" s="14" t="str">
        <x:v>Средство чистящее для полов</x:v>
      </x:c>
      <x:c r="E3458" s="2" t="n">
        <x:v>13</x:v>
      </x:c>
      <x:c r="F3458" s="2" t="n">
        <x:v>0</x:v>
      </x:c>
      <x:c r="G3458" s="12" t="n">
        <x:v>3017689.9961</x:v>
      </x:c>
      <x:c r="H3458" s="12" t="n">
        <x:v>279132.2697394</x:v>
      </x:c>
      <x:c r="I3458" s="13" t="n">
        <x:v>0.0953538461538461</x:v>
      </x:c>
      <x:c r="J3458" s="2" t="n">
        <x:v>2</x:v>
      </x:c>
      <x:c r="K3458" s="2" t="n">
        <x:v>6</x:v>
      </x:c>
      <x:c r="L3458" s="12" t="n">
        <x:v>1020.9664</x:v>
      </x:c>
      <x:c r="M3458" s="13" t="n">
        <x:v>0.6359432332281244</x:v>
      </x:c>
      <x:c r="N3458" s="13" t="n">
        <x:f>H3458/G3458</x:f>
        <x:v>0.09249865629012416</x:v>
      </x:c>
      <x:c r="O3458" s="13" t="n">
        <x:f>F3458/E3458</x:f>
        <x:v>0</x:v>
      </x:c>
      <x:c r="P3458" s="2" t="str">
        <x:f>IF(AND(E3458&gt;='Итоги'!$F$5,N3458&lt;='Итоги'!$B$5,O3458&gt;='Итоги'!$D$5),"Да","Нет")</x:f>
        <x:v>Нет</x:v>
      </x:c>
    </x:row>
    <x:row r="3459" ht="60" customHeight="1">
      <x:c r="A3459" s="14" t="str">
        <x:v>Товары для дома</x:v>
      </x:c>
      <x:c r="B3459" s="14" t="str">
        <x:v>Интерьер и декор</x:v>
      </x:c>
      <x:c r="C3459" s="14" t="str">
        <x:v>Домашние растения</x:v>
      </x:c>
      <x:c r="D3459" s="14" t="str">
        <x:v>Торф для домашних растений</x:v>
      </x:c>
      <x:c r="E3459" s="2" t="n">
        <x:v>8</x:v>
      </x:c>
      <x:c r="F3459" s="2" t="n">
        <x:v>0</x:v>
      </x:c>
      <x:c r="G3459" s="12" t="n">
        <x:v>1315287.3144</x:v>
      </x:c>
      <x:c r="H3459" s="12" t="n">
        <x:v>121675.07287428</x:v>
      </x:c>
      <x:c r="I3459" s="13" t="n">
        <x:v>0.047025</x:v>
      </x:c>
      <x:c r="J3459" s="2" t="n">
        <x:v>6</x:v>
      </x:c>
      <x:c r="K3459" s="2" t="n">
        <x:v>4</x:v>
      </x:c>
      <x:c r="L3459" s="12" t="n">
        <x:v>1386.6594</x:v>
      </x:c>
      <x:c r="M3459" s="13" t="n">
        <x:v>0.4917301211827151</x:v>
      </x:c>
      <x:c r="N3459" s="13" t="n">
        <x:f>H3459/G3459</x:f>
        <x:v>0.0925083603727943</x:v>
      </x:c>
      <x:c r="O3459" s="13" t="n">
        <x:f>F3459/E3459</x:f>
        <x:v>0</x:v>
      </x:c>
      <x:c r="P3459" s="2" t="str">
        <x:f>IF(AND(E3459&gt;='Итоги'!$F$5,N3459&lt;='Итоги'!$B$5,O3459&gt;='Итоги'!$D$5),"Да","Нет")</x:f>
        <x:v>Нет</x:v>
      </x:c>
    </x:row>
    <x:row r="3460" ht="60" customHeight="1">
      <x:c r="A3460" s="14" t="str">
        <x:v>Товары для дома</x:v>
      </x:c>
      <x:c r="B3460" s="14" t="str">
        <x:v>Ванная комната</x:v>
      </x:c>
      <x:c r="C3460" s="14" t="str">
        <x:v>Держатели для ванной</x:v>
      </x:c>
      <x:c r="D3460" s="14" t="str">
        <x:v>Держатель для полотенца</x:v>
      </x:c>
      <x:c r="E3460" s="2" t="n">
        <x:v>28</x:v>
      </x:c>
      <x:c r="F3460" s="2" t="n">
        <x:v>0</x:v>
      </x:c>
      <x:c r="G3460" s="12" t="n">
        <x:v>3680196.0863</x:v>
      </x:c>
      <x:c r="H3460" s="12" t="n">
        <x:v>340700.59029747</x:v>
      </x:c>
      <x:c r="I3460" s="13" t="n">
        <x:v>0.0899285714285714</x:v>
      </x:c>
      <x:c r="J3460" s="2" t="n">
        <x:v>2</x:v>
      </x:c>
      <x:c r="K3460" s="2" t="n">
        <x:v>10</x:v>
      </x:c>
      <x:c r="L3460" s="12" t="n">
        <x:v>1114.83035</x:v>
      </x:c>
      <x:c r="M3460" s="13" t="n">
        <x:v>0.565328352759517</x:v>
      </x:c>
      <x:c r="N3460" s="13" t="n">
        <x:f>H3460/G3460</x:f>
        <x:v>0.09257674925685928</x:v>
      </x:c>
      <x:c r="O3460" s="13" t="n">
        <x:f>F3460/E3460</x:f>
        <x:v>0</x:v>
      </x:c>
      <x:c r="P3460" s="2" t="str">
        <x:f>IF(AND(E3460&gt;='Итоги'!$F$5,N3460&lt;='Итоги'!$B$5,O3460&gt;='Итоги'!$D$5),"Да","Нет")</x:f>
        <x:v>Нет</x:v>
      </x:c>
    </x:row>
    <x:row r="3461" ht="60" customHeight="1">
      <x:c r="A3461" s="14" t="str">
        <x:v>Игрушки</x:v>
      </x:c>
      <x:c r="B3461" s="14" t="str">
        <x:v>Игрушки</x:v>
      </x:c>
      <x:c r="C3461" s="14" t="str">
        <x:v>Сюжетно-ролевые игрушки</x:v>
      </x:c>
      <x:c r="D3461" s="14" t="str">
        <x:v>Музыкальные инструменты игрушечные</x:v>
      </x:c>
      <x:c r="E3461" s="2" t="n">
        <x:v>18</x:v>
      </x:c>
      <x:c r="F3461" s="2" t="n">
        <x:v>0</x:v>
      </x:c>
      <x:c r="G3461" s="12" t="n">
        <x:v>2040405.381</x:v>
      </x:c>
      <x:c r="H3461" s="12" t="n">
        <x:v>189319.47182591</x:v>
      </x:c>
      <x:c r="I3461" s="13" t="n">
        <x:v>0.08975</x:v>
      </x:c>
      <x:c r="J3461" s="2" t="n">
        <x:v>4</x:v>
      </x:c>
      <x:c r="K3461" s="2" t="n">
        <x:v>7</x:v>
      </x:c>
      <x:c r="L3461" s="12" t="n">
        <x:v>1261.67375</x:v>
      </x:c>
      <x:c r="M3461" s="13" t="n">
        <x:v>0.6162908970489527</x:v>
      </x:c>
      <x:c r="N3461" s="13" t="n">
        <x:f>H3461/G3461</x:f>
        <x:v>0.09278522473466756</x:v>
      </x:c>
      <x:c r="O3461" s="13" t="n">
        <x:f>F3461/E3461</x:f>
        <x:v>0</x:v>
      </x:c>
      <x:c r="P3461" s="2" t="str">
        <x:f>IF(AND(E3461&gt;='Итоги'!$F$5,N3461&lt;='Итоги'!$B$5,O3461&gt;='Итоги'!$D$5),"Да","Нет")</x:f>
        <x:v>Нет</x:v>
      </x:c>
    </x:row>
    <x:row r="3462" ht="60" customHeight="1">
      <x:c r="A3462" s="14" t="str">
        <x:v>Автотовары</x:v>
      </x:c>
      <x:c r="B3462" s="14" t="str">
        <x:v>Авто и мото запчасти</x:v>
      </x:c>
      <x:c r="C3462" s="14" t="str">
        <x:v>Кузовные детали</x:v>
      </x:c>
      <x:c r="D3462" s="14" t="str">
        <x:v>Уплотнитель кузова автомобильный</x:v>
      </x:c>
      <x:c r="E3462" s="2" t="n">
        <x:v>19</x:v>
      </x:c>
      <x:c r="F3462" s="2" t="n">
        <x:v>0</x:v>
      </x:c>
      <x:c r="G3462" s="12" t="n">
        <x:v>2852435.6297</x:v>
      </x:c>
      <x:c r="H3462" s="12" t="n">
        <x:v>265253.71663721</x:v>
      </x:c>
      <x:c r="I3462" s="13" t="n">
        <x:v>0.0743263157894736</x:v>
      </x:c>
      <x:c r="J3462" s="2" t="n">
        <x:v>6</x:v>
      </x:c>
      <x:c r="K3462" s="2" t="n">
        <x:v>7</x:v>
      </x:c>
      <x:c r="L3462" s="12" t="n">
        <x:v>994.7839</x:v>
      </x:c>
      <x:c r="M3462" s="13" t="n">
        <x:v>0.4845681358795012</x:v>
      </x:c>
      <x:c r="N3462" s="13" t="n">
        <x:f>H3462/G3462</x:f>
        <x:v>0.0929920079090821</x:v>
      </x:c>
      <x:c r="O3462" s="13" t="n">
        <x:f>F3462/E3462</x:f>
        <x:v>0</x:v>
      </x:c>
      <x:c r="P3462" s="2" t="str">
        <x:f>IF(AND(E3462&gt;='Итоги'!$F$5,N3462&lt;='Итоги'!$B$5,O3462&gt;='Итоги'!$D$5),"Да","Нет")</x:f>
        <x:v>Нет</x:v>
      </x:c>
    </x:row>
    <x:row r="3463" ht="60" customHeight="1">
      <x:c r="A3463" s="14" t="str">
        <x:v>Спорт и отдых</x:v>
      </x:c>
      <x:c r="B3463" s="14" t="str">
        <x:v>Туризм</x:v>
      </x:c>
      <x:c r="C3463" s="14" t="str">
        <x:v>Приготовление пищи, посуда туристическая</x:v>
      </x:c>
      <x:c r="D3463" s="14" t="str">
        <x:v>Термоконтейнер, термосумка походная</x:v>
      </x:c>
      <x:c r="E3463" s="2" t="n">
        <x:v>234</x:v>
      </x:c>
      <x:c r="F3463" s="2" t="n">
        <x:v>0</x:v>
      </x:c>
      <x:c r="G3463" s="12" t="n">
        <x:v>42221116.8057</x:v>
      </x:c>
      <x:c r="H3463" s="12" t="n">
        <x:v>3926577.13487661</x:v>
      </x:c>
      <x:c r="I3463" s="13" t="n">
        <x:v>0.086767094017094</x:v>
      </x:c>
      <x:c r="J3463" s="2" t="n">
        <x:v>71</x:v>
      </x:c>
      <x:c r="K3463" s="2" t="n">
        <x:v>68</x:v>
      </x:c>
      <x:c r="L3463" s="12" t="n">
        <x:v>1686.8502</x:v>
      </x:c>
      <x:c r="M3463" s="13" t="n">
        <x:v>0.2489259310421917</x:v>
      </x:c>
      <x:c r="N3463" s="13" t="n">
        <x:f>H3463/G3463</x:f>
        <x:v>0.09300031434380505</x:v>
      </x:c>
      <x:c r="O3463" s="13" t="n">
        <x:f>F3463/E3463</x:f>
        <x:v>0</x:v>
      </x:c>
      <x:c r="P3463" s="2" t="str">
        <x:f>IF(AND(E3463&gt;='Итоги'!$F$5,N3463&lt;='Итоги'!$B$5,O3463&gt;='Итоги'!$D$5),"Да","Нет")</x:f>
        <x:v>Нет</x:v>
      </x:c>
    </x:row>
    <x:row r="3464" ht="60" customHeight="1">
      <x:c r="A3464" s="14" t="str">
        <x:v>Товары для красоты и здоровья</x:v>
      </x:c>
      <x:c r="B3464" s="14" t="str">
        <x:v>Косметика для ухода за кожей</x:v>
      </x:c>
      <x:c r="C3464" s="14" t="str">
        <x:v>Тело</x:v>
      </x:c>
      <x:c r="D3464" s="14" t="str">
        <x:v>Спрей, вода для тела</x:v>
      </x:c>
      <x:c r="E3464" s="2" t="n">
        <x:v>19</x:v>
      </x:c>
      <x:c r="F3464" s="2" t="n">
        <x:v>0</x:v>
      </x:c>
      <x:c r="G3464" s="12" t="n">
        <x:v>2749536.0854</x:v>
      </x:c>
      <x:c r="H3464" s="12" t="n">
        <x:v>255716.93366951</x:v>
      </x:c>
      <x:c r="I3464" s="13" t="n">
        <x:v>0.0814368421052631</x:v>
      </x:c>
      <x:c r="J3464" s="2" t="n">
        <x:v>6</x:v>
      </x:c>
      <x:c r="K3464" s="2" t="n">
        <x:v>6</x:v>
      </x:c>
      <x:c r="L3464" s="12" t="n">
        <x:v>1095.0954</x:v>
      </x:c>
      <x:c r="M3464" s="13" t="n">
        <x:v>0.7059813235066552</x:v>
      </x:c>
      <x:c r="N3464" s="13" t="n">
        <x:f>H3464/G3464</x:f>
        <x:v>0.09300366524642593</x:v>
      </x:c>
      <x:c r="O3464" s="13" t="n">
        <x:f>F3464/E3464</x:f>
        <x:v>0</x:v>
      </x:c>
      <x:c r="P3464" s="2" t="str">
        <x:f>IF(AND(E3464&gt;='Итоги'!$F$5,N3464&lt;='Итоги'!$B$5,O3464&gt;='Итоги'!$D$5),"Да","Нет")</x:f>
        <x:v>Нет</x:v>
      </x:c>
    </x:row>
    <x:row r="3465" ht="60" customHeight="1">
      <x:c r="A3465" s="14" t="str">
        <x:v>Ноутбуки и компьютеры</x:v>
      </x:c>
      <x:c r="B3465" s="14" t="str">
        <x:v>Ноутбуки и стационарные компьютеры Lap&amp;Comp</x:v>
      </x:c>
      <x:c r="C3465" s="14" t="str">
        <x:v>Запчасти и комплектующие для ноутбука Lap&amp;Comp</x:v>
      </x:c>
      <x:c r="D3465" s="14" t="str">
        <x:v>Клавиатура для ноутбука</x:v>
      </x:c>
      <x:c r="E3465" s="2" t="n">
        <x:v>2</x:v>
      </x:c>
      <x:c r="F3465" s="2" t="n">
        <x:v>0</x:v>
      </x:c>
      <x:c r="G3465" s="12" t="n">
        <x:v>417726.34</x:v>
      </x:c>
      <x:c r="H3465" s="12" t="n">
        <x:v>38910.352038000005</x:v>
      </x:c>
      <x:c r="I3465" s="13" t="n">
        <x:v>0.06285</x:v>
      </x:c>
      <x:c r="J3465" s="2" t="n">
        <x:v>1</x:v>
      </x:c>
      <x:c r="K3465" s="2" t="n">
        <x:v>1</x:v>
      </x:c>
      <x:c r="L3465" s="12" t="n">
        <x:v>1763.66265</x:v>
      </x:c>
      <x:c r="M3465" s="13" t="n">
        <x:v>1</x:v>
      </x:c>
      <x:c r="N3465" s="13" t="n">
        <x:f>H3465/G3465</x:f>
        <x:v>0.09314794953557394</x:v>
      </x:c>
      <x:c r="O3465" s="13" t="n">
        <x:f>F3465/E3465</x:f>
        <x:v>0</x:v>
      </x:c>
      <x:c r="P3465" s="2" t="str">
        <x:f>IF(AND(E3465&gt;='Итоги'!$F$5,N3465&lt;='Итоги'!$B$5,O3465&gt;='Итоги'!$D$5),"Да","Нет")</x:f>
        <x:v>Нет</x:v>
      </x:c>
    </x:row>
    <x:row r="3466" ht="60" customHeight="1">
      <x:c r="A3466" s="14" t="str">
        <x:v>Товары для дома</x:v>
      </x:c>
      <x:c r="B3466" s="14" t="str">
        <x:v>Домашний текстиль</x:v>
      </x:c>
      <x:c r="C3466" s="14" t="str">
        <x:v>Шторы</x:v>
      </x:c>
      <x:c r="D3466" s="14" t="str">
        <x:v>Шторы кухонные</x:v>
      </x:c>
      <x:c r="E3466" s="2" t="n">
        <x:v>39</x:v>
      </x:c>
      <x:c r="F3466" s="2" t="n">
        <x:v>0</x:v>
      </x:c>
      <x:c r="G3466" s="12" t="n">
        <x:v>3912474.0799</x:v>
      </x:c>
      <x:c r="H3466" s="12" t="n">
        <x:v>364572.62498788</x:v>
      </x:c>
      <x:c r="I3466" s="13" t="n">
        <x:v>0.0872692307692307</x:v>
      </x:c>
      <x:c r="J3466" s="2" t="n">
        <x:v>9</x:v>
      </x:c>
      <x:c r="K3466" s="2" t="n">
        <x:v>9</x:v>
      </x:c>
      <x:c r="L3466" s="12" t="n">
        <x:v>1241.7071</x:v>
      </x:c>
      <x:c r="M3466" s="13" t="n">
        <x:v>0.4776849173011693</x:v>
      </x:c>
      <x:c r="N3466" s="13" t="n">
        <x:f>H3466/G3466</x:f>
        <x:v>0.09318211892082318</x:v>
      </x:c>
      <x:c r="O3466" s="13" t="n">
        <x:f>F3466/E3466</x:f>
        <x:v>0</x:v>
      </x:c>
      <x:c r="P3466" s="2" t="str">
        <x:f>IF(AND(E3466&gt;='Итоги'!$F$5,N3466&lt;='Итоги'!$B$5,O3466&gt;='Итоги'!$D$5),"Да","Нет")</x:f>
        <x:v>Нет</x:v>
      </x:c>
    </x:row>
    <x:row r="3467" ht="60" customHeight="1">
      <x:c r="A3467" s="14" t="str">
        <x:v>Одежда</x:v>
      </x:c>
      <x:c r="B3467" s="14" t="str">
        <x:v>Белье, домашняя одежда и ЧНИ</x:v>
      </x:c>
      <x:c r="C3467" s="14" t="str">
        <x:v>Домашняя одежда женская</x:v>
      </x:c>
      <x:c r="D3467" s="14" t="str">
        <x:v>Пижама, ночная сорочка женская</x:v>
      </x:c>
      <x:c r="E3467" s="2" t="n">
        <x:v>586</x:v>
      </x:c>
      <x:c r="F3467" s="2" t="n">
        <x:v>0</x:v>
      </x:c>
      <x:c r="G3467" s="12" t="n">
        <x:v>63432014.1649</x:v>
      </x:c>
      <x:c r="H3467" s="12" t="n">
        <x:v>5913750.6407591</x:v>
      </x:c>
      <x:c r="I3467" s="13" t="n">
        <x:v>0.0847590443686006</x:v>
      </x:c>
      <x:c r="J3467" s="2" t="n">
        <x:v>164</x:v>
      </x:c>
      <x:c r="K3467" s="2" t="n">
        <x:v>104</x:v>
      </x:c>
      <x:c r="L3467" s="12" t="n">
        <x:v>1381.00315</x:v>
      </x:c>
      <x:c r="M3467" s="13" t="n">
        <x:v>0.217010141346214</x:v>
      </x:c>
      <x:c r="N3467" s="13" t="n">
        <x:f>H3467/G3467</x:f>
        <x:v>0.09322974713345086</x:v>
      </x:c>
      <x:c r="O3467" s="13" t="n">
        <x:f>F3467/E3467</x:f>
        <x:v>0</x:v>
      </x:c>
      <x:c r="P3467" s="2" t="str">
        <x:f>IF(AND(E3467&gt;='Итоги'!$F$5,N3467&lt;='Итоги'!$B$5,O3467&gt;='Итоги'!$D$5),"Да","Нет")</x:f>
        <x:v>Нет</x:v>
      </x:c>
    </x:row>
    <x:row r="3468" ht="60" customHeight="1">
      <x:c r="A3468" s="14" t="str">
        <x:v>Школьные принадлежности и канцелярия</x:v>
      </x:c>
      <x:c r="B3468" s="14" t="str">
        <x:v>Товары для школы, канцелярия, оборудование</x:v>
      </x:c>
      <x:c r="C3468" s="14" t="str">
        <x:v>Офисные принадлежности</x:v>
      </x:c>
      <x:c r="D3468" s="14" t="str">
        <x:v>Пленка для ламинирования документов</x:v>
      </x:c>
      <x:c r="E3468" s="2" t="n">
        <x:v>6</x:v>
      </x:c>
      <x:c r="F3468" s="2" t="n">
        <x:v>0</x:v>
      </x:c>
      <x:c r="G3468" s="12" t="n">
        <x:v>543908.2468</x:v>
      </x:c>
      <x:c r="H3468" s="12" t="n">
        <x:v>50784.19668628</x:v>
      </x:c>
      <x:c r="I3468" s="13" t="n">
        <x:v>0.1116833333333333</x:v>
      </x:c>
      <x:c r="J3468" s="2" t="n">
        <x:v>1</x:v>
      </x:c>
      <x:c r="K3468" s="2" t="n">
        <x:v>3</x:v>
      </x:c>
      <x:c r="L3468" s="12" t="n">
        <x:v>949.34755</x:v>
      </x:c>
      <x:c r="M3468" s="13" t="n">
        <x:v>0.5568089261043357</x:v>
      </x:c>
      <x:c r="N3468" s="13" t="n">
        <x:f>H3468/G3468</x:f>
        <x:v>0.09336905072695803</x:v>
      </x:c>
      <x:c r="O3468" s="13" t="n">
        <x:f>F3468/E3468</x:f>
        <x:v>0</x:v>
      </x:c>
      <x:c r="P3468" s="2" t="str">
        <x:f>IF(AND(E3468&gt;='Итоги'!$F$5,N3468&lt;='Итоги'!$B$5,O3468&gt;='Итоги'!$D$5),"Да","Нет")</x:f>
        <x:v>Нет</x:v>
      </x:c>
    </x:row>
    <x:row r="3469" ht="60" customHeight="1">
      <x:c r="A3469" s="14" t="str">
        <x:v>Автотовары</x:v>
      </x:c>
      <x:c r="B3469" s="14" t="str">
        <x:v>Авто и мото запчасти</x:v>
      </x:c>
      <x:c r="C3469" s="14" t="str">
        <x:v>Система питания автомобиля</x:v>
      </x:c>
      <x:c r="D3469" s="14" t="str">
        <x:v>Коллектора и турбины</x:v>
      </x:c>
      <x:c r="E3469" s="2" t="n">
        <x:v>25</x:v>
      </x:c>
      <x:c r="F3469" s="2" t="n">
        <x:v>0</x:v>
      </x:c>
      <x:c r="G3469" s="12" t="n">
        <x:v>2929852.3001</x:v>
      </x:c>
      <x:c r="H3469" s="12" t="n">
        <x:v>273776.70824634</x:v>
      </x:c>
      <x:c r="I3469" s="13" t="n">
        <x:v>0.084764</x:v>
      </x:c>
      <x:c r="J3469" s="2" t="n">
        <x:v>7</x:v>
      </x:c>
      <x:c r="K3469" s="2" t="n">
        <x:v>12</x:v>
      </x:c>
      <x:c r="L3469" s="12" t="n">
        <x:v>2296.6619</x:v>
      </x:c>
      <x:c r="M3469" s="13" t="n">
        <x:v>0.2961258496786296</x:v>
      </x:c>
      <x:c r="N3469" s="13" t="n">
        <x:f>H3469/G3469</x:f>
        <x:v>0.09344386003246498</x:v>
      </x:c>
      <x:c r="O3469" s="13" t="n">
        <x:f>F3469/E3469</x:f>
        <x:v>0</x:v>
      </x:c>
      <x:c r="P3469" s="2" t="str">
        <x:f>IF(AND(E3469&gt;='Итоги'!$F$5,N3469&lt;='Итоги'!$B$5,O3469&gt;='Итоги'!$D$5),"Да","Нет")</x:f>
        <x:v>Нет</x:v>
      </x:c>
    </x:row>
    <x:row r="3470" ht="60" customHeight="1">
      <x:c r="A3470" s="14" t="str">
        <x:v>Обувь</x:v>
      </x:c>
      <x:c r="B3470" s="14" t="str">
        <x:v>Обувь женская</x:v>
      </x:c>
      <x:c r="C3470" s="14" t="str">
        <x:v>Обувь женская демисезон</x:v>
      </x:c>
      <x:c r="D3470" s="14" t="str">
        <x:v>Женские Галоши</x:v>
      </x:c>
      <x:c r="E3470" s="2" t="n">
        <x:v>6</x:v>
      </x:c>
      <x:c r="F3470" s="2" t="n">
        <x:v>0</x:v>
      </x:c>
      <x:c r="G3470" s="12" t="n">
        <x:v>723840.4255</x:v>
      </x:c>
      <x:c r="H3470" s="12" t="n">
        <x:v>67687.7849301</x:v>
      </x:c>
      <x:c r="I3470" s="13" t="n">
        <x:v>0.0953</x:v>
      </x:c>
      <x:c r="J3470" s="2" t="n">
        <x:v>0</x:v>
      </x:c>
      <x:c r="K3470" s="2" t="n">
        <x:v>1</x:v>
      </x:c>
      <x:c r="L3470" s="12" t="n">
        <x:v>1466.76475</x:v>
      </x:c>
      <x:c r="M3470" s="13" t="n">
        <x:v>1</x:v>
      </x:c>
      <x:c r="N3470" s="13" t="n">
        <x:f>H3470/G3470</x:f>
        <x:v>0.0935120263327984</x:v>
      </x:c>
      <x:c r="O3470" s="13" t="n">
        <x:f>F3470/E3470</x:f>
        <x:v>0</x:v>
      </x:c>
      <x:c r="P3470" s="2" t="str">
        <x:f>IF(AND(E3470&gt;='Итоги'!$F$5,N3470&lt;='Итоги'!$B$5,O3470&gt;='Итоги'!$D$5),"Да","Нет")</x:f>
        <x:v>Нет</x:v>
      </x:c>
    </x:row>
    <x:row r="3471" ht="60" customHeight="1">
      <x:c r="A3471" s="14" t="str">
        <x:v>Строительство и ремонт (DIY)</x:v>
      </x:c>
      <x:c r="B3471" s="14" t="str">
        <x:v>Ремонт и строительство</x:v>
      </x:c>
      <x:c r="C3471" s="14" t="str">
        <x:v>Скобяные изделия</x:v>
      </x:c>
      <x:c r="D3471" s="14" t="str">
        <x:v>Ножки мебельные</x:v>
      </x:c>
      <x:c r="E3471" s="2" t="n">
        <x:v>37</x:v>
      </x:c>
      <x:c r="F3471" s="2" t="n">
        <x:v>0</x:v>
      </x:c>
      <x:c r="G3471" s="12" t="n">
        <x:v>6215755.138</x:v>
      </x:c>
      <x:c r="H3471" s="12" t="n">
        <x:v>581404.63973134</x:v>
      </x:c>
      <x:c r="I3471" s="13" t="n">
        <x:v>0.0809081081081081</x:v>
      </x:c>
      <x:c r="J3471" s="2" t="n">
        <x:v>8</x:v>
      </x:c>
      <x:c r="K3471" s="2" t="n">
        <x:v>18</x:v>
      </x:c>
      <x:c r="L3471" s="12" t="n">
        <x:v>1358.822</x:v>
      </x:c>
      <x:c r="M3471" s="13" t="n">
        <x:v>0.3400105500906236</x:v>
      </x:c>
      <x:c r="N3471" s="13" t="n">
        <x:f>H3471/G3471</x:f>
        <x:v>0.09353724958966361</x:v>
      </x:c>
      <x:c r="O3471" s="13" t="n">
        <x:f>F3471/E3471</x:f>
        <x:v>0</x:v>
      </x:c>
      <x:c r="P3471" s="2" t="str">
        <x:f>IF(AND(E3471&gt;='Итоги'!$F$5,N3471&lt;='Итоги'!$B$5,O3471&gt;='Итоги'!$D$5),"Да","Нет")</x:f>
        <x:v>Нет</x:v>
      </x:c>
    </x:row>
    <x:row r="3472" ht="60" customHeight="1">
      <x:c r="A3472" s="14" t="str">
        <x:v>Аксессуары</x:v>
      </x:c>
      <x:c r="B3472" s="14" t="str">
        <x:v>Сумки и рюкзаки</x:v>
      </x:c>
      <x:c r="C3472" s="14" t="str">
        <x:v>Спортивные сумки</x:v>
      </x:c>
      <x:c r="D3472" s="14" t="str">
        <x:v>Сумка-мешок спортивная</x:v>
      </x:c>
      <x:c r="E3472" s="2" t="n">
        <x:v>1</x:v>
      </x:c>
      <x:c r="F3472" s="2" t="n">
        <x:v>0</x:v>
      </x:c>
      <x:c r="G3472" s="12" t="n">
        <x:v>99676.44</x:v>
      </x:c>
      <x:c r="H3472" s="12" t="n">
        <x:v>9329.714784</x:v>
      </x:c>
      <x:c r="I3472" s="13" t="n">
        <x:v>0.0936</x:v>
      </x:c>
      <x:c r="J3472" s="2" t="n">
        <x:v>0</x:v>
      </x:c>
      <x:c r="K3472" s="2" t="n">
        <x:v>1</x:v>
      </x:c>
      <x:c r="L3472" s="12" t="n">
        <x:v>837.6171</x:v>
      </x:c>
      <x:c r="M3472" s="13" t="n">
        <x:v>1</x:v>
      </x:c>
      <x:c r="N3472" s="13" t="n">
        <x:f>H3472/G3472</x:f>
        <x:v>0.09359999999999999</x:v>
      </x:c>
      <x:c r="O3472" s="13" t="n">
        <x:f>F3472/E3472</x:f>
        <x:v>0</x:v>
      </x:c>
      <x:c r="P3472" s="2" t="str">
        <x:f>IF(AND(E3472&gt;='Итоги'!$F$5,N3472&lt;='Итоги'!$B$5,O3472&gt;='Итоги'!$D$5),"Да","Нет")</x:f>
        <x:v>Нет</x:v>
      </x:c>
    </x:row>
    <x:row r="3473" ht="60" customHeight="1">
      <x:c r="A3473" s="14" t="str">
        <x:v>Строительство и ремонт (DIY)</x:v>
      </x:c>
      <x:c r="B3473" s="14" t="str">
        <x:v>Сад и огород</x:v>
      </x:c>
      <x:c r="C3473" s="14" t="str">
        <x:v>Садовый инструмент</x:v>
      </x:c>
      <x:c r="D3473" s="14" t="str">
        <x:v>Культиватор, измельчитель механические садовые</x:v>
      </x:c>
      <x:c r="E3473" s="2" t="n">
        <x:v>20</x:v>
      </x:c>
      <x:c r="F3473" s="2" t="n">
        <x:v>0</x:v>
      </x:c>
      <x:c r="G3473" s="12" t="n">
        <x:v>4057174.9164</x:v>
      </x:c>
      <x:c r="H3473" s="12" t="n">
        <x:v>379938.91693724</x:v>
      </x:c>
      <x:c r="I3473" s="13" t="n">
        <x:v>0.09394</x:v>
      </x:c>
      <x:c r="J3473" s="2" t="n">
        <x:v>6</x:v>
      </x:c>
      <x:c r="K3473" s="2" t="n">
        <x:v>4</x:v>
      </x:c>
      <x:c r="L3473" s="12" t="n">
        <x:v>1647.6376</x:v>
      </x:c>
      <x:c r="M3473" s="13" t="n">
        <x:v>0.8982576397849091</x:v>
      </x:c>
      <x:c r="N3473" s="13" t="n">
        <x:f>H3473/G3473</x:f>
        <x:v>0.09364617616101359</x:v>
      </x:c>
      <x:c r="O3473" s="13" t="n">
        <x:f>F3473/E3473</x:f>
        <x:v>0</x:v>
      </x:c>
      <x:c r="P3473" s="2" t="str">
        <x:f>IF(AND(E3473&gt;='Итоги'!$F$5,N3473&lt;='Итоги'!$B$5,O3473&gt;='Итоги'!$D$5),"Да","Нет")</x:f>
        <x:v>Нет</x:v>
      </x:c>
    </x:row>
    <x:row r="3474" ht="60" customHeight="1">
      <x:c r="A3474" s="14" t="str">
        <x:v>Аксессуары для электроники</x:v>
      </x:c>
      <x:c r="B3474" s="14" t="str">
        <x:v>Аксессуары для мобильных устройств Access</x:v>
      </x:c>
      <x:c r="C3474" s="14" t="str">
        <x:v>Аксессуары для планшетных компьютеров, электронных книг Access</x:v>
      </x:c>
      <x:c r="D3474" s="14" t="str">
        <x:v>Чехол с клавиатурой для планшетного компьютера</x:v>
      </x:c>
      <x:c r="E3474" s="2" t="n">
        <x:v>3</x:v>
      </x:c>
      <x:c r="F3474" s="2" t="n">
        <x:v>0</x:v>
      </x:c>
      <x:c r="G3474" s="12" t="n">
        <x:v>376886.3869</x:v>
      </x:c>
      <x:c r="H3474" s="12" t="n">
        <x:v>35311.727926399995</x:v>
      </x:c>
      <x:c r="I3474" s="13" t="n">
        <x:v>0.0754</x:v>
      </x:c>
      <x:c r="J3474" s="2" t="n">
        <x:v>1</x:v>
      </x:c>
      <x:c r="K3474" s="2" t="n">
        <x:v>2</x:v>
      </x:c>
      <x:c r="L3474" s="12" t="n">
        <x:v>1801.2372</x:v>
      </x:c>
      <x:c r="M3474" s="13" t="n">
        <x:v>0.903233437800775</x:v>
      </x:c>
      <x:c r="N3474" s="13" t="n">
        <x:f>H3474/G3474</x:f>
        <x:v>0.09369329631894963</x:v>
      </x:c>
      <x:c r="O3474" s="13" t="n">
        <x:f>F3474/E3474</x:f>
        <x:v>0</x:v>
      </x:c>
      <x:c r="P3474" s="2" t="str">
        <x:f>IF(AND(E3474&gt;='Итоги'!$F$5,N3474&lt;='Итоги'!$B$5,O3474&gt;='Итоги'!$D$5),"Да","Нет")</x:f>
        <x:v>Нет</x:v>
      </x:c>
    </x:row>
    <x:row r="3475" ht="60" customHeight="1">
      <x:c r="A3475" s="14" t="str">
        <x:v>Бытовая химия и гигиена рта</x:v>
      </x:c>
      <x:c r="B3475" s="14" t="str">
        <x:v>Бытовая химия</x:v>
      </x:c>
      <x:c r="C3475" s="14" t="str">
        <x:v>Товары для защиты от насекомых и грызунов</x:v>
      </x:c>
      <x:c r="D3475" s="14" t="str">
        <x:v>Средство после укусов</x:v>
      </x:c>
      <x:c r="E3475" s="2" t="n">
        <x:v>2</x:v>
      </x:c>
      <x:c r="F3475" s="2" t="n">
        <x:v>0</x:v>
      </x:c>
      <x:c r="G3475" s="12" t="n">
        <x:v>234019.1074</x:v>
      </x:c>
      <x:c r="H3475" s="12" t="n">
        <x:v>21928.9115229</x:v>
      </x:c>
      <x:c r="I3475" s="13" t="n">
        <x:v>0.0807</x:v>
      </x:c>
      <x:c r="J3475" s="2" t="n">
        <x:v>0</x:v>
      </x:c>
      <x:c r="K3475" s="2" t="n">
        <x:v>2</x:v>
      </x:c>
      <x:c r="L3475" s="12" t="n">
        <x:v>1302.42365</x:v>
      </x:c>
      <x:c r="M3475" s="13" t="n">
        <x:v>0.5989775153718923</x:v>
      </x:c>
      <x:c r="N3475" s="13" t="n">
        <x:f>H3475/G3475</x:f>
        <x:v>0.09370564551986664</x:v>
      </x:c>
      <x:c r="O3475" s="13" t="n">
        <x:f>F3475/E3475</x:f>
        <x:v>0</x:v>
      </x:c>
      <x:c r="P3475" s="2" t="str">
        <x:f>IF(AND(E3475&gt;='Итоги'!$F$5,N3475&lt;='Итоги'!$B$5,O3475&gt;='Итоги'!$D$5),"Да","Нет")</x:f>
        <x:v>Нет</x:v>
      </x:c>
    </x:row>
    <x:row r="3476" ht="60" customHeight="1">
      <x:c r="A3476" s="14" t="str">
        <x:v>Товары для дома</x:v>
      </x:c>
      <x:c r="B3476" s="14" t="str">
        <x:v>Кухня</x:v>
      </x:c>
      <x:c r="C3476" s="14" t="str">
        <x:v>Кухонная утварь и принадлежности</x:v>
      </x:c>
      <x:c r="D3476" s="14" t="str">
        <x:v>Лапшерезка, сушилка для лапши</x:v>
      </x:c>
      <x:c r="E3476" s="2" t="n">
        <x:v>16</x:v>
      </x:c>
      <x:c r="F3476" s="2" t="n">
        <x:v>0</x:v>
      </x:c>
      <x:c r="G3476" s="12" t="n">
        <x:v>1969735.1861</x:v>
      </x:c>
      <x:c r="H3476" s="12" t="n">
        <x:v>184653.2097147</x:v>
      </x:c>
      <x:c r="I3476" s="13" t="n">
        <x:v>0.07860625</x:v>
      </x:c>
      <x:c r="J3476" s="2" t="n">
        <x:v>7</x:v>
      </x:c>
      <x:c r="K3476" s="2" t="n">
        <x:v>10</x:v>
      </x:c>
      <x:c r="L3476" s="12" t="n">
        <x:v>2506.49365</x:v>
      </x:c>
      <x:c r="M3476" s="13" t="n">
        <x:v>0.3408456257662219</x:v>
      </x:c>
      <x:c r="N3476" s="13" t="n">
        <x:f>H3476/G3476</x:f>
        <x:v>0.0937451953022712</x:v>
      </x:c>
      <x:c r="O3476" s="13" t="n">
        <x:f>F3476/E3476</x:f>
        <x:v>0</x:v>
      </x:c>
      <x:c r="P3476" s="2" t="str">
        <x:f>IF(AND(E3476&gt;='Итоги'!$F$5,N3476&lt;='Итоги'!$B$5,O3476&gt;='Итоги'!$D$5),"Да","Нет")</x:f>
        <x:v>Нет</x:v>
      </x:c>
    </x:row>
    <x:row r="3477" ht="60" customHeight="1">
      <x:c r="A3477" s="14" t="str">
        <x:v>Товары для красоты и здоровья</x:v>
      </x:c>
      <x:c r="B3477" s="14" t="str">
        <x:v>Косметические средства для детей и беременных</x:v>
      </x:c>
      <x:c r="C3477" s="14" t="str">
        <x:v>Детская декоративная косметика</x:v>
      </x:c>
      <x:c r="D3477" s="14" t="str">
        <x:v>Набор детской декоративной косметики</x:v>
      </x:c>
      <x:c r="E3477" s="2" t="n">
        <x:v>32</x:v>
      </x:c>
      <x:c r="F3477" s="2" t="n">
        <x:v>0</x:v>
      </x:c>
      <x:c r="G3477" s="12" t="n">
        <x:v>5835905.2795</x:v>
      </x:c>
      <x:c r="H3477" s="12" t="n">
        <x:v>547141.35445935</x:v>
      </x:c>
      <x:c r="I3477" s="13" t="n">
        <x:v>0.084996875</x:v>
      </x:c>
      <x:c r="J3477" s="2" t="n">
        <x:v>6</x:v>
      </x:c>
      <x:c r="K3477" s="2" t="n">
        <x:v>11</x:v>
      </x:c>
      <x:c r="L3477" s="12" t="n">
        <x:v>1133.13505</x:v>
      </x:c>
      <x:c r="M3477" s="13" t="n">
        <x:v>0.4708344583062556</x:v>
      </x:c>
      <x:c r="N3477" s="13" t="n">
        <x:f>H3477/G3477</x:f>
        <x:v>0.09375432400887547</x:v>
      </x:c>
      <x:c r="O3477" s="13" t="n">
        <x:f>F3477/E3477</x:f>
        <x:v>0</x:v>
      </x:c>
      <x:c r="P3477" s="2" t="str">
        <x:f>IF(AND(E3477&gt;='Итоги'!$F$5,N3477&lt;='Итоги'!$B$5,O3477&gt;='Итоги'!$D$5),"Да","Нет")</x:f>
        <x:v>Нет</x:v>
      </x:c>
    </x:row>
    <x:row r="3478" ht="60" customHeight="1">
      <x:c r="A3478" s="14" t="str">
        <x:v>Аксессуары для электроники</x:v>
      </x:c>
      <x:c r="B3478" s="14" t="str">
        <x:v>Электропитание Access</x:v>
      </x:c>
      <x:c r="C3478" s="14" t="str">
        <x:v>Аккумуляторы и батарейки Access</x:v>
      </x:c>
      <x:c r="D3478" s="14" t="str">
        <x:v>Типовая батарейка</x:v>
      </x:c>
      <x:c r="E3478" s="2" t="n">
        <x:v>55</x:v>
      </x:c>
      <x:c r="F3478" s="2" t="n">
        <x:v>0</x:v>
      </x:c>
      <x:c r="G3478" s="12" t="n">
        <x:v>7952828.9205</x:v>
      </x:c>
      <x:c r="H3478" s="12" t="n">
        <x:v>746536.07484257</x:v>
      </x:c>
      <x:c r="I3478" s="13" t="n">
        <x:v>0.0934781818181818</x:v>
      </x:c>
      <x:c r="J3478" s="2" t="n">
        <x:v>7</x:v>
      </x:c>
      <x:c r="K3478" s="2" t="n">
        <x:v>20</x:v>
      </x:c>
      <x:c r="L3478" s="12" t="n">
        <x:v>1172.429</x:v>
      </x:c>
      <x:c r="M3478" s="13" t="n">
        <x:v>0.1958574434544822</x:v>
      </x:c>
      <x:c r="N3478" s="13" t="n">
        <x:f>H3478/G3478</x:f>
        <x:v>0.09387050599293349</x:v>
      </x:c>
      <x:c r="O3478" s="13" t="n">
        <x:f>F3478/E3478</x:f>
        <x:v>0</x:v>
      </x:c>
      <x:c r="P3478" s="2" t="str">
        <x:f>IF(AND(E3478&gt;='Итоги'!$F$5,N3478&lt;='Итоги'!$B$5,O3478&gt;='Итоги'!$D$5),"Да","Нет")</x:f>
        <x:v>Нет</x:v>
      </x:c>
    </x:row>
    <x:row r="3479" ht="60" customHeight="1">
      <x:c r="A3479" s="14" t="str">
        <x:v>Товары для детей и спорта</x:v>
      </x:c>
      <x:c r="B3479" s="14" t="str">
        <x:v>Электроника детская</x:v>
      </x:c>
      <x:c r="C3479" s="14" t="str">
        <x:v>Электроника детская</x:v>
      </x:c>
      <x:c r="D3479" s="14" t="str">
        <x:v>Подогреватель для бутылочек</x:v>
      </x:c>
      <x:c r="E3479" s="2" t="n">
        <x:v>23</x:v>
      </x:c>
      <x:c r="F3479" s="2" t="n">
        <x:v>0</x:v>
      </x:c>
      <x:c r="G3479" s="12" t="n">
        <x:v>2915611.4183</x:v>
      </x:c>
      <x:c r="H3479" s="12" t="n">
        <x:v>273706.74916615</x:v>
      </x:c>
      <x:c r="I3479" s="13" t="n">
        <x:v>0.0929695652173913</x:v>
      </x:c>
      <x:c r="J3479" s="2" t="n">
        <x:v>3</x:v>
      </x:c>
      <x:c r="K3479" s="2" t="n">
        <x:v>19</x:v>
      </x:c>
      <x:c r="L3479" s="12" t="n">
        <x:v>2116.5064</x:v>
      </x:c>
      <x:c r="M3479" s="13" t="n">
        <x:v>0.1335583869153075</x:v>
      </x:c>
      <x:c r="N3479" s="13" t="n">
        <x:f>H3479/G3479</x:f>
        <x:v>0.09387627838477175</x:v>
      </x:c>
      <x:c r="O3479" s="13" t="n">
        <x:f>F3479/E3479</x:f>
        <x:v>0</x:v>
      </x:c>
      <x:c r="P3479" s="2" t="str">
        <x:f>IF(AND(E3479&gt;='Итоги'!$F$5,N3479&lt;='Итоги'!$B$5,O3479&gt;='Итоги'!$D$5),"Да","Нет")</x:f>
        <x:v>Нет</x:v>
      </x:c>
    </x:row>
    <x:row r="3480" ht="60" customHeight="1">
      <x:c r="A3480" s="14" t="str">
        <x:v>Аптека</x:v>
      </x:c>
      <x:c r="B3480" s="14" t="str">
        <x:v>Спортивное питание</x:v>
      </x:c>
      <x:c r="C3480" s="14" t="str">
        <x:v>Средства для снижения веса</x:v>
      </x:c>
      <x:c r="D3480" s="14" t="str">
        <x:v>L-карнитин</x:v>
      </x:c>
      <x:c r="E3480" s="2" t="n">
        <x:v>61</x:v>
      </x:c>
      <x:c r="F3480" s="2" t="n">
        <x:v>0</x:v>
      </x:c>
      <x:c r="G3480" s="12" t="n">
        <x:v>12906839.1214</x:v>
      </x:c>
      <x:c r="H3480" s="12" t="n">
        <x:v>1211758.73370686</x:v>
      </x:c>
      <x:c r="I3480" s="13" t="n">
        <x:v>0.0817901639344262</x:v>
      </x:c>
      <x:c r="J3480" s="2" t="n">
        <x:v>14</x:v>
      </x:c>
      <x:c r="K3480" s="2" t="n">
        <x:v>8</x:v>
      </x:c>
      <x:c r="L3480" s="12" t="n">
        <x:v>1434.8998</x:v>
      </x:c>
      <x:c r="M3480" s="13" t="n">
        <x:v>0.7770980341631516</x:v>
      </x:c>
      <x:c r="N3480" s="13" t="n">
        <x:f>H3480/G3480</x:f>
        <x:v>0.09388501106345401</x:v>
      </x:c>
      <x:c r="O3480" s="13" t="n">
        <x:f>F3480/E3480</x:f>
        <x:v>0</x:v>
      </x:c>
      <x:c r="P3480" s="2" t="str">
        <x:f>IF(AND(E3480&gt;='Итоги'!$F$5,N3480&lt;='Итоги'!$B$5,O3480&gt;='Итоги'!$D$5),"Да","Нет")</x:f>
        <x:v>Нет</x:v>
      </x:c>
    </x:row>
    <x:row r="3481" ht="60" customHeight="1">
      <x:c r="A3481" s="14" t="str">
        <x:v>Аксессуары</x:v>
      </x:c>
      <x:c r="B3481" s="14" t="str">
        <x:v>Сумки и рюкзаки</x:v>
      </x:c>
      <x:c r="C3481" s="14" t="str">
        <x:v>Сумка мужская</x:v>
      </x:c>
      <x:c r="D3481" s="14" t="str">
        <x:v>Барсетка</x:v>
      </x:c>
      <x:c r="E3481" s="2" t="n">
        <x:v>11</x:v>
      </x:c>
      <x:c r="F3481" s="2" t="n">
        <x:v>0</x:v>
      </x:c>
      <x:c r="G3481" s="12" t="n">
        <x:v>1440597.4506</x:v>
      </x:c>
      <x:c r="H3481" s="12" t="n">
        <x:v>135339.74173555</x:v>
      </x:c>
      <x:c r="I3481" s="13" t="n">
        <x:v>0.0815090909090909</x:v>
      </x:c>
      <x:c r="J3481" s="2" t="n">
        <x:v>1</x:v>
      </x:c>
      <x:c r="K3481" s="2" t="n">
        <x:v>7</x:v>
      </x:c>
      <x:c r="L3481" s="12" t="n">
        <x:v>1423.7093</x:v>
      </x:c>
      <x:c r="M3481" s="13" t="n">
        <x:v>0.5026080045459161</x:v>
      </x:c>
      <x:c r="N3481" s="13" t="n">
        <x:f>H3481/G3481</x:f>
        <x:v>0.09394695352208336</x:v>
      </x:c>
      <x:c r="O3481" s="13" t="n">
        <x:f>F3481/E3481</x:f>
        <x:v>0</x:v>
      </x:c>
      <x:c r="P3481" s="2" t="str">
        <x:f>IF(AND(E3481&gt;='Итоги'!$F$5,N3481&lt;='Итоги'!$B$5,O3481&gt;='Итоги'!$D$5),"Да","Нет")</x:f>
        <x:v>Нет</x:v>
      </x:c>
    </x:row>
    <x:row r="3482" ht="60" customHeight="1">
      <x:c r="A3482" s="14" t="str">
        <x:v>Товары для дома</x:v>
      </x:c>
      <x:c r="B3482" s="14" t="str">
        <x:v>Аксессуары для уборки и стирки</x:v>
      </x:c>
      <x:c r="C3482" s="14" t="str">
        <x:v>Аксессуар для уборки</x:v>
      </x:c>
      <x:c r="D3482" s="14" t="str">
        <x:v>Сгон воды для пола</x:v>
      </x:c>
      <x:c r="E3482" s="2" t="n">
        <x:v>11</x:v>
      </x:c>
      <x:c r="F3482" s="2" t="n">
        <x:v>0</x:v>
      </x:c>
      <x:c r="G3482" s="12" t="n">
        <x:v>1280626.4756</x:v>
      </x:c>
      <x:c r="H3482" s="12" t="n">
        <x:v>120432.71847347</x:v>
      </x:c>
      <x:c r="I3482" s="13" t="n">
        <x:v>0.0922454545454545</x:v>
      </x:c>
      <x:c r="J3482" s="2" t="n">
        <x:v>2</x:v>
      </x:c>
      <x:c r="K3482" s="2" t="n">
        <x:v>7</x:v>
      </x:c>
      <x:c r="L3482" s="12" t="n">
        <x:v>1203.5195</x:v>
      </x:c>
      <x:c r="M3482" s="13" t="n">
        <x:v>0.3401990822467421</x:v>
      </x:c>
      <x:c r="N3482" s="13" t="n">
        <x:f>H3482/G3482</x:f>
        <x:v>0.094042033932685</x:v>
      </x:c>
      <x:c r="O3482" s="13" t="n">
        <x:f>F3482/E3482</x:f>
        <x:v>0</x:v>
      </x:c>
      <x:c r="P3482" s="2" t="str">
        <x:f>IF(AND(E3482&gt;='Итоги'!$F$5,N3482&lt;='Итоги'!$B$5,O3482&gt;='Итоги'!$D$5),"Да","Нет")</x:f>
        <x:v>Нет</x:v>
      </x:c>
    </x:row>
    <x:row r="3483" ht="60" customHeight="1">
      <x:c r="A3483" s="14" t="str">
        <x:v>Игрушки</x:v>
      </x:c>
      <x:c r="B3483" s="14" t="str">
        <x:v>Игрушки</x:v>
      </x:c>
      <x:c r="C3483" s="14" t="str">
        <x:v>Игрушечное оружие</x:v>
      </x:c>
      <x:c r="D3483" s="14" t="str">
        <x:v>Автомат, пистолет, ружье игрушечные</x:v>
      </x:c>
      <x:c r="E3483" s="2" t="n">
        <x:v>57</x:v>
      </x:c>
      <x:c r="F3483" s="2" t="n">
        <x:v>0</x:v>
      </x:c>
      <x:c r="G3483" s="12" t="n">
        <x:v>6440753.227</x:v>
      </x:c>
      <x:c r="H3483" s="12" t="n">
        <x:v>605735.71602622</x:v>
      </x:c>
      <x:c r="I3483" s="13" t="n">
        <x:v>0.0932035087719298</x:v>
      </x:c>
      <x:c r="J3483" s="2" t="n">
        <x:v>13</x:v>
      </x:c>
      <x:c r="K3483" s="2" t="n">
        <x:v>25</x:v>
      </x:c>
      <x:c r="L3483" s="12" t="n">
        <x:v>1665.2407</x:v>
      </x:c>
      <x:c r="M3483" s="13" t="n">
        <x:v>0.3653057425545734</x:v>
      </x:c>
      <x:c r="N3483" s="13" t="n">
        <x:f>H3483/G3483</x:f>
        <x:v>0.09404734115366224</x:v>
      </x:c>
      <x:c r="O3483" s="13" t="n">
        <x:f>F3483/E3483</x:f>
        <x:v>0</x:v>
      </x:c>
      <x:c r="P3483" s="2" t="str">
        <x:f>IF(AND(E3483&gt;='Итоги'!$F$5,N3483&lt;='Итоги'!$B$5,O3483&gt;='Итоги'!$D$5),"Да","Нет")</x:f>
        <x:v>Нет</x:v>
      </x:c>
    </x:row>
    <x:row r="3484" ht="60" customHeight="1">
      <x:c r="A3484" s="14" t="str">
        <x:v>Строительство и ремонт (DIY)</x:v>
      </x:c>
      <x:c r="B3484" s="14" t="str">
        <x:v>Ремонт и строительство</x:v>
      </x:c>
      <x:c r="C3484" s="14" t="str">
        <x:v>Спецодежда, средства защиты</x:v>
      </x:c>
      <x:c r="D3484" s="14" t="str">
        <x:v>Спецодежда</x:v>
      </x:c>
      <x:c r="E3484" s="2" t="n">
        <x:v>16</x:v>
      </x:c>
      <x:c r="F3484" s="2" t="n">
        <x:v>0</x:v>
      </x:c>
      <x:c r="G3484" s="12" t="n">
        <x:v>2861666.1843</x:v>
      </x:c>
      <x:c r="H3484" s="12" t="n">
        <x:v>269165.52389402</x:v>
      </x:c>
      <x:c r="I3484" s="13" t="n">
        <x:v>0.10425</x:v>
      </x:c>
      <x:c r="J3484" s="2" t="n">
        <x:v>4</x:v>
      </x:c>
      <x:c r="K3484" s="2" t="n">
        <x:v>12</x:v>
      </x:c>
      <x:c r="L3484" s="12" t="n">
        <x:v>1320.89905</x:v>
      </x:c>
      <x:c r="M3484" s="13" t="n">
        <x:v>0.3537559743879174</x:v>
      </x:c>
      <x:c r="N3484" s="13" t="n">
        <x:f>H3484/G3484</x:f>
        <x:v>0.0940590224571778</x:v>
      </x:c>
      <x:c r="O3484" s="13" t="n">
        <x:f>F3484/E3484</x:f>
        <x:v>0</x:v>
      </x:c>
      <x:c r="P3484" s="2" t="str">
        <x:f>IF(AND(E3484&gt;='Итоги'!$F$5,N3484&lt;='Итоги'!$B$5,O3484&gt;='Итоги'!$D$5),"Да","Нет")</x:f>
        <x:v>Нет</x:v>
      </x:c>
    </x:row>
    <x:row r="3485" ht="60" customHeight="1">
      <x:c r="A3485" s="14" t="str">
        <x:v>Строительство и ремонт (DIY)</x:v>
      </x:c>
      <x:c r="B3485" s="14" t="str">
        <x:v>Инструменты</x:v>
      </x:c>
      <x:c r="C3485" s="14" t="str">
        <x:v>Измерительный инструмент</x:v>
      </x:c>
      <x:c r="D3485" s="14" t="str">
        <x:v>Линейка, угольник, угломер строительные</x:v>
      </x:c>
      <x:c r="E3485" s="2" t="n">
        <x:v>33</x:v>
      </x:c>
      <x:c r="F3485" s="2" t="n">
        <x:v>0</x:v>
      </x:c>
      <x:c r="G3485" s="12" t="n">
        <x:v>5059789.9146</x:v>
      </x:c>
      <x:c r="H3485" s="12" t="n">
        <x:v>476023.86381355</x:v>
      </x:c>
      <x:c r="I3485" s="13" t="n">
        <x:v>0.0926030303030303</x:v>
      </x:c>
      <x:c r="J3485" s="2" t="n">
        <x:v>5</x:v>
      </x:c>
      <x:c r="K3485" s="2" t="n">
        <x:v>17</x:v>
      </x:c>
      <x:c r="L3485" s="12" t="n">
        <x:v>912.8803</x:v>
      </x:c>
      <x:c r="M3485" s="13" t="n">
        <x:v>0.5067481169329734</x:v>
      </x:c>
      <x:c r="N3485" s="13" t="n">
        <x:f>H3485/G3485</x:f>
        <x:v>0.09407976849789462</x:v>
      </x:c>
      <x:c r="O3485" s="13" t="n">
        <x:f>F3485/E3485</x:f>
        <x:v>0</x:v>
      </x:c>
      <x:c r="P3485" s="2" t="str">
        <x:f>IF(AND(E3485&gt;='Итоги'!$F$5,N3485&lt;='Итоги'!$B$5,O3485&gt;='Итоги'!$D$5),"Да","Нет")</x:f>
        <x:v>Нет</x:v>
      </x:c>
    </x:row>
    <x:row r="3486" ht="60" customHeight="1">
      <x:c r="A3486" s="14" t="str">
        <x:v>Строительство и ремонт (DIY)</x:v>
      </x:c>
      <x:c r="B3486" s="14" t="str">
        <x:v>Ремонт и строительство</x:v>
      </x:c>
      <x:c r="C3486" s="14" t="str">
        <x:v>Стройматериалы</x:v>
      </x:c>
      <x:c r="D3486" s="14" t="str">
        <x:v>Комплектующие для лестницы</x:v>
      </x:c>
      <x:c r="E3486" s="2" t="n">
        <x:v>17</x:v>
      </x:c>
      <x:c r="F3486" s="2" t="n">
        <x:v>0</x:v>
      </x:c>
      <x:c r="G3486" s="12" t="n">
        <x:v>3143909.1254000003</x:v>
      </x:c>
      <x:c r="H3486" s="12" t="n">
        <x:v>295821.10710802</x:v>
      </x:c>
      <x:c r="I3486" s="13" t="n">
        <x:v>0.0800294117647058</x:v>
      </x:c>
      <x:c r="J3486" s="2" t="n">
        <x:v>2</x:v>
      </x:c>
      <x:c r="K3486" s="2" t="n">
        <x:v>8</x:v>
      </x:c>
      <x:c r="L3486" s="12" t="n">
        <x:v>5708.9231</x:v>
      </x:c>
      <x:c r="M3486" s="13" t="n">
        <x:v>0.3355905649994777</x:v>
      </x:c>
      <x:c r="N3486" s="13" t="n">
        <x:f>H3486/G3486</x:f>
        <x:v>0.09409340261079671</x:v>
      </x:c>
      <x:c r="O3486" s="13" t="n">
        <x:f>F3486/E3486</x:f>
        <x:v>0</x:v>
      </x:c>
      <x:c r="P3486" s="2" t="str">
        <x:f>IF(AND(E3486&gt;='Итоги'!$F$5,N3486&lt;='Итоги'!$B$5,O3486&gt;='Итоги'!$D$5),"Да","Нет")</x:f>
        <x:v>Нет</x:v>
      </x:c>
    </x:row>
    <x:row r="3487" ht="60" customHeight="1">
      <x:c r="A3487" s="14" t="str">
        <x:v>Спорт и отдых</x:v>
      </x:c>
      <x:c r="B3487" s="14" t="str">
        <x:v>Водные виды спорта</x:v>
      </x:c>
      <x:c r="C3487" s="14" t="str">
        <x:v>Плавание</x:v>
      </x:c>
      <x:c r="D3487" s="14" t="str">
        <x:v>Жилет надувной для плавания</x:v>
      </x:c>
      <x:c r="E3487" s="2" t="n">
        <x:v>43</x:v>
      </x:c>
      <x:c r="F3487" s="2" t="n">
        <x:v>0</x:v>
      </x:c>
      <x:c r="G3487" s="12" t="n">
        <x:v>5771929.1927000005</x:v>
      </x:c>
      <x:c r="H3487" s="12" t="n">
        <x:v>543516.43706705</x:v>
      </x:c>
      <x:c r="I3487" s="13" t="n">
        <x:v>0.0751</x:v>
      </x:c>
      <x:c r="J3487" s="2" t="n">
        <x:v>12</x:v>
      </x:c>
      <x:c r="K3487" s="2" t="n">
        <x:v>11</x:v>
      </x:c>
      <x:c r="L3487" s="12" t="n">
        <x:v>1928.1836</x:v>
      </x:c>
      <x:c r="M3487" s="13" t="n">
        <x:v>0.4947356115892013</x:v>
      </x:c>
      <x:c r="N3487" s="13" t="n">
        <x:f>H3487/G3487</x:f>
        <x:v>0.09416547204952859</x:v>
      </x:c>
      <x:c r="O3487" s="13" t="n">
        <x:f>F3487/E3487</x:f>
        <x:v>0</x:v>
      </x:c>
      <x:c r="P3487" s="2" t="str">
        <x:f>IF(AND(E3487&gt;='Итоги'!$F$5,N3487&lt;='Итоги'!$B$5,O3487&gt;='Итоги'!$D$5),"Да","Нет")</x:f>
        <x:v>Нет</x:v>
      </x:c>
    </x:row>
    <x:row r="3488" ht="60" customHeight="1">
      <x:c r="A3488" s="14" t="str">
        <x:v>Автотовары</x:v>
      </x:c>
      <x:c r="B3488" s="14" t="str">
        <x:v>Масла и автохимия</x:v>
      </x:c>
      <x:c r="C3488" s="14" t="str">
        <x:v>Товары для детейлинга</x:v>
      </x:c>
      <x:c r="D3488" s="14" t="str">
        <x:v>Автохимия - Очиститель экстерьера</x:v>
      </x:c>
      <x:c r="E3488" s="2" t="n">
        <x:v>13</x:v>
      </x:c>
      <x:c r="F3488" s="2" t="n">
        <x:v>0</x:v>
      </x:c>
      <x:c r="G3488" s="12" t="n">
        <x:v>1568266.3843</x:v>
      </x:c>
      <x:c r="H3488" s="12" t="n">
        <x:v>147691.76359191</x:v>
      </x:c>
      <x:c r="I3488" s="13" t="n">
        <x:v>0.0666384615384615</x:v>
      </x:c>
      <x:c r="J3488" s="2" t="n">
        <x:v>5</x:v>
      </x:c>
      <x:c r="K3488" s="2" t="n">
        <x:v>2</x:v>
      </x:c>
      <x:c r="L3488" s="12" t="n">
        <x:v>1095.4231</x:v>
      </x:c>
      <x:c r="M3488" s="13" t="n">
        <x:v>0.9682426400906182</x:v>
      </x:c>
      <x:c r="N3488" s="13" t="n">
        <x:f>H3488/G3488</x:f>
        <x:v>0.09417517653280098</x:v>
      </x:c>
      <x:c r="O3488" s="13" t="n">
        <x:f>F3488/E3488</x:f>
        <x:v>0</x:v>
      </x:c>
      <x:c r="P3488" s="2" t="str">
        <x:f>IF(AND(E3488&gt;='Итоги'!$F$5,N3488&lt;='Итоги'!$B$5,O3488&gt;='Итоги'!$D$5),"Да","Нет")</x:f>
        <x:v>Нет</x:v>
      </x:c>
    </x:row>
    <x:row r="3489" ht="60" customHeight="1">
      <x:c r="A3489" s="14" t="str">
        <x:v>Товары для дома</x:v>
      </x:c>
      <x:c r="B3489" s="14" t="str">
        <x:v>Кухня</x:v>
      </x:c>
      <x:c r="C3489" s="14" t="str">
        <x:v>Столовая посуда</x:v>
      </x:c>
      <x:c r="D3489" s="14" t="str">
        <x:v>Фруктовница</x:v>
      </x:c>
      <x:c r="E3489" s="2" t="n">
        <x:v>7</x:v>
      </x:c>
      <x:c r="F3489" s="2" t="n">
        <x:v>0</x:v>
      </x:c>
      <x:c r="G3489" s="12" t="n">
        <x:v>671383.4306000001</x:v>
      </x:c>
      <x:c r="H3489" s="12" t="n">
        <x:v>63309.58142166</x:v>
      </x:c>
      <x:c r="I3489" s="13" t="n">
        <x:v>0.0939428571428571</x:v>
      </x:c>
      <x:c r="J3489" s="2" t="n">
        <x:v>1</x:v>
      </x:c>
      <x:c r="K3489" s="2" t="n">
        <x:v>4</x:v>
      </x:c>
      <x:c r="L3489" s="12" t="n">
        <x:v>1015.1977</x:v>
      </x:c>
      <x:c r="M3489" s="13" t="n">
        <x:v>0.5999467997594636</x:v>
      </x:c>
      <x:c r="N3489" s="13" t="n">
        <x:f>H3489/G3489</x:f>
        <x:v>0.0942972056445922</x:v>
      </x:c>
      <x:c r="O3489" s="13" t="n">
        <x:f>F3489/E3489</x:f>
        <x:v>0</x:v>
      </x:c>
      <x:c r="P3489" s="2" t="str">
        <x:f>IF(AND(E3489&gt;='Итоги'!$F$5,N3489&lt;='Итоги'!$B$5,O3489&gt;='Итоги'!$D$5),"Да","Нет")</x:f>
        <x:v>Нет</x:v>
      </x:c>
    </x:row>
    <x:row r="3490" ht="60" customHeight="1">
      <x:c r="A3490" s="14" t="str">
        <x:v>Товары для дома</x:v>
      </x:c>
      <x:c r="B3490" s="14" t="str">
        <x:v>Антиквариат Хоум Декор</x:v>
      </x:c>
      <x:c r="C3490" s="14" t="str">
        <x:v>Коллекционирование Хоум Декор</x:v>
      </x:c>
      <x:c r="D3490" s="14" t="str">
        <x:v>Капсула для монет</x:v>
      </x:c>
      <x:c r="E3490" s="2" t="n">
        <x:v>1</x:v>
      </x:c>
      <x:c r="F3490" s="2" t="n">
        <x:v>0</x:v>
      </x:c>
      <x:c r="G3490" s="12" t="n">
        <x:v>78191.5763</x:v>
      </x:c>
      <x:c r="H3490" s="12" t="n">
        <x:v>7373.465645089999</x:v>
      </x:c>
      <x:c r="I3490" s="13" t="n">
        <x:v>0.0943</x:v>
      </x:c>
      <x:c r="J3490" s="2" t="n">
        <x:v>0</x:v>
      </x:c>
      <x:c r="K3490" s="2" t="n">
        <x:v>1</x:v>
      </x:c>
      <x:c r="L3490" s="12" t="n">
        <x:v>1447.9922</x:v>
      </x:c>
      <x:c r="M3490" s="13" t="n">
        <x:v>1</x:v>
      </x:c>
      <x:c r="N3490" s="13" t="n">
        <x:f>H3490/G3490</x:f>
        <x:v>0.0943</x:v>
      </x:c>
      <x:c r="O3490" s="13" t="n">
        <x:f>F3490/E3490</x:f>
        <x:v>0</x:v>
      </x:c>
      <x:c r="P3490" s="2" t="str">
        <x:f>IF(AND(E3490&gt;='Итоги'!$F$5,N3490&lt;='Итоги'!$B$5,O3490&gt;='Итоги'!$D$5),"Да","Нет")</x:f>
        <x:v>Нет</x:v>
      </x:c>
    </x:row>
    <x:row r="3491" ht="60" customHeight="1">
      <x:c r="A3491" s="14" t="str">
        <x:v>Напитки</x:v>
      </x:c>
      <x:c r="B3491" s="14" t="str">
        <x:v>Напитки горячие</x:v>
      </x:c>
      <x:c r="C3491" s="14" t="str">
        <x:v>Чай</x:v>
      </x:c>
      <x:c r="D3491" s="14" t="str">
        <x:v>Чай травяной</x:v>
      </x:c>
      <x:c r="E3491" s="2" t="n">
        <x:v>13</x:v>
      </x:c>
      <x:c r="F3491" s="2" t="n">
        <x:v>0</x:v>
      </x:c>
      <x:c r="G3491" s="12" t="n">
        <x:v>2383515.291</x:v>
      </x:c>
      <x:c r="H3491" s="12" t="n">
        <x:v>224887.40670731</x:v>
      </x:c>
      <x:c r="I3491" s="13" t="n">
        <x:v>0.0921846153846153</x:v>
      </x:c>
      <x:c r="J3491" s="2" t="n">
        <x:v>1</x:v>
      </x:c>
      <x:c r="K3491" s="2" t="n">
        <x:v>7</x:v>
      </x:c>
      <x:c r="L3491" s="12" t="n">
        <x:v>1356.3211</x:v>
      </x:c>
      <x:c r="M3491" s="13" t="n">
        <x:v>0.3985736201429723</x:v>
      </x:c>
      <x:c r="N3491" s="13" t="n">
        <x:f>H3491/G3491</x:f>
        <x:v>0.09435114914364943</x:v>
      </x:c>
      <x:c r="O3491" s="13" t="n">
        <x:f>F3491/E3491</x:f>
        <x:v>0</x:v>
      </x:c>
      <x:c r="P3491" s="2" t="str">
        <x:f>IF(AND(E3491&gt;='Итоги'!$F$5,N3491&lt;='Итоги'!$B$5,O3491&gt;='Итоги'!$D$5),"Да","Нет")</x:f>
        <x:v>Нет</x:v>
      </x:c>
    </x:row>
    <x:row r="3492" ht="60" customHeight="1">
      <x:c r="A3492" s="14" t="str">
        <x:v>Аксессуары</x:v>
      </x:c>
      <x:c r="B3492" s="14" t="str">
        <x:v>Сумки и рюкзаки</x:v>
      </x:c>
      <x:c r="C3492" s="14" t="str">
        <x:v>Сумки и рюкзаки для детей</x:v>
      </x:c>
      <x:c r="D3492" s="14" t="str">
        <x:v>Детский рюкзак</x:v>
      </x:c>
      <x:c r="E3492" s="2" t="n">
        <x:v>113</x:v>
      </x:c>
      <x:c r="F3492" s="2" t="n">
        <x:v>0</x:v>
      </x:c>
      <x:c r="G3492" s="12" t="n">
        <x:v>14506520.7774</x:v>
      </x:c>
      <x:c r="H3492" s="12" t="n">
        <x:v>1370482.83797147</x:v>
      </x:c>
      <x:c r="I3492" s="13" t="n">
        <x:v>0.0867610619469026</x:v>
      </x:c>
      <x:c r="J3492" s="2" t="n">
        <x:v>24</x:v>
      </x:c>
      <x:c r="K3492" s="2" t="n">
        <x:v>32</x:v>
      </x:c>
      <x:c r="L3492" s="12" t="n">
        <x:v>1573.2255</x:v>
      </x:c>
      <x:c r="M3492" s="13" t="n">
        <x:v>0.4998342649600898</x:v>
      </x:c>
      <x:c r="N3492" s="13" t="n">
        <x:f>H3492/G3492</x:f>
        <x:v>0.09447357219565514</x:v>
      </x:c>
      <x:c r="O3492" s="13" t="n">
        <x:f>F3492/E3492</x:f>
        <x:v>0</x:v>
      </x:c>
      <x:c r="P3492" s="2" t="str">
        <x:f>IF(AND(E3492&gt;='Итоги'!$F$5,N3492&lt;='Итоги'!$B$5,O3492&gt;='Итоги'!$D$5),"Да","Нет")</x:f>
        <x:v>Нет</x:v>
      </x:c>
    </x:row>
    <x:row r="3493" ht="60" customHeight="1">
      <x:c r="A3493" s="14" t="str">
        <x:v>Детская одежда</x:v>
      </x:c>
      <x:c r="B3493" s="14" t="str">
        <x:v>Детская обувь</x:v>
      </x:c>
      <x:c r="C3493" s="14" t="str">
        <x:v>Обувь для мальчика</x:v>
      </x:c>
      <x:c r="D3493" s="14" t="str">
        <x:v>Ортопедические кроссовки для мальчика</x:v>
      </x:c>
      <x:c r="E3493" s="2" t="n">
        <x:v>23</x:v>
      </x:c>
      <x:c r="F3493" s="2" t="n">
        <x:v>0</x:v>
      </x:c>
      <x:c r="G3493" s="12" t="n">
        <x:v>1409663.0324</x:v>
      </x:c>
      <x:c r="H3493" s="12" t="n">
        <x:v>133207.84595477</x:v>
      </x:c>
      <x:c r="I3493" s="13" t="n">
        <x:v>0.0825608695652174</x:v>
      </x:c>
      <x:c r="J3493" s="2" t="n">
        <x:v>6</x:v>
      </x:c>
      <x:c r="K3493" s="2" t="n">
        <x:v>5</x:v>
      </x:c>
      <x:c r="L3493" s="12" t="n">
        <x:v>1788.4931</x:v>
      </x:c>
      <x:c r="M3493" s="13" t="n">
        <x:v>0.7597080563123662</x:v>
      </x:c>
      <x:c r="N3493" s="13" t="n">
        <x:f>H3493/G3493</x:f>
        <x:v>0.09449623271171341</x:v>
      </x:c>
      <x:c r="O3493" s="13" t="n">
        <x:f>F3493/E3493</x:f>
        <x:v>0</x:v>
      </x:c>
      <x:c r="P3493" s="2" t="str">
        <x:f>IF(AND(E3493&gt;='Итоги'!$F$5,N3493&lt;='Итоги'!$B$5,O3493&gt;='Итоги'!$D$5),"Да","Нет")</x:f>
        <x:v>Нет</x:v>
      </x:c>
    </x:row>
    <x:row r="3494" ht="60" customHeight="1">
      <x:c r="A3494" s="14" t="str">
        <x:v>Аптека</x:v>
      </x:c>
      <x:c r="B3494" s="14" t="str">
        <x:v>Парафармацевтика</x:v>
      </x:c>
      <x:c r="C3494" s="14" t="str">
        <x:v>Парафармацевтика</x:v>
      </x:c>
      <x:c r="D3494" s="14" t="str">
        <x:v>Комплексная пищевая добавка</x:v>
      </x:c>
      <x:c r="E3494" s="2" t="n">
        <x:v>416</x:v>
      </x:c>
      <x:c r="F3494" s="2" t="n">
        <x:v>0</x:v>
      </x:c>
      <x:c r="G3494" s="12" t="n">
        <x:v>73167524.9094</x:v>
      </x:c>
      <x:c r="H3494" s="12" t="n">
        <x:v>6914680.82049754</x:v>
      </x:c>
      <x:c r="I3494" s="13" t="n">
        <x:v>0.0887983173076923</x:v>
      </x:c>
      <x:c r="J3494" s="2" t="n">
        <x:v>102</x:v>
      </x:c>
      <x:c r="K3494" s="2" t="n">
        <x:v>146</x:v>
      </x:c>
      <x:c r="L3494" s="12" t="n">
        <x:v>1414.53605</x:v>
      </x:c>
      <x:c r="M3494" s="13" t="n">
        <x:v>0.4106417713186847</x:v>
      </x:c>
      <x:c r="N3494" s="13" t="n">
        <x:f>H3494/G3494</x:f>
        <x:v>0.09450477966911786</x:v>
      </x:c>
      <x:c r="O3494" s="13" t="n">
        <x:f>F3494/E3494</x:f>
        <x:v>0</x:v>
      </x:c>
      <x:c r="P3494" s="2" t="str">
        <x:f>IF(AND(E3494&gt;='Итоги'!$F$5,N3494&lt;='Итоги'!$B$5,O3494&gt;='Итоги'!$D$5),"Да","Нет")</x:f>
        <x:v>Нет</x:v>
      </x:c>
    </x:row>
    <x:row r="3495" ht="60" customHeight="1">
      <x:c r="A3495" s="14" t="str">
        <x:v>Спорт и отдых</x:v>
      </x:c>
      <x:c r="B3495" s="14" t="str">
        <x:v>Колесный транспорт</x:v>
      </x:c>
      <x:c r="C3495" s="14" t="str">
        <x:v>Инструменты для велосипеда</x:v>
      </x:c>
      <x:c r="D3495" s="14" t="str">
        <x:v>Инструменты для велосипеда</x:v>
      </x:c>
      <x:c r="E3495" s="2" t="n">
        <x:v>10</x:v>
      </x:c>
      <x:c r="F3495" s="2" t="n">
        <x:v>0</x:v>
      </x:c>
      <x:c r="G3495" s="12" t="n">
        <x:v>1533093.0206</x:v>
      </x:c>
      <x:c r="H3495" s="12" t="n">
        <x:v>144887.40461856</x:v>
      </x:c>
      <x:c r="I3495" s="13" t="n">
        <x:v>0.11935</x:v>
      </x:c>
      <x:c r="J3495" s="2" t="n">
        <x:v>1</x:v>
      </x:c>
      <x:c r="K3495" s="2" t="n">
        <x:v>4</x:v>
      </x:c>
      <x:c r="L3495" s="12" t="n">
        <x:v>1245.50405</x:v>
      </x:c>
      <x:c r="M3495" s="13" t="n">
        <x:v>0.8164673118856935</x:v>
      </x:c>
      <x:c r="N3495" s="13" t="n">
        <x:f>H3495/G3495</x:f>
        <x:v>0.09450659723299505</x:v>
      </x:c>
      <x:c r="O3495" s="13" t="n">
        <x:f>F3495/E3495</x:f>
        <x:v>0</x:v>
      </x:c>
      <x:c r="P3495" s="2" t="str">
        <x:f>IF(AND(E3495&gt;='Итоги'!$F$5,N3495&lt;='Итоги'!$B$5,O3495&gt;='Итоги'!$D$5),"Да","Нет")</x:f>
        <x:v>Нет</x:v>
      </x:c>
    </x:row>
    <x:row r="3496" ht="60" customHeight="1">
      <x:c r="A3496" s="14" t="str">
        <x:v>Аксессуары</x:v>
      </x:c>
      <x:c r="B3496" s="14" t="str">
        <x:v>Сумки и рюкзаки</x:v>
      </x:c>
      <x:c r="C3496" s="14" t="str">
        <x:v>Рюкзак</x:v>
      </x:c>
      <x:c r="D3496" s="14" t="str">
        <x:v>Рюкзак мужской</x:v>
      </x:c>
      <x:c r="E3496" s="2" t="n">
        <x:v>380</x:v>
      </x:c>
      <x:c r="F3496" s="2" t="n">
        <x:v>0</x:v>
      </x:c>
      <x:c r="G3496" s="12" t="n">
        <x:v>54314953.7936</x:v>
      </x:c>
      <x:c r="H3496" s="12" t="n">
        <x:v>5144215.6732746</x:v>
      </x:c>
      <x:c r="I3496" s="13" t="n">
        <x:v>0.0911228947368421</x:v>
      </x:c>
      <x:c r="J3496" s="2" t="n">
        <x:v>108</x:v>
      </x:c>
      <x:c r="K3496" s="2" t="n">
        <x:v>99</x:v>
      </x:c>
      <x:c r="L3496" s="12" t="n">
        <x:v>2971.8125</x:v>
      </x:c>
      <x:c r="M3496" s="13" t="n">
        <x:v>0.4154507622421817</x:v>
      </x:c>
      <x:c r="N3496" s="13" t="n">
        <x:f>H3496/G3496</x:f>
        <x:v>0.09471085426718616</x:v>
      </x:c>
      <x:c r="O3496" s="13" t="n">
        <x:f>F3496/E3496</x:f>
        <x:v>0</x:v>
      </x:c>
      <x:c r="P3496" s="2" t="str">
        <x:f>IF(AND(E3496&gt;='Итоги'!$F$5,N3496&lt;='Итоги'!$B$5,O3496&gt;='Итоги'!$D$5),"Да","Нет")</x:f>
        <x:v>Нет</x:v>
      </x:c>
    </x:row>
    <x:row r="3497" ht="60" customHeight="1">
      <x:c r="A3497" s="14" t="str">
        <x:v>Товары для дома</x:v>
      </x:c>
      <x:c r="B3497" s="14" t="str">
        <x:v>Хранение</x:v>
      </x:c>
      <x:c r="C3497" s="14" t="str">
        <x:v>Товары для хранения</x:v>
      </x:c>
      <x:c r="D3497" s="14" t="str">
        <x:v>Кофр для хранения</x:v>
      </x:c>
      <x:c r="E3497" s="2" t="n">
        <x:v>35</x:v>
      </x:c>
      <x:c r="F3497" s="2" t="n">
        <x:v>0</x:v>
      </x:c>
      <x:c r="G3497" s="12" t="n">
        <x:v>5698384.0089</x:v>
      </x:c>
      <x:c r="H3497" s="12" t="n">
        <x:v>540090.2214869501</x:v>
      </x:c>
      <x:c r="I3497" s="13" t="n">
        <x:v>0.1088028571428571</x:v>
      </x:c>
      <x:c r="J3497" s="2" t="n">
        <x:v>4</x:v>
      </x:c>
      <x:c r="K3497" s="2" t="n">
        <x:v>16</x:v>
      </x:c>
      <x:c r="L3497" s="12" t="n">
        <x:v>1025.4145</x:v>
      </x:c>
      <x:c r="M3497" s="13" t="n">
        <x:v>0.4215377368651032</x:v>
      </x:c>
      <x:c r="N3497" s="13" t="n">
        <x:f>H3497/G3497</x:f>
        <x:v>0.09477954111962482</x:v>
      </x:c>
      <x:c r="O3497" s="13" t="n">
        <x:f>F3497/E3497</x:f>
        <x:v>0</x:v>
      </x:c>
      <x:c r="P3497" s="2" t="str">
        <x:f>IF(AND(E3497&gt;='Итоги'!$F$5,N3497&lt;='Итоги'!$B$5,O3497&gt;='Итоги'!$D$5),"Да","Нет")</x:f>
        <x:v>Нет</x:v>
      </x:c>
    </x:row>
    <x:row r="3498" ht="60" customHeight="1">
      <x:c r="A3498" s="14" t="str">
        <x:v>Автотовары</x:v>
      </x:c>
      <x:c r="B3498" s="14" t="str">
        <x:v>Дополнительное оборудование для авто и мото техники</x:v>
      </x:c>
      <x:c r="C3498" s="14" t="str">
        <x:v>Дополнительное электрооборудование для авто</x:v>
      </x:c>
      <x:c r="D3498" s="14" t="str">
        <x:v>Антенна автомобильная</x:v>
      </x:c>
      <x:c r="E3498" s="2" t="n">
        <x:v>12</x:v>
      </x:c>
      <x:c r="F3498" s="2" t="n">
        <x:v>0</x:v>
      </x:c>
      <x:c r="G3498" s="12" t="n">
        <x:v>1268338.9544</x:v>
      </x:c>
      <x:c r="H3498" s="12" t="n">
        <x:v>120241.06512482</x:v>
      </x:c>
      <x:c r="I3498" s="13" t="n">
        <x:v>0.0573666666666666</x:v>
      </x:c>
      <x:c r="J3498" s="2" t="n">
        <x:v>2</x:v>
      </x:c>
      <x:c r="K3498" s="2" t="n">
        <x:v>8</x:v>
      </x:c>
      <x:c r="L3498" s="12" t="n">
        <x:v>1518.9526</x:v>
      </x:c>
      <x:c r="M3498" s="13" t="n">
        <x:v>0.3582626071080168</x:v>
      </x:c>
      <x:c r="N3498" s="13" t="n">
        <x:f>H3498/G3498</x:f>
        <x:v>0.0948019965070782</x:v>
      </x:c>
      <x:c r="O3498" s="13" t="n">
        <x:f>F3498/E3498</x:f>
        <x:v>0</x:v>
      </x:c>
      <x:c r="P3498" s="2" t="str">
        <x:f>IF(AND(E3498&gt;='Итоги'!$F$5,N3498&lt;='Итоги'!$B$5,O3498&gt;='Итоги'!$D$5),"Да","Нет")</x:f>
        <x:v>Нет</x:v>
      </x:c>
    </x:row>
    <x:row r="3499" ht="60" customHeight="1">
      <x:c r="A3499" s="14" t="str">
        <x:v>Спорт и отдых</x:v>
      </x:c>
      <x:c r="B3499" s="14" t="str">
        <x:v>Товары для рыбалки</x:v>
      </x:c>
      <x:c r="C3499" s="14" t="str">
        <x:v>Удилища, спиннинги</x:v>
      </x:c>
      <x:c r="D3499" s="14" t="str">
        <x:v>Удилище, спиннинг</x:v>
      </x:c>
      <x:c r="E3499" s="2" t="n">
        <x:v>349</x:v>
      </x:c>
      <x:c r="F3499" s="2" t="n">
        <x:v>0</x:v>
      </x:c>
      <x:c r="G3499" s="12" t="n">
        <x:v>50708330.4506</x:v>
      </x:c>
      <x:c r="H3499" s="12" t="n">
        <x:v>4811927.19856544</x:v>
      </x:c>
      <x:c r="I3499" s="13" t="n">
        <x:v>0.0724616045845272</x:v>
      </x:c>
      <x:c r="J3499" s="2" t="n">
        <x:v>90</x:v>
      </x:c>
      <x:c r="K3499" s="2" t="n">
        <x:v>50</x:v>
      </x:c>
      <x:c r="L3499" s="12" t="n">
        <x:v>1859</x:v>
      </x:c>
      <x:c r="M3499" s="13" t="n">
        <x:v>0.4311661116569319</x:v>
      </x:c>
      <x:c r="N3499" s="13" t="n">
        <x:f>H3499/G3499</x:f>
        <x:v>0.09489421473367605</x:v>
      </x:c>
      <x:c r="O3499" s="13" t="n">
        <x:f>F3499/E3499</x:f>
        <x:v>0</x:v>
      </x:c>
      <x:c r="P3499" s="2" t="str">
        <x:f>IF(AND(E3499&gt;='Итоги'!$F$5,N3499&lt;='Итоги'!$B$5,O3499&gt;='Итоги'!$D$5),"Да","Нет")</x:f>
        <x:v>Нет</x:v>
      </x:c>
    </x:row>
    <x:row r="3500" ht="60" customHeight="1">
      <x:c r="A3500" s="14" t="str">
        <x:v>Напитки</x:v>
      </x:c>
      <x:c r="B3500" s="14" t="str">
        <x:v>Напитки холодные</x:v>
      </x:c>
      <x:c r="C3500" s="14" t="str">
        <x:v>Кисель, компот, сок</x:v>
      </x:c>
      <x:c r="D3500" s="14" t="str">
        <x:v>Холодный кофе</x:v>
      </x:c>
      <x:c r="E3500" s="2" t="n">
        <x:v>1</x:v>
      </x:c>
      <x:c r="F3500" s="2" t="n">
        <x:v>0</x:v>
      </x:c>
      <x:c r="G3500" s="12" t="n">
        <x:v>92603</x:v>
      </x:c>
      <x:c r="H3500" s="12" t="n">
        <x:v>8788.0247</x:v>
      </x:c>
      <x:c r="I3500" s="13" t="n">
        <x:v>0.0949</x:v>
      </x:c>
      <x:c r="J3500" s="2" t="n">
        <x:v>0</x:v>
      </x:c>
      <x:c r="K3500" s="2" t="n">
        <x:v>1</x:v>
      </x:c>
      <x:c r="L3500" s="12" t="n">
        <x:v>1076.7791</x:v>
      </x:c>
      <x:c r="M3500" s="13" t="n">
        <x:v>1</x:v>
      </x:c>
      <x:c r="N3500" s="13" t="n">
        <x:f>H3500/G3500</x:f>
        <x:v>0.0949</x:v>
      </x:c>
      <x:c r="O3500" s="13" t="n">
        <x:f>F3500/E3500</x:f>
        <x:v>0</x:v>
      </x:c>
      <x:c r="P3500" s="2" t="str">
        <x:f>IF(AND(E3500&gt;='Итоги'!$F$5,N3500&lt;='Итоги'!$B$5,O3500&gt;='Итоги'!$D$5),"Да","Нет")</x:f>
        <x:v>Нет</x:v>
      </x:c>
    </x:row>
    <x:row r="3501" ht="60" customHeight="1">
      <x:c r="A3501" s="14" t="str">
        <x:v>Мелкая бытовая техника</x:v>
      </x:c>
      <x:c r="B3501" s="14" t="str">
        <x:v>Мелкая бытовая техника SDA</x:v>
      </x:c>
      <x:c r="C3501" s="14" t="str">
        <x:v>Электронная кухонная техника SDA</x:v>
      </x:c>
      <x:c r="D3501" s="14" t="str">
        <x:v>Ножеточка электрическая</x:v>
      </x:c>
      <x:c r="E3501" s="2" t="n">
        <x:v>46</x:v>
      </x:c>
      <x:c r="F3501" s="2" t="n">
        <x:v>0</x:v>
      </x:c>
      <x:c r="G3501" s="12" t="n">
        <x:v>10933452.6081</x:v>
      </x:c>
      <x:c r="H3501" s="12" t="n">
        <x:v>1037740.01026309</x:v>
      </x:c>
      <x:c r="I3501" s="13" t="n">
        <x:v>0.0857086956521739</x:v>
      </x:c>
      <x:c r="J3501" s="2" t="n">
        <x:v>8</x:v>
      </x:c>
      <x:c r="K3501" s="2" t="n">
        <x:v>22</x:v>
      </x:c>
      <x:c r="L3501" s="12" t="n">
        <x:v>2060.35655</x:v>
      </x:c>
      <x:c r="M3501" s="13" t="n">
        <x:v>0.5303998503550251</x:v>
      </x:c>
      <x:c r="N3501" s="13" t="n">
        <x:f>H3501/G3501</x:f>
        <x:v>0.09491420939569307</x:v>
      </x:c>
      <x:c r="O3501" s="13" t="n">
        <x:f>F3501/E3501</x:f>
        <x:v>0</x:v>
      </x:c>
      <x:c r="P3501" s="2" t="str">
        <x:f>IF(AND(E3501&gt;='Итоги'!$F$5,N3501&lt;='Итоги'!$B$5,O3501&gt;='Итоги'!$D$5),"Да","Нет")</x:f>
        <x:v>Нет</x:v>
      </x:c>
    </x:row>
    <x:row r="3502" ht="60" customHeight="1">
      <x:c r="A3502" s="14" t="str">
        <x:v>Строительство и ремонт (DIY)</x:v>
      </x:c>
      <x:c r="B3502" s="14" t="str">
        <x:v>Сад и огород</x:v>
      </x:c>
      <x:c r="C3502" s="14" t="str">
        <x:v>Загородный отдых</x:v>
      </x:c>
      <x:c r="D3502" s="14" t="str">
        <x:v>Мусоросжигатель для дачи</x:v>
      </x:c>
      <x:c r="E3502" s="2" t="n">
        <x:v>15</x:v>
      </x:c>
      <x:c r="F3502" s="2" t="n">
        <x:v>0</x:v>
      </x:c>
      <x:c r="G3502" s="12" t="n">
        <x:v>2605706.58</x:v>
      </x:c>
      <x:c r="H3502" s="12" t="n">
        <x:v>247397.468206</x:v>
      </x:c>
      <x:c r="I3502" s="13" t="n">
        <x:v>0.0999733333333333</x:v>
      </x:c>
      <x:c r="J3502" s="2" t="n">
        <x:v>2</x:v>
      </x:c>
      <x:c r="K3502" s="2" t="n">
        <x:v>4</x:v>
      </x:c>
      <x:c r="L3502" s="12" t="n">
        <x:v>16983.25</x:v>
      </x:c>
      <x:c r="M3502" s="13" t="n">
        <x:v>0.5980849923631847</x:v>
      </x:c>
      <x:c r="N3502" s="13" t="n">
        <x:f>H3502/G3502</x:f>
        <x:v>0.09494448458045494</x:v>
      </x:c>
      <x:c r="O3502" s="13" t="n">
        <x:f>F3502/E3502</x:f>
        <x:v>0</x:v>
      </x:c>
      <x:c r="P3502" s="2" t="str">
        <x:f>IF(AND(E3502&gt;='Итоги'!$F$5,N3502&lt;='Итоги'!$B$5,O3502&gt;='Итоги'!$D$5),"Да","Нет")</x:f>
        <x:v>Нет</x:v>
      </x:c>
    </x:row>
    <x:row r="3503" ht="60" customHeight="1">
      <x:c r="A3503" s="14" t="str">
        <x:v>Ноутбуки и компьютеры</x:v>
      </x:c>
      <x:c r="B3503" s="14" t="str">
        <x:v>Фото и видео Lap&amp;Comp</x:v>
      </x:c>
      <x:c r="C3503" s="14" t="str">
        <x:v>Видеокамера Lap&amp;Comp</x:v>
      </x:c>
      <x:c r="D3503" s="14" t="str">
        <x:v>Квадрокоптер</x:v>
      </x:c>
      <x:c r="E3503" s="2" t="n">
        <x:v>126</x:v>
      </x:c>
      <x:c r="F3503" s="2" t="n">
        <x:v>0</x:v>
      </x:c>
      <x:c r="G3503" s="12" t="n">
        <x:v>29647005.92</x:v>
      </x:c>
      <x:c r="H3503" s="12" t="n">
        <x:v>2815493.490164</x:v>
      </x:c>
      <x:c r="I3503" s="13" t="n">
        <x:v>0.0939642857142857</x:v>
      </x:c>
      <x:c r="J3503" s="2" t="n">
        <x:v>26</x:v>
      </x:c>
      <x:c r="K3503" s="2" t="n">
        <x:v>45</x:v>
      </x:c>
      <x:c r="L3503" s="12" t="n">
        <x:v>3537.4108</x:v>
      </x:c>
      <x:c r="M3503" s="13" t="n">
        <x:v>0.4070341866076707</x:v>
      </x:c>
      <x:c r="N3503" s="13" t="n">
        <x:f>H3503/G3503</x:f>
        <x:v>0.0949672117906738</x:v>
      </x:c>
      <x:c r="O3503" s="13" t="n">
        <x:f>F3503/E3503</x:f>
        <x:v>0</x:v>
      </x:c>
      <x:c r="P3503" s="2" t="str">
        <x:f>IF(AND(E3503&gt;='Итоги'!$F$5,N3503&lt;='Итоги'!$B$5,O3503&gt;='Итоги'!$D$5),"Да","Нет")</x:f>
        <x:v>Нет</x:v>
      </x:c>
    </x:row>
    <x:row r="3504" ht="60" customHeight="1">
      <x:c r="A3504" s="14" t="str">
        <x:v>Бытовая химия и гигиена рта</x:v>
      </x:c>
      <x:c r="B3504" s="14" t="str">
        <x:v>Средства для стирки</x:v>
      </x:c>
      <x:c r="C3504" s="14" t="str">
        <x:v>Капсулы, таблетки для стирки</x:v>
      </x:c>
      <x:c r="D3504" s="14" t="str">
        <x:v>Капсулы, таблетки для стирки детского белья</x:v>
      </x:c>
      <x:c r="E3504" s="2" t="n">
        <x:v>1</x:v>
      </x:c>
      <x:c r="F3504" s="2" t="n">
        <x:v>0</x:v>
      </x:c>
      <x:c r="G3504" s="12" t="n">
        <x:v>151293.11</x:v>
      </x:c>
      <x:c r="H3504" s="12" t="n">
        <x:v>14372.84545</x:v>
      </x:c>
      <x:c r="I3504" s="13" t="n">
        <x:v>0.095</x:v>
      </x:c>
      <x:c r="J3504" s="2" t="n">
        <x:v>0</x:v>
      </x:c>
      <x:c r="K3504" s="2" t="n">
        <x:v>1</x:v>
      </x:c>
      <x:c r="L3504" s="12" t="n">
        <x:v>1181.9774</x:v>
      </x:c>
      <x:c r="M3504" s="13" t="n">
        <x:v>1</x:v>
      </x:c>
      <x:c r="N3504" s="13" t="n">
        <x:f>H3504/G3504</x:f>
        <x:v>0.09500000000000001</x:v>
      </x:c>
      <x:c r="O3504" s="13" t="n">
        <x:f>F3504/E3504</x:f>
        <x:v>0</x:v>
      </x:c>
      <x:c r="P3504" s="2" t="str">
        <x:f>IF(AND(E3504&gt;='Итоги'!$F$5,N3504&lt;='Итоги'!$B$5,O3504&gt;='Итоги'!$D$5),"Да","Нет")</x:f>
        <x:v>Нет</x:v>
      </x:c>
    </x:row>
    <x:row r="3505" ht="60" customHeight="1">
      <x:c r="A3505" s="14" t="str">
        <x:v>Одежда</x:v>
      </x:c>
      <x:c r="B3505" s="14" t="str">
        <x:v>Основная одежда женская</x:v>
      </x:c>
      <x:c r="C3505" s="14" t="str">
        <x:v>Основная одежда для беременных и кормящих</x:v>
      </x:c>
      <x:c r="D3505" s="14" t="str">
        <x:v>Брюки, легинсы, лосины для беременных</x:v>
      </x:c>
      <x:c r="E3505" s="2" t="n">
        <x:v>4</x:v>
      </x:c>
      <x:c r="F3505" s="2" t="n">
        <x:v>0</x:v>
      </x:c>
      <x:c r="G3505" s="12" t="n">
        <x:v>518451.1441</x:v>
      </x:c>
      <x:c r="H3505" s="12" t="n">
        <x:v>49260.09878572</x:v>
      </x:c>
      <x:c r="I3505" s="13" t="n">
        <x:v>0.0583749999999999</x:v>
      </x:c>
      <x:c r="J3505" s="2" t="n">
        <x:v>1</x:v>
      </x:c>
      <x:c r="K3505" s="2" t="n">
        <x:v>3</x:v>
      </x:c>
      <x:c r="L3505" s="12" t="n">
        <x:v>1056.16435</x:v>
      </x:c>
      <x:c r="M3505" s="13" t="n">
        <x:v>0.7774982938840814</x:v>
      </x:c>
      <x:c r="N3505" s="13" t="n">
        <x:f>H3505/G3505</x:f>
        <x:v>0.09501396485725298</x:v>
      </x:c>
      <x:c r="O3505" s="13" t="n">
        <x:f>F3505/E3505</x:f>
        <x:v>0</x:v>
      </x:c>
      <x:c r="P3505" s="2" t="str">
        <x:f>IF(AND(E3505&gt;='Итоги'!$F$5,N3505&lt;='Итоги'!$B$5,O3505&gt;='Итоги'!$D$5),"Да","Нет")</x:f>
        <x:v>Нет</x:v>
      </x:c>
    </x:row>
    <x:row r="3506" ht="60" customHeight="1">
      <x:c r="A3506" s="14" t="str">
        <x:v>Одежда</x:v>
      </x:c>
      <x:c r="B3506" s="14" t="str">
        <x:v>Основная одежда женская</x:v>
      </x:c>
      <x:c r="C3506" s="14" t="str">
        <x:v>Спортивная основная одежда женская низы</x:v>
      </x:c>
      <x:c r="D3506" s="14" t="str">
        <x:v>Спортивные легинсы женские</x:v>
      </x:c>
      <x:c r="E3506" s="2" t="n">
        <x:v>74</x:v>
      </x:c>
      <x:c r="F3506" s="2" t="n">
        <x:v>0</x:v>
      </x:c>
      <x:c r="G3506" s="12" t="n">
        <x:v>9438155.4226</x:v>
      </x:c>
      <x:c r="H3506" s="12" t="n">
        <x:v>897200.74574512</x:v>
      </x:c>
      <x:c r="I3506" s="13" t="n">
        <x:v>0.0874662162162162</x:v>
      </x:c>
      <x:c r="J3506" s="2" t="n">
        <x:v>12</x:v>
      </x:c>
      <x:c r="K3506" s="2" t="n">
        <x:v>13</x:v>
      </x:c>
      <x:c r="L3506" s="12" t="n">
        <x:v>1263.98695</x:v>
      </x:c>
      <x:c r="M3506" s="13" t="n">
        <x:v>0.4689426724317228</x:v>
      </x:c>
      <x:c r="N3506" s="13" t="n">
        <x:f>H3506/G3506</x:f>
        <x:v>0.09506102681851804</x:v>
      </x:c>
      <x:c r="O3506" s="13" t="n">
        <x:f>F3506/E3506</x:f>
        <x:v>0</x:v>
      </x:c>
      <x:c r="P3506" s="2" t="str">
        <x:f>IF(AND(E3506&gt;='Итоги'!$F$5,N3506&lt;='Итоги'!$B$5,O3506&gt;='Итоги'!$D$5),"Да","Нет")</x:f>
        <x:v>Нет</x:v>
      </x:c>
    </x:row>
    <x:row r="3507" ht="60" customHeight="1">
      <x:c r="A3507" s="14" t="str">
        <x:v>Строительство и ремонт (DIY)</x:v>
      </x:c>
      <x:c r="B3507" s="14" t="str">
        <x:v>Ремонт и строительство</x:v>
      </x:c>
      <x:c r="C3507" s="14" t="str">
        <x:v>Строительная химия</x:v>
      </x:c>
      <x:c r="D3507" s="14" t="str">
        <x:v>Клей обойный</x:v>
      </x:c>
      <x:c r="E3507" s="2" t="n">
        <x:v>3</x:v>
      </x:c>
      <x:c r="F3507" s="2" t="n">
        <x:v>0</x:v>
      </x:c>
      <x:c r="G3507" s="12" t="n">
        <x:v>391279.6719</x:v>
      </x:c>
      <x:c r="H3507" s="12" t="n">
        <x:v>37210.10401426</x:v>
      </x:c>
      <x:c r="I3507" s="13" t="n">
        <x:v>0.0738</x:v>
      </x:c>
      <x:c r="J3507" s="2" t="n">
        <x:v>1</x:v>
      </x:c>
      <x:c r="K3507" s="2" t="n">
        <x:v>3</x:v>
      </x:c>
      <x:c r="L3507" s="12" t="n">
        <x:v>1221.5212</x:v>
      </x:c>
      <x:c r="M3507" s="13" t="n">
        <x:v>0.7055408234204257</x:v>
      </x:c>
      <x:c r="N3507" s="13" t="n">
        <x:f>H3507/G3507</x:f>
        <x:v>0.09509848501347612</x:v>
      </x:c>
      <x:c r="O3507" s="13" t="n">
        <x:f>F3507/E3507</x:f>
        <x:v>0</x:v>
      </x:c>
      <x:c r="P3507" s="2" t="str">
        <x:f>IF(AND(E3507&gt;='Итоги'!$F$5,N3507&lt;='Итоги'!$B$5,O3507&gt;='Итоги'!$D$5),"Да","Нет")</x:f>
        <x:v>Нет</x:v>
      </x:c>
    </x:row>
    <x:row r="3508" ht="60" customHeight="1">
      <x:c r="A3508" s="14" t="str">
        <x:v>Товары для дома</x:v>
      </x:c>
      <x:c r="B3508" s="14" t="str">
        <x:v>Кухня</x:v>
      </x:c>
      <x:c r="C3508" s="14" t="str">
        <x:v>Посуда для чая и кофе</x:v>
      </x:c>
      <x:c r="D3508" s="14" t="str">
        <x:v>Тортница, набор для торта</x:v>
      </x:c>
      <x:c r="E3508" s="2" t="n">
        <x:v>6</x:v>
      </x:c>
      <x:c r="F3508" s="2" t="n">
        <x:v>0</x:v>
      </x:c>
      <x:c r="G3508" s="12" t="n">
        <x:v>1121862.092</x:v>
      </x:c>
      <x:c r="H3508" s="12" t="n">
        <x:v>106727.85118068</x:v>
      </x:c>
      <x:c r="I3508" s="13" t="n">
        <x:v>0.0674166666666666</x:v>
      </x:c>
      <x:c r="J3508" s="2" t="n">
        <x:v>1</x:v>
      </x:c>
      <x:c r="K3508" s="2" t="n">
        <x:v>4</x:v>
      </x:c>
      <x:c r="L3508" s="12" t="n">
        <x:v>1368.76945</x:v>
      </x:c>
      <x:c r="M3508" s="13" t="n">
        <x:v>0.4576865868465408</x:v>
      </x:c>
      <x:c r="N3508" s="13" t="n">
        <x:f>H3508/G3508</x:f>
        <x:v>0.09513455525572746</x:v>
      </x:c>
      <x:c r="O3508" s="13" t="n">
        <x:f>F3508/E3508</x:f>
        <x:v>0</x:v>
      </x:c>
      <x:c r="P3508" s="2" t="str">
        <x:f>IF(AND(E3508&gt;='Итоги'!$F$5,N3508&lt;='Итоги'!$B$5,O3508&gt;='Итоги'!$D$5),"Да","Нет")</x:f>
        <x:v>Нет</x:v>
      </x:c>
    </x:row>
    <x:row r="3509" ht="60" customHeight="1">
      <x:c r="A3509" s="14" t="str">
        <x:v>Товары для красоты и здоровья</x:v>
      </x:c>
      <x:c r="B3509" s="14" t="str">
        <x:v>Парфюмерия, ароматерапия</x:v>
      </x:c>
      <x:c r="C3509" s="14" t="str">
        <x:v>Парфюмерия для женщин</x:v>
      </x:c>
      <x:c r="D3509" s="14" t="str">
        <x:v>Духи сухие, масляные</x:v>
      </x:c>
      <x:c r="E3509" s="2" t="n">
        <x:v>5</x:v>
      </x:c>
      <x:c r="F3509" s="2" t="n">
        <x:v>0</x:v>
      </x:c>
      <x:c r="G3509" s="12" t="n">
        <x:v>552827.1873</x:v>
      </x:c>
      <x:c r="H3509" s="12" t="n">
        <x:v>52630.32583310999</x:v>
      </x:c>
      <x:c r="I3509" s="13" t="n">
        <x:v>0.08746</x:v>
      </x:c>
      <x:c r="J3509" s="2" t="n">
        <x:v>0</x:v>
      </x:c>
      <x:c r="K3509" s="2" t="n">
        <x:v>3</x:v>
      </x:c>
      <x:c r="L3509" s="12" t="n">
        <x:v>1704.3718</x:v>
      </x:c>
      <x:c r="M3509" s="13" t="n">
        <x:v>0.5106192974673913</x:v>
      </x:c>
      <x:c r="N3509" s="13" t="n">
        <x:f>H3509/G3509</x:f>
        <x:v>0.09520213014514671</x:v>
      </x:c>
      <x:c r="O3509" s="13" t="n">
        <x:f>F3509/E3509</x:f>
        <x:v>0</x:v>
      </x:c>
      <x:c r="P3509" s="2" t="str">
        <x:f>IF(AND(E3509&gt;='Итоги'!$F$5,N3509&lt;='Итоги'!$B$5,O3509&gt;='Итоги'!$D$5),"Да","Нет")</x:f>
        <x:v>Нет</x:v>
      </x:c>
    </x:row>
    <x:row r="3510" ht="60" customHeight="1">
      <x:c r="A3510" s="14" t="str">
        <x:v>Товары для дома</x:v>
      </x:c>
      <x:c r="B3510" s="14" t="str">
        <x:v>Кухня</x:v>
      </x:c>
      <x:c r="C3510" s="14" t="str">
        <x:v>Столовая посуда</x:v>
      </x:c>
      <x:c r="D3510" s="14" t="str">
        <x:v>Менажница</x:v>
      </x:c>
      <x:c r="E3510" s="2" t="n">
        <x:v>15</x:v>
      </x:c>
      <x:c r="F3510" s="2" t="n">
        <x:v>0</x:v>
      </x:c>
      <x:c r="G3510" s="12" t="n">
        <x:v>1829073.1002</x:v>
      </x:c>
      <x:c r="H3510" s="12" t="n">
        <x:v>174133.91353008</x:v>
      </x:c>
      <x:c r="I3510" s="13" t="n">
        <x:v>0.09526</x:v>
      </x:c>
      <x:c r="J3510" s="2" t="n">
        <x:v>4</x:v>
      </x:c>
      <x:c r="K3510" s="2" t="n">
        <x:v>7</x:v>
      </x:c>
      <x:c r="L3510" s="12" t="n">
        <x:v>1079.7188</x:v>
      </x:c>
      <x:c r="M3510" s="13" t="n">
        <x:v>0.5577018347098646</x:v>
      </x:c>
      <x:c r="N3510" s="13" t="n">
        <x:f>H3510/G3510</x:f>
        <x:v>0.09520336475947261</x:v>
      </x:c>
      <x:c r="O3510" s="13" t="n">
        <x:f>F3510/E3510</x:f>
        <x:v>0</x:v>
      </x:c>
      <x:c r="P3510" s="2" t="str">
        <x:f>IF(AND(E3510&gt;='Итоги'!$F$5,N3510&lt;='Итоги'!$B$5,O3510&gt;='Итоги'!$D$5),"Да","Нет")</x:f>
        <x:v>Нет</x:v>
      </x:c>
    </x:row>
    <x:row r="3511" ht="60" customHeight="1">
      <x:c r="A3511" s="14" t="str">
        <x:v>Аптека</x:v>
      </x:c>
      <x:c r="B3511" s="14" t="str">
        <x:v>Витамины и БАДы</x:v>
      </x:c>
      <x:c r="C3511" s="14" t="str">
        <x:v>Для нервной системы и головного мозга</x:v>
      </x:c>
      <x:c r="D3511" s="14" t="str">
        <x:v>БАД успокоительного действия</x:v>
      </x:c>
      <x:c r="E3511" s="2" t="n">
        <x:v>55</x:v>
      </x:c>
      <x:c r="F3511" s="2" t="n">
        <x:v>0</x:v>
      </x:c>
      <x:c r="G3511" s="12" t="n">
        <x:v>12359596.4069</x:v>
      </x:c>
      <x:c r="H3511" s="12" t="n">
        <x:v>1176915.25267946</x:v>
      </x:c>
      <x:c r="I3511" s="13" t="n">
        <x:v>0.100310909090909</x:v>
      </x:c>
      <x:c r="J3511" s="2" t="n">
        <x:v>13</x:v>
      </x:c>
      <x:c r="K3511" s="2" t="n">
        <x:v>25</x:v>
      </x:c>
      <x:c r="L3511" s="12" t="n">
        <x:v>1150.1915</x:v>
      </x:c>
      <x:c r="M3511" s="13" t="n">
        <x:v>0.5527946717407145</x:v>
      </x:c>
      <x:c r="N3511" s="13" t="n">
        <x:f>H3511/G3511</x:f>
        <x:v>0.09522278996281971</x:v>
      </x:c>
      <x:c r="O3511" s="13" t="n">
        <x:f>F3511/E3511</x:f>
        <x:v>0</x:v>
      </x:c>
      <x:c r="P3511" s="2" t="str">
        <x:f>IF(AND(E3511&gt;='Итоги'!$F$5,N3511&lt;='Итоги'!$B$5,O3511&gt;='Итоги'!$D$5),"Да","Нет")</x:f>
        <x:v>Нет</x:v>
      </x:c>
    </x:row>
    <x:row r="3512" ht="60" customHeight="1">
      <x:c r="A3512" s="14" t="str">
        <x:v>Аксессуары для электроники</x:v>
      </x:c>
      <x:c r="B3512" s="14" t="str">
        <x:v>Игровые приставки и аксессуары Access</x:v>
      </x:c>
      <x:c r="C3512" s="14" t="str">
        <x:v>Чехол для игровой приставки Access</x:v>
      </x:c>
      <x:c r="D3512" s="14" t="str">
        <x:v>Чехол универсальный для игровой приставки</x:v>
      </x:c>
      <x:c r="E3512" s="2" t="n">
        <x:v>5</x:v>
      </x:c>
      <x:c r="F3512" s="2" t="n">
        <x:v>0</x:v>
      </x:c>
      <x:c r="G3512" s="12" t="n">
        <x:v>574172.5612</x:v>
      </x:c>
      <x:c r="H3512" s="12" t="n">
        <x:v>54713.464143360005</x:v>
      </x:c>
      <x:c r="I3512" s="13" t="n">
        <x:v>0.09952</x:v>
      </x:c>
      <x:c r="J3512" s="2" t="n">
        <x:v>0</x:v>
      </x:c>
      <x:c r="K3512" s="2" t="n">
        <x:v>4</x:v>
      </x:c>
      <x:c r="L3512" s="12" t="n">
        <x:v>1835.8153</x:v>
      </x:c>
      <x:c r="M3512" s="13" t="n">
        <x:v>0.3997091040372063</x:v>
      </x:c>
      <x:c r="N3512" s="13" t="n">
        <x:f>H3512/G3512</x:f>
        <x:v>0.09529097668653973</x:v>
      </x:c>
      <x:c r="O3512" s="13" t="n">
        <x:f>F3512/E3512</x:f>
        <x:v>0</x:v>
      </x:c>
      <x:c r="P3512" s="2" t="str">
        <x:f>IF(AND(E3512&gt;='Итоги'!$F$5,N3512&lt;='Итоги'!$B$5,O3512&gt;='Итоги'!$D$5),"Да","Нет")</x:f>
        <x:v>Нет</x:v>
      </x:c>
    </x:row>
    <x:row r="3513" ht="60" customHeight="1">
      <x:c r="A3513" s="14" t="str">
        <x:v>Строительство и ремонт (DIY)</x:v>
      </x:c>
      <x:c r="B3513" s="14" t="str">
        <x:v>Ремонт и строительство</x:v>
      </x:c>
      <x:c r="C3513" s="14" t="str">
        <x:v>Аксессуары для ремонта</x:v>
      </x:c>
      <x:c r="D3513" s="14" t="str">
        <x:v>Расходные материалы для ремонта</x:v>
      </x:c>
      <x:c r="E3513" s="2" t="n">
        <x:v>10</x:v>
      </x:c>
      <x:c r="F3513" s="2" t="n">
        <x:v>0</x:v>
      </x:c>
      <x:c r="G3513" s="12" t="n">
        <x:v>991503.5701</x:v>
      </x:c>
      <x:c r="H3513" s="12" t="n">
        <x:v>94514.8052982</x:v>
      </x:c>
      <x:c r="I3513" s="13" t="n">
        <x:v>0.07797</x:v>
      </x:c>
      <x:c r="J3513" s="2" t="n">
        <x:v>4</x:v>
      </x:c>
      <x:c r="K3513" s="2" t="n">
        <x:v>6</x:v>
      </x:c>
      <x:c r="L3513" s="12" t="n">
        <x:v>1079.32265</x:v>
      </x:c>
      <x:c r="M3513" s="13" t="n">
        <x:v>0.2638280481164755</x:v>
      </x:c>
      <x:c r="N3513" s="13" t="n">
        <x:f>H3513/G3513</x:f>
        <x:v>0.09532472514311524</x:v>
      </x:c>
      <x:c r="O3513" s="13" t="n">
        <x:f>F3513/E3513</x:f>
        <x:v>0</x:v>
      </x:c>
      <x:c r="P3513" s="2" t="str">
        <x:f>IF(AND(E3513&gt;='Итоги'!$F$5,N3513&lt;='Итоги'!$B$5,O3513&gt;='Итоги'!$D$5),"Да","Нет")</x:f>
        <x:v>Нет</x:v>
      </x:c>
    </x:row>
    <x:row r="3514" ht="60" customHeight="1">
      <x:c r="A3514" s="14" t="str">
        <x:v>Товары для дома</x:v>
      </x:c>
      <x:c r="B3514" s="14" t="str">
        <x:v>Ванная комната</x:v>
      </x:c>
      <x:c r="C3514" s="14" t="str">
        <x:v>Зеркала для ванной</x:v>
      </x:c>
      <x:c r="D3514" s="14" t="str">
        <x:v>Зеркало для ванной комнаты (без шкафа)</x:v>
      </x:c>
      <x:c r="E3514" s="2" t="n">
        <x:v>57</x:v>
      </x:c>
      <x:c r="F3514" s="2" t="n">
        <x:v>0</x:v>
      </x:c>
      <x:c r="G3514" s="12" t="n">
        <x:v>8828902.502</x:v>
      </x:c>
      <x:c r="H3514" s="12" t="n">
        <x:v>841680.53850354</x:v>
      </x:c>
      <x:c r="I3514" s="13" t="n">
        <x:v>0.089059649122807</x:v>
      </x:c>
      <x:c r="J3514" s="2" t="n">
        <x:v>9</x:v>
      </x:c>
      <x:c r="K3514" s="2" t="n">
        <x:v>12</x:v>
      </x:c>
      <x:c r="L3514" s="12" t="n">
        <x:v>4973.9622</x:v>
      </x:c>
      <x:c r="M3514" s="13" t="n">
        <x:v>0.6203445521523554</x:v>
      </x:c>
      <x:c r="N3514" s="13" t="n">
        <x:f>H3514/G3514</x:f>
        <x:v>0.09533240833873464</x:v>
      </x:c>
      <x:c r="O3514" s="13" t="n">
        <x:f>F3514/E3514</x:f>
        <x:v>0</x:v>
      </x:c>
      <x:c r="P3514" s="2" t="str">
        <x:f>IF(AND(E3514&gt;='Итоги'!$F$5,N3514&lt;='Итоги'!$B$5,O3514&gt;='Итоги'!$D$5),"Да","Нет")</x:f>
        <x:v>Нет</x:v>
      </x:c>
    </x:row>
    <x:row r="3515" ht="60" customHeight="1">
      <x:c r="A3515" s="14" t="str">
        <x:v>Детская одежда</x:v>
      </x:c>
      <x:c r="B3515" s="14" t="str">
        <x:v>Детская одежда</x:v>
      </x:c>
      <x:c r="C3515" s="14" t="str">
        <x:v>Белье и ЧНИ для девочек</x:v>
      </x:c>
      <x:c r="D3515" s="14" t="str">
        <x:v>Колготки для девочки</x:v>
      </x:c>
      <x:c r="E3515" s="2" t="n">
        <x:v>1</x:v>
      </x:c>
      <x:c r="F3515" s="2" t="n">
        <x:v>0</x:v>
      </x:c>
      <x:c r="G3515" s="12" t="n">
        <x:v>53227.92</x:v>
      </x:c>
      <x:c r="H3515" s="12" t="n">
        <x:v>5077.943568</x:v>
      </x:c>
      <x:c r="I3515" s="13" t="n">
        <x:v>0.0954</x:v>
      </x:c>
      <x:c r="J3515" s="2" t="n">
        <x:v>0</x:v>
      </x:c>
      <x:c r="K3515" s="2" t="n">
        <x:v>1</x:v>
      </x:c>
      <x:c r="L3515" s="12" t="n">
        <x:v>933.8232</x:v>
      </x:c>
      <x:c r="M3515" s="13" t="n">
        <x:v>1</x:v>
      </x:c>
      <x:c r="N3515" s="13" t="n">
        <x:f>H3515/G3515</x:f>
        <x:v>0.0954</x:v>
      </x:c>
      <x:c r="O3515" s="13" t="n">
        <x:f>F3515/E3515</x:f>
        <x:v>0</x:v>
      </x:c>
      <x:c r="P3515" s="2" t="str">
        <x:f>IF(AND(E3515&gt;='Итоги'!$F$5,N3515&lt;='Итоги'!$B$5,O3515&gt;='Итоги'!$D$5),"Да","Нет")</x:f>
        <x:v>Нет</x:v>
      </x:c>
    </x:row>
    <x:row r="3516" ht="60" customHeight="1">
      <x:c r="A3516" s="14" t="str">
        <x:v>Аксессуары для электроники</x:v>
      </x:c>
      <x:c r="B3516" s="14" t="str">
        <x:v>Домашняя Аудио и Видеотехника Access</x:v>
      </x:c>
      <x:c r="C3516" s="14" t="str">
        <x:v>Аксессуар к TV и аудиотехнике Access</x:v>
      </x:c>
      <x:c r="D3516" s="14" t="str">
        <x:v>TV антенна</x:v>
      </x:c>
      <x:c r="E3516" s="2" t="n">
        <x:v>66</x:v>
      </x:c>
      <x:c r="F3516" s="2" t="n">
        <x:v>0</x:v>
      </x:c>
      <x:c r="G3516" s="12" t="n">
        <x:v>8887794.423</x:v>
      </x:c>
      <x:c r="H3516" s="12" t="n">
        <x:v>848097.54936278</x:v>
      </x:c>
      <x:c r="I3516" s="13" t="n">
        <x:v>0.0978757575757575</x:v>
      </x:c>
      <x:c r="J3516" s="2" t="n">
        <x:v>17</x:v>
      </x:c>
      <x:c r="K3516" s="2" t="n">
        <x:v>12</x:v>
      </x:c>
      <x:c r="L3516" s="12" t="n">
        <x:v>1144.8682</x:v>
      </x:c>
      <x:c r="M3516" s="13" t="n">
        <x:v>0.4338334352358365</x:v>
      </x:c>
      <x:c r="N3516" s="13" t="n">
        <x:f>H3516/G3516</x:f>
        <x:v>0.09542272345634563</x:v>
      </x:c>
      <x:c r="O3516" s="13" t="n">
        <x:f>F3516/E3516</x:f>
        <x:v>0</x:v>
      </x:c>
      <x:c r="P3516" s="2" t="str">
        <x:f>IF(AND(E3516&gt;='Итоги'!$F$5,N3516&lt;='Итоги'!$B$5,O3516&gt;='Итоги'!$D$5),"Да","Нет")</x:f>
        <x:v>Нет</x:v>
      </x:c>
    </x:row>
    <x:row r="3517" ht="60" customHeight="1">
      <x:c r="A3517" s="14" t="str">
        <x:v>Товары для дома</x:v>
      </x:c>
      <x:c r="B3517" s="14" t="str">
        <x:v>Домашний текстиль</x:v>
      </x:c>
      <x:c r="C3517" s="14" t="str">
        <x:v>Постельное белье</x:v>
      </x:c>
      <x:c r="D3517" s="14" t="str">
        <x:v>Наматрасник</x:v>
      </x:c>
      <x:c r="E3517" s="2" t="n">
        <x:v>137</x:v>
      </x:c>
      <x:c r="F3517" s="2" t="n">
        <x:v>0</x:v>
      </x:c>
      <x:c r="G3517" s="12" t="n">
        <x:v>23494658.5372</x:v>
      </x:c>
      <x:c r="H3517" s="12" t="n">
        <x:v>2244020.44868938</x:v>
      </x:c>
      <x:c r="I3517" s="13" t="n">
        <x:v>0.1035627737226277</x:v>
      </x:c>
      <x:c r="J3517" s="2" t="n">
        <x:v>28</x:v>
      </x:c>
      <x:c r="K3517" s="2" t="n">
        <x:v>27</x:v>
      </x:c>
      <x:c r="L3517" s="12" t="n">
        <x:v>1106.5421</x:v>
      </x:c>
      <x:c r="M3517" s="13" t="n">
        <x:v>0.6239413332306738</x:v>
      </x:c>
      <x:c r="N3517" s="13" t="n">
        <x:f>H3517/G3517</x:f>
        <x:v>0.09551194136898547</x:v>
      </x:c>
      <x:c r="O3517" s="13" t="n">
        <x:f>F3517/E3517</x:f>
        <x:v>0</x:v>
      </x:c>
      <x:c r="P3517" s="2" t="str">
        <x:f>IF(AND(E3517&gt;='Итоги'!$F$5,N3517&lt;='Итоги'!$B$5,O3517&gt;='Итоги'!$D$5),"Да","Нет")</x:f>
        <x:v>Нет</x:v>
      </x:c>
    </x:row>
    <x:row r="3518" ht="60" customHeight="1">
      <x:c r="A3518" s="14" t="str">
        <x:v>Товары для дома</x:v>
      </x:c>
      <x:c r="B3518" s="14" t="str">
        <x:v>Домашний текстиль</x:v>
      </x:c>
      <x:c r="C3518" s="14" t="str">
        <x:v>Плед</x:v>
      </x:c>
      <x:c r="D3518" s="14" t="str">
        <x:v>Плед 1 спальный</x:v>
      </x:c>
      <x:c r="E3518" s="2" t="n">
        <x:v>5</x:v>
      </x:c>
      <x:c r="F3518" s="2" t="n">
        <x:v>0</x:v>
      </x:c>
      <x:c r="G3518" s="12" t="n">
        <x:v>735581.44</x:v>
      </x:c>
      <x:c r="H3518" s="12" t="n">
        <x:v>70263.88142800001</x:v>
      </x:c>
      <x:c r="I3518" s="13" t="n">
        <x:v>0.13388</x:v>
      </x:c>
      <x:c r="J3518" s="2" t="n">
        <x:v>3</x:v>
      </x:c>
      <x:c r="K3518" s="2" t="n">
        <x:v>3</x:v>
      </x:c>
      <x:c r="L3518" s="12" t="n">
        <x:v>1357.9787</x:v>
      </x:c>
      <x:c r="M3518" s="13" t="n">
        <x:v>0.5954303577860801</x:v>
      </x:c>
      <x:c r="N3518" s="13" t="n">
        <x:f>H3518/G3518</x:f>
        <x:v>0.09552155289290606</x:v>
      </x:c>
      <x:c r="O3518" s="13" t="n">
        <x:f>F3518/E3518</x:f>
        <x:v>0</x:v>
      </x:c>
      <x:c r="P3518" s="2" t="str">
        <x:f>IF(AND(E3518&gt;='Итоги'!$F$5,N3518&lt;='Итоги'!$B$5,O3518&gt;='Итоги'!$D$5),"Да","Нет")</x:f>
        <x:v>Нет</x:v>
      </x:c>
    </x:row>
    <x:row r="3519" ht="60" customHeight="1">
      <x:c r="A3519" s="14" t="str">
        <x:v>Товары для дома</x:v>
      </x:c>
      <x:c r="B3519" s="14" t="str">
        <x:v>Интерьер и декор</x:v>
      </x:c>
      <x:c r="C3519" s="14" t="str">
        <x:v>Украшение интерьера</x:v>
      </x:c>
      <x:c r="D3519" s="14" t="str">
        <x:v>Украшение подвесное интерьерное</x:v>
      </x:c>
      <x:c r="E3519" s="2" t="n">
        <x:v>8</x:v>
      </x:c>
      <x:c r="F3519" s="2" t="n">
        <x:v>0</x:v>
      </x:c>
      <x:c r="G3519" s="12" t="n">
        <x:v>1078897.8581</x:v>
      </x:c>
      <x:c r="H3519" s="12" t="n">
        <x:v>103060.16838839</x:v>
      </x:c>
      <x:c r="I3519" s="13" t="n">
        <x:v>0.1232125</x:v>
      </x:c>
      <x:c r="J3519" s="2" t="n">
        <x:v>2</x:v>
      </x:c>
      <x:c r="K3519" s="2" t="n">
        <x:v>7</x:v>
      </x:c>
      <x:c r="L3519" s="12" t="n">
        <x:v>1299.6835999999998</x:v>
      </x:c>
      <x:c r="M3519" s="13" t="n">
        <x:v>0.413014129794202</x:v>
      </x:c>
      <x:c r="N3519" s="13" t="n">
        <x:f>H3519/G3519</x:f>
        <x:v>0.09552356380601659</x:v>
      </x:c>
      <x:c r="O3519" s="13" t="n">
        <x:f>F3519/E3519</x:f>
        <x:v>0</x:v>
      </x:c>
      <x:c r="P3519" s="2" t="str">
        <x:f>IF(AND(E3519&gt;='Итоги'!$F$5,N3519&lt;='Итоги'!$B$5,O3519&gt;='Итоги'!$D$5),"Да","Нет")</x:f>
        <x:v>Нет</x:v>
      </x:c>
    </x:row>
    <x:row r="3520" ht="60" customHeight="1">
      <x:c r="A3520" s="14" t="str">
        <x:v>Спорт и отдых</x:v>
      </x:c>
      <x:c r="B3520" s="14" t="str">
        <x:v>Туризм</x:v>
      </x:c>
      <x:c r="C3520" s="14" t="str">
        <x:v>Инструменты для туризма</x:v>
      </x:c>
      <x:c r="D3520" s="14" t="str">
        <x:v>Лопата туристическая</x:v>
      </x:c>
      <x:c r="E3520" s="2" t="n">
        <x:v>15</x:v>
      </x:c>
      <x:c r="F3520" s="2" t="n">
        <x:v>0</x:v>
      </x:c>
      <x:c r="G3520" s="12" t="n">
        <x:v>2793701.3261</x:v>
      </x:c>
      <x:c r="H3520" s="12" t="n">
        <x:v>267130.09025812004</x:v>
      </x:c>
      <x:c r="I3520" s="13" t="n">
        <x:v>0.10114</x:v>
      </x:c>
      <x:c r="J3520" s="2" t="n">
        <x:v>0</x:v>
      </x:c>
      <x:c r="K3520" s="2" t="n">
        <x:v>8</x:v>
      </x:c>
      <x:c r="L3520" s="12" t="n">
        <x:v>1292.5469</x:v>
      </x:c>
      <x:c r="M3520" s="13" t="n">
        <x:v>0.5952525826808713</x:v>
      </x:c>
      <x:c r="N3520" s="13" t="n">
        <x:f>H3520/G3520</x:f>
        <x:v>0.09561870045393613</x:v>
      </x:c>
      <x:c r="O3520" s="13" t="n">
        <x:f>F3520/E3520</x:f>
        <x:v>0</x:v>
      </x:c>
      <x:c r="P3520" s="2" t="str">
        <x:f>IF(AND(E3520&gt;='Итоги'!$F$5,N3520&lt;='Итоги'!$B$5,O3520&gt;='Итоги'!$D$5),"Да","Нет")</x:f>
        <x:v>Нет</x:v>
      </x:c>
    </x:row>
    <x:row r="3521" ht="60" customHeight="1">
      <x:c r="A3521" s="14" t="str">
        <x:v>Аптека</x:v>
      </x:c>
      <x:c r="B3521" s="14" t="str">
        <x:v>Спортивное питание</x:v>
      </x:c>
      <x:c r="C3521" s="14" t="str">
        <x:v>Специальные препараты для спортивного питания</x:v>
      </x:c>
      <x:c r="D3521" s="14" t="str">
        <x:v>Жирные кислоты, Омега 3</x:v>
      </x:c>
      <x:c r="E3521" s="2" t="n">
        <x:v>79</x:v>
      </x:c>
      <x:c r="F3521" s="2" t="n">
        <x:v>0</x:v>
      </x:c>
      <x:c r="G3521" s="12" t="n">
        <x:v>14710587.4285</x:v>
      </x:c>
      <x:c r="H3521" s="12" t="n">
        <x:v>1409647.84726316</x:v>
      </x:c>
      <x:c r="I3521" s="13" t="n">
        <x:v>0.089753164556962</x:v>
      </x:c>
      <x:c r="J3521" s="2" t="n">
        <x:v>16</x:v>
      </x:c>
      <x:c r="K3521" s="2" t="n">
        <x:v>27</x:v>
      </x:c>
      <x:c r="L3521" s="12" t="n">
        <x:v>1682.5451</x:v>
      </x:c>
      <x:c r="M3521" s="13" t="n">
        <x:v>0.5900046608121757</x:v>
      </x:c>
      <x:c r="N3521" s="13" t="n">
        <x:f>H3521/G3521</x:f>
        <x:v>0.09582539474474935</x:v>
      </x:c>
      <x:c r="O3521" s="13" t="n">
        <x:f>F3521/E3521</x:f>
        <x:v>0</x:v>
      </x:c>
      <x:c r="P3521" s="2" t="str">
        <x:f>IF(AND(E3521&gt;='Итоги'!$F$5,N3521&lt;='Итоги'!$B$5,O3521&gt;='Итоги'!$D$5),"Да","Нет")</x:f>
        <x:v>Нет</x:v>
      </x:c>
    </x:row>
    <x:row r="3522" ht="60" customHeight="1">
      <x:c r="A3522" s="14" t="str">
        <x:v>Напитки</x:v>
      </x:c>
      <x:c r="B3522" s="14" t="str">
        <x:v>Напитки горячие</x:v>
      </x:c>
      <x:c r="C3522" s="14" t="str">
        <x:v>Чай</x:v>
      </x:c>
      <x:c r="D3522" s="14" t="str">
        <x:v>Чай листовой</x:v>
      </x:c>
      <x:c r="E3522" s="2" t="n">
        <x:v>127</x:v>
      </x:c>
      <x:c r="F3522" s="2" t="n">
        <x:v>0</x:v>
      </x:c>
      <x:c r="G3522" s="12" t="n">
        <x:v>19748824.9434</x:v>
      </x:c>
      <x:c r="H3522" s="12" t="n">
        <x:v>1892875.05246624</x:v>
      </x:c>
      <x:c r="I3522" s="13" t="n">
        <x:v>0.0925826771653543</x:v>
      </x:c>
      <x:c r="J3522" s="2" t="n">
        <x:v>31</x:v>
      </x:c>
      <x:c r="K3522" s="2" t="n">
        <x:v>55</x:v>
      </x:c>
      <x:c r="L3522" s="12" t="n">
        <x:v>1118.4783</x:v>
      </x:c>
      <x:c r="M3522" s="13" t="n">
        <x:v>0.3664323016857999</x:v>
      </x:c>
      <x:c r="N3522" s="13" t="n">
        <x:f>H3522/G3522</x:f>
        <x:v>0.09584747740137488</x:v>
      </x:c>
      <x:c r="O3522" s="13" t="n">
        <x:f>F3522/E3522</x:f>
        <x:v>0</x:v>
      </x:c>
      <x:c r="P3522" s="2" t="str">
        <x:f>IF(AND(E3522&gt;='Итоги'!$F$5,N3522&lt;='Итоги'!$B$5,O3522&gt;='Итоги'!$D$5),"Да","Нет")</x:f>
        <x:v>Нет</x:v>
      </x:c>
    </x:row>
    <x:row r="3523" ht="60" customHeight="1">
      <x:c r="A3523" s="14" t="str">
        <x:v>Автотовары</x:v>
      </x:c>
      <x:c r="B3523" s="14" t="str">
        <x:v>Универсальные авто и мото аксессуары</x:v>
      </x:c>
      <x:c r="C3523" s="14" t="str">
        <x:v>Мотоаксессуары</x:v>
      </x:c>
      <x:c r="D3523" s="14" t="str">
        <x:v>Моточехлы</x:v>
      </x:c>
      <x:c r="E3523" s="2" t="n">
        <x:v>42</x:v>
      </x:c>
      <x:c r="F3523" s="2" t="n">
        <x:v>0</x:v>
      </x:c>
      <x:c r="G3523" s="12" t="n">
        <x:v>7143471.111</x:v>
      </x:c>
      <x:c r="H3523" s="12" t="n">
        <x:v>685090.85521979</x:v>
      </x:c>
      <x:c r="I3523" s="13" t="n">
        <x:v>0.0956904761904761</x:v>
      </x:c>
      <x:c r="J3523" s="2" t="n">
        <x:v>8</x:v>
      </x:c>
      <x:c r="K3523" s="2" t="n">
        <x:v>12</x:v>
      </x:c>
      <x:c r="L3523" s="12" t="n">
        <x:v>1344.2587</x:v>
      </x:c>
      <x:c r="M3523" s="13" t="n">
        <x:v>0.5826493440969975</x:v>
      </x:c>
      <x:c r="N3523" s="13" t="n">
        <x:f>H3523/G3523</x:f>
        <x:v>0.09590447620972958</x:v>
      </x:c>
      <x:c r="O3523" s="13" t="n">
        <x:f>F3523/E3523</x:f>
        <x:v>0</x:v>
      </x:c>
      <x:c r="P3523" s="2" t="str">
        <x:f>IF(AND(E3523&gt;='Итоги'!$F$5,N3523&lt;='Итоги'!$B$5,O3523&gt;='Итоги'!$D$5),"Да","Нет")</x:f>
        <x:v>Нет</x:v>
      </x:c>
    </x:row>
    <x:row r="3524" ht="60" customHeight="1">
      <x:c r="A3524" s="14" t="str">
        <x:v>Автотовары</x:v>
      </x:c>
      <x:c r="B3524" s="14" t="str">
        <x:v>Дополнительное оборудование для авто и мото техники</x:v>
      </x:c>
      <x:c r="C3524" s="14" t="str">
        <x:v>Аксессуар для экстерьера авто</x:v>
      </x:c>
      <x:c r="D3524" s="14" t="str">
        <x:v>Дополнительный звуковой сигнал для авто</x:v>
      </x:c>
      <x:c r="E3524" s="2" t="n">
        <x:v>21</x:v>
      </x:c>
      <x:c r="F3524" s="2" t="n">
        <x:v>0</x:v>
      </x:c>
      <x:c r="G3524" s="12" t="n">
        <x:v>4489755.7774</x:v>
      </x:c>
      <x:c r="H3524" s="12" t="n">
        <x:v>430696.98633757</x:v>
      </x:c>
      <x:c r="I3524" s="13" t="n">
        <x:v>0.0980523809523809</x:v>
      </x:c>
      <x:c r="J3524" s="2" t="n">
        <x:v>5</x:v>
      </x:c>
      <x:c r="K3524" s="2" t="n">
        <x:v>11</x:v>
      </x:c>
      <x:c r="L3524" s="12" t="n">
        <x:v>980.3557</x:v>
      </x:c>
      <x:c r="M3524" s="13" t="n">
        <x:v>0.5079076503177996</x:v>
      </x:c>
      <x:c r="N3524" s="13" t="n">
        <x:f>H3524/G3524</x:f>
        <x:v>0.09592882278932885</x:v>
      </x:c>
      <x:c r="O3524" s="13" t="n">
        <x:f>F3524/E3524</x:f>
        <x:v>0</x:v>
      </x:c>
      <x:c r="P3524" s="2" t="str">
        <x:f>IF(AND(E3524&gt;='Итоги'!$F$5,N3524&lt;='Итоги'!$B$5,O3524&gt;='Итоги'!$D$5),"Да","Нет")</x:f>
        <x:v>Нет</x:v>
      </x:c>
    </x:row>
    <x:row r="3525" ht="60" customHeight="1">
      <x:c r="A3525" s="14" t="str">
        <x:v>Строительство и ремонт (DIY)</x:v>
      </x:c>
      <x:c r="B3525" s="14" t="str">
        <x:v>Инструменты</x:v>
      </x:c>
      <x:c r="C3525" s="14" t="str">
        <x:v>Измерительный инструмент</x:v>
      </x:c>
      <x:c r="D3525" s="14" t="str">
        <x:v>Штангенциркуль, глубиномер, микрометр для строительства и ремонта</x:v>
      </x:c>
      <x:c r="E3525" s="2" t="n">
        <x:v>27</x:v>
      </x:c>
      <x:c r="F3525" s="2" t="n">
        <x:v>0</x:v>
      </x:c>
      <x:c r="G3525" s="12" t="n">
        <x:v>5249953.5933</x:v>
      </x:c>
      <x:c r="H3525" s="12" t="n">
        <x:v>503917.56010878</x:v>
      </x:c>
      <x:c r="I3525" s="13" t="n">
        <x:v>0.1022074074074074</x:v>
      </x:c>
      <x:c r="J3525" s="2" t="n">
        <x:v>3</x:v>
      </x:c>
      <x:c r="K3525" s="2" t="n">
        <x:v>19</x:v>
      </x:c>
      <x:c r="L3525" s="12" t="n">
        <x:v>1165.0337</x:v>
      </x:c>
      <x:c r="M3525" s="13" t="n">
        <x:v>0.2714560548151808</x:v>
      </x:c>
      <x:c r="N3525" s="13" t="n">
        <x:f>H3525/G3525</x:f>
        <x:v>0.09598514561193083</x:v>
      </x:c>
      <x:c r="O3525" s="13" t="n">
        <x:f>F3525/E3525</x:f>
        <x:v>0</x:v>
      </x:c>
      <x:c r="P3525" s="2" t="str">
        <x:f>IF(AND(E3525&gt;='Итоги'!$F$5,N3525&lt;='Итоги'!$B$5,O3525&gt;='Итоги'!$D$5),"Да","Нет")</x:f>
        <x:v>Нет</x:v>
      </x:c>
    </x:row>
    <x:row r="3526" ht="60" customHeight="1">
      <x:c r="A3526" s="14" t="str">
        <x:v>Аптека</x:v>
      </x:c>
      <x:c r="B3526" s="14" t="str">
        <x:v>Ортопедия и компрессионный трикотаж</x:v>
      </x:c>
      <x:c r="C3526" s="14" t="str">
        <x:v>Компрессионный трикотаж</x:v>
      </x:c>
      <x:c r="D3526" s="14" t="str">
        <x:v>Компрессионные колготки</x:v>
      </x:c>
      <x:c r="E3526" s="2" t="n">
        <x:v>1</x:v>
      </x:c>
      <x:c r="F3526" s="2" t="n">
        <x:v>0</x:v>
      </x:c>
      <x:c r="G3526" s="12" t="n">
        <x:v>87712.37</x:v>
      </x:c>
      <x:c r="H3526" s="12" t="n">
        <x:v>8420.38752</x:v>
      </x:c>
      <x:c r="I3526" s="13" t="n">
        <x:v>0.096</x:v>
      </x:c>
      <x:c r="J3526" s="2" t="n">
        <x:v>0</x:v>
      </x:c>
      <x:c r="K3526" s="2" t="n">
        <x:v>1</x:v>
      </x:c>
      <x:c r="L3526" s="12" t="n">
        <x:v>1827.341</x:v>
      </x:c>
      <x:c r="M3526" s="13" t="n">
        <x:v>1</x:v>
      </x:c>
      <x:c r="N3526" s="13" t="n">
        <x:f>H3526/G3526</x:f>
        <x:v>0.096</x:v>
      </x:c>
      <x:c r="O3526" s="13" t="n">
        <x:f>F3526/E3526</x:f>
        <x:v>0</x:v>
      </x:c>
      <x:c r="P3526" s="2" t="str">
        <x:f>IF(AND(E3526&gt;='Итоги'!$F$5,N3526&lt;='Итоги'!$B$5,O3526&gt;='Итоги'!$D$5),"Да","Нет")</x:f>
        <x:v>Нет</x:v>
      </x:c>
    </x:row>
    <x:row r="3527" ht="60" customHeight="1">
      <x:c r="A3527" s="14" t="str">
        <x:v>Товары для дома</x:v>
      </x:c>
      <x:c r="B3527" s="14" t="str">
        <x:v>Домашний текстиль</x:v>
      </x:c>
      <x:c r="C3527" s="14" t="str">
        <x:v>Шторы</x:v>
      </x:c>
      <x:c r="D3527" s="14" t="str">
        <x:v>Тюль, вуаль, органза</x:v>
      </x:c>
      <x:c r="E3527" s="2" t="n">
        <x:v>231</x:v>
      </x:c>
      <x:c r="F3527" s="2" t="n">
        <x:v>0</x:v>
      </x:c>
      <x:c r="G3527" s="12" t="n">
        <x:v>31168272.9187</x:v>
      </x:c>
      <x:c r="H3527" s="12" t="n">
        <x:v>2994402.78683968</x:v>
      </x:c>
      <x:c r="I3527" s="13" t="n">
        <x:v>0.0937199134199134</x:v>
      </x:c>
      <x:c r="J3527" s="2" t="n">
        <x:v>25</x:v>
      </x:c>
      <x:c r="K3527" s="2" t="n">
        <x:v>31</x:v>
      </x:c>
      <x:c r="L3527" s="12" t="n">
        <x:v>1047.1014</x:v>
      </x:c>
      <x:c r="M3527" s="13" t="n">
        <x:v>0.5857040368042765</x:v>
      </x:c>
      <x:c r="N3527" s="13" t="n">
        <x:f>H3527/G3527</x:f>
        <x:v>0.09607214344697075</x:v>
      </x:c>
      <x:c r="O3527" s="13" t="n">
        <x:f>F3527/E3527</x:f>
        <x:v>0</x:v>
      </x:c>
      <x:c r="P3527" s="2" t="str">
        <x:f>IF(AND(E3527&gt;='Итоги'!$F$5,N3527&lt;='Итоги'!$B$5,O3527&gt;='Итоги'!$D$5),"Да","Нет")</x:f>
        <x:v>Нет</x:v>
      </x:c>
    </x:row>
    <x:row r="3528" ht="60" customHeight="1">
      <x:c r="A3528" s="14" t="str">
        <x:v>Аксессуары</x:v>
      </x:c>
      <x:c r="B3528" s="14" t="str">
        <x:v>Ювелирные изделия</x:v>
      </x:c>
      <x:c r="C3528" s="14" t="str">
        <x:v>Колье ювелирное</x:v>
      </x:c>
      <x:c r="D3528" s="14" t="str">
        <x:v>Серебро колье/ожерелье</x:v>
      </x:c>
      <x:c r="E3528" s="2" t="n">
        <x:v>42</x:v>
      </x:c>
      <x:c r="F3528" s="2" t="n">
        <x:v>0</x:v>
      </x:c>
      <x:c r="G3528" s="12" t="n">
        <x:v>4669414.8100000005</x:v>
      </x:c>
      <x:c r="H3528" s="12" t="n">
        <x:v>449060.223366</x:v>
      </x:c>
      <x:c r="I3528" s="13" t="n">
        <x:v>0.0783214285714285</x:v>
      </x:c>
      <x:c r="J3528" s="2" t="n">
        <x:v>14</x:v>
      </x:c>
      <x:c r="K3528" s="2" t="n">
        <x:v>2</x:v>
      </x:c>
      <x:c r="L3528" s="12" t="n">
        <x:v>2975.08005</x:v>
      </x:c>
      <x:c r="M3528" s="13" t="n">
        <x:v>0.9838221269529918</x:v>
      </x:c>
      <x:c r="N3528" s="13" t="n">
        <x:f>H3528/G3528</x:f>
        <x:v>0.09617055704802545</x:v>
      </x:c>
      <x:c r="O3528" s="13" t="n">
        <x:f>F3528/E3528</x:f>
        <x:v>0</x:v>
      </x:c>
      <x:c r="P3528" s="2" t="str">
        <x:f>IF(AND(E3528&gt;='Итоги'!$F$5,N3528&lt;='Итоги'!$B$5,O3528&gt;='Итоги'!$D$5),"Да","Нет")</x:f>
        <x:v>Нет</x:v>
      </x:c>
    </x:row>
    <x:row r="3529" ht="60" customHeight="1">
      <x:c r="A3529" s="14" t="str">
        <x:v>Аудио и видеотехника</x:v>
      </x:c>
      <x:c r="B3529" s="14" t="str">
        <x:v>Домашняя Аудио и Видеотехника TV&amp;Audio</x:v>
      </x:c>
      <x:c r="C3529" s="14" t="str">
        <x:v>Музыкальные инструменты TV&amp;Audio</x:v>
      </x:c>
      <x:c r="D3529" s="14" t="str">
        <x:v>Струнные музыкальные инструменты</x:v>
      </x:c>
      <x:c r="E3529" s="2" t="n">
        <x:v>12</x:v>
      </x:c>
      <x:c r="F3529" s="2" t="n">
        <x:v>0</x:v>
      </x:c>
      <x:c r="G3529" s="12" t="n">
        <x:v>1322758.5786</x:v>
      </x:c>
      <x:c r="H3529" s="12" t="n">
        <x:v>127237.3206068</x:v>
      </x:c>
      <x:c r="I3529" s="13" t="n">
        <x:v>0.0916583333333333</x:v>
      </x:c>
      <x:c r="J3529" s="2" t="n">
        <x:v>0</x:v>
      </x:c>
      <x:c r="K3529" s="2" t="n">
        <x:v>3</x:v>
      </x:c>
      <x:c r="L3529" s="12" t="n">
        <x:v>1986.55285</x:v>
      </x:c>
      <x:c r="M3529" s="13" t="n">
        <x:v>0.6901844304546172</x:v>
      </x:c>
      <x:c r="N3529" s="13" t="n">
        <x:f>H3529/G3529</x:f>
        <x:v>0.09619088673117301</x:v>
      </x:c>
      <x:c r="O3529" s="13" t="n">
        <x:f>F3529/E3529</x:f>
        <x:v>0</x:v>
      </x:c>
      <x:c r="P3529" s="2" t="str">
        <x:f>IF(AND(E3529&gt;='Итоги'!$F$5,N3529&lt;='Итоги'!$B$5,O3529&gt;='Итоги'!$D$5),"Да","Нет")</x:f>
        <x:v>Нет</x:v>
      </x:c>
    </x:row>
    <x:row r="3530" ht="60" customHeight="1">
      <x:c r="A3530" s="14" t="str">
        <x:v>Автотовары</x:v>
      </x:c>
      <x:c r="B3530" s="14" t="str">
        <x:v>Универсальные авто и мото аксессуары</x:v>
      </x:c>
      <x:c r="C3530" s="14" t="str">
        <x:v>Автотовары в дорогу</x:v>
      </x:c>
      <x:c r="D3530" s="14" t="str">
        <x:v>Автоорганайзер, автосумка для перевозки багажа</x:v>
      </x:c>
      <x:c r="E3530" s="2" t="n">
        <x:v>108</x:v>
      </x:c>
      <x:c r="F3530" s="2" t="n">
        <x:v>0</x:v>
      </x:c>
      <x:c r="G3530" s="12" t="n">
        <x:v>20961511.1713</x:v>
      </x:c>
      <x:c r="H3530" s="12" t="n">
        <x:v>2018344.34472918</x:v>
      </x:c>
      <x:c r="I3530" s="13" t="n">
        <x:v>0.1055324074074074</x:v>
      </x:c>
      <x:c r="J3530" s="2" t="n">
        <x:v>17</x:v>
      </x:c>
      <x:c r="K3530" s="2" t="n">
        <x:v>44</x:v>
      </x:c>
      <x:c r="L3530" s="12" t="n">
        <x:v>1178.48195</x:v>
      </x:c>
      <x:c r="M3530" s="13" t="n">
        <x:v>0.4216758875572911</x:v>
      </x:c>
      <x:c r="N3530" s="13" t="n">
        <x:f>H3530/G3530</x:f>
        <x:v>0.0962881124473816</x:v>
      </x:c>
      <x:c r="O3530" s="13" t="n">
        <x:f>F3530/E3530</x:f>
        <x:v>0</x:v>
      </x:c>
      <x:c r="P3530" s="2" t="str">
        <x:f>IF(AND(E3530&gt;='Итоги'!$F$5,N3530&lt;='Итоги'!$B$5,O3530&gt;='Итоги'!$D$5),"Да","Нет")</x:f>
        <x:v>Нет</x:v>
      </x:c>
    </x:row>
    <x:row r="3531" ht="60" customHeight="1">
      <x:c r="A3531" s="14" t="str">
        <x:v>Товары для детей и спорта</x:v>
      </x:c>
      <x:c r="B3531" s="14" t="str">
        <x:v>Кормление детское</x:v>
      </x:c>
      <x:c r="C3531" s="14" t="str">
        <x:v>Кормление детское</x:v>
      </x:c>
      <x:c r="D3531" s="14" t="str">
        <x:v>Прорезыватель</x:v>
      </x:c>
      <x:c r="E3531" s="2" t="n">
        <x:v>3</x:v>
      </x:c>
      <x:c r="F3531" s="2" t="n">
        <x:v>0</x:v>
      </x:c>
      <x:c r="G3531" s="12" t="n">
        <x:v>147364.69</x:v>
      </x:c>
      <x:c r="H3531" s="12" t="n">
        <x:v>14195.721562</x:v>
      </x:c>
      <x:c r="I3531" s="13" t="n">
        <x:v>0.0665333333333333</x:v>
      </x:c>
      <x:c r="J3531" s="2" t="n">
        <x:v>1</x:v>
      </x:c>
      <x:c r="K3531" s="2" t="n">
        <x:v>2</x:v>
      </x:c>
      <x:c r="L3531" s="12" t="n">
        <x:v>1631.4507</x:v>
      </x:c>
      <x:c r="M3531" s="13" t="n">
        <x:v>0.9617683177700168</x:v>
      </x:c>
      <x:c r="N3531" s="13" t="n">
        <x:f>H3531/G3531</x:f>
        <x:v>0.096330549482376</x:v>
      </x:c>
      <x:c r="O3531" s="13" t="n">
        <x:f>F3531/E3531</x:f>
        <x:v>0</x:v>
      </x:c>
      <x:c r="P3531" s="2" t="str">
        <x:f>IF(AND(E3531&gt;='Итоги'!$F$5,N3531&lt;='Итоги'!$B$5,O3531&gt;='Итоги'!$D$5),"Да","Нет")</x:f>
        <x:v>Нет</x:v>
      </x:c>
    </x:row>
    <x:row r="3532" ht="60" customHeight="1">
      <x:c r="A3532" s="14" t="str">
        <x:v>Товары для дома</x:v>
      </x:c>
      <x:c r="B3532" s="14" t="str">
        <x:v>Интерьер и декор</x:v>
      </x:c>
      <x:c r="C3532" s="14" t="str">
        <x:v>Украшение интерьера</x:v>
      </x:c>
      <x:c r="D3532" s="14" t="str">
        <x:v>Ключница настенная декоративная</x:v>
      </x:c>
      <x:c r="E3532" s="2" t="n">
        <x:v>12</x:v>
      </x:c>
      <x:c r="F3532" s="2" t="n">
        <x:v>0</x:v>
      </x:c>
      <x:c r="G3532" s="12" t="n">
        <x:v>1337689.3798</x:v>
      </x:c>
      <x:c r="H3532" s="12" t="n">
        <x:v>128897.916005</x:v>
      </x:c>
      <x:c r="I3532" s="13" t="n">
        <x:v>0.0964666666666666</x:v>
      </x:c>
      <x:c r="J3532" s="2" t="n">
        <x:v>2</x:v>
      </x:c>
      <x:c r="K3532" s="2" t="n">
        <x:v>10</x:v>
      </x:c>
      <x:c r="L3532" s="12" t="n">
        <x:v>1169.8582</x:v>
      </x:c>
      <x:c r="M3532" s="13" t="n">
        <x:v>0.2135178048903278</x:v>
      </x:c>
      <x:c r="N3532" s="13" t="n">
        <x:f>H3532/G3532</x:f>
        <x:v>0.09635863000143706</x:v>
      </x:c>
      <x:c r="O3532" s="13" t="n">
        <x:f>F3532/E3532</x:f>
        <x:v>0</x:v>
      </x:c>
      <x:c r="P3532" s="2" t="str">
        <x:f>IF(AND(E3532&gt;='Итоги'!$F$5,N3532&lt;='Итоги'!$B$5,O3532&gt;='Итоги'!$D$5),"Да","Нет")</x:f>
        <x:v>Нет</x:v>
      </x:c>
    </x:row>
    <x:row r="3533" ht="60" customHeight="1">
      <x:c r="A3533" s="14" t="str">
        <x:v>Аптека</x:v>
      </x:c>
      <x:c r="B3533" s="14" t="str">
        <x:v>Медицинская техника</x:v>
      </x:c>
      <x:c r="C3533" s="14" t="str">
        <x:v>Медицинская техника</x:v>
      </x:c>
      <x:c r="D3533" s="14" t="str">
        <x:v>Стерилизатор инструментов</x:v>
      </x:c>
      <x:c r="E3533" s="2" t="n">
        <x:v>4</x:v>
      </x:c>
      <x:c r="F3533" s="2" t="n">
        <x:v>0</x:v>
      </x:c>
      <x:c r="G3533" s="12" t="n">
        <x:v>503663.34</x:v>
      </x:c>
      <x:c r="H3533" s="12" t="n">
        <x:v>48541.532758</x:v>
      </x:c>
      <x:c r="I3533" s="13" t="n">
        <x:v>0.08685</x:v>
      </x:c>
      <x:c r="J3533" s="2" t="n">
        <x:v>2</x:v>
      </x:c>
      <x:c r="K3533" s="2" t="n">
        <x:v>3</x:v>
      </x:c>
      <x:c r="L3533" s="12" t="n">
        <x:v>6530.9691</x:v>
      </x:c>
      <x:c r="M3533" s="13" t="n">
        <x:v>0.616430292504513</x:v>
      </x:c>
      <x:c r="N3533" s="13" t="n">
        <x:f>H3533/G3533</x:f>
        <x:v>0.09637694249893192</x:v>
      </x:c>
      <x:c r="O3533" s="13" t="n">
        <x:f>F3533/E3533</x:f>
        <x:v>0</x:v>
      </x:c>
      <x:c r="P3533" s="2" t="str">
        <x:f>IF(AND(E3533&gt;='Итоги'!$F$5,N3533&lt;='Итоги'!$B$5,O3533&gt;='Итоги'!$D$5),"Да","Нет")</x:f>
        <x:v>Нет</x:v>
      </x:c>
    </x:row>
    <x:row r="3534" ht="60" customHeight="1">
      <x:c r="A3534" s="14" t="str">
        <x:v>Спорт и отдых</x:v>
      </x:c>
      <x:c r="B3534" s="14" t="str">
        <x:v>Туризм</x:v>
      </x:c>
      <x:c r="C3534" s="14" t="str">
        <x:v>Приготовление пищи, посуда туристическая</x:v>
      </x:c>
      <x:c r="D3534" s="14" t="str">
        <x:v>Аккумулятор холода</x:v>
      </x:c>
      <x:c r="E3534" s="2" t="n">
        <x:v>16</x:v>
      </x:c>
      <x:c r="F3534" s="2" t="n">
        <x:v>0</x:v>
      </x:c>
      <x:c r="G3534" s="12" t="n">
        <x:v>4074368.7728</x:v>
      </x:c>
      <x:c r="H3534" s="12" t="n">
        <x:v>392751.04936909</x:v>
      </x:c>
      <x:c r="I3534" s="13" t="n">
        <x:v>0.05521875</x:v>
      </x:c>
      <x:c r="J3534" s="2" t="n">
        <x:v>3</x:v>
      </x:c>
      <x:c r="K3534" s="2" t="n">
        <x:v>6</x:v>
      </x:c>
      <x:c r="L3534" s="12" t="n">
        <x:v>1001.41075</x:v>
      </x:c>
      <x:c r="M3534" s="13" t="n">
        <x:v>0.448214938763385</x:v>
      </x:c>
      <x:c r="N3534" s="13" t="n">
        <x:f>H3534/G3534</x:f>
        <x:v>0.09639555751336236</x:v>
      </x:c>
      <x:c r="O3534" s="13" t="n">
        <x:f>F3534/E3534</x:f>
        <x:v>0</x:v>
      </x:c>
      <x:c r="P3534" s="2" t="str">
        <x:f>IF(AND(E3534&gt;='Итоги'!$F$5,N3534&lt;='Итоги'!$B$5,O3534&gt;='Итоги'!$D$5),"Да","Нет")</x:f>
        <x:v>Нет</x:v>
      </x:c>
    </x:row>
    <x:row r="3535" ht="60" customHeight="1">
      <x:c r="A3535" s="14" t="str">
        <x:v>Ноутбуки и компьютеры</x:v>
      </x:c>
      <x:c r="B3535" s="14" t="str">
        <x:v>Компьютерные комплектующие Lap&amp;Comp</x:v>
      </x:c>
      <x:c r="C3535" s="14" t="str">
        <x:v>Компьютерные комплектующие Lap&amp;Comp</x:v>
      </x:c>
      <x:c r="D3535" s="14" t="str">
        <x:v>Термопаста</x:v>
      </x:c>
      <x:c r="E3535" s="2" t="n">
        <x:v>8</x:v>
      </x:c>
      <x:c r="F3535" s="2" t="n">
        <x:v>0</x:v>
      </x:c>
      <x:c r="G3535" s="12" t="n">
        <x:v>1326706.4193</x:v>
      </x:c>
      <x:c r="H3535" s="12" t="n">
        <x:v>127993.21994249</x:v>
      </x:c>
      <x:c r="I3535" s="13" t="n">
        <x:v>0.0800875</x:v>
      </x:c>
      <x:c r="J3535" s="2" t="n">
        <x:v>1</x:v>
      </x:c>
      <x:c r="K3535" s="2" t="n">
        <x:v>6</x:v>
      </x:c>
      <x:c r="L3535" s="12" t="n">
        <x:v>1317.8835</x:v>
      </x:c>
      <x:c r="M3535" s="13" t="n">
        <x:v>0.230028109882079</x:v>
      </x:c>
      <x:c r="N3535" s="13" t="n">
        <x:f>H3535/G3535</x:f>
        <x:v>0.09647441067634398</x:v>
      </x:c>
      <x:c r="O3535" s="13" t="n">
        <x:f>F3535/E3535</x:f>
        <x:v>0</x:v>
      </x:c>
      <x:c r="P3535" s="2" t="str">
        <x:f>IF(AND(E3535&gt;='Итоги'!$F$5,N3535&lt;='Итоги'!$B$5,O3535&gt;='Итоги'!$D$5),"Да","Нет")</x:f>
        <x:v>Нет</x:v>
      </x:c>
    </x:row>
    <x:row r="3536" ht="60" customHeight="1">
      <x:c r="A3536" s="14" t="str">
        <x:v>Спорт и отдых</x:v>
      </x:c>
      <x:c r="B3536" s="14" t="str">
        <x:v>Товары для рыбалки</x:v>
      </x:c>
      <x:c r="C3536" s="14" t="str">
        <x:v>Ящик, коробка рыболовные</x:v>
      </x:c>
      <x:c r="D3536" s="14" t="str">
        <x:v>Рыболовная емкость для прикормки и насадки</x:v>
      </x:c>
      <x:c r="E3536" s="2" t="n">
        <x:v>7</x:v>
      </x:c>
      <x:c r="F3536" s="2" t="n">
        <x:v>0</x:v>
      </x:c>
      <x:c r="G3536" s="12" t="n">
        <x:v>854404.8721</x:v>
      </x:c>
      <x:c r="H3536" s="12" t="n">
        <x:v>82627.85946718999</x:v>
      </x:c>
      <x:c r="I3536" s="13" t="n">
        <x:v>0.0890142857142857</x:v>
      </x:c>
      <x:c r="J3536" s="2" t="n">
        <x:v>0</x:v>
      </x:c>
      <x:c r="K3536" s="2" t="n">
        <x:v>3</x:v>
      </x:c>
      <x:c r="L3536" s="12" t="n">
        <x:v>1333.4881</x:v>
      </x:c>
      <x:c r="M3536" s="13" t="n">
        <x:v>0.4742957177947487</x:v>
      </x:c>
      <x:c r="N3536" s="13" t="n">
        <x:f>H3536/G3536</x:f>
        <x:v>0.0967080855521142</x:v>
      </x:c>
      <x:c r="O3536" s="13" t="n">
        <x:f>F3536/E3536</x:f>
        <x:v>0</x:v>
      </x:c>
      <x:c r="P3536" s="2" t="str">
        <x:f>IF(AND(E3536&gt;='Итоги'!$F$5,N3536&lt;='Итоги'!$B$5,O3536&gt;='Итоги'!$D$5),"Да","Нет")</x:f>
        <x:v>Нет</x:v>
      </x:c>
    </x:row>
    <x:row r="3537" ht="60" customHeight="1">
      <x:c r="A3537" s="14" t="str">
        <x:v>Аксессуары для электроники</x:v>
      </x:c>
      <x:c r="B3537" s="14" t="str">
        <x:v>Аксессуары для мобильных устройств Access</x:v>
      </x:c>
      <x:c r="C3537" s="14" t="str">
        <x:v>Аксессуары для смарт-часов, фитнес-браслетов Access</x:v>
      </x:c>
      <x:c r="D3537" s="14" t="str">
        <x:v>Ремешок для смарт-часов, фитнес-браслета</x:v>
      </x:c>
      <x:c r="E3537" s="2" t="n">
        <x:v>17</x:v>
      </x:c>
      <x:c r="F3537" s="2" t="n">
        <x:v>0</x:v>
      </x:c>
      <x:c r="G3537" s="12" t="n">
        <x:v>1888924.347</x:v>
      </x:c>
      <x:c r="H3537" s="12" t="n">
        <x:v>182805.74390803</x:v>
      </x:c>
      <x:c r="I3537" s="13" t="n">
        <x:v>0.0896647058823529</x:v>
      </x:c>
      <x:c r="J3537" s="2" t="n">
        <x:v>1</x:v>
      </x:c>
      <x:c r="K3537" s="2" t="n">
        <x:v>8</x:v>
      </x:c>
      <x:c r="L3537" s="12" t="n">
        <x:v>1496.1828</x:v>
      </x:c>
      <x:c r="M3537" s="13" t="n">
        <x:v>0.3430122280593379</x:v>
      </x:c>
      <x:c r="N3537" s="13" t="n">
        <x:f>H3537/G3537</x:f>
        <x:v>0.09677769477552825</x:v>
      </x:c>
      <x:c r="O3537" s="13" t="n">
        <x:f>F3537/E3537</x:f>
        <x:v>0</x:v>
      </x:c>
      <x:c r="P3537" s="2" t="str">
        <x:f>IF(AND(E3537&gt;='Итоги'!$F$5,N3537&lt;='Итоги'!$B$5,O3537&gt;='Итоги'!$D$5),"Да","Нет")</x:f>
        <x:v>Нет</x:v>
      </x:c>
    </x:row>
    <x:row r="3538" ht="60" customHeight="1">
      <x:c r="A3538" s="14" t="str">
        <x:v>Ноутбуки и компьютеры</x:v>
      </x:c>
      <x:c r="B3538" s="14" t="str">
        <x:v>Электронные товары хобби и отдых Lap&amp;Comp</x:v>
      </x:c>
      <x:c r="C3538" s="14" t="str">
        <x:v>Электронный оптический прибор Lap&amp;Comp</x:v>
      </x:c>
      <x:c r="D3538" s="14" t="str">
        <x:v>Телескоп</x:v>
      </x:c>
      <x:c r="E3538" s="2" t="n">
        <x:v>31</x:v>
      </x:c>
      <x:c r="F3538" s="2" t="n">
        <x:v>0</x:v>
      </x:c>
      <x:c r="G3538" s="12" t="n">
        <x:v>6394730.7685</x:v>
      </x:c>
      <x:c r="H3538" s="12" t="n">
        <x:v>618878.7999968</x:v>
      </x:c>
      <x:c r="I3538" s="13" t="n">
        <x:v>0.0977774193548387</x:v>
      </x:c>
      <x:c r="J3538" s="2" t="n">
        <x:v>3</x:v>
      </x:c>
      <x:c r="K3538" s="2" t="n">
        <x:v>10</x:v>
      </x:c>
      <x:c r="L3538" s="12" t="n">
        <x:v>5130.5</x:v>
      </x:c>
      <x:c r="M3538" s="13" t="n">
        <x:v>0.3762418086233773</x:v>
      </x:c>
      <x:c r="N3538" s="13" t="n">
        <x:f>H3538/G3538</x:f>
        <x:v>0.09677949274195467</x:v>
      </x:c>
      <x:c r="O3538" s="13" t="n">
        <x:f>F3538/E3538</x:f>
        <x:v>0</x:v>
      </x:c>
      <x:c r="P3538" s="2" t="str">
        <x:f>IF(AND(E3538&gt;='Итоги'!$F$5,N3538&lt;='Итоги'!$B$5,O3538&gt;='Итоги'!$D$5),"Да","Нет")</x:f>
        <x:v>Нет</x:v>
      </x:c>
    </x:row>
    <x:row r="3539" ht="60" customHeight="1">
      <x:c r="A3539" s="14" t="str">
        <x:v>Детская одежда</x:v>
      </x:c>
      <x:c r="B3539" s="14" t="str">
        <x:v>Детская одежда</x:v>
      </x:c>
      <x:c r="C3539" s="14" t="str">
        <x:v>Одежда спортивная для мальчика</x:v>
      </x:c>
      <x:c r="D3539" s="14" t="str">
        <x:v>Футболка спортивная для мальчика</x:v>
      </x:c>
      <x:c r="E3539" s="2" t="n">
        <x:v>11</x:v>
      </x:c>
      <x:c r="F3539" s="2" t="n">
        <x:v>0</x:v>
      </x:c>
      <x:c r="G3539" s="12" t="n">
        <x:v>978966.2438</x:v>
      </x:c>
      <x:c r="H3539" s="12" t="n">
        <x:v>94761.06772546</x:v>
      </x:c>
      <x:c r="I3539" s="13" t="n">
        <x:v>0.0956727272727272</x:v>
      </x:c>
      <x:c r="J3539" s="2" t="n">
        <x:v>3</x:v>
      </x:c>
      <x:c r="K3539" s="2" t="n">
        <x:v>3</x:v>
      </x:c>
      <x:c r="L3539" s="12" t="n">
        <x:v>843.524</x:v>
      </x:c>
      <x:c r="M3539" s="13" t="n">
        <x:v>0.7217647101469956</x:v>
      </x:c>
      <x:c r="N3539" s="13" t="n">
        <x:f>H3539/G3539</x:f>
        <x:v>0.09679707377614076</x:v>
      </x:c>
      <x:c r="O3539" s="13" t="n">
        <x:f>F3539/E3539</x:f>
        <x:v>0</x:v>
      </x:c>
      <x:c r="P3539" s="2" t="str">
        <x:f>IF(AND(E3539&gt;='Итоги'!$F$5,N3539&lt;='Итоги'!$B$5,O3539&gt;='Итоги'!$D$5),"Да","Нет")</x:f>
        <x:v>Нет</x:v>
      </x:c>
    </x:row>
    <x:row r="3540" ht="60" customHeight="1">
      <x:c r="A3540" s="14" t="str">
        <x:v>Аксессуары для электроники</x:v>
      </x:c>
      <x:c r="B3540" s="14" t="str">
        <x:v>Аксессуары для мобильных устройств Access</x:v>
      </x:c>
      <x:c r="C3540" s="14" t="str">
        <x:v>Аксессуары для смартфонов Access</x:v>
      </x:c>
      <x:c r="D3540" s="14" t="str">
        <x:v>Картхолдер для смартфона Apple</x:v>
      </x:c>
      <x:c r="E3540" s="2" t="n">
        <x:v>1</x:v>
      </x:c>
      <x:c r="F3540" s="2" t="n">
        <x:v>0</x:v>
      </x:c>
      <x:c r="G3540" s="12" t="n">
        <x:v>216692.65</x:v>
      </x:c>
      <x:c r="H3540" s="12" t="n">
        <x:v>20975.84852</x:v>
      </x:c>
      <x:c r="I3540" s="13" t="n">
        <x:v>0.0968</x:v>
      </x:c>
      <x:c r="J3540" s="2" t="n">
        <x:v>0</x:v>
      </x:c>
      <x:c r="K3540" s="2" t="n">
        <x:v>1</x:v>
      </x:c>
      <x:c r="L3540" s="12" t="n">
        <x:v>3939.8664</x:v>
      </x:c>
      <x:c r="M3540" s="13" t="n">
        <x:v>1</x:v>
      </x:c>
      <x:c r="N3540" s="13" t="n">
        <x:f>H3540/G3540</x:f>
        <x:v>0.0968</x:v>
      </x:c>
      <x:c r="O3540" s="13" t="n">
        <x:f>F3540/E3540</x:f>
        <x:v>0</x:v>
      </x:c>
      <x:c r="P3540" s="2" t="str">
        <x:f>IF(AND(E3540&gt;='Итоги'!$F$5,N3540&lt;='Итоги'!$B$5,O3540&gt;='Итоги'!$D$5),"Да","Нет")</x:f>
        <x:v>Нет</x:v>
      </x:c>
    </x:row>
    <x:row r="3541" ht="60" customHeight="1">
      <x:c r="A3541" s="14" t="str">
        <x:v>Товары для дома</x:v>
      </x:c>
      <x:c r="B3541" s="14" t="str">
        <x:v>Домашний текстиль</x:v>
      </x:c>
      <x:c r="C3541" s="14" t="str">
        <x:v>Шторы</x:v>
      </x:c>
      <x:c r="D3541" s="14" t="str">
        <x:v>Автоматизированная система управления шторами</x:v>
      </x:c>
      <x:c r="E3541" s="2" t="n">
        <x:v>2</x:v>
      </x:c>
      <x:c r="F3541" s="2" t="n">
        <x:v>0</x:v>
      </x:c>
      <x:c r="G3541" s="12" t="n">
        <x:v>238711</x:v>
      </x:c>
      <x:c r="H3541" s="12" t="n">
        <x:v>23112.2463</x:v>
      </x:c>
      <x:c r="I3541" s="13" t="n">
        <x:v>0.0975</x:v>
      </x:c>
      <x:c r="J3541" s="2" t="n">
        <x:v>0</x:v>
      </x:c>
      <x:c r="K3541" s="2" t="n">
        <x:v>1</x:v>
      </x:c>
      <x:c r="L3541" s="12" t="n">
        <x:v>12530.4222</x:v>
      </x:c>
      <x:c r="M3541" s="13" t="n">
        <x:v>1</x:v>
      </x:c>
      <x:c r="N3541" s="13" t="n">
        <x:f>H3541/G3541</x:f>
        <x:v>0.09682103589696327</x:v>
      </x:c>
      <x:c r="O3541" s="13" t="n">
        <x:f>F3541/E3541</x:f>
        <x:v>0</x:v>
      </x:c>
      <x:c r="P3541" s="2" t="str">
        <x:f>IF(AND(E3541&gt;='Итоги'!$F$5,N3541&lt;='Итоги'!$B$5,O3541&gt;='Итоги'!$D$5),"Да","Нет")</x:f>
        <x:v>Нет</x:v>
      </x:c>
    </x:row>
    <x:row r="3542" ht="60" customHeight="1">
      <x:c r="A3542" s="14" t="str">
        <x:v>Аксессуары для электроники</x:v>
      </x:c>
      <x:c r="B3542" s="14" t="str">
        <x:v>Аксессуары для мобильных устройств Access</x:v>
      </x:c>
      <x:c r="C3542" s="14" t="str">
        <x:v>Аксессуары для смартфонов Access</x:v>
      </x:c>
      <x:c r="D3542" s="14" t="str">
        <x:v>Чехол для смартфона Apple</x:v>
      </x:c>
      <x:c r="E3542" s="2" t="n">
        <x:v>15</x:v>
      </x:c>
      <x:c r="F3542" s="2" t="n">
        <x:v>0</x:v>
      </x:c>
      <x:c r="G3542" s="12" t="n">
        <x:v>1421002.5524</x:v>
      </x:c>
      <x:c r="H3542" s="12" t="n">
        <x:v>137590.07462516</x:v>
      </x:c>
      <x:c r="I3542" s="13" t="n">
        <x:v>0.0847666666666666</x:v>
      </x:c>
      <x:c r="J3542" s="2" t="n">
        <x:v>5</x:v>
      </x:c>
      <x:c r="K3542" s="2" t="n">
        <x:v>7</x:v>
      </x:c>
      <x:c r="L3542" s="12" t="n">
        <x:v>2110.1718</x:v>
      </x:c>
      <x:c r="M3542" s="13" t="n">
        <x:v>0.6588025199665363</x:v>
      </x:c>
      <x:c r="N3542" s="13" t="n">
        <x:f>H3542/G3542</x:f>
        <x:v>0.09682605734435695</x:v>
      </x:c>
      <x:c r="O3542" s="13" t="n">
        <x:f>F3542/E3542</x:f>
        <x:v>0</x:v>
      </x:c>
      <x:c r="P3542" s="2" t="str">
        <x:f>IF(AND(E3542&gt;='Итоги'!$F$5,N3542&lt;='Итоги'!$B$5,O3542&gt;='Итоги'!$D$5),"Да","Нет")</x:f>
        <x:v>Нет</x:v>
      </x:c>
    </x:row>
    <x:row r="3543" ht="60" customHeight="1">
      <x:c r="A3543" s="14" t="str">
        <x:v>Товары для дома</x:v>
      </x:c>
      <x:c r="B3543" s="14" t="str">
        <x:v>Аксессуары для уборки и стирки</x:v>
      </x:c>
      <x:c r="C3543" s="14" t="str">
        <x:v>Аксессуар для уборки</x:v>
      </x:c>
      <x:c r="D3543" s="14" t="str">
        <x:v>Вантуз, трос сантехнический</x:v>
      </x:c>
      <x:c r="E3543" s="2" t="n">
        <x:v>20</x:v>
      </x:c>
      <x:c r="F3543" s="2" t="n">
        <x:v>0</x:v>
      </x:c>
      <x:c r="G3543" s="12" t="n">
        <x:v>2381081.8297</x:v>
      </x:c>
      <x:c r="H3543" s="12" t="n">
        <x:v>230720.72110304</x:v>
      </x:c>
      <x:c r="I3543" s="13" t="n">
        <x:v>0.093325</x:v>
      </x:c>
      <x:c r="J3543" s="2" t="n">
        <x:v>3</x:v>
      </x:c>
      <x:c r="K3543" s="2" t="n">
        <x:v>8</x:v>
      </x:c>
      <x:c r="L3543" s="12" t="n">
        <x:v>1277.2772</x:v>
      </x:c>
      <x:c r="M3543" s="13" t="n">
        <x:v>0.3972141607242302</x:v>
      </x:c>
      <x:c r="N3543" s="13" t="n">
        <x:f>H3543/G3543</x:f>
        <x:v>0.09689743469761777</x:v>
      </x:c>
      <x:c r="O3543" s="13" t="n">
        <x:f>F3543/E3543</x:f>
        <x:v>0</x:v>
      </x:c>
      <x:c r="P3543" s="2" t="str">
        <x:f>IF(AND(E3543&gt;='Итоги'!$F$5,N3543&lt;='Итоги'!$B$5,O3543&gt;='Итоги'!$D$5),"Да","Нет")</x:f>
        <x:v>Нет</x:v>
      </x:c>
    </x:row>
    <x:row r="3544" ht="60" customHeight="1">
      <x:c r="A3544" s="14" t="str">
        <x:v>Игрушки</x:v>
      </x:c>
      <x:c r="B3544" s="14" t="str">
        <x:v>Игрушки</x:v>
      </x:c>
      <x:c r="C3544" s="14" t="str">
        <x:v>Игрушечное оружие</x:v>
      </x:c>
      <x:c r="D3544" s="14" t="str">
        <x:v>Водное оружие</x:v>
      </x:c>
      <x:c r="E3544" s="2" t="n">
        <x:v>50</x:v>
      </x:c>
      <x:c r="F3544" s="2" t="n">
        <x:v>0</x:v>
      </x:c>
      <x:c r="G3544" s="12" t="n">
        <x:v>5280042.4968</x:v>
      </x:c>
      <x:c r="H3544" s="12" t="n">
        <x:v>511684.3246237901</x:v>
      </x:c>
      <x:c r="I3544" s="13" t="n">
        <x:v>0.090304</x:v>
      </x:c>
      <x:c r="J3544" s="2" t="n">
        <x:v>10</x:v>
      </x:c>
      <x:c r="K3544" s="2" t="n">
        <x:v>25</x:v>
      </x:c>
      <x:c r="L3544" s="12" t="n">
        <x:v>1526.78125</x:v>
      </x:c>
      <x:c r="M3544" s="13" t="n">
        <x:v>0.2790322756858308</x:v>
      </x:c>
      <x:c r="N3544" s="13" t="n">
        <x:f>H3544/G3544</x:f>
        <x:v>0.09690912998027938</x:v>
      </x:c>
      <x:c r="O3544" s="13" t="n">
        <x:f>F3544/E3544</x:f>
        <x:v>0</x:v>
      </x:c>
      <x:c r="P3544" s="2" t="str">
        <x:f>IF(AND(E3544&gt;='Итоги'!$F$5,N3544&lt;='Итоги'!$B$5,O3544&gt;='Итоги'!$D$5),"Да","Нет")</x:f>
        <x:v>Нет</x:v>
      </x:c>
    </x:row>
    <x:row r="3545" ht="60" customHeight="1">
      <x:c r="A3545" s="14" t="str">
        <x:v>Строительство и ремонт (DIY)</x:v>
      </x:c>
      <x:c r="B3545" s="14" t="str">
        <x:v>Ремонт и строительство</x:v>
      </x:c>
      <x:c r="C3545" s="14" t="str">
        <x:v>Спецодежда, средства защиты</x:v>
      </x:c>
      <x:c r="D3545" s="14" t="str">
        <x:v>Респиратор и аксессуары</x:v>
      </x:c>
      <x:c r="E3545" s="2" t="n">
        <x:v>94</x:v>
      </x:c>
      <x:c r="F3545" s="2" t="n">
        <x:v>0</x:v>
      </x:c>
      <x:c r="G3545" s="12" t="n">
        <x:v>18032839.9919</x:v>
      </x:c>
      <x:c r="H3545" s="12" t="n">
        <x:v>1748204.1846956902</x:v>
      </x:c>
      <x:c r="I3545" s="13" t="n">
        <x:v>0.0906095744680851</x:v>
      </x:c>
      <x:c r="J3545" s="2" t="n">
        <x:v>11</x:v>
      </x:c>
      <x:c r="K3545" s="2" t="n">
        <x:v>39</x:v>
      </x:c>
      <x:c r="L3545" s="12" t="n">
        <x:v>1695.06305</x:v>
      </x:c>
      <x:c r="M3545" s="13" t="n">
        <x:v>0.3294821350751631</x:v>
      </x:c>
      <x:c r="N3545" s="13" t="n">
        <x:f>H3545/G3545</x:f>
        <x:v>0.09694558291877205</x:v>
      </x:c>
      <x:c r="O3545" s="13" t="n">
        <x:f>F3545/E3545</x:f>
        <x:v>0</x:v>
      </x:c>
      <x:c r="P3545" s="2" t="str">
        <x:f>IF(AND(E3545&gt;='Итоги'!$F$5,N3545&lt;='Итоги'!$B$5,O3545&gt;='Итоги'!$D$5),"Да","Нет")</x:f>
        <x:v>Нет</x:v>
      </x:c>
    </x:row>
    <x:row r="3546" ht="60" customHeight="1">
      <x:c r="A3546" s="14" t="str">
        <x:v>Спорт и отдых</x:v>
      </x:c>
      <x:c r="B3546" s="14" t="str">
        <x:v>Тренажеры и фитнес</x:v>
      </x:c>
      <x:c r="C3546" s="14" t="str">
        <x:v>Кардиотренажеры</x:v>
      </x:c>
      <x:c r="D3546" s="14" t="str">
        <x:v>Степпер</x:v>
      </x:c>
      <x:c r="E3546" s="2" t="n">
        <x:v>24</x:v>
      </x:c>
      <x:c r="F3546" s="2" t="n">
        <x:v>0</x:v>
      </x:c>
      <x:c r="G3546" s="12" t="n">
        <x:v>7402326.9036</x:v>
      </x:c>
      <x:c r="H3546" s="12" t="n">
        <x:v>717990.5711568999</x:v>
      </x:c>
      <x:c r="I3546" s="13" t="n">
        <x:v>0.0909458333333333</x:v>
      </x:c>
      <x:c r="J3546" s="2" t="n">
        <x:v>2</x:v>
      </x:c>
      <x:c r="K3546" s="2" t="n">
        <x:v>11</x:v>
      </x:c>
      <x:c r="L3546" s="12" t="n">
        <x:v>5453.85535</x:v>
      </x:c>
      <x:c r="M3546" s="13" t="n">
        <x:v>0.2469258213672064</x:v>
      </x:c>
      <x:c r="N3546" s="13" t="n">
        <x:f>H3546/G3546</x:f>
        <x:v>0.09699525304775679</x:v>
      </x:c>
      <x:c r="O3546" s="13" t="n">
        <x:f>F3546/E3546</x:f>
        <x:v>0</x:v>
      </x:c>
      <x:c r="P3546" s="2" t="str">
        <x:f>IF(AND(E3546&gt;='Итоги'!$F$5,N3546&lt;='Итоги'!$B$5,O3546&gt;='Итоги'!$D$5),"Да","Нет")</x:f>
        <x:v>Нет</x:v>
      </x:c>
    </x:row>
    <x:row r="3547" ht="60" customHeight="1">
      <x:c r="A3547" s="14" t="str">
        <x:v>Строительство и ремонт (DIY)</x:v>
      </x:c>
      <x:c r="B3547" s="14" t="str">
        <x:v>Сантехника</x:v>
      </x:c>
      <x:c r="C3547" s="14" t="str">
        <x:v>Душевая программа</x:v>
      </x:c>
      <x:c r="D3547" s="14" t="str">
        <x:v>Душевая лейка</x:v>
      </x:c>
      <x:c r="E3547" s="2" t="n">
        <x:v>41</x:v>
      </x:c>
      <x:c r="F3547" s="2" t="n">
        <x:v>0</x:v>
      </x:c>
      <x:c r="G3547" s="12" t="n">
        <x:v>6361366.1704</x:v>
      </x:c>
      <x:c r="H3547" s="12" t="n">
        <x:v>617225.09152508</x:v>
      </x:c>
      <x:c r="I3547" s="13" t="n">
        <x:v>0.1075097560975609</x:v>
      </x:c>
      <x:c r="J3547" s="2" t="n">
        <x:v>8</x:v>
      </x:c>
      <x:c r="K3547" s="2" t="n">
        <x:v>23</x:v>
      </x:c>
      <x:c r="L3547" s="12" t="n">
        <x:v>1430.7356</x:v>
      </x:c>
      <x:c r="M3547" s="13" t="n">
        <x:v>0.2414664638308996</x:v>
      </x:c>
      <x:c r="N3547" s="13" t="n">
        <x:f>H3547/G3547</x:f>
        <x:v>0.09702712829157406</x:v>
      </x:c>
      <x:c r="O3547" s="13" t="n">
        <x:f>F3547/E3547</x:f>
        <x:v>0</x:v>
      </x:c>
      <x:c r="P3547" s="2" t="str">
        <x:f>IF(AND(E3547&gt;='Итоги'!$F$5,N3547&lt;='Итоги'!$B$5,O3547&gt;='Итоги'!$D$5),"Да","Нет")</x:f>
        <x:v>Нет</x:v>
      </x:c>
    </x:row>
    <x:row r="3548" ht="60" customHeight="1">
      <x:c r="A3548" s="14" t="str">
        <x:v>Спорт и отдых</x:v>
      </x:c>
      <x:c r="B3548" s="14" t="str">
        <x:v>Тренажеры и фитнес</x:v>
      </x:c>
      <x:c r="C3548" s="14" t="str">
        <x:v>Кардиотренажеры</x:v>
      </x:c>
      <x:c r="D3548" s="14" t="str">
        <x:v>Гребной тренажер</x:v>
      </x:c>
      <x:c r="E3548" s="2" t="n">
        <x:v>9</x:v>
      </x:c>
      <x:c r="F3548" s="2" t="n">
        <x:v>0</x:v>
      </x:c>
      <x:c r="G3548" s="12" t="n">
        <x:v>2445684</x:v>
      </x:c>
      <x:c r="H3548" s="12" t="n">
        <x:v>237362.7045</x:v>
      </x:c>
      <x:c r="I3548" s="13" t="n">
        <x:v>0.0537666666666666</x:v>
      </x:c>
      <x:c r="J3548" s="2" t="n">
        <x:v>2</x:v>
      </x:c>
      <x:c r="K3548" s="2" t="n">
        <x:v>3</x:v>
      </x:c>
      <x:c r="L3548" s="12" t="n">
        <x:v>35792.9474</x:v>
      </x:c>
      <x:c r="M3548" s="13" t="n">
        <x:v>0.6598869682264757</x:v>
      </x:c>
      <x:c r="N3548" s="13" t="n">
        <x:f>H3548/G3548</x:f>
        <x:v>0.09705370951439352</x:v>
      </x:c>
      <x:c r="O3548" s="13" t="n">
        <x:f>F3548/E3548</x:f>
        <x:v>0</x:v>
      </x:c>
      <x:c r="P3548" s="2" t="str">
        <x:f>IF(AND(E3548&gt;='Итоги'!$F$5,N3548&lt;='Итоги'!$B$5,O3548&gt;='Итоги'!$D$5),"Да","Нет")</x:f>
        <x:v>Нет</x:v>
      </x:c>
    </x:row>
    <x:row r="3549" ht="60" customHeight="1">
      <x:c r="A3549" s="14" t="str">
        <x:v>Строительство и ремонт (DIY)</x:v>
      </x:c>
      <x:c r="B3549" s="14" t="str">
        <x:v>Ремонт и строительство</x:v>
      </x:c>
      <x:c r="C3549" s="14" t="str">
        <x:v>Строительная химия</x:v>
      </x:c>
      <x:c r="D3549" s="14" t="str">
        <x:v>Клей ПВА для ремонта, строительства</x:v>
      </x:c>
      <x:c r="E3549" s="2" t="n">
        <x:v>5</x:v>
      </x:c>
      <x:c r="F3549" s="2" t="n">
        <x:v>0</x:v>
      </x:c>
      <x:c r="G3549" s="12" t="n">
        <x:v>467453.2108</x:v>
      </x:c>
      <x:c r="H3549" s="12" t="n">
        <x:v>45408.46640379</x:v>
      </x:c>
      <x:c r="I3549" s="13" t="n">
        <x:v>0.0667</x:v>
      </x:c>
      <x:c r="J3549" s="2" t="n">
        <x:v>2</x:v>
      </x:c>
      <x:c r="K3549" s="2" t="n">
        <x:v>2</x:v>
      </x:c>
      <x:c r="L3549" s="12" t="n">
        <x:v>2087.4168</x:v>
      </x:c>
      <x:c r="M3549" s="13" t="n">
        <x:v>0.8711207911121273</x:v>
      </x:c>
      <x:c r="N3549" s="13" t="n">
        <x:f>H3549/G3549</x:f>
        <x:v>0.09714013157825549</x:v>
      </x:c>
      <x:c r="O3549" s="13" t="n">
        <x:f>F3549/E3549</x:f>
        <x:v>0</x:v>
      </x:c>
      <x:c r="P3549" s="2" t="str">
        <x:f>IF(AND(E3549&gt;='Итоги'!$F$5,N3549&lt;='Итоги'!$B$5,O3549&gt;='Итоги'!$D$5),"Да","Нет")</x:f>
        <x:v>Нет</x:v>
      </x:c>
    </x:row>
    <x:row r="3550" ht="60" customHeight="1">
      <x:c r="A3550" s="14" t="str">
        <x:v>Ноутбуки и компьютеры</x:v>
      </x:c>
      <x:c r="B3550" s="14" t="str">
        <x:v>Компьютерные комплектующие Lap&amp;Comp</x:v>
      </x:c>
      <x:c r="C3550" s="14" t="str">
        <x:v>Компьютерные комплектующие Lap&amp;Comp</x:v>
      </x:c>
      <x:c r="D3550" s="14" t="str">
        <x:v>Внешний привод ODD</x:v>
      </x:c>
      <x:c r="E3550" s="2" t="n">
        <x:v>23</x:v>
      </x:c>
      <x:c r="F3550" s="2" t="n">
        <x:v>0</x:v>
      </x:c>
      <x:c r="G3550" s="12" t="n">
        <x:v>4578364.3288</x:v>
      </x:c>
      <x:c r="H3550" s="12" t="n">
        <x:v>444908.36403287</x:v>
      </x:c>
      <x:c r="I3550" s="13" t="n">
        <x:v>0.0912608695652174</x:v>
      </x:c>
      <x:c r="J3550" s="2" t="n">
        <x:v>6</x:v>
      </x:c>
      <x:c r="K3550" s="2" t="n">
        <x:v>15</x:v>
      </x:c>
      <x:c r="L3550" s="12" t="n">
        <x:v>1426.9474</x:v>
      </x:c>
      <x:c r="M3550" s="13" t="n">
        <x:v>0.4057144483490367</x:v>
      </x:c>
      <x:c r="N3550" s="13" t="n">
        <x:f>H3550/G3550</x:f>
        <x:v>0.09717626909553559</x:v>
      </x:c>
      <x:c r="O3550" s="13" t="n">
        <x:f>F3550/E3550</x:f>
        <x:v>0</x:v>
      </x:c>
      <x:c r="P3550" s="2" t="str">
        <x:f>IF(AND(E3550&gt;='Итоги'!$F$5,N3550&lt;='Итоги'!$B$5,O3550&gt;='Итоги'!$D$5),"Да","Нет")</x:f>
        <x:v>Нет</x:v>
      </x:c>
    </x:row>
    <x:row r="3551" ht="60" customHeight="1">
      <x:c r="A3551" s="14" t="str">
        <x:v>Товары для красоты и здоровья</x:v>
      </x:c>
      <x:c r="B3551" s="14" t="str">
        <x:v>Декоративная косметика</x:v>
      </x:c>
      <x:c r="C3551" s="14" t="str">
        <x:v>Тон для лица</x:v>
      </x:c>
      <x:c r="D3551" s="14" t="str">
        <x:v>Пудра</x:v>
      </x:c>
      <x:c r="E3551" s="2" t="n">
        <x:v>29</x:v>
      </x:c>
      <x:c r="F3551" s="2" t="n">
        <x:v>0</x:v>
      </x:c>
      <x:c r="G3551" s="12" t="n">
        <x:v>4256239.9813</x:v>
      </x:c>
      <x:c r="H3551" s="12" t="n">
        <x:v>413632.3464633</x:v>
      </x:c>
      <x:c r="I3551" s="13" t="n">
        <x:v>0.0867172413793103</x:v>
      </x:c>
      <x:c r="J3551" s="2" t="n">
        <x:v>7</x:v>
      </x:c>
      <x:c r="K3551" s="2" t="n">
        <x:v>7</x:v>
      </x:c>
      <x:c r="L3551" s="12" t="n">
        <x:v>1220.5304</x:v>
      </x:c>
      <x:c r="M3551" s="13" t="n">
        <x:v>0.6031489610028771</x:v>
      </x:c>
      <x:c r="N3551" s="13" t="n">
        <x:f>H3551/G3551</x:f>
        <x:v>0.0971825715374636</x:v>
      </x:c>
      <x:c r="O3551" s="13" t="n">
        <x:f>F3551/E3551</x:f>
        <x:v>0</x:v>
      </x:c>
      <x:c r="P3551" s="2" t="str">
        <x:f>IF(AND(E3551&gt;='Итоги'!$F$5,N3551&lt;='Итоги'!$B$5,O3551&gt;='Итоги'!$D$5),"Да","Нет")</x:f>
        <x:v>Нет</x:v>
      </x:c>
    </x:row>
    <x:row r="3552" ht="60" customHeight="1">
      <x:c r="A3552" s="14" t="str">
        <x:v>Строительство и ремонт (DIY)</x:v>
      </x:c>
      <x:c r="B3552" s="14" t="str">
        <x:v>Сад и огород</x:v>
      </x:c>
      <x:c r="C3552" s="14" t="str">
        <x:v>Садовый инструмент</x:v>
      </x:c>
      <x:c r="D3552" s="14" t="str">
        <x:v>Воздуходувка</x:v>
      </x:c>
      <x:c r="E3552" s="2" t="n">
        <x:v>101</x:v>
      </x:c>
      <x:c r="F3552" s="2" t="n">
        <x:v>0</x:v>
      </x:c>
      <x:c r="G3552" s="12" t="n">
        <x:v>22716499.9129</x:v>
      </x:c>
      <x:c r="H3552" s="12" t="n">
        <x:v>2210025.4300601</x:v>
      </x:c>
      <x:c r="I3552" s="13" t="n">
        <x:v>0.0925227722772277</x:v>
      </x:c>
      <x:c r="J3552" s="2" t="n">
        <x:v>22</x:v>
      </x:c>
      <x:c r="K3552" s="2" t="n">
        <x:v>42</x:v>
      </x:c>
      <x:c r="L3552" s="12" t="n">
        <x:v>2820.0272</x:v>
      </x:c>
      <x:c r="M3552" s="13" t="n">
        <x:v>0.623468675632431</x:v>
      </x:c>
      <x:c r="N3552" s="13" t="n">
        <x:f>H3552/G3552</x:f>
        <x:v>0.0972872334441405</x:v>
      </x:c>
      <x:c r="O3552" s="13" t="n">
        <x:f>F3552/E3552</x:f>
        <x:v>0</x:v>
      </x:c>
      <x:c r="P3552" s="2" t="str">
        <x:f>IF(AND(E3552&gt;='Итоги'!$F$5,N3552&lt;='Итоги'!$B$5,O3552&gt;='Итоги'!$D$5),"Да","Нет")</x:f>
        <x:v>Нет</x:v>
      </x:c>
    </x:row>
    <x:row r="3553" ht="60" customHeight="1">
      <x:c r="A3553" s="14" t="str">
        <x:v>Товары для дома</x:v>
      </x:c>
      <x:c r="B3553" s="14" t="str">
        <x:v>Антиквариат Хоум Декор</x:v>
      </x:c>
      <x:c r="C3553" s="14" t="str">
        <x:v>Коллекционирование Хоум Декор</x:v>
      </x:c>
      <x:c r="D3553" s="14" t="str">
        <x:v>Разное аксессуары для коллекционирования</x:v>
      </x:c>
      <x:c r="E3553" s="2" t="n">
        <x:v>3</x:v>
      </x:c>
      <x:c r="F3553" s="2" t="n">
        <x:v>0</x:v>
      </x:c>
      <x:c r="G3553" s="12" t="n">
        <x:v>182468</x:v>
      </x:c>
      <x:c r="H3553" s="12" t="n">
        <x:v>17752.254300000004</x:v>
      </x:c>
      <x:c r="I3553" s="13" t="n">
        <x:v>0.0598666666666666</x:v>
      </x:c>
      <x:c r="J3553" s="2" t="n">
        <x:v>0</x:v>
      </x:c>
      <x:c r="K3553" s="2" t="n">
        <x:v>2</x:v>
      </x:c>
      <x:c r="L3553" s="12" t="n">
        <x:v>3401.25</x:v>
      </x:c>
      <x:c r="M3553" s="13" t="n">
        <x:v>0.6092301115812088</x:v>
      </x:c>
      <x:c r="N3553" s="13" t="n">
        <x:f>H3553/G3553</x:f>
        <x:v>0.09728968531468533</x:v>
      </x:c>
      <x:c r="O3553" s="13" t="n">
        <x:f>F3553/E3553</x:f>
        <x:v>0</x:v>
      </x:c>
      <x:c r="P3553" s="2" t="str">
        <x:f>IF(AND(E3553&gt;='Итоги'!$F$5,N3553&lt;='Итоги'!$B$5,O3553&gt;='Итоги'!$D$5),"Да","Нет")</x:f>
        <x:v>Нет</x:v>
      </x:c>
    </x:row>
    <x:row r="3554" ht="60" customHeight="1">
      <x:c r="A3554" s="14" t="str">
        <x:v>Одежда</x:v>
      </x:c>
      <x:c r="B3554" s="14" t="str">
        <x:v>Основная одежда женская</x:v>
      </x:c>
      <x:c r="C3554" s="14" t="str">
        <x:v>Основная одежда для беременных и кормящих</x:v>
      </x:c>
      <x:c r="D3554" s="14" t="str">
        <x:v>Ночная сорочка, пижама для беременных и кормящих</x:v>
      </x:c>
      <x:c r="E3554" s="2" t="n">
        <x:v>97</x:v>
      </x:c>
      <x:c r="F3554" s="2" t="n">
        <x:v>0</x:v>
      </x:c>
      <x:c r="G3554" s="12" t="n">
        <x:v>8608619.8386</x:v>
      </x:c>
      <x:c r="H3554" s="12" t="n">
        <x:v>837688.04798917</x:v>
      </x:c>
      <x:c r="I3554" s="13" t="n">
        <x:v>0.0701711340206185</x:v>
      </x:c>
      <x:c r="J3554" s="2" t="n">
        <x:v>26</x:v>
      </x:c>
      <x:c r="K3554" s="2" t="n">
        <x:v>31</x:v>
      </x:c>
      <x:c r="L3554" s="12" t="n">
        <x:v>1253.9829</x:v>
      </x:c>
      <x:c r="M3554" s="13" t="n">
        <x:v>0.214332049386916</x:v>
      </x:c>
      <x:c r="N3554" s="13" t="n">
        <x:f>H3554/G3554</x:f>
        <x:v>0.09730805444945763</x:v>
      </x:c>
      <x:c r="O3554" s="13" t="n">
        <x:f>F3554/E3554</x:f>
        <x:v>0</x:v>
      </x:c>
      <x:c r="P3554" s="2" t="str">
        <x:f>IF(AND(E3554&gt;='Итоги'!$F$5,N3554&lt;='Итоги'!$B$5,O3554&gt;='Итоги'!$D$5),"Да","Нет")</x:f>
        <x:v>Нет</x:v>
      </x:c>
    </x:row>
    <x:row r="3555" ht="60" customHeight="1">
      <x:c r="A3555" s="14" t="str">
        <x:v>Товары для дома</x:v>
      </x:c>
      <x:c r="B3555" s="14" t="str">
        <x:v>Аксессуары для уборки и стирки</x:v>
      </x:c>
      <x:c r="C3555" s="14" t="str">
        <x:v>Аксессуар для уборки</x:v>
      </x:c>
      <x:c r="D3555" s="14" t="str">
        <x:v>Насадка для швабры, сменный блок для швабры</x:v>
      </x:c>
      <x:c r="E3555" s="2" t="n">
        <x:v>8</x:v>
      </x:c>
      <x:c r="F3555" s="2" t="n">
        <x:v>0</x:v>
      </x:c>
      <x:c r="G3555" s="12" t="n">
        <x:v>1127435.8507</x:v>
      </x:c>
      <x:c r="H3555" s="12" t="n">
        <x:v>109753.74961647</x:v>
      </x:c>
      <x:c r="I3555" s="13" t="n">
        <x:v>0.0914</x:v>
      </x:c>
      <x:c r="J3555" s="2" t="n">
        <x:v>2</x:v>
      </x:c>
      <x:c r="K3555" s="2" t="n">
        <x:v>5</x:v>
      </x:c>
      <x:c r="L3555" s="12" t="n">
        <x:v>1400.4452</x:v>
      </x:c>
      <x:c r="M3555" s="13" t="n">
        <x:v>0.4393272212272395</x:v>
      </x:c>
      <x:c r="N3555" s="13" t="n">
        <x:f>H3555/G3555</x:f>
        <x:v>0.09734811035885219</x:v>
      </x:c>
      <x:c r="O3555" s="13" t="n">
        <x:f>F3555/E3555</x:f>
        <x:v>0</x:v>
      </x:c>
      <x:c r="P3555" s="2" t="str">
        <x:f>IF(AND(E3555&gt;='Итоги'!$F$5,N3555&lt;='Итоги'!$B$5,O3555&gt;='Итоги'!$D$5),"Да","Нет")</x:f>
        <x:v>Нет</x:v>
      </x:c>
    </x:row>
    <x:row r="3556" ht="60" customHeight="1">
      <x:c r="A3556" s="14" t="str">
        <x:v>Автотовары</x:v>
      </x:c>
      <x:c r="B3556" s="14" t="str">
        <x:v>Универсальные авто и мото аксессуары</x:v>
      </x:c>
      <x:c r="C3556" s="14" t="str">
        <x:v>Аксессуар для салона авто</x:v>
      </x:c>
      <x:c r="D3556" s="14" t="str">
        <x:v>Удобства салона авто</x:v>
      </x:c>
      <x:c r="E3556" s="2" t="n">
        <x:v>20</x:v>
      </x:c>
      <x:c r="F3556" s="2" t="n">
        <x:v>0</x:v>
      </x:c>
      <x:c r="G3556" s="12" t="n">
        <x:v>2911238.7558</x:v>
      </x:c>
      <x:c r="H3556" s="12" t="n">
        <x:v>283526.11524391</x:v>
      </x:c>
      <x:c r="I3556" s="13" t="n">
        <x:v>0.07276</x:v>
      </x:c>
      <x:c r="J3556" s="2" t="n">
        <x:v>9</x:v>
      </x:c>
      <x:c r="K3556" s="2" t="n">
        <x:v>13</x:v>
      </x:c>
      <x:c r="L3556" s="12" t="n">
        <x:v>1407.4717</x:v>
      </x:c>
      <x:c r="M3556" s="13" t="n">
        <x:v>0.1772002481666055</x:v>
      </x:c>
      <x:c r="N3556" s="13" t="n">
        <x:f>H3556/G3556</x:f>
        <x:v>0.09739019676041577</x:v>
      </x:c>
      <x:c r="O3556" s="13" t="n">
        <x:f>F3556/E3556</x:f>
        <x:v>0</x:v>
      </x:c>
      <x:c r="P3556" s="2" t="str">
        <x:f>IF(AND(E3556&gt;='Итоги'!$F$5,N3556&lt;='Итоги'!$B$5,O3556&gt;='Итоги'!$D$5),"Да","Нет")</x:f>
        <x:v>Нет</x:v>
      </x:c>
    </x:row>
    <x:row r="3557" ht="60" customHeight="1">
      <x:c r="A3557" s="14" t="str">
        <x:v>Напитки</x:v>
      </x:c>
      <x:c r="B3557" s="14" t="str">
        <x:v>Напитки горячие</x:v>
      </x:c>
      <x:c r="C3557" s="14" t="str">
        <x:v>Какао, горячий шоколад</x:v>
      </x:c>
      <x:c r="D3557" s="14" t="str">
        <x:v>Горячий шоколад капсульный</x:v>
      </x:c>
      <x:c r="E3557" s="2" t="n">
        <x:v>1</x:v>
      </x:c>
      <x:c r="F3557" s="2" t="n">
        <x:v>0</x:v>
      </x:c>
      <x:c r="G3557" s="12" t="n">
        <x:v>137683.12</x:v>
      </x:c>
      <x:c r="H3557" s="12" t="n">
        <x:v>13410.335888</x:v>
      </x:c>
      <x:c r="I3557" s="13" t="n">
        <x:v>0.0974</x:v>
      </x:c>
      <x:c r="J3557" s="2" t="n">
        <x:v>0</x:v>
      </x:c>
      <x:c r="K3557" s="2" t="n">
        <x:v>1</x:v>
      </x:c>
      <x:c r="L3557" s="12" t="n">
        <x:v>1166.8061</x:v>
      </x:c>
      <x:c r="M3557" s="13" t="n">
        <x:v>1</x:v>
      </x:c>
      <x:c r="N3557" s="13" t="n">
        <x:f>H3557/G3557</x:f>
        <x:v>0.0974</x:v>
      </x:c>
      <x:c r="O3557" s="13" t="n">
        <x:f>F3557/E3557</x:f>
        <x:v>0</x:v>
      </x:c>
      <x:c r="P3557" s="2" t="str">
        <x:f>IF(AND(E3557&gt;='Итоги'!$F$5,N3557&lt;='Итоги'!$B$5,O3557&gt;='Итоги'!$D$5),"Да","Нет")</x:f>
        <x:v>Нет</x:v>
      </x:c>
    </x:row>
    <x:row r="3558" ht="60" customHeight="1">
      <x:c r="A3558" s="14" t="str">
        <x:v>Товары для детей и спорта</x:v>
      </x:c>
      <x:c r="B3558" s="14" t="str">
        <x:v>КГТ и аксессуары для детей</x:v>
      </x:c>
      <x:c r="C3558" s="14" t="str">
        <x:v>Ванная комната и купание</x:v>
      </x:c>
      <x:c r="D3558" s="14" t="str">
        <x:v>Матрасик, сетка для купания детские</x:v>
      </x:c>
      <x:c r="E3558" s="2" t="n">
        <x:v>1</x:v>
      </x:c>
      <x:c r="F3558" s="2" t="n">
        <x:v>0</x:v>
      </x:c>
      <x:c r="G3558" s="12" t="n">
        <x:v>140731.32</x:v>
      </x:c>
      <x:c r="H3558" s="12" t="n">
        <x:v>13707.230568</x:v>
      </x:c>
      <x:c r="I3558" s="13" t="n">
        <x:v>0.0974</x:v>
      </x:c>
      <x:c r="J3558" s="2" t="n">
        <x:v>0</x:v>
      </x:c>
      <x:c r="K3558" s="2" t="n">
        <x:v>1</x:v>
      </x:c>
      <x:c r="L3558" s="12" t="n">
        <x:v>461.4142</x:v>
      </x:c>
      <x:c r="M3558" s="13" t="n">
        <x:v>1</x:v>
      </x:c>
      <x:c r="N3558" s="13" t="n">
        <x:f>H3558/G3558</x:f>
        <x:v>0.0974</x:v>
      </x:c>
      <x:c r="O3558" s="13" t="n">
        <x:f>F3558/E3558</x:f>
        <x:v>0</x:v>
      </x:c>
      <x:c r="P3558" s="2" t="str">
        <x:f>IF(AND(E3558&gt;='Итоги'!$F$5,N3558&lt;='Итоги'!$B$5,O3558&gt;='Итоги'!$D$5),"Да","Нет")</x:f>
        <x:v>Нет</x:v>
      </x:c>
    </x:row>
    <x:row r="3559" ht="60" customHeight="1">
      <x:c r="A3559" s="14" t="str">
        <x:v>Строительство и ремонт (DIY)</x:v>
      </x:c>
      <x:c r="B3559" s="14" t="str">
        <x:v>Ремонт и строительство</x:v>
      </x:c>
      <x:c r="C3559" s="14" t="str">
        <x:v>Отделка пола</x:v>
      </x:c>
      <x:c r="D3559" s="14" t="str">
        <x:v>Теплый пол</x:v>
      </x:c>
      <x:c r="E3559" s="2" t="n">
        <x:v>88</x:v>
      </x:c>
      <x:c r="F3559" s="2" t="n">
        <x:v>0</x:v>
      </x:c>
      <x:c r="G3559" s="12" t="n">
        <x:v>10278652.58</x:v>
      </x:c>
      <x:c r="H3559" s="12" t="n">
        <x:v>1001629.16970527</x:v>
      </x:c>
      <x:c r="I3559" s="13" t="n">
        <x:v>0.1044602272727272</x:v>
      </x:c>
      <x:c r="J3559" s="2" t="n">
        <x:v>23</x:v>
      </x:c>
      <x:c r="K3559" s="2" t="n">
        <x:v>12</x:v>
      </x:c>
      <x:c r="L3559" s="12" t="n">
        <x:v>3740.22295</x:v>
      </x:c>
      <x:c r="M3559" s="13" t="n">
        <x:v>0.6515383404465647</x:v>
      </x:c>
      <x:c r="N3559" s="13" t="n">
        <x:f>H3559/G3559</x:f>
        <x:v>0.09744751677415582</x:v>
      </x:c>
      <x:c r="O3559" s="13" t="n">
        <x:f>F3559/E3559</x:f>
        <x:v>0</x:v>
      </x:c>
      <x:c r="P3559" s="2" t="str">
        <x:f>IF(AND(E3559&gt;='Итоги'!$F$5,N3559&lt;='Итоги'!$B$5,O3559&gt;='Итоги'!$D$5),"Да","Нет")</x:f>
        <x:v>Нет</x:v>
      </x:c>
    </x:row>
    <x:row r="3560" ht="60" customHeight="1">
      <x:c r="A3560" s="14" t="str">
        <x:v>Аптека</x:v>
      </x:c>
      <x:c r="B3560" s="14" t="str">
        <x:v>Тату</x:v>
      </x:c>
      <x:c r="C3560" s="14" t="str">
        <x:v>Тату наборы</x:v>
      </x:c>
      <x:c r="D3560" s="14" t="str">
        <x:v>Тату набор</x:v>
      </x:c>
      <x:c r="E3560" s="2" t="n">
        <x:v>7</x:v>
      </x:c>
      <x:c r="F3560" s="2" t="n">
        <x:v>0</x:v>
      </x:c>
      <x:c r="G3560" s="12" t="n">
        <x:v>1089839.6626</x:v>
      </x:c>
      <x:c r="H3560" s="12" t="n">
        <x:v>106205.0371815</x:v>
      </x:c>
      <x:c r="I3560" s="13" t="n">
        <x:v>0.0637142857142857</x:v>
      </x:c>
      <x:c r="J3560" s="2" t="n">
        <x:v>4</x:v>
      </x:c>
      <x:c r="K3560" s="2" t="n">
        <x:v>7</x:v>
      </x:c>
      <x:c r="L3560" s="12" t="n">
        <x:v>3215.7506</x:v>
      </x:c>
      <x:c r="M3560" s="13" t="n">
        <x:v>0.2572590809652921</x:v>
      </x:c>
      <x:c r="N3560" s="13" t="n">
        <x:f>H3560/G3560</x:f>
        <x:v>0.0974501487018096</x:v>
      </x:c>
      <x:c r="O3560" s="13" t="n">
        <x:f>F3560/E3560</x:f>
        <x:v>0</x:v>
      </x:c>
      <x:c r="P3560" s="2" t="str">
        <x:f>IF(AND(E3560&gt;='Итоги'!$F$5,N3560&lt;='Итоги'!$B$5,O3560&gt;='Итоги'!$D$5),"Да","Нет")</x:f>
        <x:v>Нет</x:v>
      </x:c>
    </x:row>
    <x:row r="3561" ht="60" customHeight="1">
      <x:c r="A3561" s="14" t="str">
        <x:v>Спорт и отдых</x:v>
      </x:c>
      <x:c r="B3561" s="14" t="str">
        <x:v>Туризм</x:v>
      </x:c>
      <x:c r="C3561" s="14" t="str">
        <x:v>Скандинавская ходьба и треккинг</x:v>
      </x:c>
      <x:c r="D3561" s="14" t="str">
        <x:v>Палки для скандинавской ходьбы</x:v>
      </x:c>
      <x:c r="E3561" s="2" t="n">
        <x:v>32</x:v>
      </x:c>
      <x:c r="F3561" s="2" t="n">
        <x:v>0</x:v>
      </x:c>
      <x:c r="G3561" s="12" t="n">
        <x:v>5578201.9498</x:v>
      </x:c>
      <x:c r="H3561" s="12" t="n">
        <x:v>543697.6638944</x:v>
      </x:c>
      <x:c r="I3561" s="13" t="n">
        <x:v>0.107975</x:v>
      </x:c>
      <x:c r="J3561" s="2" t="n">
        <x:v>2</x:v>
      </x:c>
      <x:c r="K3561" s="2" t="n">
        <x:v>13</x:v>
      </x:c>
      <x:c r="L3561" s="12" t="n">
        <x:v>1546.3709</x:v>
      </x:c>
      <x:c r="M3561" s="13" t="n">
        <x:v>0.4678713940777233</x:v>
      </x:c>
      <x:c r="N3561" s="13" t="n">
        <x:f>H3561/G3561</x:f>
        <x:v>0.09746826464644108</x:v>
      </x:c>
      <x:c r="O3561" s="13" t="n">
        <x:f>F3561/E3561</x:f>
        <x:v>0</x:v>
      </x:c>
      <x:c r="P3561" s="2" t="str">
        <x:f>IF(AND(E3561&gt;='Итоги'!$F$5,N3561&lt;='Итоги'!$B$5,O3561&gt;='Итоги'!$D$5),"Да","Нет")</x:f>
        <x:v>Нет</x:v>
      </x:c>
    </x:row>
    <x:row r="3562" ht="60" customHeight="1">
      <x:c r="A3562" s="14" t="str">
        <x:v>Аптека</x:v>
      </x:c>
      <x:c r="B3562" s="14" t="str">
        <x:v>Ортопедия и компрессионный трикотаж</x:v>
      </x:c>
      <x:c r="C3562" s="14" t="str">
        <x:v>Аппликаторы и массажеры</x:v>
      </x:c>
      <x:c r="D3562" s="14" t="str">
        <x:v>Массажер механический для тела, рук и ног</x:v>
      </x:c>
      <x:c r="E3562" s="2" t="n">
        <x:v>27</x:v>
      </x:c>
      <x:c r="F3562" s="2" t="n">
        <x:v>0</x:v>
      </x:c>
      <x:c r="G3562" s="12" t="n">
        <x:v>6934212.9350000005</x:v>
      </x:c>
      <x:c r="H3562" s="12" t="n">
        <x:v>677037.7950428</x:v>
      </x:c>
      <x:c r="I3562" s="13" t="n">
        <x:v>0.0930074074074074</x:v>
      </x:c>
      <x:c r="J3562" s="2" t="n">
        <x:v>2</x:v>
      </x:c>
      <x:c r="K3562" s="2" t="n">
        <x:v>9</x:v>
      </x:c>
      <x:c r="L3562" s="12" t="n">
        <x:v>8301.6429</x:v>
      </x:c>
      <x:c r="M3562" s="13" t="n">
        <x:v>0.6716569484464497</x:v>
      </x:c>
      <x:c r="N3562" s="13" t="n">
        <x:f>H3562/G3562</x:f>
        <x:v>0.09763729516085302</x:v>
      </x:c>
      <x:c r="O3562" s="13" t="n">
        <x:f>F3562/E3562</x:f>
        <x:v>0</x:v>
      </x:c>
      <x:c r="P3562" s="2" t="str">
        <x:f>IF(AND(E3562&gt;='Итоги'!$F$5,N3562&lt;='Итоги'!$B$5,O3562&gt;='Итоги'!$D$5),"Да","Нет")</x:f>
        <x:v>Нет</x:v>
      </x:c>
    </x:row>
    <x:row r="3563" ht="60" customHeight="1">
      <x:c r="A3563" s="14" t="str">
        <x:v>Товары для красоты и здоровья</x:v>
      </x:c>
      <x:c r="B3563" s="14" t="str">
        <x:v>Косметика для ухода за кожей</x:v>
      </x:c>
      <x:c r="C3563" s="14" t="str">
        <x:v>Лицо</x:v>
      </x:c>
      <x:c r="D3563" s="14" t="str">
        <x:v>Сыворотки и дополнительный уход для лица</x:v>
      </x:c>
      <x:c r="E3563" s="2" t="n">
        <x:v>267</x:v>
      </x:c>
      <x:c r="F3563" s="2" t="n">
        <x:v>0</x:v>
      </x:c>
      <x:c r="G3563" s="12" t="n">
        <x:v>39518233.5532</x:v>
      </x:c>
      <x:c r="H3563" s="12" t="n">
        <x:v>3864559.1505973</x:v>
      </x:c>
      <x:c r="I3563" s="13" t="n">
        <x:v>0.0911906367041198</x:v>
      </x:c>
      <x:c r="J3563" s="2" t="n">
        <x:v>65</x:v>
      </x:c>
      <x:c r="K3563" s="2" t="n">
        <x:v>50</x:v>
      </x:c>
      <x:c r="L3563" s="12" t="n">
        <x:v>1680.209</x:v>
      </x:c>
      <x:c r="M3563" s="13" t="n">
        <x:v>0.5944391589283928</x:v>
      </x:c>
      <x:c r="N3563" s="13" t="n">
        <x:f>H3563/G3563</x:f>
        <x:v>0.09779179895262212</x:v>
      </x:c>
      <x:c r="O3563" s="13" t="n">
        <x:f>F3563/E3563</x:f>
        <x:v>0</x:v>
      </x:c>
      <x:c r="P3563" s="2" t="str">
        <x:f>IF(AND(E3563&gt;='Итоги'!$F$5,N3563&lt;='Итоги'!$B$5,O3563&gt;='Итоги'!$D$5),"Да","Нет")</x:f>
        <x:v>Нет</x:v>
      </x:c>
    </x:row>
    <x:row r="3564" ht="60" customHeight="1">
      <x:c r="A3564" s="14" t="str">
        <x:v>Строительство и ремонт (DIY)</x:v>
      </x:c>
      <x:c r="B3564" s="14" t="str">
        <x:v>Ремонт и строительство</x:v>
      </x:c>
      <x:c r="C3564" s="14" t="str">
        <x:v>Скобяные изделия</x:v>
      </x:c>
      <x:c r="D3564" s="14" t="str">
        <x:v>Ручка мебельная</x:v>
      </x:c>
      <x:c r="E3564" s="2" t="n">
        <x:v>23</x:v>
      </x:c>
      <x:c r="F3564" s="2" t="n">
        <x:v>0</x:v>
      </x:c>
      <x:c r="G3564" s="12" t="n">
        <x:v>2607425.8059</x:v>
      </x:c>
      <x:c r="H3564" s="12" t="n">
        <x:v>255055.95575916</x:v>
      </x:c>
      <x:c r="I3564" s="13" t="n">
        <x:v>0.0965869565217391</x:v>
      </x:c>
      <x:c r="J3564" s="2" t="n">
        <x:v>0</x:v>
      </x:c>
      <x:c r="K3564" s="2" t="n">
        <x:v>6</x:v>
      </x:c>
      <x:c r="L3564" s="12" t="n">
        <x:v>2120.84</x:v>
      </x:c>
      <x:c r="M3564" s="13" t="n">
        <x:v>0.3307085471229208</x:v>
      </x:c>
      <x:c r="N3564" s="13" t="n">
        <x:f>H3564/G3564</x:f>
        <x:v>0.09781906552509663</x:v>
      </x:c>
      <x:c r="O3564" s="13" t="n">
        <x:f>F3564/E3564</x:f>
        <x:v>0</x:v>
      </x:c>
      <x:c r="P3564" s="2" t="str">
        <x:f>IF(AND(E3564&gt;='Итоги'!$F$5,N3564&lt;='Итоги'!$B$5,O3564&gt;='Итоги'!$D$5),"Да","Нет")</x:f>
        <x:v>Нет</x:v>
      </x:c>
    </x:row>
    <x:row r="3565" ht="60" customHeight="1">
      <x:c r="A3565" s="14" t="str">
        <x:v>Бакалея и кондитерские изделия</x:v>
      </x:c>
      <x:c r="B3565" s="14" t="str">
        <x:v>Кондитерские изделия</x:v>
      </x:c>
      <x:c r="C3565" s="14" t="str">
        <x:v>Мучные изделия</x:v>
      </x:c>
      <x:c r="D3565" s="14" t="str">
        <x:v>Печенье</x:v>
      </x:c>
      <x:c r="E3565" s="2" t="n">
        <x:v>8</x:v>
      </x:c>
      <x:c r="F3565" s="2" t="n">
        <x:v>0</x:v>
      </x:c>
      <x:c r="G3565" s="12" t="n">
        <x:v>991553.2094</x:v>
      </x:c>
      <x:c r="H3565" s="12" t="n">
        <x:v>97040.48053783</x:v>
      </x:c>
      <x:c r="I3565" s="13" t="n">
        <x:v>0.09335</x:v>
      </x:c>
      <x:c r="J3565" s="2" t="n">
        <x:v>0</x:v>
      </x:c>
      <x:c r="K3565" s="2" t="n">
        <x:v>2</x:v>
      </x:c>
      <x:c r="L3565" s="12" t="n">
        <x:v>1084.4686000000002</x:v>
      </x:c>
      <x:c r="M3565" s="13" t="n">
        <x:v>0.9420303424414492</x:v>
      </x:c>
      <x:c r="N3565" s="13" t="n">
        <x:f>H3565/G3565</x:f>
        <x:v>0.09786714380819793</x:v>
      </x:c>
      <x:c r="O3565" s="13" t="n">
        <x:f>F3565/E3565</x:f>
        <x:v>0</x:v>
      </x:c>
      <x:c r="P3565" s="2" t="str">
        <x:f>IF(AND(E3565&gt;='Итоги'!$F$5,N3565&lt;='Итоги'!$B$5,O3565&gt;='Итоги'!$D$5),"Да","Нет")</x:f>
        <x:v>Нет</x:v>
      </x:c>
    </x:row>
    <x:row r="3566" ht="60" customHeight="1">
      <x:c r="A3566" s="14" t="str">
        <x:v>Аптека</x:v>
      </x:c>
      <x:c r="B3566" s="14" t="str">
        <x:v>Профессиональный уход за полостью рта</x:v>
      </x:c>
      <x:c r="C3566" s="14" t="str">
        <x:v>Профессиональный уход за полостью рта</x:v>
      </x:c>
      <x:c r="D3566" s="14" t="str">
        <x:v>Жевательная резинка, леденцы стоматологические</x:v>
      </x:c>
      <x:c r="E3566" s="2" t="n">
        <x:v>11</x:v>
      </x:c>
      <x:c r="F3566" s="2" t="n">
        <x:v>0</x:v>
      </x:c>
      <x:c r="G3566" s="12" t="n">
        <x:v>1697549.0568</x:v>
      </x:c>
      <x:c r="H3566" s="12" t="n">
        <x:v>166169.97882753</x:v>
      </x:c>
      <x:c r="I3566" s="13" t="n">
        <x:v>0.0923363636363636</x:v>
      </x:c>
      <x:c r="J3566" s="2" t="n">
        <x:v>1</x:v>
      </x:c>
      <x:c r="K3566" s="2" t="n">
        <x:v>5</x:v>
      </x:c>
      <x:c r="L3566" s="12" t="n">
        <x:v>1307.2346</x:v>
      </x:c>
      <x:c r="M3566" s="13" t="n">
        <x:v>0.7138297723685554</x:v>
      </x:c>
      <x:c r="N3566" s="13" t="n">
        <x:f>H3566/G3566</x:f>
        <x:v>0.09788817481408883</x:v>
      </x:c>
      <x:c r="O3566" s="13" t="n">
        <x:f>F3566/E3566</x:f>
        <x:v>0</x:v>
      </x:c>
      <x:c r="P3566" s="2" t="str">
        <x:f>IF(AND(E3566&gt;='Итоги'!$F$5,N3566&lt;='Итоги'!$B$5,O3566&gt;='Итоги'!$D$5),"Да","Нет")</x:f>
        <x:v>Нет</x:v>
      </x:c>
    </x:row>
    <x:row r="3567" ht="60" customHeight="1">
      <x:c r="A3567" s="14" t="str">
        <x:v>Аксессуары для электроники</x:v>
      </x:c>
      <x:c r="B3567" s="14" t="str">
        <x:v>Фото и видео Access</x:v>
      </x:c>
      <x:c r="C3567" s="14" t="str">
        <x:v>Аксессуар к фото и видео Access</x:v>
      </x:c>
      <x:c r="D3567" s="14" t="str">
        <x:v>Софтбокс для фото/видео</x:v>
      </x:c>
      <x:c r="E3567" s="2" t="n">
        <x:v>10</x:v>
      </x:c>
      <x:c r="F3567" s="2" t="n">
        <x:v>0</x:v>
      </x:c>
      <x:c r="G3567" s="12" t="n">
        <x:v>1093714.4666</x:v>
      </x:c>
      <x:c r="H3567" s="12" t="n">
        <x:v>107064.93128953</x:v>
      </x:c>
      <x:c r="I3567" s="13" t="n">
        <x:v>0.0927</x:v>
      </x:c>
      <x:c r="J3567" s="2" t="n">
        <x:v>1</x:v>
      </x:c>
      <x:c r="K3567" s="2" t="n">
        <x:v>5</x:v>
      </x:c>
      <x:c r="L3567" s="12" t="n">
        <x:v>3672.7733</x:v>
      </x:c>
      <x:c r="M3567" s="13" t="n">
        <x:v>0.3667447146849324</x:v>
      </x:c>
      <x:c r="N3567" s="13" t="n">
        <x:f>H3567/G3567</x:f>
        <x:v>0.0978911174342969</x:v>
      </x:c>
      <x:c r="O3567" s="13" t="n">
        <x:f>F3567/E3567</x:f>
        <x:v>0</x:v>
      </x:c>
      <x:c r="P3567" s="2" t="str">
        <x:f>IF(AND(E3567&gt;='Итоги'!$F$5,N3567&lt;='Итоги'!$B$5,O3567&gt;='Итоги'!$D$5),"Да","Нет")</x:f>
        <x:v>Нет</x:v>
      </x:c>
    </x:row>
    <x:row r="3568" ht="60" customHeight="1">
      <x:c r="A3568" s="14" t="str">
        <x:v>Спорт и отдых</x:v>
      </x:c>
      <x:c r="B3568" s="14" t="str">
        <x:v>Туризм</x:v>
      </x:c>
      <x:c r="C3568" s="14" t="str">
        <x:v>Металлоискатель</x:v>
      </x:c>
      <x:c r="D3568" s="14" t="str">
        <x:v>Металлоискатель</x:v>
      </x:c>
      <x:c r="E3568" s="2" t="n">
        <x:v>84</x:v>
      </x:c>
      <x:c r="F3568" s="2" t="n">
        <x:v>0</x:v>
      </x:c>
      <x:c r="G3568" s="12" t="n">
        <x:v>15237979.72</x:v>
      </x:c>
      <x:c r="H3568" s="12" t="n">
        <x:v>1491875.820085</x:v>
      </x:c>
      <x:c r="I3568" s="13" t="n">
        <x:v>0.0960785714285714</x:v>
      </x:c>
      <x:c r="J3568" s="2" t="n">
        <x:v>15</x:v>
      </x:c>
      <x:c r="K3568" s="2" t="n">
        <x:v>17</x:v>
      </x:c>
      <x:c r="L3568" s="12" t="n">
        <x:v>5294.1061</x:v>
      </x:c>
      <x:c r="M3568" s="13" t="n">
        <x:v>0.4561153209094833</x:v>
      </x:c>
      <x:c r="N3568" s="13" t="n">
        <x:f>H3568/G3568</x:f>
        <x:v>0.09790509289934926</x:v>
      </x:c>
      <x:c r="O3568" s="13" t="n">
        <x:f>F3568/E3568</x:f>
        <x:v>0</x:v>
      </x:c>
      <x:c r="P3568" s="2" t="str">
        <x:f>IF(AND(E3568&gt;='Итоги'!$F$5,N3568&lt;='Итоги'!$B$5,O3568&gt;='Итоги'!$D$5),"Да","Нет")</x:f>
        <x:v>Нет</x:v>
      </x:c>
    </x:row>
    <x:row r="3569" ht="60" customHeight="1">
      <x:c r="A3569" s="14" t="str">
        <x:v>Товары для дома</x:v>
      </x:c>
      <x:c r="B3569" s="14" t="str">
        <x:v>Кухня</x:v>
      </x:c>
      <x:c r="C3569" s="14" t="str">
        <x:v>Посуда для чая и кофе</x:v>
      </x:c>
      <x:c r="D3569" s="14" t="str">
        <x:v>Кружка, чашка, пиала для чая</x:v>
      </x:c>
      <x:c r="E3569" s="2" t="n">
        <x:v>50</x:v>
      </x:c>
      <x:c r="F3569" s="2" t="n">
        <x:v>0</x:v>
      </x:c>
      <x:c r="G3569" s="12" t="n">
        <x:v>6622531.2553</x:v>
      </x:c>
      <x:c r="H3569" s="12" t="n">
        <x:v>648460.73670972</x:v>
      </x:c>
      <x:c r="I3569" s="13" t="n">
        <x:v>0.0987759999999999</x:v>
      </x:c>
      <x:c r="J3569" s="2" t="n">
        <x:v>8</x:v>
      </x:c>
      <x:c r="K3569" s="2" t="n">
        <x:v>16</x:v>
      </x:c>
      <x:c r="L3569" s="12" t="n">
        <x:v>1067.4071</x:v>
      </x:c>
      <x:c r="M3569" s="13" t="n">
        <x:v>0.6087950928994689</x:v>
      </x:c>
      <x:c r="N3569" s="13" t="n">
        <x:f>H3569/G3569</x:f>
        <x:v>0.09791735391067546</x:v>
      </x:c>
      <x:c r="O3569" s="13" t="n">
        <x:f>F3569/E3569</x:f>
        <x:v>0</x:v>
      </x:c>
      <x:c r="P3569" s="2" t="str">
        <x:f>IF(AND(E3569&gt;='Итоги'!$F$5,N3569&lt;='Итоги'!$B$5,O3569&gt;='Итоги'!$D$5),"Да","Нет")</x:f>
        <x:v>Нет</x:v>
      </x:c>
    </x:row>
    <x:row r="3570" ht="60" customHeight="1">
      <x:c r="A3570" s="14" t="str">
        <x:v>Строительство и ремонт (DIY)</x:v>
      </x:c>
      <x:c r="B3570" s="14" t="str">
        <x:v>Сад и огород</x:v>
      </x:c>
      <x:c r="C3570" s="14" t="str">
        <x:v>Садовый инструмент</x:v>
      </x:c>
      <x:c r="D3570" s="14" t="str">
        <x:v>Топор</x:v>
      </x:c>
      <x:c r="E3570" s="2" t="n">
        <x:v>47</x:v>
      </x:c>
      <x:c r="F3570" s="2" t="n">
        <x:v>0</x:v>
      </x:c>
      <x:c r="G3570" s="12" t="n">
        <x:v>9367868.7521</x:v>
      </x:c>
      <x:c r="H3570" s="12" t="n">
        <x:v>917372.86351466</x:v>
      </x:c>
      <x:c r="I3570" s="13" t="n">
        <x:v>0.1021191489361702</x:v>
      </x:c>
      <x:c r="J3570" s="2" t="n">
        <x:v>5</x:v>
      </x:c>
      <x:c r="K3570" s="2" t="n">
        <x:v>7</x:v>
      </x:c>
      <x:c r="L3570" s="12" t="n">
        <x:v>2041.5425</x:v>
      </x:c>
      <x:c r="M3570" s="13" t="n">
        <x:v>0.7665301216128041</x:v>
      </x:c>
      <x:c r="N3570" s="13" t="n">
        <x:f>H3570/G3570</x:f>
        <x:v>0.09792759567740657</x:v>
      </x:c>
      <x:c r="O3570" s="13" t="n">
        <x:f>F3570/E3570</x:f>
        <x:v>0</x:v>
      </x:c>
      <x:c r="P3570" s="2" t="str">
        <x:f>IF(AND(E3570&gt;='Итоги'!$F$5,N3570&lt;='Итоги'!$B$5,O3570&gt;='Итоги'!$D$5),"Да","Нет")</x:f>
        <x:v>Нет</x:v>
      </x:c>
    </x:row>
    <x:row r="3571" ht="60" customHeight="1">
      <x:c r="A3571" s="14" t="str">
        <x:v>Товары для детей и спорта</x:v>
      </x:c>
      <x:c r="B3571" s="14" t="str">
        <x:v>Текстиль детский</x:v>
      </x:c>
      <x:c r="C3571" s="14" t="str">
        <x:v>Переноска детей и аксессуары для кормления</x:v>
      </x:c>
      <x:c r="D3571" s="14" t="str">
        <x:v>Слинг для переноски детей</x:v>
      </x:c>
      <x:c r="E3571" s="2" t="n">
        <x:v>14</x:v>
      </x:c>
      <x:c r="F3571" s="2" t="n">
        <x:v>0</x:v>
      </x:c>
      <x:c r="G3571" s="12" t="n">
        <x:v>1518070.5068</x:v>
      </x:c>
      <x:c r="H3571" s="12" t="n">
        <x:v>148755.15308824</x:v>
      </x:c>
      <x:c r="I3571" s="13" t="n">
        <x:v>0.0897714285714285</x:v>
      </x:c>
      <x:c r="J3571" s="2" t="n">
        <x:v>1</x:v>
      </x:c>
      <x:c r="K3571" s="2" t="n">
        <x:v>3</x:v>
      </x:c>
      <x:c r="L3571" s="12" t="n">
        <x:v>1630.2092</x:v>
      </x:c>
      <x:c r="M3571" s="13" t="n">
        <x:v>0.57742194099255</x:v>
      </x:c>
      <x:c r="N3571" s="13" t="n">
        <x:f>H3571/G3571</x:f>
        <x:v>0.09798962065458132</x:v>
      </x:c>
      <x:c r="O3571" s="13" t="n">
        <x:f>F3571/E3571</x:f>
        <x:v>0</x:v>
      </x:c>
      <x:c r="P3571" s="2" t="str">
        <x:f>IF(AND(E3571&gt;='Итоги'!$F$5,N3571&lt;='Итоги'!$B$5,O3571&gt;='Итоги'!$D$5),"Да","Нет")</x:f>
        <x:v>Нет</x:v>
      </x:c>
    </x:row>
    <x:row r="3572" ht="60" customHeight="1">
      <x:c r="A3572" s="14" t="str">
        <x:v>Аудио и видеотехника</x:v>
      </x:c>
      <x:c r="B3572" s="14" t="str">
        <x:v>Домашняя Аудио и Видеотехника TV&amp;Audio</x:v>
      </x:c>
      <x:c r="C3572" s="14" t="str">
        <x:v>Музыкальные инструменты TV&amp;Audio</x:v>
      </x:c>
      <x:c r="D3572" s="14" t="str">
        <x:v>Ударные музыкальные инструменты</x:v>
      </x:c>
      <x:c r="E3572" s="2" t="n">
        <x:v>56</x:v>
      </x:c>
      <x:c r="F3572" s="2" t="n">
        <x:v>0</x:v>
      </x:c>
      <x:c r="G3572" s="12" t="n">
        <x:v>8469903.3512</x:v>
      </x:c>
      <x:c r="H3572" s="12" t="n">
        <x:v>830080.13199458</x:v>
      </x:c>
      <x:c r="I3572" s="13" t="n">
        <x:v>0.0988732142857142</x:v>
      </x:c>
      <x:c r="J3572" s="2" t="n">
        <x:v>16</x:v>
      </x:c>
      <x:c r="K3572" s="2" t="n">
        <x:v>22</x:v>
      </x:c>
      <x:c r="L3572" s="12" t="n">
        <x:v>8695.6</x:v>
      </x:c>
      <x:c r="M3572" s="13" t="n">
        <x:v>0.335940907566185</x:v>
      </x:c>
      <x:c r="N3572" s="13" t="n">
        <x:f>H3572/G3572</x:f>
        <x:v>0.09800349514932492</x:v>
      </x:c>
      <x:c r="O3572" s="13" t="n">
        <x:f>F3572/E3572</x:f>
        <x:v>0</x:v>
      </x:c>
      <x:c r="P3572" s="2" t="str">
        <x:f>IF(AND(E3572&gt;='Итоги'!$F$5,N3572&lt;='Итоги'!$B$5,O3572&gt;='Итоги'!$D$5),"Да","Нет")</x:f>
        <x:v>Нет</x:v>
      </x:c>
    </x:row>
    <x:row r="3573" ht="60" customHeight="1">
      <x:c r="A3573" s="14" t="str">
        <x:v>Мебель</x:v>
      </x:c>
      <x:c r="B3573" s="14" t="str">
        <x:v>Мебель для сада</x:v>
      </x:c>
      <x:c r="C3573" s="14" t="str">
        <x:v>Садовые качели</x:v>
      </x:c>
      <x:c r="D3573" s="14" t="str">
        <x:v>Матрас для садовых качелей</x:v>
      </x:c>
      <x:c r="E3573" s="2" t="n">
        <x:v>32</x:v>
      </x:c>
      <x:c r="F3573" s="2" t="n">
        <x:v>0</x:v>
      </x:c>
      <x:c r="G3573" s="12" t="n">
        <x:v>4371617.6051</x:v>
      </x:c>
      <x:c r="H3573" s="12" t="n">
        <x:v>428509.64604304</x:v>
      </x:c>
      <x:c r="I3573" s="13" t="n">
        <x:v>0.086903125</x:v>
      </x:c>
      <x:c r="J3573" s="2" t="n">
        <x:v>2</x:v>
      </x:c>
      <x:c r="K3573" s="2" t="n">
        <x:v>4</x:v>
      </x:c>
      <x:c r="L3573" s="12" t="n">
        <x:v>2400.1867</x:v>
      </x:c>
      <x:c r="M3573" s="13" t="n">
        <x:v>0.7047825737103832</x:v>
      </x:c>
      <x:c r="N3573" s="13" t="n">
        <x:f>H3573/G3573</x:f>
        <x:v>0.09802084371312203</x:v>
      </x:c>
      <x:c r="O3573" s="13" t="n">
        <x:f>F3573/E3573</x:f>
        <x:v>0</x:v>
      </x:c>
      <x:c r="P3573" s="2" t="str">
        <x:f>IF(AND(E3573&gt;='Итоги'!$F$5,N3573&lt;='Итоги'!$B$5,O3573&gt;='Итоги'!$D$5),"Да","Нет")</x:f>
        <x:v>Нет</x:v>
      </x:c>
    </x:row>
    <x:row r="3574" ht="60" customHeight="1">
      <x:c r="A3574" s="14" t="str">
        <x:v>Товары для дома</x:v>
      </x:c>
      <x:c r="B3574" s="14" t="str">
        <x:v>Аксессуары для уборки и стирки</x:v>
      </x:c>
      <x:c r="C3574" s="14" t="str">
        <x:v>Аксессуар для уборки</x:v>
      </x:c>
      <x:c r="D3574" s="14" t="str">
        <x:v>Стекломои</x:v>
      </x:c>
      <x:c r="E3574" s="2" t="n">
        <x:v>18</x:v>
      </x:c>
      <x:c r="F3574" s="2" t="n">
        <x:v>0</x:v>
      </x:c>
      <x:c r="G3574" s="12" t="n">
        <x:v>3428722.2612</x:v>
      </x:c>
      <x:c r="H3574" s="12" t="n">
        <x:v>336100.43052762</x:v>
      </x:c>
      <x:c r="I3574" s="13" t="n">
        <x:v>0.1010055555555555</x:v>
      </x:c>
      <x:c r="J3574" s="2" t="n">
        <x:v>3</x:v>
      </x:c>
      <x:c r="K3574" s="2" t="n">
        <x:v>8</x:v>
      </x:c>
      <x:c r="L3574" s="12" t="n">
        <x:v>1606.3892999999998</x:v>
      </x:c>
      <x:c r="M3574" s="13" t="n">
        <x:v>0.5897960716107243</x:v>
      </x:c>
      <x:c r="N3574" s="13" t="n">
        <x:f>H3574/G3574</x:f>
        <x:v>0.0980249798389882</x:v>
      </x:c>
      <x:c r="O3574" s="13" t="n">
        <x:f>F3574/E3574</x:f>
        <x:v>0</x:v>
      </x:c>
      <x:c r="P3574" s="2" t="str">
        <x:f>IF(AND(E3574&gt;='Итоги'!$F$5,N3574&lt;='Итоги'!$B$5,O3574&gt;='Итоги'!$D$5),"Да","Нет")</x:f>
        <x:v>Нет</x:v>
      </x:c>
    </x:row>
    <x:row r="3575" ht="60" customHeight="1">
      <x:c r="A3575" s="14" t="str">
        <x:v>Аптека</x:v>
      </x:c>
      <x:c r="B3575" s="14" t="str">
        <x:v>Средства реабилитации</x:v>
      </x:c>
      <x:c r="C3575" s="14" t="str">
        <x:v>Средства реабилитации</x:v>
      </x:c>
      <x:c r="D3575" s="14" t="str">
        <x:v>Экзопротез молочной железы</x:v>
      </x:c>
      <x:c r="E3575" s="2" t="n">
        <x:v>1</x:v>
      </x:c>
      <x:c r="F3575" s="2" t="n">
        <x:v>0</x:v>
      </x:c>
      <x:c r="G3575" s="12" t="n">
        <x:v>148844</x:v>
      </x:c>
      <x:c r="H3575" s="12" t="n">
        <x:v>14601.5964</x:v>
      </x:c>
      <x:c r="I3575" s="13" t="n">
        <x:v>0.0981</x:v>
      </x:c>
      <x:c r="J3575" s="2" t="n">
        <x:v>0</x:v>
      </x:c>
      <x:c r="K3575" s="2" t="n">
        <x:v>1</x:v>
      </x:c>
      <x:c r="L3575" s="12" t="n">
        <x:v>5724.7692</x:v>
      </x:c>
      <x:c r="M3575" s="13" t="n">
        <x:v>1</x:v>
      </x:c>
      <x:c r="N3575" s="13" t="n">
        <x:f>H3575/G3575</x:f>
        <x:v>0.0981</x:v>
      </x:c>
      <x:c r="O3575" s="13" t="n">
        <x:f>F3575/E3575</x:f>
        <x:v>0</x:v>
      </x:c>
      <x:c r="P3575" s="2" t="str">
        <x:f>IF(AND(E3575&gt;='Итоги'!$F$5,N3575&lt;='Итоги'!$B$5,O3575&gt;='Итоги'!$D$5),"Да","Нет")</x:f>
        <x:v>Нет</x:v>
      </x:c>
    </x:row>
    <x:row r="3576" ht="60" customHeight="1">
      <x:c r="A3576" s="14" t="str">
        <x:v>Товары для дома</x:v>
      </x:c>
      <x:c r="B3576" s="14" t="str">
        <x:v>Домашний текстиль</x:v>
      </x:c>
      <x:c r="C3576" s="14" t="str">
        <x:v>Столовый текстиль</x:v>
      </x:c>
      <x:c r="D3576" s="14" t="str">
        <x:v>Подушки для сидения</x:v>
      </x:c>
      <x:c r="E3576" s="2" t="n">
        <x:v>84</x:v>
      </x:c>
      <x:c r="F3576" s="2" t="n">
        <x:v>0</x:v>
      </x:c>
      <x:c r="G3576" s="12" t="n">
        <x:v>13981603.6817</x:v>
      </x:c>
      <x:c r="H3576" s="12" t="n">
        <x:v>1371874.08220301</x:v>
      </x:c>
      <x:c r="I3576" s="13" t="n">
        <x:v>0.097372619047619</x:v>
      </x:c>
      <x:c r="J3576" s="2" t="n">
        <x:v>11</x:v>
      </x:c>
      <x:c r="K3576" s="2" t="n">
        <x:v>23</x:v>
      </x:c>
      <x:c r="L3576" s="12" t="n">
        <x:v>1385.80125</x:v>
      </x:c>
      <x:c r="M3576" s="13" t="n">
        <x:v>0.6137570059099696</x:v>
      </x:c>
      <x:c r="N3576" s="13" t="n">
        <x:f>H3576/G3576</x:f>
        <x:v>0.09811993770060905</x:v>
      </x:c>
      <x:c r="O3576" s="13" t="n">
        <x:f>F3576/E3576</x:f>
        <x:v>0</x:v>
      </x:c>
      <x:c r="P3576" s="2" t="str">
        <x:f>IF(AND(E3576&gt;='Итоги'!$F$5,N3576&lt;='Итоги'!$B$5,O3576&gt;='Итоги'!$D$5),"Да","Нет")</x:f>
        <x:v>Нет</x:v>
      </x:c>
    </x:row>
    <x:row r="3577" ht="60" customHeight="1">
      <x:c r="A3577" s="14" t="str">
        <x:v>Аптека</x:v>
      </x:c>
      <x:c r="B3577" s="14" t="str">
        <x:v>Спортивное питание</x:v>
      </x:c>
      <x:c r="C3577" s="14" t="str">
        <x:v>Специальные препараты для спортивного питания</x:v>
      </x:c>
      <x:c r="D3577" s="14" t="str">
        <x:v>Препараты для связок и суставов</x:v>
      </x:c>
      <x:c r="E3577" s="2" t="n">
        <x:v>178</x:v>
      </x:c>
      <x:c r="F3577" s="2" t="n">
        <x:v>0</x:v>
      </x:c>
      <x:c r="G3577" s="12" t="n">
        <x:v>37031456.8483</x:v>
      </x:c>
      <x:c r="H3577" s="12" t="n">
        <x:v>3633827.12848204</x:v>
      </x:c>
      <x:c r="I3577" s="13" t="n">
        <x:v>0.1023865168539325</x:v>
      </x:c>
      <x:c r="J3577" s="2" t="n">
        <x:v>36</x:v>
      </x:c>
      <x:c r="K3577" s="2" t="n">
        <x:v>34</x:v>
      </x:c>
      <x:c r="L3577" s="12" t="n">
        <x:v>1717.25035</x:v>
      </x:c>
      <x:c r="M3577" s="13" t="n">
        <x:v>0.7995764157293551</x:v>
      </x:c>
      <x:c r="N3577" s="13" t="n">
        <x:f>H3577/G3577</x:f>
        <x:v>0.09812811695116601</x:v>
      </x:c>
      <x:c r="O3577" s="13" t="n">
        <x:f>F3577/E3577</x:f>
        <x:v>0</x:v>
      </x:c>
      <x:c r="P3577" s="2" t="str">
        <x:f>IF(AND(E3577&gt;='Итоги'!$F$5,N3577&lt;='Итоги'!$B$5,O3577&gt;='Итоги'!$D$5),"Да","Нет")</x:f>
        <x:v>Нет</x:v>
      </x:c>
    </x:row>
    <x:row r="3578" ht="60" customHeight="1">
      <x:c r="A3578" s="14" t="str">
        <x:v>Строительство и ремонт (DIY)</x:v>
      </x:c>
      <x:c r="B3578" s="14" t="str">
        <x:v>Инструменты</x:v>
      </x:c>
      <x:c r="C3578" s="14" t="str">
        <x:v>Инструмент ручной для строительства, ремонта</x:v>
      </x:c>
      <x:c r="D3578" s="14" t="str">
        <x:v>Напильник, надфиль</x:v>
      </x:c>
      <x:c r="E3578" s="2" t="n">
        <x:v>6</x:v>
      </x:c>
      <x:c r="F3578" s="2" t="n">
        <x:v>0</x:v>
      </x:c>
      <x:c r="G3578" s="12" t="n">
        <x:v>969045.614</x:v>
      </x:c>
      <x:c r="H3578" s="12" t="n">
        <x:v>95104.737254</x:v>
      </x:c>
      <x:c r="I3578" s="13" t="n">
        <x:v>0.0753833333333333</x:v>
      </x:c>
      <x:c r="J3578" s="2" t="n">
        <x:v>2</x:v>
      </x:c>
      <x:c r="K3578" s="2" t="n">
        <x:v>4</x:v>
      </x:c>
      <x:c r="L3578" s="12" t="n">
        <x:v>1427.47385</x:v>
      </x:c>
      <x:c r="M3578" s="13" t="n">
        <x:v>0.3366546066426962</x:v>
      </x:c>
      <x:c r="N3578" s="13" t="n">
        <x:f>H3578/G3578</x:f>
        <x:v>0.09814268377050826</x:v>
      </x:c>
      <x:c r="O3578" s="13" t="n">
        <x:f>F3578/E3578</x:f>
        <x:v>0</x:v>
      </x:c>
      <x:c r="P3578" s="2" t="str">
        <x:f>IF(AND(E3578&gt;='Итоги'!$F$5,N3578&lt;='Итоги'!$B$5,O3578&gt;='Итоги'!$D$5),"Да","Нет")</x:f>
        <x:v>Нет</x:v>
      </x:c>
    </x:row>
    <x:row r="3579" ht="60" customHeight="1">
      <x:c r="A3579" s="14" t="str">
        <x:v>Товары для красоты и здоровья</x:v>
      </x:c>
      <x:c r="B3579" s="14" t="str">
        <x:v>Косметика для ухода за волосами</x:v>
      </x:c>
      <x:c r="C3579" s="14" t="str">
        <x:v>Уход за волосами для мужчин</x:v>
      </x:c>
      <x:c r="D3579" s="14" t="str">
        <x:v>Жидкий шампунь для волос мужской</x:v>
      </x:c>
      <x:c r="E3579" s="2" t="n">
        <x:v>79</x:v>
      </x:c>
      <x:c r="F3579" s="2" t="n">
        <x:v>0</x:v>
      </x:c>
      <x:c r="G3579" s="12" t="n">
        <x:v>12468723.1923</x:v>
      </x:c>
      <x:c r="H3579" s="12" t="n">
        <x:v>1227550.40930538</x:v>
      </x:c>
      <x:c r="I3579" s="13" t="n">
        <x:v>0.1117164556962025</x:v>
      </x:c>
      <x:c r="J3579" s="2" t="n">
        <x:v>20</x:v>
      </x:c>
      <x:c r="K3579" s="2" t="n">
        <x:v>20</x:v>
      </x:c>
      <x:c r="L3579" s="12" t="n">
        <x:v>1584.5951</x:v>
      </x:c>
      <x:c r="M3579" s="13" t="n">
        <x:v>0.6405928147344361</x:v>
      </x:c>
      <x:c r="N3579" s="13" t="n">
        <x:f>H3579/G3579</x:f>
        <x:v>0.09845036980718666</x:v>
      </x:c>
      <x:c r="O3579" s="13" t="n">
        <x:f>F3579/E3579</x:f>
        <x:v>0</x:v>
      </x:c>
      <x:c r="P3579" s="2" t="str">
        <x:f>IF(AND(E3579&gt;='Итоги'!$F$5,N3579&lt;='Итоги'!$B$5,O3579&gt;='Итоги'!$D$5),"Да","Нет")</x:f>
        <x:v>Нет</x:v>
      </x:c>
    </x:row>
    <x:row r="3580" ht="60" customHeight="1">
      <x:c r="A3580" s="14" t="str">
        <x:v>Аксессуары</x:v>
      </x:c>
      <x:c r="B3580" s="14" t="str">
        <x:v>Ювелирные изделия</x:v>
      </x:c>
      <x:c r="C3580" s="14" t="str">
        <x:v>Подвеска ювелирная</x:v>
      </x:c>
      <x:c r="D3580" s="14" t="str">
        <x:v>Серебро подвеска</x:v>
      </x:c>
      <x:c r="E3580" s="2" t="n">
        <x:v>64</x:v>
      </x:c>
      <x:c r="F3580" s="2" t="n">
        <x:v>0</x:v>
      </x:c>
      <x:c r="G3580" s="12" t="n">
        <x:v>5927485.84</x:v>
      </x:c>
      <x:c r="H3580" s="12" t="n">
        <x:v>583702.464578</x:v>
      </x:c>
      <x:c r="I3580" s="13" t="n">
        <x:v>0.0852984375</x:v>
      </x:c>
      <x:c r="J3580" s="2" t="n">
        <x:v>17</x:v>
      </x:c>
      <x:c r="K3580" s="2" t="n">
        <x:v>13</x:v>
      </x:c>
      <x:c r="L3580" s="12" t="n">
        <x:v>2318.0953</x:v>
      </x:c>
      <x:c r="M3580" s="13" t="n">
        <x:v>0.7082186602068712</x:v>
      </x:c>
      <x:c r="N3580" s="13" t="n">
        <x:f>H3580/G3580</x:f>
        <x:v>0.09847386907937346</x:v>
      </x:c>
      <x:c r="O3580" s="13" t="n">
        <x:f>F3580/E3580</x:f>
        <x:v>0</x:v>
      </x:c>
      <x:c r="P3580" s="2" t="str">
        <x:f>IF(AND(E3580&gt;='Итоги'!$F$5,N3580&lt;='Итоги'!$B$5,O3580&gt;='Итоги'!$D$5),"Да","Нет")</x:f>
        <x:v>Нет</x:v>
      </x:c>
    </x:row>
    <x:row r="3581" ht="60" customHeight="1">
      <x:c r="A3581" s="14" t="str">
        <x:v>Товары для детей и спорта</x:v>
      </x:c>
      <x:c r="B3581" s="14" t="str">
        <x:v>КГТ и аксессуары для детей</x:v>
      </x:c>
      <x:c r="C3581" s="14" t="str">
        <x:v>Ванная комната и купание</x:v>
      </x:c>
      <x:c r="D3581" s="14" t="str">
        <x:v>Аксессуары для ванны детские</x:v>
      </x:c>
      <x:c r="E3581" s="2" t="n">
        <x:v>18</x:v>
      </x:c>
      <x:c r="F3581" s="2" t="n">
        <x:v>0</x:v>
      </x:c>
      <x:c r="G3581" s="12" t="n">
        <x:v>1939849.6854</x:v>
      </x:c>
      <x:c r="H3581" s="12" t="n">
        <x:v>191232.78717804</x:v>
      </x:c>
      <x:c r="I3581" s="13" t="n">
        <x:v>0.1058111111111111</x:v>
      </x:c>
      <x:c r="J3581" s="2" t="n">
        <x:v>2</x:v>
      </x:c>
      <x:c r="K3581" s="2" t="n">
        <x:v>14</x:v>
      </x:c>
      <x:c r="L3581" s="12" t="n">
        <x:v>1045.46785</x:v>
      </x:c>
      <x:c r="M3581" s="13" t="n">
        <x:v>0.1625378277363716</x:v>
      </x:c>
      <x:c r="N3581" s="13" t="n">
        <x:f>H3581/G3581</x:f>
        <x:v>0.0985812398854025</x:v>
      </x:c>
      <x:c r="O3581" s="13" t="n">
        <x:f>F3581/E3581</x:f>
        <x:v>0</x:v>
      </x:c>
      <x:c r="P3581" s="2" t="str">
        <x:f>IF(AND(E3581&gt;='Итоги'!$F$5,N3581&lt;='Итоги'!$B$5,O3581&gt;='Итоги'!$D$5),"Да","Нет")</x:f>
        <x:v>Нет</x:v>
      </x:c>
    </x:row>
    <x:row r="3582" ht="60" customHeight="1">
      <x:c r="A3582" s="14" t="str">
        <x:v>Аксессуары</x:v>
      </x:c>
      <x:c r="B3582" s="14" t="str">
        <x:v>Аксессуары</x:v>
      </x:c>
      <x:c r="C3582" s="14" t="str">
        <x:v>Мелкие аксессуары</x:v>
      </x:c>
      <x:c r="D3582" s="14" t="str">
        <x:v>Женский кожаный ремень</x:v>
      </x:c>
      <x:c r="E3582" s="2" t="n">
        <x:v>68</x:v>
      </x:c>
      <x:c r="F3582" s="2" t="n">
        <x:v>0</x:v>
      </x:c>
      <x:c r="G3582" s="12" t="n">
        <x:v>5018474.0305</x:v>
      </x:c>
      <x:c r="H3582" s="12" t="n">
        <x:v>496648.59964329</x:v>
      </x:c>
      <x:c r="I3582" s="13" t="n">
        <x:v>0.0523720588235294</x:v>
      </x:c>
      <x:c r="J3582" s="2" t="n">
        <x:v>39</x:v>
      </x:c>
      <x:c r="K3582" s="2" t="n">
        <x:v>16</x:v>
      </x:c>
      <x:c r="L3582" s="12" t="n">
        <x:v>3134.5</x:v>
      </x:c>
      <x:c r="M3582" s="13" t="n">
        <x:v>0.3339311924730702</x:v>
      </x:c>
      <x:c r="N3582" s="13" t="n">
        <x:f>H3582/G3582</x:f>
        <x:v>0.09896406689062968</x:v>
      </x:c>
      <x:c r="O3582" s="13" t="n">
        <x:f>F3582/E3582</x:f>
        <x:v>0</x:v>
      </x:c>
      <x:c r="P3582" s="2" t="str">
        <x:f>IF(AND(E3582&gt;='Итоги'!$F$5,N3582&lt;='Итоги'!$B$5,O3582&gt;='Итоги'!$D$5),"Да","Нет")</x:f>
        <x:v>Нет</x:v>
      </x:c>
    </x:row>
    <x:row r="3583" ht="60" customHeight="1">
      <x:c r="A3583" s="14" t="str">
        <x:v>Мелкая бытовая техника</x:v>
      </x:c>
      <x:c r="B3583" s="14" t="str">
        <x:v>Мелкая бытовая техника SDA</x:v>
      </x:c>
      <x:c r="C3583" s="14" t="str">
        <x:v>Электронная кухонная техника SDA</x:v>
      </x:c>
      <x:c r="D3583" s="14" t="str">
        <x:v>Электрооткрывалка, штопор электрический</x:v>
      </x:c>
      <x:c r="E3583" s="2" t="n">
        <x:v>11</x:v>
      </x:c>
      <x:c r="F3583" s="2" t="n">
        <x:v>0</x:v>
      </x:c>
      <x:c r="G3583" s="12" t="n">
        <x:v>2072900.4533</x:v>
      </x:c>
      <x:c r="H3583" s="12" t="n">
        <x:v>205371.4317665</x:v>
      </x:c>
      <x:c r="I3583" s="13" t="n">
        <x:v>0.1122090909090909</x:v>
      </x:c>
      <x:c r="J3583" s="2" t="n">
        <x:v>2</x:v>
      </x:c>
      <x:c r="K3583" s="2" t="n">
        <x:v>4</x:v>
      </x:c>
      <x:c r="L3583" s="12" t="n">
        <x:v>1200.9159</x:v>
      </x:c>
      <x:c r="M3583" s="13" t="n">
        <x:v>0.6898342237436184</x:v>
      </x:c>
      <x:c r="N3583" s="13" t="n">
        <x:f>H3583/G3583</x:f>
        <x:v>0.09907443043854537</x:v>
      </x:c>
      <x:c r="O3583" s="13" t="n">
        <x:f>F3583/E3583</x:f>
        <x:v>0</x:v>
      </x:c>
      <x:c r="P3583" s="2" t="str">
        <x:f>IF(AND(E3583&gt;='Итоги'!$F$5,N3583&lt;='Итоги'!$B$5,O3583&gt;='Итоги'!$D$5),"Да","Нет")</x:f>
        <x:v>Нет</x:v>
      </x:c>
    </x:row>
    <x:row r="3584" ht="60" customHeight="1">
      <x:c r="A3584" s="14" t="str">
        <x:v>Автотовары</x:v>
      </x:c>
      <x:c r="B3584" s="14" t="str">
        <x:v>Дополнительное оборудование для авто и мото техники</x:v>
      </x:c>
      <x:c r="C3584" s="14" t="str">
        <x:v>Чехлы и накидки для автомобиля</x:v>
      </x:c>
      <x:c r="D3584" s="14" t="str">
        <x:v>Накидки на сиденье</x:v>
      </x:c>
      <x:c r="E3584" s="2" t="n">
        <x:v>50</x:v>
      </x:c>
      <x:c r="F3584" s="2" t="n">
        <x:v>0</x:v>
      </x:c>
      <x:c r="G3584" s="12" t="n">
        <x:v>6977865.0323</x:v>
      </x:c>
      <x:c r="H3584" s="12" t="n">
        <x:v>691531.5964884</x:v>
      </x:c>
      <x:c r="I3584" s="13" t="n">
        <x:v>0.095672</x:v>
      </x:c>
      <x:c r="J3584" s="2" t="n">
        <x:v>6</x:v>
      </x:c>
      <x:c r="K3584" s="2" t="n">
        <x:v>11</x:v>
      </x:c>
      <x:c r="L3584" s="12" t="n">
        <x:v>1812.14305</x:v>
      </x:c>
      <x:c r="M3584" s="13" t="n">
        <x:v>0.6098433871394845</x:v>
      </x:c>
      <x:c r="N3584" s="13" t="n">
        <x:f>H3584/G3584</x:f>
        <x:v>0.09910360737666227</x:v>
      </x:c>
      <x:c r="O3584" s="13" t="n">
        <x:f>F3584/E3584</x:f>
        <x:v>0</x:v>
      </x:c>
      <x:c r="P3584" s="2" t="str">
        <x:f>IF(AND(E3584&gt;='Итоги'!$F$5,N3584&lt;='Итоги'!$B$5,O3584&gt;='Итоги'!$D$5),"Да","Нет")</x:f>
        <x:v>Нет</x:v>
      </x:c>
    </x:row>
    <x:row r="3585" ht="60" customHeight="1">
      <x:c r="A3585" s="14" t="str">
        <x:v>Аудио и видеотехника</x:v>
      </x:c>
      <x:c r="B3585" s="14" t="str">
        <x:v>Портативная аудиотехника TV&amp;Audio</x:v>
      </x:c>
      <x:c r="C3585" s="14" t="str">
        <x:v>Портативное аудио TV&amp;Audio</x:v>
      </x:c>
      <x:c r="D3585" s="14" t="str">
        <x:v>Диктофон</x:v>
      </x:c>
      <x:c r="E3585" s="2" t="n">
        <x:v>37</x:v>
      </x:c>
      <x:c r="F3585" s="2" t="n">
        <x:v>0</x:v>
      </x:c>
      <x:c r="G3585" s="12" t="n">
        <x:v>5698500.749</x:v>
      </x:c>
      <x:c r="H3585" s="12" t="n">
        <x:v>565040.22566127</x:v>
      </x:c>
      <x:c r="I3585" s="13" t="n">
        <x:v>0.0937459459459459</x:v>
      </x:c>
      <x:c r="J3585" s="2" t="n">
        <x:v>5</x:v>
      </x:c>
      <x:c r="K3585" s="2" t="n">
        <x:v>18</x:v>
      </x:c>
      <x:c r="L3585" s="12" t="n">
        <x:v>1686.6342</x:v>
      </x:c>
      <x:c r="M3585" s="13" t="n">
        <x:v>0.3125632317083688</x:v>
      </x:c>
      <x:c r="N3585" s="13" t="n">
        <x:f>H3585/G3585</x:f>
        <x:v>0.09915594479134286</x:v>
      </x:c>
      <x:c r="O3585" s="13" t="n">
        <x:f>F3585/E3585</x:f>
        <x:v>0</x:v>
      </x:c>
      <x:c r="P3585" s="2" t="str">
        <x:f>IF(AND(E3585&gt;='Итоги'!$F$5,N3585&lt;='Итоги'!$B$5,O3585&gt;='Итоги'!$D$5),"Да","Нет")</x:f>
        <x:v>Нет</x:v>
      </x:c>
    </x:row>
    <x:row r="3586" ht="60" customHeight="1">
      <x:c r="A3586" s="14" t="str">
        <x:v>Книги</x:v>
      </x:c>
      <x:c r="B3586" s="14" t="str">
        <x:v>Печатные книги: Комиксы</x:v>
      </x:c>
      <x:c r="C3586" s="14" t="str">
        <x:v>Печатные книги: Комиксы</x:v>
      </x:c>
      <x:c r="D3586" s="14" t="str">
        <x:v>Печатная книга: Комиксы</x:v>
      </x:c>
      <x:c r="E3586" s="2" t="n">
        <x:v>7</x:v>
      </x:c>
      <x:c r="F3586" s="2" t="n">
        <x:v>0</x:v>
      </x:c>
      <x:c r="G3586" s="12" t="n">
        <x:v>441759.7788</x:v>
      </x:c>
      <x:c r="H3586" s="12" t="n">
        <x:v>43855.76639893</x:v>
      </x:c>
      <x:c r="I3586" s="13" t="n">
        <x:v>0.0723285714285714</x:v>
      </x:c>
      <x:c r="J3586" s="2" t="n">
        <x:v>3</x:v>
      </x:c>
      <x:c r="K3586" s="2" t="n">
        <x:v>4</x:v>
      </x:c>
      <x:c r="L3586" s="12" t="n">
        <x:v>1264.2615</x:v>
      </x:c>
      <x:c r="M3586" s="13" t="n">
        <x:v>0.4055457434052844</x:v>
      </x:c>
      <x:c r="N3586" s="13" t="n">
        <x:f>H3586/G3586</x:f>
        <x:v>0.09927514568678067</x:v>
      </x:c>
      <x:c r="O3586" s="13" t="n">
        <x:f>F3586/E3586</x:f>
        <x:v>0</x:v>
      </x:c>
      <x:c r="P3586" s="2" t="str">
        <x:f>IF(AND(E3586&gt;='Итоги'!$F$5,N3586&lt;='Итоги'!$B$5,O3586&gt;='Итоги'!$D$5),"Да","Нет")</x:f>
        <x:v>Нет</x:v>
      </x:c>
    </x:row>
    <x:row r="3587" ht="60" customHeight="1">
      <x:c r="A3587" s="14" t="str">
        <x:v>Спорт и отдых</x:v>
      </x:c>
      <x:c r="B3587" s="14" t="str">
        <x:v>Всесезонные виды спорта</x:v>
      </x:c>
      <x:c r="C3587" s="14" t="str">
        <x:v>Футбол</x:v>
      </x:c>
      <x:c r="D3587" s="14" t="str">
        <x:v>Щитки футбольные</x:v>
      </x:c>
      <x:c r="E3587" s="2" t="n">
        <x:v>1</x:v>
      </x:c>
      <x:c r="F3587" s="2" t="n">
        <x:v>0</x:v>
      </x:c>
      <x:c r="G3587" s="12" t="n">
        <x:v>102742.45</x:v>
      </x:c>
      <x:c r="H3587" s="12" t="n">
        <x:v>10202.325285</x:v>
      </x:c>
      <x:c r="I3587" s="13" t="n">
        <x:v>0.0993</x:v>
      </x:c>
      <x:c r="J3587" s="2" t="n">
        <x:v>0</x:v>
      </x:c>
      <x:c r="K3587" s="2" t="n">
        <x:v>1</x:v>
      </x:c>
      <x:c r="L3587" s="12" t="n">
        <x:v>909.2252</x:v>
      </x:c>
      <x:c r="M3587" s="13" t="n">
        <x:v>1</x:v>
      </x:c>
      <x:c r="N3587" s="13" t="n">
        <x:f>H3587/G3587</x:f>
        <x:v>0.09930000000000001</x:v>
      </x:c>
      <x:c r="O3587" s="13" t="n">
        <x:f>F3587/E3587</x:f>
        <x:v>0</x:v>
      </x:c>
      <x:c r="P3587" s="2" t="str">
        <x:f>IF(AND(E3587&gt;='Итоги'!$F$5,N3587&lt;='Итоги'!$B$5,O3587&gt;='Итоги'!$D$5),"Да","Нет")</x:f>
        <x:v>Нет</x:v>
      </x:c>
    </x:row>
    <x:row r="3588" ht="60" customHeight="1">
      <x:c r="A3588" s="14" t="str">
        <x:v>Товары для детей и спорта</x:v>
      </x:c>
      <x:c r="B3588" s="14" t="str">
        <x:v>Кормление детское</x:v>
      </x:c>
      <x:c r="C3588" s="14" t="str">
        <x:v>Кормление детское</x:v>
      </x:c>
      <x:c r="D3588" s="14" t="str">
        <x:v>Посуда детская</x:v>
      </x:c>
      <x:c r="E3588" s="2" t="n">
        <x:v>40</x:v>
      </x:c>
      <x:c r="F3588" s="2" t="n">
        <x:v>0</x:v>
      </x:c>
      <x:c r="G3588" s="12" t="n">
        <x:v>4678672.9717</x:v>
      </x:c>
      <x:c r="H3588" s="12" t="n">
        <x:v>464700.97125153</x:v>
      </x:c>
      <x:c r="I3588" s="13" t="n">
        <x:v>0.1019274999999999</x:v>
      </x:c>
      <x:c r="J3588" s="2" t="n">
        <x:v>8</x:v>
      </x:c>
      <x:c r="K3588" s="2" t="n">
        <x:v>10</x:v>
      </x:c>
      <x:c r="L3588" s="12" t="n">
        <x:v>1204.2236</x:v>
      </x:c>
      <x:c r="M3588" s="13" t="n">
        <x:v>0.5331452139288234</x:v>
      </x:c>
      <x:c r="N3588" s="13" t="n">
        <x:f>H3588/G3588</x:f>
        <x:v>0.09932324273621554</x:v>
      </x:c>
      <x:c r="O3588" s="13" t="n">
        <x:f>F3588/E3588</x:f>
        <x:v>0</x:v>
      </x:c>
      <x:c r="P3588" s="2" t="str">
        <x:f>IF(AND(E3588&gt;='Итоги'!$F$5,N3588&lt;='Итоги'!$B$5,O3588&gt;='Итоги'!$D$5),"Да","Нет")</x:f>
        <x:v>Нет</x:v>
      </x:c>
    </x:row>
    <x:row r="3589" ht="60" customHeight="1">
      <x:c r="A3589" s="14" t="str">
        <x:v>Спорт и отдых</x:v>
      </x:c>
      <x:c r="B3589" s="14" t="str">
        <x:v>Туризм</x:v>
      </x:c>
      <x:c r="C3589" s="14" t="str">
        <x:v>Рюкзак, сумка туристические</x:v>
      </x:c>
      <x:c r="D3589" s="14" t="str">
        <x:v>Аптечка походная</x:v>
      </x:c>
      <x:c r="E3589" s="2" t="n">
        <x:v>4</x:v>
      </x:c>
      <x:c r="F3589" s="2" t="n">
        <x:v>0</x:v>
      </x:c>
      <x:c r="G3589" s="12" t="n">
        <x:v>902709.8572</x:v>
      </x:c>
      <x:c r="H3589" s="12" t="n">
        <x:v>89670.80490123</x:v>
      </x:c>
      <x:c r="I3589" s="13" t="n">
        <x:v>0.1072</x:v>
      </x:c>
      <x:c r="J3589" s="2" t="n">
        <x:v>1</x:v>
      </x:c>
      <x:c r="K3589" s="2" t="n">
        <x:v>3</x:v>
      </x:c>
      <x:c r="L3589" s="12" t="n">
        <x:v>1880.3636</x:v>
      </x:c>
      <x:c r="M3589" s="13" t="n">
        <x:v>0.8609202698977685</x:v>
      </x:c>
      <x:c r="N3589" s="13" t="n">
        <x:f>H3589/G3589</x:f>
        <x:v>0.09933513430258575</x:v>
      </x:c>
      <x:c r="O3589" s="13" t="n">
        <x:f>F3589/E3589</x:f>
        <x:v>0</x:v>
      </x:c>
      <x:c r="P3589" s="2" t="str">
        <x:f>IF(AND(E3589&gt;='Итоги'!$F$5,N3589&lt;='Итоги'!$B$5,O3589&gt;='Итоги'!$D$5),"Да","Нет")</x:f>
        <x:v>Нет</x:v>
      </x:c>
    </x:row>
    <x:row r="3590" ht="60" customHeight="1">
      <x:c r="A3590" s="14" t="str">
        <x:v>Хобби и творчество</x:v>
      </x:c>
      <x:c r="B3590" s="14" t="str">
        <x:v>Взрослое творчество и хобби</x:v>
      </x:c>
      <x:c r="C3590" s="14" t="str">
        <x:v>Шитье</x:v>
      </x:c>
      <x:c r="D3590" s="14" t="str">
        <x:v>Манекен портновский</x:v>
      </x:c>
      <x:c r="E3590" s="2" t="n">
        <x:v>4</x:v>
      </x:c>
      <x:c r="F3590" s="2" t="n">
        <x:v>0</x:v>
      </x:c>
      <x:c r="G3590" s="12" t="n">
        <x:v>334848.2269</x:v>
      </x:c>
      <x:c r="H3590" s="12" t="n">
        <x:v>33263.701943960004</x:v>
      </x:c>
      <x:c r="I3590" s="13" t="n">
        <x:v>0.1035</x:v>
      </x:c>
      <x:c r="J3590" s="2" t="n">
        <x:v>0</x:v>
      </x:c>
      <x:c r="K3590" s="2" t="n">
        <x:v>2</x:v>
      </x:c>
      <x:c r="L3590" s="12" t="n">
        <x:v>12930.3889</x:v>
      </x:c>
      <x:c r="M3590" s="13" t="n">
        <x:v>0.7354287113293954</x:v>
      </x:c>
      <x:c r="N3590" s="13" t="n">
        <x:f>H3590/G3590</x:f>
        <x:v>0.09933963889226138</x:v>
      </x:c>
      <x:c r="O3590" s="13" t="n">
        <x:f>F3590/E3590</x:f>
        <x:v>0</x:v>
      </x:c>
      <x:c r="P3590" s="2" t="str">
        <x:f>IF(AND(E3590&gt;='Итоги'!$F$5,N3590&lt;='Итоги'!$B$5,O3590&gt;='Итоги'!$D$5),"Да","Нет")</x:f>
        <x:v>Нет</x:v>
      </x:c>
    </x:row>
    <x:row r="3591" ht="60" customHeight="1">
      <x:c r="A3591" s="14" t="str">
        <x:v>Спорт и отдых</x:v>
      </x:c>
      <x:c r="B3591" s="14" t="str">
        <x:v>Колесный транспорт</x:v>
      </x:c>
      <x:c r="C3591" s="14" t="str">
        <x:v>Моноколесо, гироскутер</x:v>
      </x:c>
      <x:c r="D3591" s="14" t="str">
        <x:v>Аксессуары для моноколеса/гироскутера</x:v>
      </x:c>
      <x:c r="E3591" s="2" t="n">
        <x:v>15</x:v>
      </x:c>
      <x:c r="F3591" s="2" t="n">
        <x:v>0</x:v>
      </x:c>
      <x:c r="G3591" s="12" t="n">
        <x:v>2596609.4119</x:v>
      </x:c>
      <x:c r="H3591" s="12" t="n">
        <x:v>258034.29864433</x:v>
      </x:c>
      <x:c r="I3591" s="13" t="n">
        <x:v>0.1015733333333333</x:v>
      </x:c>
      <x:c r="J3591" s="2" t="n">
        <x:v>0</x:v>
      </x:c>
      <x:c r="K3591" s="2" t="n">
        <x:v>3</x:v>
      </x:c>
      <x:c r="L3591" s="12" t="n">
        <x:v>1569.7857</x:v>
      </x:c>
      <x:c r="M3591" s="13" t="n">
        <x:v>0.7607511229633004</x:v>
      </x:c>
      <x:c r="N3591" s="13" t="n">
        <x:f>H3591/G3591</x:f>
        <x:v>0.09937355131726193</x:v>
      </x:c>
      <x:c r="O3591" s="13" t="n">
        <x:f>F3591/E3591</x:f>
        <x:v>0</x:v>
      </x:c>
      <x:c r="P3591" s="2" t="str">
        <x:f>IF(AND(E3591&gt;='Итоги'!$F$5,N3591&lt;='Итоги'!$B$5,O3591&gt;='Итоги'!$D$5),"Да","Нет")</x:f>
        <x:v>Нет</x:v>
      </x:c>
    </x:row>
    <x:row r="3592" ht="60" customHeight="1">
      <x:c r="A3592" s="14" t="str">
        <x:v>Товары для животных</x:v>
      </x:c>
      <x:c r="B3592" s="14" t="str">
        <x:v>Спальное место животного</x:v>
      </x:c>
      <x:c r="C3592" s="14" t="str">
        <x:v>Лежак, подстилка для животных</x:v>
      </x:c>
      <x:c r="D3592" s="14" t="str">
        <x:v>Гамак для животных</x:v>
      </x:c>
      <x:c r="E3592" s="2" t="n">
        <x:v>7</x:v>
      </x:c>
      <x:c r="F3592" s="2" t="n">
        <x:v>0</x:v>
      </x:c>
      <x:c r="G3592" s="12" t="n">
        <x:v>1178939.6785</x:v>
      </x:c>
      <x:c r="H3592" s="12" t="n">
        <x:v>117178.25210644</x:v>
      </x:c>
      <x:c r="I3592" s="13" t="n">
        <x:v>0.0870857142857143</x:v>
      </x:c>
      <x:c r="J3592" s="2" t="n">
        <x:v>0</x:v>
      </x:c>
      <x:c r="K3592" s="2" t="n">
        <x:v>6</x:v>
      </x:c>
      <x:c r="L3592" s="12" t="n">
        <x:v>1547.4697</x:v>
      </x:c>
      <x:c r="M3592" s="13" t="n">
        <x:v>0.3438997421105121</x:v>
      </x:c>
      <x:c r="N3592" s="13" t="n">
        <x:f>H3592/G3592</x:f>
        <x:v>0.09939291572197263</x:v>
      </x:c>
      <x:c r="O3592" s="13" t="n">
        <x:f>F3592/E3592</x:f>
        <x:v>0</x:v>
      </x:c>
      <x:c r="P3592" s="2" t="str">
        <x:f>IF(AND(E3592&gt;='Итоги'!$F$5,N3592&lt;='Итоги'!$B$5,O3592&gt;='Итоги'!$D$5),"Да","Нет")</x:f>
        <x:v>Нет</x:v>
      </x:c>
    </x:row>
    <x:row r="3593" ht="60" customHeight="1">
      <x:c r="A3593" s="14" t="str">
        <x:v>Аптека</x:v>
      </x:c>
      <x:c r="B3593" s="14" t="str">
        <x:v>Спортивное питание</x:v>
      </x:c>
      <x:c r="C3593" s="14" t="str">
        <x:v>Протеины (высокобелковые смеси)</x:v>
      </x:c>
      <x:c r="D3593" s="14" t="str">
        <x:v>Изолят</x:v>
      </x:c>
      <x:c r="E3593" s="2" t="n">
        <x:v>87</x:v>
      </x:c>
      <x:c r="F3593" s="2" t="n">
        <x:v>0</x:v>
      </x:c>
      <x:c r="G3593" s="12" t="n">
        <x:v>15057847.4014</x:v>
      </x:c>
      <x:c r="H3593" s="12" t="n">
        <x:v>1496976.91032799</x:v>
      </x:c>
      <x:c r="I3593" s="13" t="n">
        <x:v>0.0918436781609195</x:v>
      </x:c>
      <x:c r="J3593" s="2" t="n">
        <x:v>19</x:v>
      </x:c>
      <x:c r="K3593" s="2" t="n">
        <x:v>6</x:v>
      </x:c>
      <x:c r="L3593" s="12" t="n">
        <x:v>3224.5215</x:v>
      </x:c>
      <x:c r="M3593" s="13" t="n">
        <x:v>0.94306953403444</x:v>
      </x:c>
      <x:c r="N3593" s="13" t="n">
        <x:f>H3593/G3593</x:f>
        <x:v>0.09941506713561256</x:v>
      </x:c>
      <x:c r="O3593" s="13" t="n">
        <x:f>F3593/E3593</x:f>
        <x:v>0</x:v>
      </x:c>
      <x:c r="P3593" s="2" t="str">
        <x:f>IF(AND(E3593&gt;='Итоги'!$F$5,N3593&lt;='Итоги'!$B$5,O3593&gt;='Итоги'!$D$5),"Да","Нет")</x:f>
        <x:v>Нет</x:v>
      </x:c>
    </x:row>
    <x:row r="3594" ht="60" customHeight="1">
      <x:c r="A3594" s="14" t="str">
        <x:v>Аксессуары</x:v>
      </x:c>
      <x:c r="B3594" s="14" t="str">
        <x:v>Аксессуары</x:v>
      </x:c>
      <x:c r="C3594" s="14" t="str">
        <x:v>Мелкие аксессуары</x:v>
      </x:c>
      <x:c r="D3594" s="14" t="str">
        <x:v>Органайзер для сумки/рюкзака</x:v>
      </x:c>
      <x:c r="E3594" s="2" t="n">
        <x:v>2</x:v>
      </x:c>
      <x:c r="F3594" s="2" t="n">
        <x:v>0</x:v>
      </x:c>
      <x:c r="G3594" s="12" t="n">
        <x:v>314823.0151</x:v>
      </x:c>
      <x:c r="H3594" s="12" t="n">
        <x:v>31298.91957509</x:v>
      </x:c>
      <x:c r="I3594" s="13" t="n">
        <x:v>0.07295</x:v>
      </x:c>
      <x:c r="J3594" s="2" t="n">
        <x:v>1</x:v>
      </x:c>
      <x:c r="K3594" s="2" t="n">
        <x:v>2</x:v>
      </x:c>
      <x:c r="L3594" s="12" t="n">
        <x:v>1087.20555</x:v>
      </x:c>
      <x:c r="M3594" s="13" t="n">
        <x:v>0.6814085527764199</x:v>
      </x:c>
      <x:c r="N3594" s="13" t="n">
        <x:f>H3594/G3594</x:f>
        <x:v>0.09941750785007966</x:v>
      </x:c>
      <x:c r="O3594" s="13" t="n">
        <x:f>F3594/E3594</x:f>
        <x:v>0</x:v>
      </x:c>
      <x:c r="P3594" s="2" t="str">
        <x:f>IF(AND(E3594&gt;='Итоги'!$F$5,N3594&lt;='Итоги'!$B$5,O3594&gt;='Итоги'!$D$5),"Да","Нет")</x:f>
        <x:v>Нет</x:v>
      </x:c>
    </x:row>
    <x:row r="3595" ht="60" customHeight="1">
      <x:c r="A3595" s="14" t="str">
        <x:v>Аптека</x:v>
      </x:c>
      <x:c r="B3595" s="14" t="str">
        <x:v>Витамины и БАДы</x:v>
      </x:c>
      <x:c r="C3595" s="14" t="str">
        <x:v>Женское здоровье</x:v>
      </x:c>
      <x:c r="D3595" s="14" t="str">
        <x:v>БАД для женского здоровья</x:v>
      </x:c>
      <x:c r="E3595" s="2" t="n">
        <x:v>11</x:v>
      </x:c>
      <x:c r="F3595" s="2" t="n">
        <x:v>0</x:v>
      </x:c>
      <x:c r="G3595" s="12" t="n">
        <x:v>1924506.4694</x:v>
      </x:c>
      <x:c r="H3595" s="12" t="n">
        <x:v>191410.28794299</x:v>
      </x:c>
      <x:c r="I3595" s="13" t="n">
        <x:v>0.1151454545454545</x:v>
      </x:c>
      <x:c r="J3595" s="2" t="n">
        <x:v>3</x:v>
      </x:c>
      <x:c r="K3595" s="2" t="n">
        <x:v>10</x:v>
      </x:c>
      <x:c r="L3595" s="12" t="n">
        <x:v>1278.2888</x:v>
      </x:c>
      <x:c r="M3595" s="13" t="n">
        <x:v>0.2336633140236717</x:v>
      </x:c>
      <x:c r="N3595" s="13" t="n">
        <x:f>H3595/G3595</x:f>
        <x:v>0.09945941517290177</x:v>
      </x:c>
      <x:c r="O3595" s="13" t="n">
        <x:f>F3595/E3595</x:f>
        <x:v>0</x:v>
      </x:c>
      <x:c r="P3595" s="2" t="str">
        <x:f>IF(AND(E3595&gt;='Итоги'!$F$5,N3595&lt;='Итоги'!$B$5,O3595&gt;='Итоги'!$D$5),"Да","Нет")</x:f>
        <x:v>Нет</x:v>
      </x:c>
    </x:row>
    <x:row r="3596" ht="60" customHeight="1">
      <x:c r="A3596" s="14" t="str">
        <x:v>Строительство и ремонт (DIY)</x:v>
      </x:c>
      <x:c r="B3596" s="14" t="str">
        <x:v>Ремонт и строительство</x:v>
      </x:c>
      <x:c r="C3596" s="14" t="str">
        <x:v>Скобяные изделия</x:v>
      </x:c>
      <x:c r="D3596" s="14" t="str">
        <x:v>Газлифт мебельный</x:v>
      </x:c>
      <x:c r="E3596" s="2" t="n">
        <x:v>6</x:v>
      </x:c>
      <x:c r="F3596" s="2" t="n">
        <x:v>0</x:v>
      </x:c>
      <x:c r="G3596" s="12" t="n">
        <x:v>887355.7653000001</x:v>
      </x:c>
      <x:c r="H3596" s="12" t="n">
        <x:v>88537.32755863</x:v>
      </x:c>
      <x:c r="I3596" s="13" t="n">
        <x:v>0.1107666666666666</x:v>
      </x:c>
      <x:c r="J3596" s="2" t="n">
        <x:v>1</x:v>
      </x:c>
      <x:c r="K3596" s="2" t="n">
        <x:v>4</x:v>
      </x:c>
      <x:c r="L3596" s="12" t="n">
        <x:v>1131.44125</x:v>
      </x:c>
      <x:c r="M3596" s="13" t="n">
        <x:v>0.3479574056698812</x:v>
      </x:c>
      <x:c r="N3596" s="13" t="n">
        <x:f>H3596/G3596</x:f>
        <x:v>0.09977658456830674</x:v>
      </x:c>
      <x:c r="O3596" s="13" t="n">
        <x:f>F3596/E3596</x:f>
        <x:v>0</x:v>
      </x:c>
      <x:c r="P3596" s="2" t="str">
        <x:f>IF(AND(E3596&gt;='Итоги'!$F$5,N3596&lt;='Итоги'!$B$5,O3596&gt;='Итоги'!$D$5),"Да","Нет")</x:f>
        <x:v>Нет</x:v>
      </x:c>
    </x:row>
    <x:row r="3597" ht="60" customHeight="1">
      <x:c r="A3597" s="14" t="str">
        <x:v>Строительство и ремонт (DIY)</x:v>
      </x:c>
      <x:c r="B3597" s="14" t="str">
        <x:v>Ремонт и строительство</x:v>
      </x:c>
      <x:c r="C3597" s="14" t="str">
        <x:v>Скобяные изделия</x:v>
      </x:c>
      <x:c r="D3597" s="14" t="str">
        <x:v>Дверная фурнитура</x:v>
      </x:c>
      <x:c r="E3597" s="2" t="n">
        <x:v>55</x:v>
      </x:c>
      <x:c r="F3597" s="2" t="n">
        <x:v>0</x:v>
      </x:c>
      <x:c r="G3597" s="12" t="n">
        <x:v>7927511.1125</x:v>
      </x:c>
      <x:c r="H3597" s="12" t="n">
        <x:v>791805.42808066</x:v>
      </x:c>
      <x:c r="I3597" s="13" t="n">
        <x:v>0.098630909090909</x:v>
      </x:c>
      <x:c r="J3597" s="2" t="n">
        <x:v>5</x:v>
      </x:c>
      <x:c r="K3597" s="2" t="n">
        <x:v>15</x:v>
      </x:c>
      <x:c r="L3597" s="12" t="n">
        <x:v>1325.2024</x:v>
      </x:c>
      <x:c r="M3597" s="13" t="n">
        <x:v>0.3947692625703651</x:v>
      </x:c>
      <x:c r="N3597" s="13" t="n">
        <x:f>H3597/G3597</x:f>
        <x:v>0.09988070869205737</x:v>
      </x:c>
      <x:c r="O3597" s="13" t="n">
        <x:f>F3597/E3597</x:f>
        <x:v>0</x:v>
      </x:c>
      <x:c r="P3597" s="2" t="str">
        <x:f>IF(AND(E3597&gt;='Итоги'!$F$5,N3597&lt;='Итоги'!$B$5,O3597&gt;='Итоги'!$D$5),"Да","Нет")</x:f>
        <x:v>Нет</x:v>
      </x:c>
    </x:row>
    <x:row r="3598" ht="60" customHeight="1">
      <x:c r="A3598" s="14" t="str">
        <x:v>Спорт и отдых</x:v>
      </x:c>
      <x:c r="B3598" s="14" t="str">
        <x:v>Всесезонные виды спорта</x:v>
      </x:c>
      <x:c r="C3598" s="14" t="str">
        <x:v>Петанк</x:v>
      </x:c>
      <x:c r="D3598" s="14" t="str">
        <x:v>Игра Петанк</x:v>
      </x:c>
      <x:c r="E3598" s="2" t="n">
        <x:v>10</x:v>
      </x:c>
      <x:c r="F3598" s="2" t="n">
        <x:v>0</x:v>
      </x:c>
      <x:c r="G3598" s="12" t="n">
        <x:v>1192746.8431</x:v>
      </x:c>
      <x:c r="H3598" s="12" t="n">
        <x:v>119205.20907643</x:v>
      </x:c>
      <x:c r="I3598" s="13" t="n">
        <x:v>0.09766</x:v>
      </x:c>
      <x:c r="J3598" s="2" t="n">
        <x:v>0</x:v>
      </x:c>
      <x:c r="K3598" s="2" t="n">
        <x:v>2</x:v>
      </x:c>
      <x:c r="L3598" s="12" t="n">
        <x:v>1857.37665</x:v>
      </x:c>
      <x:c r="M3598" s="13" t="n">
        <x:v>0.829540500420378</x:v>
      </x:c>
      <x:c r="N3598" s="13" t="n">
        <x:f>H3598/G3598</x:f>
        <x:v>0.099941751903204</x:v>
      </x:c>
      <x:c r="O3598" s="13" t="n">
        <x:f>F3598/E3598</x:f>
        <x:v>0</x:v>
      </x:c>
      <x:c r="P3598" s="2" t="str">
        <x:f>IF(AND(E3598&gt;='Итоги'!$F$5,N3598&lt;='Итоги'!$B$5,O3598&gt;='Итоги'!$D$5),"Да","Нет")</x:f>
        <x:v>Нет</x:v>
      </x:c>
    </x:row>
    <x:row r="3599" ht="60" customHeight="1">
      <x:c r="A3599" s="14" t="str">
        <x:v>Товары для красоты и здоровья</x:v>
      </x:c>
      <x:c r="B3599" s="14" t="str">
        <x:v>Косметика для ухода за кожей</x:v>
      </x:c>
      <x:c r="C3599" s="14" t="str">
        <x:v>Лицо</x:v>
      </x:c>
      <x:c r="D3599" s="14" t="str">
        <x:v>Патчи для глаз</x:v>
      </x:c>
      <x:c r="E3599" s="2" t="n">
        <x:v>34</x:v>
      </x:c>
      <x:c r="F3599" s="2" t="n">
        <x:v>0</x:v>
      </x:c>
      <x:c r="G3599" s="12" t="n">
        <x:v>5596303.7643</x:v>
      </x:c>
      <x:c r="H3599" s="12" t="n">
        <x:v>559482.50801634</x:v>
      </x:c>
      <x:c r="I3599" s="13" t="n">
        <x:v>0.1045970588235294</x:v>
      </x:c>
      <x:c r="J3599" s="2" t="n">
        <x:v>9</x:v>
      </x:c>
      <x:c r="K3599" s="2" t="n">
        <x:v>11</x:v>
      </x:c>
      <x:c r="L3599" s="12" t="n">
        <x:v>868.41125</x:v>
      </x:c>
      <x:c r="M3599" s="13" t="n">
        <x:v>0.5726751681072968</x:v>
      </x:c>
      <x:c r="N3599" s="13" t="n">
        <x:f>H3599/G3599</x:f>
        <x:v>0.0999735774861609</x:v>
      </x:c>
      <x:c r="O3599" s="13" t="n">
        <x:f>F3599/E3599</x:f>
        <x:v>0</x:v>
      </x:c>
      <x:c r="P3599" s="2" t="str">
        <x:f>IF(AND(E3599&gt;='Итоги'!$F$5,N3599&lt;='Итоги'!$B$5,O3599&gt;='Итоги'!$D$5),"Да","Нет")</x:f>
        <x:v>Нет</x:v>
      </x:c>
    </x:row>
    <x:row r="3600" ht="60" customHeight="1">
      <x:c r="A3600" s="14" t="str">
        <x:v>Товары для животных</x:v>
      </x:c>
      <x:c r="B3600" s="14" t="str">
        <x:v>Спальное место животного</x:v>
      </x:c>
      <x:c r="C3600" s="14" t="str">
        <x:v>Аквариум Химия</x:v>
      </x:c>
      <x:c r="D3600" s="14" t="str">
        <x:v>Удобрение для аквариумных растений</x:v>
      </x:c>
      <x:c r="E3600" s="2" t="n">
        <x:v>1</x:v>
      </x:c>
      <x:c r="F3600" s="2" t="n">
        <x:v>0</x:v>
      </x:c>
      <x:c r="G3600" s="12" t="n">
        <x:v>79070</x:v>
      </x:c>
      <x:c r="H3600" s="12" t="n">
        <x:v>7914.906999999999</x:v>
      </x:c>
      <x:c r="I3600" s="13" t="n">
        <x:v>0.1001</x:v>
      </x:c>
      <x:c r="J3600" s="2" t="n">
        <x:v>0</x:v>
      </x:c>
      <x:c r="K3600" s="2" t="n">
        <x:v>1</x:v>
      </x:c>
      <x:c r="L3600" s="12" t="n">
        <x:v>2470.9375</x:v>
      </x:c>
      <x:c r="M3600" s="13" t="n">
        <x:v>1</x:v>
      </x:c>
      <x:c r="N3600" s="13" t="n">
        <x:f>H3600/G3600</x:f>
        <x:v>0.1001</x:v>
      </x:c>
      <x:c r="O3600" s="13" t="n">
        <x:f>F3600/E3600</x:f>
        <x:v>0</x:v>
      </x:c>
      <x:c r="P3600" s="2" t="str">
        <x:f>IF(AND(E3600&gt;='Итоги'!$F$5,N3600&lt;='Итоги'!$B$5,O3600&gt;='Итоги'!$D$5),"Да","Нет")</x:f>
        <x:v>Нет</x:v>
      </x:c>
    </x:row>
    <x:row r="3601" ht="60" customHeight="1">
      <x:c r="A3601" s="14" t="str">
        <x:v>Товары для дома</x:v>
      </x:c>
      <x:c r="B3601" s="14" t="str">
        <x:v>Ванная комната</x:v>
      </x:c>
      <x:c r="C3601" s="14" t="str">
        <x:v>Аксессуары для ванной</x:v>
      </x:c>
      <x:c r="D3601" s="14" t="str">
        <x:v>Аксессуары для санузла</x:v>
      </x:c>
      <x:c r="E3601" s="2" t="n">
        <x:v>9</x:v>
      </x:c>
      <x:c r="F3601" s="2" t="n">
        <x:v>0</x:v>
      </x:c>
      <x:c r="G3601" s="12" t="n">
        <x:v>690272.928</x:v>
      </x:c>
      <x:c r="H3601" s="12" t="n">
        <x:v>69111.64902832</x:v>
      </x:c>
      <x:c r="I3601" s="13" t="n">
        <x:v>0.0726111111111111</x:v>
      </x:c>
      <x:c r="J3601" s="2" t="n">
        <x:v>5</x:v>
      </x:c>
      <x:c r="K3601" s="2" t="n">
        <x:v>5</x:v>
      </x:c>
      <x:c r="L3601" s="12" t="n">
        <x:v>1115.2981</x:v>
      </x:c>
      <x:c r="M3601" s="13" t="n">
        <x:v>0.3534338198759549</x:v>
      </x:c>
      <x:c r="N3601" s="13" t="n">
        <x:f>H3601/G3601</x:f>
        <x:v>0.10012220706462358</x:v>
      </x:c>
      <x:c r="O3601" s="13" t="n">
        <x:f>F3601/E3601</x:f>
        <x:v>0</x:v>
      </x:c>
      <x:c r="P3601" s="2" t="str">
        <x:f>IF(AND(E3601&gt;='Итоги'!$F$5,N3601&lt;='Итоги'!$B$5,O3601&gt;='Итоги'!$D$5),"Да","Нет")</x:f>
        <x:v>Нет</x:v>
      </x:c>
    </x:row>
    <x:row r="3602" ht="60" customHeight="1">
      <x:c r="A3602" s="14" t="str">
        <x:v>Ноутбуки и компьютеры</x:v>
      </x:c>
      <x:c r="B3602" s="14" t="str">
        <x:v>Digital</x:v>
      </x:c>
      <x:c r="C3602" s="14" t="str">
        <x:v>Цифровой контент - Подписки на фильмы, музыку, книги</x:v>
      </x:c>
      <x:c r="D3602" s="14" t="str">
        <x:v>Цифровой контент - Онлайн-кинотеатр 1р</x:v>
      </x:c>
      <x:c r="E3602" s="2" t="n">
        <x:v>2</x:v>
      </x:c>
      <x:c r="F3602" s="2" t="n">
        <x:v>0</x:v>
      </x:c>
      <x:c r="G3602" s="12" t="n">
        <x:v>807047</x:v>
      </x:c>
      <x:c r="H3602" s="12" t="n">
        <x:v>80849.9653</x:v>
      </x:c>
      <x:c r="I3602" s="13" t="n">
        <x:v>0.099</x:v>
      </x:c>
      <x:c r="J3602" s="2" t="n">
        <x:v>0</x:v>
      </x:c>
      <x:c r="K3602" s="2" t="n">
        <x:v>1</x:v>
      </x:c>
      <x:c r="L3602" s="12" t="n">
        <x:v>2639.21275</x:v>
      </x:c>
      <x:c r="M3602" s="13" t="n">
        <x:v>1</x:v>
      </x:c>
      <x:c r="N3602" s="13" t="n">
        <x:f>H3602/G3602</x:f>
        <x:v>0.10017999608449074</x:v>
      </x:c>
      <x:c r="O3602" s="13" t="n">
        <x:f>F3602/E3602</x:f>
        <x:v>0</x:v>
      </x:c>
      <x:c r="P3602" s="2" t="str">
        <x:f>IF(AND(E3602&gt;='Итоги'!$F$5,N3602&lt;='Итоги'!$B$5,O3602&gt;='Итоги'!$D$5),"Да","Нет")</x:f>
        <x:v>Нет</x:v>
      </x:c>
    </x:row>
    <x:row r="3603" ht="60" customHeight="1">
      <x:c r="A3603" s="14" t="str">
        <x:v>Товары для дома</x:v>
      </x:c>
      <x:c r="B3603" s="14" t="str">
        <x:v>Интерьер и декор</x:v>
      </x:c>
      <x:c r="C3603" s="14" t="str">
        <x:v>Украшение интерьера</x:v>
      </x:c>
      <x:c r="D3603" s="14" t="str">
        <x:v>Копилка</x:v>
      </x:c>
      <x:c r="E3603" s="2" t="n">
        <x:v>3</x:v>
      </x:c>
      <x:c r="F3603" s="2" t="n">
        <x:v>0</x:v>
      </x:c>
      <x:c r="G3603" s="12" t="n">
        <x:v>420864.156</x:v>
      </x:c>
      <x:c r="H3603" s="12" t="n">
        <x:v>42193.5461205</x:v>
      </x:c>
      <x:c r="I3603" s="13" t="n">
        <x:v>0.1179</x:v>
      </x:c>
      <x:c r="J3603" s="2" t="n">
        <x:v>0</x:v>
      </x:c>
      <x:c r="K3603" s="2" t="n">
        <x:v>1</x:v>
      </x:c>
      <x:c r="L3603" s="12" t="n">
        <x:v>939.7785</x:v>
      </x:c>
      <x:c r="M3603" s="13" t="n">
        <x:v>1</x:v>
      </x:c>
      <x:c r="N3603" s="13" t="n">
        <x:f>H3603/G3603</x:f>
        <x:v>0.10025454892979767</x:v>
      </x:c>
      <x:c r="O3603" s="13" t="n">
        <x:f>F3603/E3603</x:f>
        <x:v>0</x:v>
      </x:c>
      <x:c r="P3603" s="2" t="str">
        <x:f>IF(AND(E3603&gt;='Итоги'!$F$5,N3603&lt;='Итоги'!$B$5,O3603&gt;='Итоги'!$D$5),"Да","Нет")</x:f>
        <x:v>Нет</x:v>
      </x:c>
    </x:row>
    <x:row r="3604" ht="60" customHeight="1">
      <x:c r="A3604" s="14" t="str">
        <x:v>Товары для дома</x:v>
      </x:c>
      <x:c r="B3604" s="14" t="str">
        <x:v>Кухня</x:v>
      </x:c>
      <x:c r="C3604" s="14" t="str">
        <x:v>Посуда для приготовления пищи</x:v>
      </x:c>
      <x:c r="D3604" s="14" t="str">
        <x:v>Ковш</x:v>
      </x:c>
      <x:c r="E3604" s="2" t="n">
        <x:v>59</x:v>
      </x:c>
      <x:c r="F3604" s="2" t="n">
        <x:v>0</x:v>
      </x:c>
      <x:c r="G3604" s="12" t="n">
        <x:v>8943748.6435</x:v>
      </x:c>
      <x:c r="H3604" s="12" t="n">
        <x:v>897185.17454112</x:v>
      </x:c>
      <x:c r="I3604" s="13" t="n">
        <x:v>0.0793745762711864</x:v>
      </x:c>
      <x:c r="J3604" s="2" t="n">
        <x:v>17</x:v>
      </x:c>
      <x:c r="K3604" s="2" t="n">
        <x:v>5</x:v>
      </x:c>
      <x:c r="L3604" s="12" t="n">
        <x:v>1367.2601</x:v>
      </x:c>
      <x:c r="M3604" s="13" t="n">
        <x:v>0.7636883317784176</x:v>
      </x:c>
      <x:c r="N3604" s="13" t="n">
        <x:f>H3604/G3604</x:f>
        <x:v>0.10031422061410038</x:v>
      </x:c>
      <x:c r="O3604" s="13" t="n">
        <x:f>F3604/E3604</x:f>
        <x:v>0</x:v>
      </x:c>
      <x:c r="P3604" s="2" t="str">
        <x:f>IF(AND(E3604&gt;='Итоги'!$F$5,N3604&lt;='Итоги'!$B$5,O3604&gt;='Итоги'!$D$5),"Да","Нет")</x:f>
        <x:v>Нет</x:v>
      </x:c>
    </x:row>
    <x:row r="3605" ht="60" customHeight="1">
      <x:c r="A3605" s="14" t="str">
        <x:v>Товары для детей и спорта</x:v>
      </x:c>
      <x:c r="B3605" s="14" t="str">
        <x:v>Текстиль детский</x:v>
      </x:c>
      <x:c r="C3605" s="14" t="str">
        <x:v>Постельное белье для новорожденных и малышей</x:v>
      </x:c>
      <x:c r="D3605" s="14" t="str">
        <x:v>Подушка в кроватку для новорожденных и малышей</x:v>
      </x:c>
      <x:c r="E3605" s="2" t="n">
        <x:v>6</x:v>
      </x:c>
      <x:c r="F3605" s="2" t="n">
        <x:v>0</x:v>
      </x:c>
      <x:c r="G3605" s="12" t="n">
        <x:v>740250.6286</x:v>
      </x:c>
      <x:c r="H3605" s="12" t="n">
        <x:v>74294.255972</x:v>
      </x:c>
      <x:c r="I3605" s="13" t="n">
        <x:v>0.0976166666666666</x:v>
      </x:c>
      <x:c r="J3605" s="2" t="n">
        <x:v>1</x:v>
      </x:c>
      <x:c r="K3605" s="2" t="n">
        <x:v>4</x:v>
      </x:c>
      <x:c r="L3605" s="12" t="n">
        <x:v>1438.01015</x:v>
      </x:c>
      <x:c r="M3605" s="13" t="n">
        <x:v>0.6867717350831304</x:v>
      </x:c>
      <x:c r="N3605" s="13" t="n">
        <x:f>H3605/G3605</x:f>
        <x:v>0.10036365131159579</x:v>
      </x:c>
      <x:c r="O3605" s="13" t="n">
        <x:f>F3605/E3605</x:f>
        <x:v>0</x:v>
      </x:c>
      <x:c r="P3605" s="2" t="str">
        <x:f>IF(AND(E3605&gt;='Итоги'!$F$5,N3605&lt;='Итоги'!$B$5,O3605&gt;='Итоги'!$D$5),"Да","Нет")</x:f>
        <x:v>Нет</x:v>
      </x:c>
    </x:row>
    <x:row r="3606" ht="60" customHeight="1">
      <x:c r="A3606" s="14" t="str">
        <x:v>Товары для дома</x:v>
      </x:c>
      <x:c r="B3606" s="14" t="str">
        <x:v>Интерьер и декор</x:v>
      </x:c>
      <x:c r="C3606" s="14" t="str">
        <x:v>Украшение интерьера</x:v>
      </x:c>
      <x:c r="D3606" s="14" t="str">
        <x:v>Светильник декоративный</x:v>
      </x:c>
      <x:c r="E3606" s="2" t="n">
        <x:v>43</x:v>
      </x:c>
      <x:c r="F3606" s="2" t="n">
        <x:v>0</x:v>
      </x:c>
      <x:c r="G3606" s="12" t="n">
        <x:v>5339689.1316</x:v>
      </x:c>
      <x:c r="H3606" s="12" t="n">
        <x:v>536051.12173618</x:v>
      </x:c>
      <x:c r="I3606" s="13" t="n">
        <x:v>0.0960767441860465</x:v>
      </x:c>
      <x:c r="J3606" s="2" t="n">
        <x:v>6</x:v>
      </x:c>
      <x:c r="K3606" s="2" t="n">
        <x:v>21</x:v>
      </x:c>
      <x:c r="L3606" s="12" t="n">
        <x:v>1636.7449</x:v>
      </x:c>
      <x:c r="M3606" s="13" t="n">
        <x:v>0.3270181225843706</x:v>
      </x:c>
      <x:c r="N3606" s="13" t="n">
        <x:f>H3606/G3606</x:f>
        <x:v>0.10038994940058545</x:v>
      </x:c>
      <x:c r="O3606" s="13" t="n">
        <x:f>F3606/E3606</x:f>
        <x:v>0</x:v>
      </x:c>
      <x:c r="P3606" s="2" t="str">
        <x:f>IF(AND(E3606&gt;='Итоги'!$F$5,N3606&lt;='Итоги'!$B$5,O3606&gt;='Итоги'!$D$5),"Да","Нет")</x:f>
        <x:v>Нет</x:v>
      </x:c>
    </x:row>
    <x:row r="3607" ht="60" customHeight="1">
      <x:c r="A3607" s="14" t="str">
        <x:v>Аксессуары для электроники</x:v>
      </x:c>
      <x:c r="B3607" s="14" t="str">
        <x:v>Компьютеры Access</x:v>
      </x:c>
      <x:c r="C3607" s="14" t="str">
        <x:v>Аксессуар к компьютерной технике Access</x:v>
      </x:c>
      <x:c r="D3607" s="14" t="str">
        <x:v>Подставка для ноутбука</x:v>
      </x:c>
      <x:c r="E3607" s="2" t="n">
        <x:v>72</x:v>
      </x:c>
      <x:c r="F3607" s="2" t="n">
        <x:v>0</x:v>
      </x:c>
      <x:c r="G3607" s="12" t="n">
        <x:v>11067949.6</x:v>
      </x:c>
      <x:c r="H3607" s="12" t="n">
        <x:v>1111220.96296162</x:v>
      </x:c>
      <x:c r="I3607" s="13" t="n">
        <x:v>0.095125</x:v>
      </x:c>
      <x:c r="J3607" s="2" t="n">
        <x:v>8</x:v>
      </x:c>
      <x:c r="K3607" s="2" t="n">
        <x:v>28</x:v>
      </x:c>
      <x:c r="L3607" s="12" t="n">
        <x:v>1542.7205</x:v>
      </x:c>
      <x:c r="M3607" s="13" t="n">
        <x:v>0.5358070232900229</x:v>
      </x:c>
      <x:c r="N3607" s="13" t="n">
        <x:f>H3607/G3607</x:f>
        <x:v>0.10039989366789491</x:v>
      </x:c>
      <x:c r="O3607" s="13" t="n">
        <x:f>F3607/E3607</x:f>
        <x:v>0</x:v>
      </x:c>
      <x:c r="P3607" s="2" t="str">
        <x:f>IF(AND(E3607&gt;='Итоги'!$F$5,N3607&lt;='Итоги'!$B$5,O3607&gt;='Итоги'!$D$5),"Да","Нет")</x:f>
        <x:v>Нет</x:v>
      </x:c>
    </x:row>
    <x:row r="3608" ht="60" customHeight="1">
      <x:c r="A3608" s="14" t="str">
        <x:v>Игрушки</x:v>
      </x:c>
      <x:c r="B3608" s="14" t="str">
        <x:v>Игрушки</x:v>
      </x:c>
      <x:c r="C3608" s="14" t="str">
        <x:v>Игрушки для самых маленьких</x:v>
      </x:c>
      <x:c r="D3608" s="14" t="str">
        <x:v>Погремушка, погремушка-прорезыватель</x:v>
      </x:c>
      <x:c r="E3608" s="2" t="n">
        <x:v>9</x:v>
      </x:c>
      <x:c r="F3608" s="2" t="n">
        <x:v>0</x:v>
      </x:c>
      <x:c r="G3608" s="12" t="n">
        <x:v>979113.3544</x:v>
      </x:c>
      <x:c r="H3608" s="12" t="n">
        <x:v>98328.8666166</x:v>
      </x:c>
      <x:c r="I3608" s="13" t="n">
        <x:v>0.1020444444444444</x:v>
      </x:c>
      <x:c r="J3608" s="2" t="n">
        <x:v>2</x:v>
      </x:c>
      <x:c r="K3608" s="2" t="n">
        <x:v>2</x:v>
      </x:c>
      <x:c r="L3608" s="12" t="n">
        <x:v>1192.0931</x:v>
      </x:c>
      <x:c r="M3608" s="13" t="n">
        <x:v>0.8829154157842626</x:v>
      </x:c>
      <x:c r="N3608" s="13" t="n">
        <x:f>H3608/G3608</x:f>
        <x:v>0.10042643803674384</x:v>
      </x:c>
      <x:c r="O3608" s="13" t="n">
        <x:f>F3608/E3608</x:f>
        <x:v>0</x:v>
      </x:c>
      <x:c r="P3608" s="2" t="str">
        <x:f>IF(AND(E3608&gt;='Итоги'!$F$5,N3608&lt;='Итоги'!$B$5,O3608&gt;='Итоги'!$D$5),"Да","Нет")</x:f>
        <x:v>Нет</x:v>
      </x:c>
    </x:row>
    <x:row r="3609" ht="60" customHeight="1">
      <x:c r="A3609" s="14" t="str">
        <x:v>Товары для красоты и здоровья</x:v>
      </x:c>
      <x:c r="B3609" s="14" t="str">
        <x:v>Уход и гигиена</x:v>
      </x:c>
      <x:c r="C3609" s="14" t="str">
        <x:v>Гигиена тела</x:v>
      </x:c>
      <x:c r="D3609" s="14" t="str">
        <x:v>Прокладки для подмышек</x:v>
      </x:c>
      <x:c r="E3609" s="2" t="n">
        <x:v>7</x:v>
      </x:c>
      <x:c r="F3609" s="2" t="n">
        <x:v>0</x:v>
      </x:c>
      <x:c r="G3609" s="12" t="n">
        <x:v>620864.3119</x:v>
      </x:c>
      <x:c r="H3609" s="12" t="n">
        <x:v>62405.12176277</x:v>
      </x:c>
      <x:c r="I3609" s="13" t="n">
        <x:v>0.0870285714285714</x:v>
      </x:c>
      <x:c r="J3609" s="2" t="n">
        <x:v>0</x:v>
      </x:c>
      <x:c r="K3609" s="2" t="n">
        <x:v>1</x:v>
      </x:c>
      <x:c r="L3609" s="12" t="n">
        <x:v>887.0234</x:v>
      </x:c>
      <x:c r="M3609" s="13" t="n">
        <x:v>1</x:v>
      </x:c>
      <x:c r="N3609" s="13" t="n">
        <x:f>H3609/G3609</x:f>
        <x:v>0.10051330148417571</x:v>
      </x:c>
      <x:c r="O3609" s="13" t="n">
        <x:f>F3609/E3609</x:f>
        <x:v>0</x:v>
      </x:c>
      <x:c r="P3609" s="2" t="str">
        <x:f>IF(AND(E3609&gt;='Итоги'!$F$5,N3609&lt;='Итоги'!$B$5,O3609&gt;='Итоги'!$D$5),"Да","Нет")</x:f>
        <x:v>Нет</x:v>
      </x:c>
    </x:row>
    <x:row r="3610" ht="60" customHeight="1">
      <x:c r="A3610" s="14" t="str">
        <x:v>Спорт и отдых</x:v>
      </x:c>
      <x:c r="B3610" s="14" t="str">
        <x:v>Водные виды спорта</x:v>
      </x:c>
      <x:c r="C3610" s="14" t="str">
        <x:v>Плавание</x:v>
      </x:c>
      <x:c r="D3610" s="14" t="str">
        <x:v>Круг надувной</x:v>
      </x:c>
      <x:c r="E3610" s="2" t="n">
        <x:v>47</x:v>
      </x:c>
      <x:c r="F3610" s="2" t="n">
        <x:v>0</x:v>
      </x:c>
      <x:c r="G3610" s="12" t="n">
        <x:v>6456279.413</x:v>
      </x:c>
      <x:c r="H3610" s="12" t="n">
        <x:v>649063.88412068</x:v>
      </x:c>
      <x:c r="I3610" s="13" t="n">
        <x:v>0.0686936170212766</x:v>
      </x:c>
      <x:c r="J3610" s="2" t="n">
        <x:v>17</x:v>
      </x:c>
      <x:c r="K3610" s="2" t="n">
        <x:v>20</x:v>
      </x:c>
      <x:c r="L3610" s="12" t="n">
        <x:v>950.9036</x:v>
      </x:c>
      <x:c r="M3610" s="13" t="n">
        <x:v>0.4413189387626027</x:v>
      </x:c>
      <x:c r="N3610" s="13" t="n">
        <x:f>H3610/G3610</x:f>
        <x:v>0.10053218620212775</x:v>
      </x:c>
      <x:c r="O3610" s="13" t="n">
        <x:f>F3610/E3610</x:f>
        <x:v>0</x:v>
      </x:c>
      <x:c r="P3610" s="2" t="str">
        <x:f>IF(AND(E3610&gt;='Итоги'!$F$5,N3610&lt;='Итоги'!$B$5,O3610&gt;='Итоги'!$D$5),"Да","Нет")</x:f>
        <x:v>Нет</x:v>
      </x:c>
    </x:row>
    <x:row r="3611" ht="60" customHeight="1">
      <x:c r="A3611" s="14" t="str">
        <x:v>Товары для дома</x:v>
      </x:c>
      <x:c r="B3611" s="14" t="str">
        <x:v>Кухня</x:v>
      </x:c>
      <x:c r="C3611" s="14" t="str">
        <x:v>Посуда для чая и кофе</x:v>
      </x:c>
      <x:c r="D3611" s="14" t="str">
        <x:v>Конфетница</x:v>
      </x:c>
      <x:c r="E3611" s="2" t="n">
        <x:v>3</x:v>
      </x:c>
      <x:c r="F3611" s="2" t="n">
        <x:v>0</x:v>
      </x:c>
      <x:c r="G3611" s="12" t="n">
        <x:v>203003.5506</x:v>
      </x:c>
      <x:c r="H3611" s="12" t="n">
        <x:v>20410.93415514</x:v>
      </x:c>
      <x:c r="I3611" s="13" t="n">
        <x:v>0.0701</x:v>
      </x:c>
      <x:c r="J3611" s="2" t="n">
        <x:v>1</x:v>
      </x:c>
      <x:c r="K3611" s="2" t="n">
        <x:v>3</x:v>
      </x:c>
      <x:c r="L3611" s="12" t="n">
        <x:v>1503.2206</x:v>
      </x:c>
      <x:c r="M3611" s="13" t="n">
        <x:v>0.5188228003338184</x:v>
      </x:c>
      <x:c r="N3611" s="13" t="n">
        <x:f>H3611/G3611</x:f>
        <x:v>0.10054471507918541</x:v>
      </x:c>
      <x:c r="O3611" s="13" t="n">
        <x:f>F3611/E3611</x:f>
        <x:v>0</x:v>
      </x:c>
      <x:c r="P3611" s="2" t="str">
        <x:f>IF(AND(E3611&gt;='Итоги'!$F$5,N3611&lt;='Итоги'!$B$5,O3611&gt;='Итоги'!$D$5),"Да","Нет")</x:f>
        <x:v>Нет</x:v>
      </x:c>
    </x:row>
    <x:row r="3612" ht="60" customHeight="1">
      <x:c r="A3612" s="14" t="str">
        <x:v>Товары для красоты и здоровья</x:v>
      </x:c>
      <x:c r="B3612" s="14" t="str">
        <x:v>Косметическая техника</x:v>
      </x:c>
      <x:c r="C3612" s="14" t="str">
        <x:v>Массажная техника</x:v>
      </x:c>
      <x:c r="D3612" s="14" t="str">
        <x:v>Стоунтерапия/массаж камнями</x:v>
      </x:c>
      <x:c r="E3612" s="2" t="n">
        <x:v>2</x:v>
      </x:c>
      <x:c r="F3612" s="2" t="n">
        <x:v>0</x:v>
      </x:c>
      <x:c r="G3612" s="12" t="n">
        <x:v>146138.3269</x:v>
      </x:c>
      <x:c r="H3612" s="12" t="n">
        <x:v>14700.01353269</x:v>
      </x:c>
      <x:c r="I3612" s="13" t="n">
        <x:v>0.07145</x:v>
      </x:c>
      <x:c r="J3612" s="2" t="n">
        <x:v>0</x:v>
      </x:c>
      <x:c r="K3612" s="2" t="n">
        <x:v>2</x:v>
      </x:c>
      <x:c r="L3612" s="12" t="n">
        <x:v>3346.67015</x:v>
      </x:c>
      <x:c r="M3612" s="13" t="n">
        <x:v>0.7042026700526022</x:v>
      </x:c>
      <x:c r="N3612" s="13" t="n">
        <x:f>H3612/G3612</x:f>
        <x:v>0.10058972101650632</x:v>
      </x:c>
      <x:c r="O3612" s="13" t="n">
        <x:f>F3612/E3612</x:f>
        <x:v>0</x:v>
      </x:c>
      <x:c r="P3612" s="2" t="str">
        <x:f>IF(AND(E3612&gt;='Итоги'!$F$5,N3612&lt;='Итоги'!$B$5,O3612&gt;='Итоги'!$D$5),"Да","Нет")</x:f>
        <x:v>Нет</x:v>
      </x:c>
    </x:row>
    <x:row r="3613" ht="60" customHeight="1">
      <x:c r="A3613" s="14" t="str">
        <x:v>Аксессуары для электроники</x:v>
      </x:c>
      <x:c r="B3613" s="14" t="str">
        <x:v>Компьютеры Access</x:v>
      </x:c>
      <x:c r="C3613" s="14" t="str">
        <x:v>Аксессуар к компьютерной технике Access</x:v>
      </x:c>
      <x:c r="D3613" s="14" t="str">
        <x:v>Кронштейн для проектора</x:v>
      </x:c>
      <x:c r="E3613" s="2" t="n">
        <x:v>10</x:v>
      </x:c>
      <x:c r="F3613" s="2" t="n">
        <x:v>0</x:v>
      </x:c>
      <x:c r="G3613" s="12" t="n">
        <x:v>792175.8282999999</x:v>
      </x:c>
      <x:c r="H3613" s="12" t="n">
        <x:v>79733.92533247</x:v>
      </x:c>
      <x:c r="I3613" s="13" t="n">
        <x:v>0.10506</x:v>
      </x:c>
      <x:c r="J3613" s="2" t="n">
        <x:v>3</x:v>
      </x:c>
      <x:c r="K3613" s="2" t="n">
        <x:v>8</x:v>
      </x:c>
      <x:c r="L3613" s="12" t="n">
        <x:v>1875.0827</x:v>
      </x:c>
      <x:c r="M3613" s="13" t="n">
        <x:v>0.217397746368475</x:v>
      </x:c>
      <x:c r="N3613" s="13" t="n">
        <x:f>H3613/G3613</x:f>
        <x:v>0.10065180290034609</x:v>
      </x:c>
      <x:c r="O3613" s="13" t="n">
        <x:f>F3613/E3613</x:f>
        <x:v>0</x:v>
      </x:c>
      <x:c r="P3613" s="2" t="str">
        <x:f>IF(AND(E3613&gt;='Итоги'!$F$5,N3613&lt;='Итоги'!$B$5,O3613&gt;='Итоги'!$D$5),"Да","Нет")</x:f>
        <x:v>Нет</x:v>
      </x:c>
    </x:row>
    <x:row r="3614" ht="60" customHeight="1">
      <x:c r="A3614" s="14" t="str">
        <x:v>Товары для детей и спорта</x:v>
      </x:c>
      <x:c r="B3614" s="14" t="str">
        <x:v>Спорт детский</x:v>
      </x:c>
      <x:c r="C3614" s="14" t="str">
        <x:v>Игровой комплекс для детей</x:v>
      </x:c>
      <x:c r="D3614" s="14" t="str">
        <x:v>Игрушка для песочницы</x:v>
      </x:c>
      <x:c r="E3614" s="2" t="n">
        <x:v>9</x:v>
      </x:c>
      <x:c r="F3614" s="2" t="n">
        <x:v>0</x:v>
      </x:c>
      <x:c r="G3614" s="12" t="n">
        <x:v>1170354.4663</x:v>
      </x:c>
      <x:c r="H3614" s="12" t="n">
        <x:v>117845.69006916</x:v>
      </x:c>
      <x:c r="I3614" s="13" t="n">
        <x:v>0.1165777777777777</x:v>
      </x:c>
      <x:c r="J3614" s="2" t="n">
        <x:v>2</x:v>
      </x:c>
      <x:c r="K3614" s="2" t="n">
        <x:v>5</x:v>
      </x:c>
      <x:c r="L3614" s="12" t="n">
        <x:v>1318.1536</x:v>
      </x:c>
      <x:c r="M3614" s="13" t="n">
        <x:v>0.3285465216496521</x:v>
      </x:c>
      <x:c r="N3614" s="13" t="n">
        <x:f>H3614/G3614</x:f>
        <x:v>0.10069230601710057</x:v>
      </x:c>
      <x:c r="O3614" s="13" t="n">
        <x:f>F3614/E3614</x:f>
        <x:v>0</x:v>
      </x:c>
      <x:c r="P3614" s="2" t="str">
        <x:f>IF(AND(E3614&gt;='Итоги'!$F$5,N3614&lt;='Итоги'!$B$5,O3614&gt;='Итоги'!$D$5),"Да","Нет")</x:f>
        <x:v>Нет</x:v>
      </x:c>
    </x:row>
    <x:row r="3615" ht="60" customHeight="1">
      <x:c r="A3615" s="14" t="str">
        <x:v>Товары для красоты и здоровья</x:v>
      </x:c>
      <x:c r="B3615" s="14" t="str">
        <x:v>Косметические аксессуары</x:v>
      </x:c>
      <x:c r="C3615" s="14" t="str">
        <x:v>Аксессуары для макияжа</x:v>
      </x:c>
      <x:c r="D3615" s="14" t="str">
        <x:v>Прочие аксессуары для макияжа</x:v>
      </x:c>
      <x:c r="E3615" s="2" t="n">
        <x:v>5</x:v>
      </x:c>
      <x:c r="F3615" s="2" t="n">
        <x:v>0</x:v>
      </x:c>
      <x:c r="G3615" s="12" t="n">
        <x:v>619417.2563</x:v>
      </x:c>
      <x:c r="H3615" s="12" t="n">
        <x:v>62382.46701118</x:v>
      </x:c>
      <x:c r="I3615" s="13" t="n">
        <x:v>0.08342</x:v>
      </x:c>
      <x:c r="J3615" s="2" t="n">
        <x:v>1</x:v>
      </x:c>
      <x:c r="K3615" s="2" t="n">
        <x:v>3</x:v>
      </x:c>
      <x:c r="L3615" s="12" t="n">
        <x:v>1109.6219</x:v>
      </x:c>
      <x:c r="M3615" s="13" t="n">
        <x:v>0.7318555169222527</x:v>
      </x:c>
      <x:c r="N3615" s="13" t="n">
        <x:f>H3615/G3615</x:f>
        <x:v>0.1007115419803005</x:v>
      </x:c>
      <x:c r="O3615" s="13" t="n">
        <x:f>F3615/E3615</x:f>
        <x:v>0</x:v>
      </x:c>
      <x:c r="P3615" s="2" t="str">
        <x:f>IF(AND(E3615&gt;='Итоги'!$F$5,N3615&lt;='Итоги'!$B$5,O3615&gt;='Итоги'!$D$5),"Да","Нет")</x:f>
        <x:v>Нет</x:v>
      </x:c>
    </x:row>
    <x:row r="3616" ht="60" customHeight="1">
      <x:c r="A3616" s="14" t="str">
        <x:v>Аксессуары для электроники</x:v>
      </x:c>
      <x:c r="B3616" s="14" t="str">
        <x:v>Аксессуары для МБТ (кухня) Access</x:v>
      </x:c>
      <x:c r="C3616" s="14" t="str">
        <x:v>Аксессуары для кулера (для воды) Access</x:v>
      </x:c>
      <x:c r="D3616" s="14" t="str">
        <x:v>Аксессуары для кулера (для воды)</x:v>
      </x:c>
      <x:c r="E3616" s="2" t="n">
        <x:v>16</x:v>
      </x:c>
      <x:c r="F3616" s="2" t="n">
        <x:v>0</x:v>
      </x:c>
      <x:c r="G3616" s="12" t="n">
        <x:v>2609409.7168</x:v>
      </x:c>
      <x:c r="H3616" s="12" t="n">
        <x:v>262951.17611838</x:v>
      </x:c>
      <x:c r="I3616" s="13" t="n">
        <x:v>0.10063125</x:v>
      </x:c>
      <x:c r="J3616" s="2" t="n">
        <x:v>3</x:v>
      </x:c>
      <x:c r="K3616" s="2" t="n">
        <x:v>8</x:v>
      </x:c>
      <x:c r="L3616" s="12" t="n">
        <x:v>1057.50655</x:v>
      </x:c>
      <x:c r="M3616" s="13" t="n">
        <x:v>0.5219752081211381</x:v>
      </x:c>
      <x:c r="N3616" s="13" t="n">
        <x:f>H3616/G3616</x:f>
        <x:v>0.10077036749937651</x:v>
      </x:c>
      <x:c r="O3616" s="13" t="n">
        <x:f>F3616/E3616</x:f>
        <x:v>0</x:v>
      </x:c>
      <x:c r="P3616" s="2" t="str">
        <x:f>IF(AND(E3616&gt;='Итоги'!$F$5,N3616&lt;='Итоги'!$B$5,O3616&gt;='Итоги'!$D$5),"Да","Нет")</x:f>
        <x:v>Нет</x:v>
      </x:c>
    </x:row>
    <x:row r="3617" ht="60" customHeight="1">
      <x:c r="A3617" s="14" t="str">
        <x:v>Мелкая бытовая техника</x:v>
      </x:c>
      <x:c r="B3617" s="14" t="str">
        <x:v>Мелкая бытовая техника SDA</x:v>
      </x:c>
      <x:c r="C3617" s="14" t="str">
        <x:v>Электронная техника для дома SDA</x:v>
      </x:c>
      <x:c r="D3617" s="14" t="str">
        <x:v>Прибор для уничтожения насекомых</x:v>
      </x:c>
      <x:c r="E3617" s="2" t="n">
        <x:v>60</x:v>
      </x:c>
      <x:c r="F3617" s="2" t="n">
        <x:v>0</x:v>
      </x:c>
      <x:c r="G3617" s="12" t="n">
        <x:v>14165452.0555</x:v>
      </x:c>
      <x:c r="H3617" s="12" t="n">
        <x:v>1427727.22294299</x:v>
      </x:c>
      <x:c r="I3617" s="13" t="n">
        <x:v>0.0902283333333333</x:v>
      </x:c>
      <x:c r="J3617" s="2" t="n">
        <x:v>15</x:v>
      </x:c>
      <x:c r="K3617" s="2" t="n">
        <x:v>28</x:v>
      </x:c>
      <x:c r="L3617" s="12" t="n">
        <x:v>1991.12075</x:v>
      </x:c>
      <x:c r="M3617" s="13" t="n">
        <x:v>0.3600338940273927</x:v>
      </x:c>
      <x:c r="N3617" s="13" t="n">
        <x:f>H3617/G3617</x:f>
        <x:v>0.10078938655463864</x:v>
      </x:c>
      <x:c r="O3617" s="13" t="n">
        <x:f>F3617/E3617</x:f>
        <x:v>0</x:v>
      </x:c>
      <x:c r="P3617" s="2" t="str">
        <x:f>IF(AND(E3617&gt;='Итоги'!$F$5,N3617&lt;='Итоги'!$B$5,O3617&gt;='Итоги'!$D$5),"Да","Нет")</x:f>
        <x:v>Нет</x:v>
      </x:c>
    </x:row>
    <x:row r="3618" ht="60" customHeight="1">
      <x:c r="A3618" s="14" t="str">
        <x:v>Аксессуары для электроники</x:v>
      </x:c>
      <x:c r="B3618" s="14" t="str">
        <x:v>Аксессуары для мобильных устройств Access</x:v>
      </x:c>
      <x:c r="C3618" s="14" t="str">
        <x:v>Аксессуары для смартфонов Access</x:v>
      </x:c>
      <x:c r="D3618" s="14" t="str">
        <x:v>Геймпад для смартфона</x:v>
      </x:c>
      <x:c r="E3618" s="2" t="n">
        <x:v>10</x:v>
      </x:c>
      <x:c r="F3618" s="2" t="n">
        <x:v>0</x:v>
      </x:c>
      <x:c r="G3618" s="12" t="n">
        <x:v>1193485.3758</x:v>
      </x:c>
      <x:c r="H3618" s="12" t="n">
        <x:v>120341.2196976</x:v>
      </x:c>
      <x:c r="I3618" s="13" t="n">
        <x:v>0.0977</x:v>
      </x:c>
      <x:c r="J3618" s="2" t="n">
        <x:v>1</x:v>
      </x:c>
      <x:c r="K3618" s="2" t="n">
        <x:v>3</x:v>
      </x:c>
      <x:c r="L3618" s="12" t="n">
        <x:v>2061.7738</x:v>
      </x:c>
      <x:c r="M3618" s="13" t="n">
        <x:v>0.755388736452417</x:v>
      </x:c>
      <x:c r="N3618" s="13" t="n">
        <x:f>H3618/G3618</x:f>
        <x:v>0.10083175054988386</x:v>
      </x:c>
      <x:c r="O3618" s="13" t="n">
        <x:f>F3618/E3618</x:f>
        <x:v>0</x:v>
      </x:c>
      <x:c r="P3618" s="2" t="str">
        <x:f>IF(AND(E3618&gt;='Итоги'!$F$5,N3618&lt;='Итоги'!$B$5,O3618&gt;='Итоги'!$D$5),"Да","Нет")</x:f>
        <x:v>Нет</x:v>
      </x:c>
    </x:row>
    <x:row r="3619" ht="60" customHeight="1">
      <x:c r="A3619" s="14" t="str">
        <x:v>Строительство и ремонт (DIY)</x:v>
      </x:c>
      <x:c r="B3619" s="14" t="str">
        <x:v>Инструменты</x:v>
      </x:c>
      <x:c r="C3619" s="14" t="str">
        <x:v>Электроинструмент для строительства, ремонта</x:v>
      </x:c>
      <x:c r="D3619" s="14" t="str">
        <x:v>Набор электроинструмента</x:v>
      </x:c>
      <x:c r="E3619" s="2" t="n">
        <x:v>46</x:v>
      </x:c>
      <x:c r="F3619" s="2" t="n">
        <x:v>0</x:v>
      </x:c>
      <x:c r="G3619" s="12" t="n">
        <x:v>9029096.4361</x:v>
      </x:c>
      <x:c r="H3619" s="12" t="n">
        <x:v>910577.77707414</x:v>
      </x:c>
      <x:c r="I3619" s="13" t="n">
        <x:v>0.097745652173913</x:v>
      </x:c>
      <x:c r="J3619" s="2" t="n">
        <x:v>5</x:v>
      </x:c>
      <x:c r="K3619" s="2" t="n">
        <x:v>18</x:v>
      </x:c>
      <x:c r="L3619" s="12" t="n">
        <x:v>8146.0023</x:v>
      </x:c>
      <x:c r="M3619" s="13" t="n">
        <x:v>0.5399166972133564</x:v>
      </x:c>
      <x:c r="N3619" s="13" t="n">
        <x:f>H3619/G3619</x:f>
        <x:v>0.10084926919525207</x:v>
      </x:c>
      <x:c r="O3619" s="13" t="n">
        <x:f>F3619/E3619</x:f>
        <x:v>0</x:v>
      </x:c>
      <x:c r="P3619" s="2" t="str">
        <x:f>IF(AND(E3619&gt;='Итоги'!$F$5,N3619&lt;='Итоги'!$B$5,O3619&gt;='Итоги'!$D$5),"Да","Нет")</x:f>
        <x:v>Нет</x:v>
      </x:c>
    </x:row>
    <x:row r="3620" ht="60" customHeight="1">
      <x:c r="A3620" s="14" t="str">
        <x:v>Товары для дома</x:v>
      </x:c>
      <x:c r="B3620" s="14" t="str">
        <x:v>Антиквариат Хоум Декор</x:v>
      </x:c>
      <x:c r="C3620" s="14" t="str">
        <x:v>Коллекционирование Хоум Декор</x:v>
      </x:c>
      <x:c r="D3620" s="14" t="str">
        <x:v>Модель самолета коллекционная</x:v>
      </x:c>
      <x:c r="E3620" s="2" t="n">
        <x:v>1</x:v>
      </x:c>
      <x:c r="F3620" s="2" t="n">
        <x:v>0</x:v>
      </x:c>
      <x:c r="G3620" s="12" t="n">
        <x:v>89572.6875</x:v>
      </x:c>
      <x:c r="H3620" s="12" t="n">
        <x:v>9037.88416875</x:v>
      </x:c>
      <x:c r="I3620" s="13" t="n">
        <x:v>0.1009</x:v>
      </x:c>
      <x:c r="J3620" s="2" t="n">
        <x:v>0</x:v>
      </x:c>
      <x:c r="K3620" s="2" t="n">
        <x:v>1</x:v>
      </x:c>
      <x:c r="L3620" s="12" t="n">
        <x:v>853.0732</x:v>
      </x:c>
      <x:c r="M3620" s="13" t="n">
        <x:v>1</x:v>
      </x:c>
      <x:c r="N3620" s="13" t="n">
        <x:f>H3620/G3620</x:f>
        <x:v>0.1009</x:v>
      </x:c>
      <x:c r="O3620" s="13" t="n">
        <x:f>F3620/E3620</x:f>
        <x:v>0</x:v>
      </x:c>
      <x:c r="P3620" s="2" t="str">
        <x:f>IF(AND(E3620&gt;='Итоги'!$F$5,N3620&lt;='Итоги'!$B$5,O3620&gt;='Итоги'!$D$5),"Да","Нет")</x:f>
        <x:v>Нет</x:v>
      </x:c>
    </x:row>
    <x:row r="3621" ht="60" customHeight="1">
      <x:c r="A3621" s="14" t="str">
        <x:v>Спорт и отдых</x:v>
      </x:c>
      <x:c r="B3621" s="14" t="str">
        <x:v>Товары для охоты</x:v>
      </x:c>
      <x:c r="C3621" s="14" t="str">
        <x:v>Одежда для охоты</x:v>
      </x:c>
      <x:c r="D3621" s="14" t="str">
        <x:v>Панама/шляпа для охоты</x:v>
      </x:c>
      <x:c r="E3621" s="2" t="n">
        <x:v>2</x:v>
      </x:c>
      <x:c r="F3621" s="2" t="n">
        <x:v>0</x:v>
      </x:c>
      <x:c r="G3621" s="12" t="n">
        <x:v>244790.3741</x:v>
      </x:c>
      <x:c r="H3621" s="12" t="n">
        <x:v>24717.40268193</x:v>
      </x:c>
      <x:c r="I3621" s="13" t="n">
        <x:v>0.0978499999999999</x:v>
      </x:c>
      <x:c r="J3621" s="2" t="n">
        <x:v>0</x:v>
      </x:c>
      <x:c r="K3621" s="2" t="n">
        <x:v>1</x:v>
      </x:c>
      <x:c r="L3621" s="12" t="n">
        <x:v>1257.22195</x:v>
      </x:c>
      <x:c r="M3621" s="13" t="n">
        <x:v>1</x:v>
      </x:c>
      <x:c r="N3621" s="13" t="n">
        <x:f>H3621/G3621</x:f>
        <x:v>0.10097375263552082</x:v>
      </x:c>
      <x:c r="O3621" s="13" t="n">
        <x:f>F3621/E3621</x:f>
        <x:v>0</x:v>
      </x:c>
      <x:c r="P3621" s="2" t="str">
        <x:f>IF(AND(E3621&gt;='Итоги'!$F$5,N3621&lt;='Итоги'!$B$5,O3621&gt;='Итоги'!$D$5),"Да","Нет")</x:f>
        <x:v>Нет</x:v>
      </x:c>
    </x:row>
    <x:row r="3622" ht="60" customHeight="1">
      <x:c r="A3622" s="14" t="str">
        <x:v>Аксессуары</x:v>
      </x:c>
      <x:c r="B3622" s="14" t="str">
        <x:v>Сумки и рюкзаки</x:v>
      </x:c>
      <x:c r="C3622" s="14" t="str">
        <x:v>Сумка женская</x:v>
      </x:c>
      <x:c r="D3622" s="14" t="str">
        <x:v>Сумка авторская</x:v>
      </x:c>
      <x:c r="E3622" s="2" t="n">
        <x:v>2</x:v>
      </x:c>
      <x:c r="F3622" s="2" t="n">
        <x:v>0</x:v>
      </x:c>
      <x:c r="G3622" s="12" t="n">
        <x:v>109171.75</x:v>
      </x:c>
      <x:c r="H3622" s="12" t="n">
        <x:v>11036.616675</x:v>
      </x:c>
      <x:c r="I3622" s="13" t="n">
        <x:v>0.0931</x:v>
      </x:c>
      <x:c r="J3622" s="2" t="n">
        <x:v>0</x:v>
      </x:c>
      <x:c r="K3622" s="2" t="n">
        <x:v>1</x:v>
      </x:c>
      <x:c r="L3622" s="12" t="n">
        <x:v>5698.081</x:v>
      </x:c>
      <x:c r="M3622" s="13" t="n">
        <x:v>1</x:v>
      </x:c>
      <x:c r="N3622" s="13" t="n">
        <x:f>H3622/G3622</x:f>
        <x:v>0.10109407126843711</x:v>
      </x:c>
      <x:c r="O3622" s="13" t="n">
        <x:f>F3622/E3622</x:f>
        <x:v>0</x:v>
      </x:c>
      <x:c r="P3622" s="2" t="str">
        <x:f>IF(AND(E3622&gt;='Итоги'!$F$5,N3622&lt;='Итоги'!$B$5,O3622&gt;='Итоги'!$D$5),"Да","Нет")</x:f>
        <x:v>Нет</x:v>
      </x:c>
    </x:row>
    <x:row r="3623" ht="60" customHeight="1">
      <x:c r="A3623" s="14" t="str">
        <x:v>Товары для дома</x:v>
      </x:c>
      <x:c r="B3623" s="14" t="str">
        <x:v>Кухня</x:v>
      </x:c>
      <x:c r="C3623" s="14" t="str">
        <x:v>Кухонная утварь и принадлежности</x:v>
      </x:c>
      <x:c r="D3623" s="14" t="str">
        <x:v>Сушилка, подставка для посуды, столовых приборов</x:v>
      </x:c>
      <x:c r="E3623" s="2" t="n">
        <x:v>192</x:v>
      </x:c>
      <x:c r="F3623" s="2" t="n">
        <x:v>0</x:v>
      </x:c>
      <x:c r="G3623" s="12" t="n">
        <x:v>31162786.9627</x:v>
      </x:c>
      <x:c r="H3623" s="12" t="n">
        <x:v>3151170.31645722</x:v>
      </x:c>
      <x:c r="I3623" s="13" t="n">
        <x:v>0.09548125</x:v>
      </x:c>
      <x:c r="J3623" s="2" t="n">
        <x:v>35</x:v>
      </x:c>
      <x:c r="K3623" s="2" t="n">
        <x:v>65</x:v>
      </x:c>
      <x:c r="L3623" s="12" t="n">
        <x:v>1489.69965</x:v>
      </x:c>
      <x:c r="M3623" s="13" t="n">
        <x:v>0.2217758903069946</x:v>
      </x:c>
      <x:c r="N3623" s="13" t="n">
        <x:f>H3623/G3623</x:f>
        <x:v>0.10111965660288931</x:v>
      </x:c>
      <x:c r="O3623" s="13" t="n">
        <x:f>F3623/E3623</x:f>
        <x:v>0</x:v>
      </x:c>
      <x:c r="P3623" s="2" t="str">
        <x:f>IF(AND(E3623&gt;='Итоги'!$F$5,N3623&lt;='Итоги'!$B$5,O3623&gt;='Итоги'!$D$5),"Да","Нет")</x:f>
        <x:v>Нет</x:v>
      </x:c>
    </x:row>
    <x:row r="3624" ht="60" customHeight="1">
      <x:c r="A3624" s="14" t="str">
        <x:v>Спорт и отдых</x:v>
      </x:c>
      <x:c r="B3624" s="14" t="str">
        <x:v>Товары для охоты</x:v>
      </x:c>
      <x:c r="C3624" s="14" t="str">
        <x:v>Оптика для охоты</x:v>
      </x:c>
      <x:c r="D3624" s="14" t="str">
        <x:v>Прибор ночного видения</x:v>
      </x:c>
      <x:c r="E3624" s="2" t="n">
        <x:v>15</x:v>
      </x:c>
      <x:c r="F3624" s="2" t="n">
        <x:v>0</x:v>
      </x:c>
      <x:c r="G3624" s="12" t="n">
        <x:v>3667822.249</x:v>
      </x:c>
      <x:c r="H3624" s="12" t="n">
        <x:v>371267.79421228</x:v>
      </x:c>
      <x:c r="I3624" s="13" t="n">
        <x:v>0.0979666666666666</x:v>
      </x:c>
      <x:c r="J3624" s="2" t="n">
        <x:v>5</x:v>
      </x:c>
      <x:c r="K3624" s="2" t="n">
        <x:v>10</x:v>
      </x:c>
      <x:c r="L3624" s="12" t="n">
        <x:v>14808.3333</x:v>
      </x:c>
      <x:c r="M3624" s="13" t="n">
        <x:v>0.2791994623728561</x:v>
      </x:c>
      <x:c r="N3624" s="13" t="n">
        <x:f>H3624/G3624</x:f>
        <x:v>0.10122295166116706</x:v>
      </x:c>
      <x:c r="O3624" s="13" t="n">
        <x:f>F3624/E3624</x:f>
        <x:v>0</x:v>
      </x:c>
      <x:c r="P3624" s="2" t="str">
        <x:f>IF(AND(E3624&gt;='Итоги'!$F$5,N3624&lt;='Итоги'!$B$5,O3624&gt;='Итоги'!$D$5),"Да","Нет")</x:f>
        <x:v>Нет</x:v>
      </x:c>
    </x:row>
    <x:row r="3625" ht="60" customHeight="1">
      <x:c r="A3625" s="14" t="str">
        <x:v>Мелкая бытовая техника</x:v>
      </x:c>
      <x:c r="B3625" s="14" t="str">
        <x:v>SDA Климатическая техника</x:v>
      </x:c>
      <x:c r="C3625" s="14" t="str">
        <x:v>Климатическая техника SDA</x:v>
      </x:c>
      <x:c r="D3625" s="14" t="str">
        <x:v>Тепловентилятор</x:v>
      </x:c>
      <x:c r="E3625" s="2" t="n">
        <x:v>23</x:v>
      </x:c>
      <x:c r="F3625" s="2" t="n">
        <x:v>0</x:v>
      </x:c>
      <x:c r="G3625" s="12" t="n">
        <x:v>3067149.1736</x:v>
      </x:c>
      <x:c r="H3625" s="12" t="n">
        <x:v>310629.55473367</x:v>
      </x:c>
      <x:c r="I3625" s="13" t="n">
        <x:v>0.105491304347826</x:v>
      </x:c>
      <x:c r="J3625" s="2" t="n">
        <x:v>8</x:v>
      </x:c>
      <x:c r="K3625" s="2" t="n">
        <x:v>5</x:v>
      </x:c>
      <x:c r="L3625" s="12" t="n">
        <x:v>3007.9</x:v>
      </x:c>
      <x:c r="M3625" s="13" t="n">
        <x:v>0.7144231391354456</x:v>
      </x:c>
      <x:c r="N3625" s="13" t="n">
        <x:f>H3625/G3625</x:f>
        <x:v>0.1012763113732337</x:v>
      </x:c>
      <x:c r="O3625" s="13" t="n">
        <x:f>F3625/E3625</x:f>
        <x:v>0</x:v>
      </x:c>
      <x:c r="P3625" s="2" t="str">
        <x:f>IF(AND(E3625&gt;='Итоги'!$F$5,N3625&lt;='Итоги'!$B$5,O3625&gt;='Итоги'!$D$5),"Да","Нет")</x:f>
        <x:v>Нет</x:v>
      </x:c>
    </x:row>
    <x:row r="3626" ht="60" customHeight="1">
      <x:c r="A3626" s="14" t="str">
        <x:v>Книги</x:v>
      </x:c>
      <x:c r="B3626" s="14" t="str">
        <x:v>Печатные книги: Бизнес-литература</x:v>
      </x:c>
      <x:c r="C3626" s="14" t="str">
        <x:v>Бухгалтерский учет</x:v>
      </x:c>
      <x:c r="D3626" s="14" t="str">
        <x:v>Печатная книга: Бухгалтерский учет</x:v>
      </x:c>
      <x:c r="E3626" s="2" t="n">
        <x:v>1</x:v>
      </x:c>
      <x:c r="F3626" s="2" t="n">
        <x:v>0</x:v>
      </x:c>
      <x:c r="G3626" s="12" t="n">
        <x:v>38612</x:v>
      </x:c>
      <x:c r="H3626" s="12" t="n">
        <x:v>3911.3956</x:v>
      </x:c>
      <x:c r="I3626" s="13" t="n">
        <x:v>0.1013</x:v>
      </x:c>
      <x:c r="J3626" s="2" t="n">
        <x:v>0</x:v>
      </x:c>
      <x:c r="K3626" s="2" t="n">
        <x:v>1</x:v>
      </x:c>
      <x:c r="L3626" s="12" t="n">
        <x:v>2145.1111</x:v>
      </x:c>
      <x:c r="M3626" s="13" t="n">
        <x:v>1</x:v>
      </x:c>
      <x:c r="N3626" s="13" t="n">
        <x:f>H3626/G3626</x:f>
        <x:v>0.1013</x:v>
      </x:c>
      <x:c r="O3626" s="13" t="n">
        <x:f>F3626/E3626</x:f>
        <x:v>0</x:v>
      </x:c>
      <x:c r="P3626" s="2" t="str">
        <x:f>IF(AND(E3626&gt;='Итоги'!$F$5,N3626&lt;='Итоги'!$B$5,O3626&gt;='Итоги'!$D$5),"Да","Нет")</x:f>
        <x:v>Нет</x:v>
      </x:c>
    </x:row>
    <x:row r="3627" ht="60" customHeight="1">
      <x:c r="A3627" s="14" t="str">
        <x:v>Хобби и творчество</x:v>
      </x:c>
      <x:c r="B3627" s="14" t="str">
        <x:v>Детское творчество и хобби</x:v>
      </x:c>
      <x:c r="C3627" s="14" t="str">
        <x:v>Настольные и обучающие игры</x:v>
      </x:c>
      <x:c r="D3627" s="14" t="str">
        <x:v>Обучающая игра для малышей</x:v>
      </x:c>
      <x:c r="E3627" s="2" t="n">
        <x:v>29</x:v>
      </x:c>
      <x:c r="F3627" s="2" t="n">
        <x:v>0</x:v>
      </x:c>
      <x:c r="G3627" s="12" t="n">
        <x:v>2705004.6161</x:v>
      </x:c>
      <x:c r="H3627" s="12" t="n">
        <x:v>274063.59262374</x:v>
      </x:c>
      <x:c r="I3627" s="13" t="n">
        <x:v>0.0976413793103448</x:v>
      </x:c>
      <x:c r="J3627" s="2" t="n">
        <x:v>4</x:v>
      </x:c>
      <x:c r="K3627" s="2" t="n">
        <x:v>13</x:v>
      </x:c>
      <x:c r="L3627" s="12" t="n">
        <x:v>1249.1446</x:v>
      </x:c>
      <x:c r="M3627" s="13" t="n">
        <x:v>0.5685001602389687</x:v>
      </x:c>
      <x:c r="N3627" s="13" t="n">
        <x:f>H3627/G3627</x:f>
        <x:v>0.1013172365742123</x:v>
      </x:c>
      <x:c r="O3627" s="13" t="n">
        <x:f>F3627/E3627</x:f>
        <x:v>0</x:v>
      </x:c>
      <x:c r="P3627" s="2" t="str">
        <x:f>IF(AND(E3627&gt;='Итоги'!$F$5,N3627&lt;='Итоги'!$B$5,O3627&gt;='Итоги'!$D$5),"Да","Нет")</x:f>
        <x:v>Нет</x:v>
      </x:c>
    </x:row>
    <x:row r="3628" ht="60" customHeight="1">
      <x:c r="A3628" s="14" t="str">
        <x:v>Аптека</x:v>
      </x:c>
      <x:c r="B3628" s="14" t="str">
        <x:v>Профессиональные стоматологические приборы и материалы</x:v>
      </x:c>
      <x:c r="C3628" s="14" t="str">
        <x:v>Профессиональные стоматологические приборы</x:v>
      </x:c>
      <x:c r="D3628" s="14" t="str">
        <x:v>Скалер стоматологический</x:v>
      </x:c>
      <x:c r="E3628" s="2" t="n">
        <x:v>20</x:v>
      </x:c>
      <x:c r="F3628" s="2" t="n">
        <x:v>0</x:v>
      </x:c>
      <x:c r="G3628" s="12" t="n">
        <x:v>4669278.78</x:v>
      </x:c>
      <x:c r="H3628" s="12" t="n">
        <x:v>473197.994099</x:v>
      </x:c>
      <x:c r="I3628" s="13" t="n">
        <x:v>0.11188</x:v>
      </x:c>
      <x:c r="J3628" s="2" t="n">
        <x:v>0</x:v>
      </x:c>
      <x:c r="K3628" s="2" t="n">
        <x:v>11</x:v>
      </x:c>
      <x:c r="L3628" s="12" t="n">
        <x:v>1401.48965</x:v>
      </x:c>
      <x:c r="M3628" s="13" t="n">
        <x:v>0.223741112754891</x:v>
      </x:c>
      <x:c r="N3628" s="13" t="n">
        <x:f>H3628/G3628</x:f>
        <x:v>0.10134284466497415</x:v>
      </x:c>
      <x:c r="O3628" s="13" t="n">
        <x:f>F3628/E3628</x:f>
        <x:v>0</x:v>
      </x:c>
      <x:c r="P3628" s="2" t="str">
        <x:f>IF(AND(E3628&gt;='Итоги'!$F$5,N3628&lt;='Итоги'!$B$5,O3628&gt;='Итоги'!$D$5),"Да","Нет")</x:f>
        <x:v>Нет</x:v>
      </x:c>
    </x:row>
    <x:row r="3629" ht="60" customHeight="1">
      <x:c r="A3629" s="14" t="str">
        <x:v>Аксессуары для электроники</x:v>
      </x:c>
      <x:c r="B3629" s="14" t="str">
        <x:v>Фото и видео Access</x:v>
      </x:c>
      <x:c r="C3629" s="14" t="str">
        <x:v>Аксессуар к фото и видео Access</x:v>
      </x:c>
      <x:c r="D3629" s="14" t="str">
        <x:v>Фотобокс</x:v>
      </x:c>
      <x:c r="E3629" s="2" t="n">
        <x:v>7</x:v>
      </x:c>
      <x:c r="F3629" s="2" t="n">
        <x:v>0</x:v>
      </x:c>
      <x:c r="G3629" s="12" t="n">
        <x:v>1074824.594</x:v>
      </x:c>
      <x:c r="H3629" s="12" t="n">
        <x:v>108950.79665112</x:v>
      </x:c>
      <x:c r="I3629" s="13" t="n">
        <x:v>0.0930142857142857</x:v>
      </x:c>
      <x:c r="J3629" s="2" t="n">
        <x:v>2</x:v>
      </x:c>
      <x:c r="K3629" s="2" t="n">
        <x:v>4</x:v>
      </x:c>
      <x:c r="L3629" s="12" t="n">
        <x:v>2769.7714</x:v>
      </x:c>
      <x:c r="M3629" s="13" t="n">
        <x:v>0.3436870406223697</x:v>
      </x:c>
      <x:c r="N3629" s="13" t="n">
        <x:f>H3629/G3629</x:f>
        <x:v>0.10136611802457508</x:v>
      </x:c>
      <x:c r="O3629" s="13" t="n">
        <x:f>F3629/E3629</x:f>
        <x:v>0</x:v>
      </x:c>
      <x:c r="P3629" s="2" t="str">
        <x:f>IF(AND(E3629&gt;='Итоги'!$F$5,N3629&lt;='Итоги'!$B$5,O3629&gt;='Итоги'!$D$5),"Да","Нет")</x:f>
        <x:v>Нет</x:v>
      </x:c>
    </x:row>
    <x:row r="3630" ht="60" customHeight="1">
      <x:c r="A3630" s="14" t="str">
        <x:v>Аксессуары для электроники</x:v>
      </x:c>
      <x:c r="B3630" s="14" t="str">
        <x:v>Расходный материал для электроники Access</x:v>
      </x:c>
      <x:c r="C3630" s="14" t="str">
        <x:v>Чистящие средства для компьютера, электронных компонентов</x:v>
      </x:c>
      <x:c r="D3630" s="14" t="str">
        <x:v>Компьютерное чистящее средство</x:v>
      </x:c>
      <x:c r="E3630" s="2" t="n">
        <x:v>6</x:v>
      </x:c>
      <x:c r="F3630" s="2" t="n">
        <x:v>0</x:v>
      </x:c>
      <x:c r="G3630" s="12" t="n">
        <x:v>723016.2</x:v>
      </x:c>
      <x:c r="H3630" s="12" t="n">
        <x:v>73323.215505</x:v>
      </x:c>
      <x:c r="I3630" s="13" t="n">
        <x:v>0.0960833333333333</x:v>
      </x:c>
      <x:c r="J3630" s="2" t="n">
        <x:v>1</x:v>
      </x:c>
      <x:c r="K3630" s="2" t="n">
        <x:v>4</x:v>
      </x:c>
      <x:c r="L3630" s="12" t="n">
        <x:v>926.91255</x:v>
      </x:c>
      <x:c r="M3630" s="13" t="n">
        <x:v>0.4262921494705098</x:v>
      </x:c>
      <x:c r="N3630" s="13" t="n">
        <x:f>H3630/G3630</x:f>
        <x:v>0.1014129635062119</x:v>
      </x:c>
      <x:c r="O3630" s="13" t="n">
        <x:f>F3630/E3630</x:f>
        <x:v>0</x:v>
      </x:c>
      <x:c r="P3630" s="2" t="str">
        <x:f>IF(AND(E3630&gt;='Итоги'!$F$5,N3630&lt;='Итоги'!$B$5,O3630&gt;='Итоги'!$D$5),"Да","Нет")</x:f>
        <x:v>Нет</x:v>
      </x:c>
    </x:row>
    <x:row r="3631" ht="60" customHeight="1">
      <x:c r="A3631" s="14" t="str">
        <x:v>Спорт и отдых</x:v>
      </x:c>
      <x:c r="B3631" s="14" t="str">
        <x:v>Туризм</x:v>
      </x:c>
      <x:c r="C3631" s="14" t="str">
        <x:v>Рюкзак, сумка туристические</x:v>
      </x:c>
      <x:c r="D3631" s="14" t="str">
        <x:v>Гермочехол, гермомешок, компрессионный мешок</x:v>
      </x:c>
      <x:c r="E3631" s="2" t="n">
        <x:v>68</x:v>
      </x:c>
      <x:c r="F3631" s="2" t="n">
        <x:v>0</x:v>
      </x:c>
      <x:c r="G3631" s="12" t="n">
        <x:v>6614085.3454</x:v>
      </x:c>
      <x:c r="H3631" s="12" t="n">
        <x:v>671114.68544149</x:v>
      </x:c>
      <x:c r="I3631" s="13" t="n">
        <x:v>0.0747661764705882</x:v>
      </x:c>
      <x:c r="J3631" s="2" t="n">
        <x:v>23</x:v>
      </x:c>
      <x:c r="K3631" s="2" t="n">
        <x:v>14</x:v>
      </x:c>
      <x:c r="L3631" s="12" t="n">
        <x:v>1268.62565</x:v>
      </x:c>
      <x:c r="M3631" s="13" t="n">
        <x:v>0.5720510491040813</x:v>
      </x:c>
      <x:c r="N3631" s="13" t="n">
        <x:f>H3631/G3631</x:f>
        <x:v>0.10146749707550123</x:v>
      </x:c>
      <x:c r="O3631" s="13" t="n">
        <x:f>F3631/E3631</x:f>
        <x:v>0</x:v>
      </x:c>
      <x:c r="P3631" s="2" t="str">
        <x:f>IF(AND(E3631&gt;='Итоги'!$F$5,N3631&lt;='Итоги'!$B$5,O3631&gt;='Итоги'!$D$5),"Да","Нет")</x:f>
        <x:v>Нет</x:v>
      </x:c>
    </x:row>
    <x:row r="3632" ht="60" customHeight="1">
      <x:c r="A3632" s="14" t="str">
        <x:v>Строительство и ремонт (DIY)</x:v>
      </x:c>
      <x:c r="B3632" s="14" t="str">
        <x:v>Ремонт и строительство</x:v>
      </x:c>
      <x:c r="C3632" s="14" t="str">
        <x:v>Строительная химия</x:v>
      </x:c>
      <x:c r="D3632" s="14" t="str">
        <x:v>Кровельная мастика</x:v>
      </x:c>
      <x:c r="E3632" s="2" t="n">
        <x:v>18</x:v>
      </x:c>
      <x:c r="F3632" s="2" t="n">
        <x:v>0</x:v>
      </x:c>
      <x:c r="G3632" s="12" t="n">
        <x:v>4472641.55</x:v>
      </x:c>
      <x:c r="H3632" s="12" t="n">
        <x:v>453917.497138</x:v>
      </x:c>
      <x:c r="I3632" s="13" t="n">
        <x:v>0.1070777777777777</x:v>
      </x:c>
      <x:c r="J3632" s="2" t="n">
        <x:v>0</x:v>
      </x:c>
      <x:c r="K3632" s="2" t="n">
        <x:v>7</x:v>
      </x:c>
      <x:c r="L3632" s="12" t="n">
        <x:v>2250.4051</x:v>
      </x:c>
      <x:c r="M3632" s="13" t="n">
        <x:v>0.4838296040066077</x:v>
      </x:c>
      <x:c r="N3632" s="13" t="n">
        <x:f>H3632/G3632</x:f>
        <x:v>0.10148756435400015</x:v>
      </x:c>
      <x:c r="O3632" s="13" t="n">
        <x:f>F3632/E3632</x:f>
        <x:v>0</x:v>
      </x:c>
      <x:c r="P3632" s="2" t="str">
        <x:f>IF(AND(E3632&gt;='Итоги'!$F$5,N3632&lt;='Итоги'!$B$5,O3632&gt;='Итоги'!$D$5),"Да","Нет")</x:f>
        <x:v>Нет</x:v>
      </x:c>
    </x:row>
    <x:row r="3633" ht="60" customHeight="1">
      <x:c r="A3633" s="14" t="str">
        <x:v>Строительство и ремонт (DIY)</x:v>
      </x:c>
      <x:c r="B3633" s="14" t="str">
        <x:v>Освещение</x:v>
      </x:c>
      <x:c r="C3633" s="14" t="str">
        <x:v>Светильник домашний</x:v>
      </x:c>
      <x:c r="D3633" s="14" t="str">
        <x:v>Светильник настенный</x:v>
      </x:c>
      <x:c r="E3633" s="2" t="n">
        <x:v>244</x:v>
      </x:c>
      <x:c r="F3633" s="2" t="n">
        <x:v>0</x:v>
      </x:c>
      <x:c r="G3633" s="12" t="n">
        <x:v>33574824.559</x:v>
      </x:c>
      <x:c r="H3633" s="12" t="n">
        <x:v>3410523.15683517</x:v>
      </x:c>
      <x:c r="I3633" s="13" t="n">
        <x:v>0.0977245901639344</x:v>
      </x:c>
      <x:c r="J3633" s="2" t="n">
        <x:v>20</x:v>
      </x:c>
      <x:c r="K3633" s="2" t="n">
        <x:v>74</x:v>
      </x:c>
      <x:c r="L3633" s="12" t="n">
        <x:v>1546.2886</x:v>
      </x:c>
      <x:c r="M3633" s="13" t="n">
        <x:v>0.4296754143792814</x:v>
      </x:c>
      <x:c r="N3633" s="13" t="n">
        <x:f>H3633/G3633</x:f>
        <x:v>0.10157977596701848</x:v>
      </x:c>
      <x:c r="O3633" s="13" t="n">
        <x:f>F3633/E3633</x:f>
        <x:v>0</x:v>
      </x:c>
      <x:c r="P3633" s="2" t="str">
        <x:f>IF(AND(E3633&gt;='Итоги'!$F$5,N3633&lt;='Итоги'!$B$5,O3633&gt;='Итоги'!$D$5),"Да","Нет")</x:f>
        <x:v>Нет</x:v>
      </x:c>
    </x:row>
    <x:row r="3634" ht="60" customHeight="1">
      <x:c r="A3634" s="14" t="str">
        <x:v>Строительство и ремонт (DIY)</x:v>
      </x:c>
      <x:c r="B3634" s="14" t="str">
        <x:v>Ремонт и строительство</x:v>
      </x:c>
      <x:c r="C3634" s="14" t="str">
        <x:v>Скобяные изделия</x:v>
      </x:c>
      <x:c r="D3634" s="14" t="str">
        <x:v>Кованый элемент</x:v>
      </x:c>
      <x:c r="E3634" s="2" t="n">
        <x:v>1</x:v>
      </x:c>
      <x:c r="F3634" s="2" t="n">
        <x:v>0</x:v>
      </x:c>
      <x:c r="G3634" s="12" t="n">
        <x:v>75443</x:v>
      </x:c>
      <x:c r="H3634" s="12" t="n">
        <x:v>7665.0088</x:v>
      </x:c>
      <x:c r="I3634" s="13" t="n">
        <x:v>0.1016</x:v>
      </x:c>
      <x:c r="J3634" s="2" t="n">
        <x:v>0</x:v>
      </x:c>
      <x:c r="K3634" s="2" t="n">
        <x:v>1</x:v>
      </x:c>
      <x:c r="L3634" s="12" t="n">
        <x:v>3772.15</x:v>
      </x:c>
      <x:c r="M3634" s="13" t="n">
        <x:v>1</x:v>
      </x:c>
      <x:c r="N3634" s="13" t="n">
        <x:f>H3634/G3634</x:f>
        <x:v>0.1016</x:v>
      </x:c>
      <x:c r="O3634" s="13" t="n">
        <x:f>F3634/E3634</x:f>
        <x:v>0</x:v>
      </x:c>
      <x:c r="P3634" s="2" t="str">
        <x:f>IF(AND(E3634&gt;='Итоги'!$F$5,N3634&lt;='Итоги'!$B$5,O3634&gt;='Итоги'!$D$5),"Да","Нет")</x:f>
        <x:v>Нет</x:v>
      </x:c>
    </x:row>
    <x:row r="3635" ht="60" customHeight="1">
      <x:c r="A3635" s="14" t="str">
        <x:v>Школьные принадлежности и канцелярия</x:v>
      </x:c>
      <x:c r="B3635" s="14" t="str">
        <x:v>Товары для школы, канцелярия, оборудование</x:v>
      </x:c>
      <x:c r="C3635" s="14" t="str">
        <x:v>Бумага офисная и бумажная продукция</x:v>
      </x:c>
      <x:c r="D3635" s="14" t="str">
        <x:v>Бланк для удостоверения</x:v>
      </x:c>
      <x:c r="E3635" s="2" t="n">
        <x:v>2</x:v>
      </x:c>
      <x:c r="F3635" s="2" t="n">
        <x:v>0</x:v>
      </x:c>
      <x:c r="G3635" s="12" t="n">
        <x:v>174684</x:v>
      </x:c>
      <x:c r="H3635" s="12" t="n">
        <x:v>17757.342</x:v>
      </x:c>
      <x:c r="I3635" s="13" t="n">
        <x:v>0.1005</x:v>
      </x:c>
      <x:c r="J3635" s="2" t="n">
        <x:v>0</x:v>
      </x:c>
      <x:c r="K3635" s="2" t="n">
        <x:v>1</x:v>
      </x:c>
      <x:c r="L3635" s="12" t="n">
        <x:v>3044.0133</x:v>
      </x:c>
      <x:c r="M3635" s="13" t="n">
        <x:v>1</x:v>
      </x:c>
      <x:c r="N3635" s="13" t="n">
        <x:f>H3635/G3635</x:f>
        <x:v>0.10165408394586797</x:v>
      </x:c>
      <x:c r="O3635" s="13" t="n">
        <x:f>F3635/E3635</x:f>
        <x:v>0</x:v>
      </x:c>
      <x:c r="P3635" s="2" t="str">
        <x:f>IF(AND(E3635&gt;='Итоги'!$F$5,N3635&lt;='Итоги'!$B$5,O3635&gt;='Итоги'!$D$5),"Да","Нет")</x:f>
        <x:v>Нет</x:v>
      </x:c>
    </x:row>
    <x:row r="3636" ht="60" customHeight="1">
      <x:c r="A3636" s="14" t="str">
        <x:v>Автотовары</x:v>
      </x:c>
      <x:c r="B3636" s="14" t="str">
        <x:v>Универсальные авто и мото аксессуары</x:v>
      </x:c>
      <x:c r="C3636" s="14" t="str">
        <x:v>Аксессуар для салона авто</x:v>
      </x:c>
      <x:c r="D3636" s="14" t="str">
        <x:v>Автогамак для перевозки животных</x:v>
      </x:c>
      <x:c r="E3636" s="2" t="n">
        <x:v>48</x:v>
      </x:c>
      <x:c r="F3636" s="2" t="n">
        <x:v>0</x:v>
      </x:c>
      <x:c r="G3636" s="12" t="n">
        <x:v>6449521.8344</x:v>
      </x:c>
      <x:c r="H3636" s="12" t="n">
        <x:v>655705.1800202</x:v>
      </x:c>
      <x:c r="I3636" s="13" t="n">
        <x:v>0.1005083333333333</x:v>
      </x:c>
      <x:c r="J3636" s="2" t="n">
        <x:v>7</x:v>
      </x:c>
      <x:c r="K3636" s="2" t="n">
        <x:v>20</x:v>
      </x:c>
      <x:c r="L3636" s="12" t="n">
        <x:v>1767.10345</x:v>
      </x:c>
      <x:c r="M3636" s="13" t="n">
        <x:v>0.379294961519822</x:v>
      </x:c>
      <x:c r="N3636" s="13" t="n">
        <x:f>H3636/G3636</x:f>
        <x:v>0.10166725485335151</x:v>
      </x:c>
      <x:c r="O3636" s="13" t="n">
        <x:f>F3636/E3636</x:f>
        <x:v>0</x:v>
      </x:c>
      <x:c r="P3636" s="2" t="str">
        <x:f>IF(AND(E3636&gt;='Итоги'!$F$5,N3636&lt;='Итоги'!$B$5,O3636&gt;='Итоги'!$D$5),"Да","Нет")</x:f>
        <x:v>Нет</x:v>
      </x:c>
    </x:row>
    <x:row r="3637" ht="60" customHeight="1">
      <x:c r="A3637" s="14" t="str">
        <x:v>Спорт и отдых</x:v>
      </x:c>
      <x:c r="B3637" s="14" t="str">
        <x:v>Туризм</x:v>
      </x:c>
      <x:c r="C3637" s="14" t="str">
        <x:v>Спальный мешок</x:v>
      </x:c>
      <x:c r="D3637" s="14" t="str">
        <x:v>Спальный мешок одеяло</x:v>
      </x:c>
      <x:c r="E3637" s="2" t="n">
        <x:v>265</x:v>
      </x:c>
      <x:c r="F3637" s="2" t="n">
        <x:v>0</x:v>
      </x:c>
      <x:c r="G3637" s="12" t="n">
        <x:v>52945788.3211</x:v>
      </x:c>
      <x:c r="H3637" s="12" t="n">
        <x:v>5383404.69379272</x:v>
      </x:c>
      <x:c r="I3637" s="13" t="n">
        <x:v>0.0984256603773584</x:v>
      </x:c>
      <x:c r="J3637" s="2" t="n">
        <x:v>37</x:v>
      </x:c>
      <x:c r="K3637" s="2" t="n">
        <x:v>35</x:v>
      </x:c>
      <x:c r="L3637" s="12" t="n">
        <x:v>2200.2328</x:v>
      </x:c>
      <x:c r="M3637" s="13" t="n">
        <x:v>0.4574567356257054</x:v>
      </x:c>
      <x:c r="N3637" s="13" t="n">
        <x:f>H3637/G3637</x:f>
        <x:v>0.10167767568487258</x:v>
      </x:c>
      <x:c r="O3637" s="13" t="n">
        <x:f>F3637/E3637</x:f>
        <x:v>0</x:v>
      </x:c>
      <x:c r="P3637" s="2" t="str">
        <x:f>IF(AND(E3637&gt;='Итоги'!$F$5,N3637&lt;='Итоги'!$B$5,O3637&gt;='Итоги'!$D$5),"Да","Нет")</x:f>
        <x:v>Нет</x:v>
      </x:c>
    </x:row>
    <x:row r="3638" ht="60" customHeight="1">
      <x:c r="A3638" s="14" t="str">
        <x:v>Строительство и ремонт (DIY)</x:v>
      </x:c>
      <x:c r="B3638" s="14" t="str">
        <x:v>Инструменты</x:v>
      </x:c>
      <x:c r="C3638" s="14" t="str">
        <x:v>Инструмент ручной для строительства, ремонта</x:v>
      </x:c>
      <x:c r="D3638" s="14" t="str">
        <x:v>Тиски</x:v>
      </x:c>
      <x:c r="E3638" s="2" t="n">
        <x:v>44</x:v>
      </x:c>
      <x:c r="F3638" s="2" t="n">
        <x:v>0</x:v>
      </x:c>
      <x:c r="G3638" s="12" t="n">
        <x:v>6861784.8206</x:v>
      </x:c>
      <x:c r="H3638" s="12" t="n">
        <x:v>698283.46676735</x:v>
      </x:c>
      <x:c r="I3638" s="13" t="n">
        <x:v>0.0993840909090909</x:v>
      </x:c>
      <x:c r="J3638" s="2" t="n">
        <x:v>8</x:v>
      </x:c>
      <x:c r="K3638" s="2" t="n">
        <x:v>9</x:v>
      </x:c>
      <x:c r="L3638" s="12" t="n">
        <x:v>3101.1492</x:v>
      </x:c>
      <x:c r="M3638" s="13" t="n">
        <x:v>0.5482784564892598</x:v>
      </x:c>
      <x:c r="N3638" s="13" t="n">
        <x:f>H3638/G3638</x:f>
        <x:v>0.10176411604616471</x:v>
      </x:c>
      <x:c r="O3638" s="13" t="n">
        <x:f>F3638/E3638</x:f>
        <x:v>0</x:v>
      </x:c>
      <x:c r="P3638" s="2" t="str">
        <x:f>IF(AND(E3638&gt;='Итоги'!$F$5,N3638&lt;='Итоги'!$B$5,O3638&gt;='Итоги'!$D$5),"Да","Нет")</x:f>
        <x:v>Нет</x:v>
      </x:c>
    </x:row>
    <x:row r="3639" ht="60" customHeight="1">
      <x:c r="A3639" s="14" t="str">
        <x:v>Аксессуары для электроники</x:v>
      </x:c>
      <x:c r="B3639" s="14" t="str">
        <x:v>Компьютеры Access</x:v>
      </x:c>
      <x:c r="C3639" s="14" t="str">
        <x:v>Аксессуар к компьютерной технике Access</x:v>
      </x:c>
      <x:c r="D3639" s="14" t="str">
        <x:v>USB - хаб</x:v>
      </x:c>
      <x:c r="E3639" s="2" t="n">
        <x:v>51</x:v>
      </x:c>
      <x:c r="F3639" s="2" t="n">
        <x:v>0</x:v>
      </x:c>
      <x:c r="G3639" s="12" t="n">
        <x:v>6789959.2795</x:v>
      </x:c>
      <x:c r="H3639" s="12" t="n">
        <x:v>691422.53320528</x:v>
      </x:c>
      <x:c r="I3639" s="13" t="n">
        <x:v>0.0863666666666666</x:v>
      </x:c>
      <x:c r="J3639" s="2" t="n">
        <x:v>6</x:v>
      </x:c>
      <x:c r="K3639" s="2" t="n">
        <x:v>19</x:v>
      </x:c>
      <x:c r="L3639" s="12" t="n">
        <x:v>1390.9308</x:v>
      </x:c>
      <x:c r="M3639" s="13" t="n">
        <x:v>0.4321180466072042</x:v>
      </x:c>
      <x:c r="N3639" s="13" t="n">
        <x:f>H3639/G3639</x:f>
        <x:v>0.10183014429744784</x:v>
      </x:c>
      <x:c r="O3639" s="13" t="n">
        <x:f>F3639/E3639</x:f>
        <x:v>0</x:v>
      </x:c>
      <x:c r="P3639" s="2" t="str">
        <x:f>IF(AND(E3639&gt;='Итоги'!$F$5,N3639&lt;='Итоги'!$B$5,O3639&gt;='Итоги'!$D$5),"Да","Нет")</x:f>
        <x:v>Нет</x:v>
      </x:c>
    </x:row>
    <x:row r="3640" ht="60" customHeight="1">
      <x:c r="A3640" s="14" t="str">
        <x:v>Аксессуары</x:v>
      </x:c>
      <x:c r="B3640" s="14" t="str">
        <x:v>Сумки и рюкзаки</x:v>
      </x:c>
      <x:c r="C3640" s="14" t="str">
        <x:v>Сумка женская</x:v>
      </x:c>
      <x:c r="D3640" s="14" t="str">
        <x:v>Женская Сумка бакетбэг</x:v>
      </x:c>
      <x:c r="E3640" s="2" t="n">
        <x:v>11</x:v>
      </x:c>
      <x:c r="F3640" s="2" t="n">
        <x:v>0</x:v>
      </x:c>
      <x:c r="G3640" s="12" t="n">
        <x:v>762667.9381</x:v>
      </x:c>
      <x:c r="H3640" s="12" t="n">
        <x:v>77698.32888517</x:v>
      </x:c>
      <x:c r="I3640" s="13" t="n">
        <x:v>0.1</x:v>
      </x:c>
      <x:c r="J3640" s="2" t="n">
        <x:v>1</x:v>
      </x:c>
      <x:c r="K3640" s="2" t="n">
        <x:v>4</x:v>
      </x:c>
      <x:c r="L3640" s="12" t="n">
        <x:v>956.6666</x:v>
      </x:c>
      <x:c r="M3640" s="13" t="n">
        <x:v>0.6049765287753611</x:v>
      </x:c>
      <x:c r="N3640" s="13" t="n">
        <x:f>H3640/G3640</x:f>
        <x:v>0.10187700964424481</x:v>
      </x:c>
      <x:c r="O3640" s="13" t="n">
        <x:f>F3640/E3640</x:f>
        <x:v>0</x:v>
      </x:c>
      <x:c r="P3640" s="2" t="str">
        <x:f>IF(AND(E3640&gt;='Итоги'!$F$5,N3640&lt;='Итоги'!$B$5,O3640&gt;='Итоги'!$D$5),"Да","Нет")</x:f>
        <x:v>Нет</x:v>
      </x:c>
    </x:row>
    <x:row r="3641" ht="60" customHeight="1">
      <x:c r="A3641" s="14" t="str">
        <x:v>Аптека</x:v>
      </x:c>
      <x:c r="B3641" s="14" t="str">
        <x:v>Спортивное питание</x:v>
      </x:c>
      <x:c r="C3641" s="14" t="str">
        <x:v>Спортивные батончики</x:v>
      </x:c>
      <x:c r="D3641" s="14" t="str">
        <x:v>Спортивный батончик</x:v>
      </x:c>
      <x:c r="E3641" s="2" t="n">
        <x:v>140</x:v>
      </x:c>
      <x:c r="F3641" s="2" t="n">
        <x:v>0</x:v>
      </x:c>
      <x:c r="G3641" s="12" t="n">
        <x:v>36197648.9662</x:v>
      </x:c>
      <x:c r="H3641" s="12" t="n">
        <x:v>3687906.60755901</x:v>
      </x:c>
      <x:c r="I3641" s="13" t="n">
        <x:v>0.0900635714285714</x:v>
      </x:c>
      <x:c r="J3641" s="2" t="n">
        <x:v>27</x:v>
      </x:c>
      <x:c r="K3641" s="2" t="n">
        <x:v>8</x:v>
      </x:c>
      <x:c r="L3641" s="12" t="n">
        <x:v>1177.5387500000002</x:v>
      </x:c>
      <x:c r="M3641" s="13" t="n">
        <x:v>0.859064213917218</x:v>
      </x:c>
      <x:c r="N3641" s="13" t="n">
        <x:f>H3641/G3641</x:f>
        <x:v>0.10188248996509795</x:v>
      </x:c>
      <x:c r="O3641" s="13" t="n">
        <x:f>F3641/E3641</x:f>
        <x:v>0</x:v>
      </x:c>
      <x:c r="P3641" s="2" t="str">
        <x:f>IF(AND(E3641&gt;='Итоги'!$F$5,N3641&lt;='Итоги'!$B$5,O3641&gt;='Итоги'!$D$5),"Да","Нет")</x:f>
        <x:v>Нет</x:v>
      </x:c>
    </x:row>
    <x:row r="3642" ht="60" customHeight="1">
      <x:c r="A3642" s="14" t="str">
        <x:v>Одежда</x:v>
      </x:c>
      <x:c r="B3642" s="14" t="str">
        <x:v>Верхняя одежда</x:v>
      </x:c>
      <x:c r="C3642" s="14" t="str">
        <x:v>Спортивная верхняя одежда женская</x:v>
      </x:c>
      <x:c r="D3642" s="14" t="str">
        <x:v>Спортивный комплект верхней одежды женский</x:v>
      </x:c>
      <x:c r="E3642" s="2" t="n">
        <x:v>18</x:v>
      </x:c>
      <x:c r="F3642" s="2" t="n">
        <x:v>0</x:v>
      </x:c>
      <x:c r="G3642" s="12" t="n">
        <x:v>1823332.3313</x:v>
      </x:c>
      <x:c r="H3642" s="12" t="n">
        <x:v>185936.900214</x:v>
      </x:c>
      <x:c r="I3642" s="13" t="n">
        <x:v>0.049</x:v>
      </x:c>
      <x:c r="J3642" s="2" t="n">
        <x:v>8</x:v>
      </x:c>
      <x:c r="K3642" s="2" t="n">
        <x:v>5</x:v>
      </x:c>
      <x:c r="L3642" s="12" t="n">
        <x:v>3563.25</x:v>
      </x:c>
      <x:c r="M3642" s="13" t="n">
        <x:v>0.9176416121613256</x:v>
      </x:c>
      <x:c r="N3642" s="13" t="n">
        <x:f>H3642/G3642</x:f>
        <x:v>0.10197641813406043</x:v>
      </x:c>
      <x:c r="O3642" s="13" t="n">
        <x:f>F3642/E3642</x:f>
        <x:v>0</x:v>
      </x:c>
      <x:c r="P3642" s="2" t="str">
        <x:f>IF(AND(E3642&gt;='Итоги'!$F$5,N3642&lt;='Итоги'!$B$5,O3642&gt;='Итоги'!$D$5),"Да","Нет")</x:f>
        <x:v>Нет</x:v>
      </x:c>
    </x:row>
    <x:row r="3643" ht="60" customHeight="1">
      <x:c r="A3643" s="14" t="str">
        <x:v>Аксессуары для электроники</x:v>
      </x:c>
      <x:c r="B3643" s="14" t="str">
        <x:v>Аксессуары для мобильных устройств Access</x:v>
      </x:c>
      <x:c r="C3643" s="14" t="str">
        <x:v>Аксессуары для смартфонов Access</x:v>
      </x:c>
      <x:c r="D3643" s="14" t="str">
        <x:v>Картхолдер для смартфона</x:v>
      </x:c>
      <x:c r="E3643" s="2" t="n">
        <x:v>5</x:v>
      </x:c>
      <x:c r="F3643" s="2" t="n">
        <x:v>0</x:v>
      </x:c>
      <x:c r="G3643" s="12" t="n">
        <x:v>580246.1601</x:v>
      </x:c>
      <x:c r="H3643" s="12" t="n">
        <x:v>59213.92761559</x:v>
      </x:c>
      <x:c r="I3643" s="13" t="n">
        <x:v>0.1203</x:v>
      </x:c>
      <x:c r="J3643" s="2" t="n">
        <x:v>0</x:v>
      </x:c>
      <x:c r="K3643" s="2" t="n">
        <x:v>3</x:v>
      </x:c>
      <x:c r="L3643" s="12" t="n">
        <x:v>1883.9231</x:v>
      </x:c>
      <x:c r="M3643" s="13" t="n">
        <x:v>0.6996465602289127</x:v>
      </x:c>
      <x:c r="N3643" s="13" t="n">
        <x:f>H3643/G3643</x:f>
        <x:v>0.10204966734357197</x:v>
      </x:c>
      <x:c r="O3643" s="13" t="n">
        <x:f>F3643/E3643</x:f>
        <x:v>0</x:v>
      </x:c>
      <x:c r="P3643" s="2" t="str">
        <x:f>IF(AND(E3643&gt;='Итоги'!$F$5,N3643&lt;='Итоги'!$B$5,O3643&gt;='Итоги'!$D$5),"Да","Нет")</x:f>
        <x:v>Нет</x:v>
      </x:c>
    </x:row>
    <x:row r="3644" ht="60" customHeight="1">
      <x:c r="A3644" s="14" t="str">
        <x:v>Хобби и творчество</x:v>
      </x:c>
      <x:c r="B3644" s="14" t="str">
        <x:v>Взрослое творчество и хобби</x:v>
      </x:c>
      <x:c r="C3644" s="14" t="str">
        <x:v>Шитье</x:v>
      </x:c>
      <x:c r="D3644" s="14" t="str">
        <x:v>Оборудование для установки швейной фурнитуры</x:v>
      </x:c>
      <x:c r="E3644" s="2" t="n">
        <x:v>2</x:v>
      </x:c>
      <x:c r="F3644" s="2" t="n">
        <x:v>0</x:v>
      </x:c>
      <x:c r="G3644" s="12" t="n">
        <x:v>230033.8</x:v>
      </x:c>
      <x:c r="H3644" s="12" t="n">
        <x:v>23475.83788</x:v>
      </x:c>
      <x:c r="I3644" s="13" t="n">
        <x:v>0.10195</x:v>
      </x:c>
      <x:c r="J3644" s="2" t="n">
        <x:v>0</x:v>
      </x:c>
      <x:c r="K3644" s="2" t="n">
        <x:v>2</x:v>
      </x:c>
      <x:c r="L3644" s="12" t="n">
        <x:v>1224.93475</x:v>
      </x:c>
      <x:c r="M3644" s="13" t="n">
        <x:v>0.5017514817387706</x:v>
      </x:c>
      <x:c r="N3644" s="13" t="n">
        <x:f>H3644/G3644</x:f>
        <x:v>0.1020538628671091</x:v>
      </x:c>
      <x:c r="O3644" s="13" t="n">
        <x:f>F3644/E3644</x:f>
        <x:v>0</x:v>
      </x:c>
      <x:c r="P3644" s="2" t="str">
        <x:f>IF(AND(E3644&gt;='Итоги'!$F$5,N3644&lt;='Итоги'!$B$5,O3644&gt;='Итоги'!$D$5),"Да","Нет")</x:f>
        <x:v>Нет</x:v>
      </x:c>
    </x:row>
    <x:row r="3645" ht="60" customHeight="1">
      <x:c r="A3645" s="14" t="str">
        <x:v>Товары для животных</x:v>
      </x:c>
      <x:c r="B3645" s="14" t="str">
        <x:v>Гигиена и уход животных</x:v>
      </x:c>
      <x:c r="C3645" s="14" t="str">
        <x:v>Уход за шерстью животных</x:v>
      </x:c>
      <x:c r="D3645" s="14" t="str">
        <x:v>Шампунь для животных</x:v>
      </x:c>
      <x:c r="E3645" s="2" t="n">
        <x:v>55</x:v>
      </x:c>
      <x:c r="F3645" s="2" t="n">
        <x:v>0</x:v>
      </x:c>
      <x:c r="G3645" s="12" t="n">
        <x:v>6685108.2667</x:v>
      </x:c>
      <x:c r="H3645" s="12" t="n">
        <x:v>682526.28333787</x:v>
      </x:c>
      <x:c r="I3645" s="13" t="n">
        <x:v>0.0972345454545454</x:v>
      </x:c>
      <x:c r="J3645" s="2" t="n">
        <x:v>12</x:v>
      </x:c>
      <x:c r="K3645" s="2" t="n">
        <x:v>15</x:v>
      </x:c>
      <x:c r="L3645" s="12" t="n">
        <x:v>2477.1222</x:v>
      </x:c>
      <x:c r="M3645" s="13" t="n">
        <x:v>0.2588848355262794</x:v>
      </x:c>
      <x:c r="N3645" s="13" t="n">
        <x:f>H3645/G3645</x:f>
        <x:v>0.10209651902538126</x:v>
      </x:c>
      <x:c r="O3645" s="13" t="n">
        <x:f>F3645/E3645</x:f>
        <x:v>0</x:v>
      </x:c>
      <x:c r="P3645" s="2" t="str">
        <x:f>IF(AND(E3645&gt;='Итоги'!$F$5,N3645&lt;='Итоги'!$B$5,O3645&gt;='Итоги'!$D$5),"Да","Нет")</x:f>
        <x:v>Нет</x:v>
      </x:c>
    </x:row>
    <x:row r="3646" ht="60" customHeight="1">
      <x:c r="A3646" s="14" t="str">
        <x:v>Товары для красоты и здоровья</x:v>
      </x:c>
      <x:c r="B3646" s="14" t="str">
        <x:v>Косметическая техника</x:v>
      </x:c>
      <x:c r="C3646" s="14" t="str">
        <x:v>Приборы для косметических процедур</x:v>
      </x:c>
      <x:c r="D3646" s="14" t="str">
        <x:v>Эпилятор</x:v>
      </x:c>
      <x:c r="E3646" s="2" t="n">
        <x:v>52</x:v>
      </x:c>
      <x:c r="F3646" s="2" t="n">
        <x:v>0</x:v>
      </x:c>
      <x:c r="G3646" s="12" t="n">
        <x:v>7597092.1984</x:v>
      </x:c>
      <x:c r="H3646" s="12" t="n">
        <x:v>775759.2850669799</x:v>
      </x:c>
      <x:c r="I3646" s="13" t="n">
        <x:v>0.1052115384615384</x:v>
      </x:c>
      <x:c r="J3646" s="2" t="n">
        <x:v>11</x:v>
      </x:c>
      <x:c r="K3646" s="2" t="n">
        <x:v>27</x:v>
      </x:c>
      <x:c r="L3646" s="12" t="n">
        <x:v>2069.4538</x:v>
      </x:c>
      <x:c r="M3646" s="13" t="n">
        <x:v>0.3945237732972673</x:v>
      </x:c>
      <x:c r="N3646" s="13" t="n">
        <x:f>H3646/G3646</x:f>
        <x:v>0.10211265900265896</x:v>
      </x:c>
      <x:c r="O3646" s="13" t="n">
        <x:f>F3646/E3646</x:f>
        <x:v>0</x:v>
      </x:c>
      <x:c r="P3646" s="2" t="str">
        <x:f>IF(AND(E3646&gt;='Итоги'!$F$5,N3646&lt;='Итоги'!$B$5,O3646&gt;='Итоги'!$D$5),"Да","Нет")</x:f>
        <x:v>Нет</x:v>
      </x:c>
    </x:row>
    <x:row r="3647" ht="60" customHeight="1">
      <x:c r="A3647" s="14" t="str">
        <x:v>Товары для красоты и здоровья</x:v>
      </x:c>
      <x:c r="B3647" s="14" t="str">
        <x:v>Косметика для ухода за кожей</x:v>
      </x:c>
      <x:c r="C3647" s="14" t="str">
        <x:v>Загар</x:v>
      </x:c>
      <x:c r="D3647" s="14" t="str">
        <x:v>Средство после загара</x:v>
      </x:c>
      <x:c r="E3647" s="2" t="n">
        <x:v>5</x:v>
      </x:c>
      <x:c r="F3647" s="2" t="n">
        <x:v>0</x:v>
      </x:c>
      <x:c r="G3647" s="12" t="n">
        <x:v>360904.99</x:v>
      </x:c>
      <x:c r="H3647" s="12" t="n">
        <x:v>36880.153637</x:v>
      </x:c>
      <x:c r="I3647" s="13" t="n">
        <x:v>0.07638</x:v>
      </x:c>
      <x:c r="J3647" s="2" t="n">
        <x:v>1</x:v>
      </x:c>
      <x:c r="K3647" s="2" t="n">
        <x:v>4</x:v>
      </x:c>
      <x:c r="L3647" s="12" t="n">
        <x:v>1023.8538</x:v>
      </x:c>
      <x:c r="M3647" s="13" t="n">
        <x:v>0.3423512930646927</x:v>
      </x:c>
      <x:c r="N3647" s="13" t="n">
        <x:f>H3647/G3647</x:f>
        <x:v>0.10218798481284508</x:v>
      </x:c>
      <x:c r="O3647" s="13" t="n">
        <x:f>F3647/E3647</x:f>
        <x:v>0</x:v>
      </x:c>
      <x:c r="P3647" s="2" t="str">
        <x:f>IF(AND(E3647&gt;='Итоги'!$F$5,N3647&lt;='Итоги'!$B$5,O3647&gt;='Итоги'!$D$5),"Да","Нет")</x:f>
        <x:v>Нет</x:v>
      </x:c>
    </x:row>
    <x:row r="3648" ht="60" customHeight="1">
      <x:c r="A3648" s="14" t="str">
        <x:v>Автотовары</x:v>
      </x:c>
      <x:c r="B3648" s="14" t="str">
        <x:v>Электронные устройства для авто</x:v>
      </x:c>
      <x:c r="C3648" s="14" t="str">
        <x:v>Автоэлектроника</x:v>
      </x:c>
      <x:c r="D3648" s="14" t="str">
        <x:v>Видеорегистратор автомобильный</x:v>
      </x:c>
      <x:c r="E3648" s="2" t="n">
        <x:v>386</x:v>
      </x:c>
      <x:c r="F3648" s="2" t="n">
        <x:v>0</x:v>
      </x:c>
      <x:c r="G3648" s="12" t="n">
        <x:v>80199098.4659</x:v>
      </x:c>
      <x:c r="H3648" s="12" t="n">
        <x:v>8201066.52501321</x:v>
      </x:c>
      <x:c r="I3648" s="13" t="n">
        <x:v>0.1022945595854922</x:v>
      </x:c>
      <x:c r="J3648" s="2" t="n">
        <x:v>87</x:v>
      </x:c>
      <x:c r="K3648" s="2" t="n">
        <x:v>116</x:v>
      </x:c>
      <x:c r="L3648" s="12" t="n">
        <x:v>4037.01365</x:v>
      </x:c>
      <x:c r="M3648" s="13" t="n">
        <x:v>0.520351452123168</x:v>
      </x:c>
      <x:c r="N3648" s="13" t="n">
        <x:f>H3648/G3648</x:f>
        <x:v>0.1022588368434121</x:v>
      </x:c>
      <x:c r="O3648" s="13" t="n">
        <x:f>F3648/E3648</x:f>
        <x:v>0</x:v>
      </x:c>
      <x:c r="P3648" s="2" t="str">
        <x:f>IF(AND(E3648&gt;='Итоги'!$F$5,N3648&lt;='Итоги'!$B$5,O3648&gt;='Итоги'!$D$5),"Да","Нет")</x:f>
        <x:v>Нет</x:v>
      </x:c>
    </x:row>
    <x:row r="3649" ht="60" customHeight="1">
      <x:c r="A3649" s="14" t="str">
        <x:v>Игрушки</x:v>
      </x:c>
      <x:c r="B3649" s="14" t="str">
        <x:v>Игрушки</x:v>
      </x:c>
      <x:c r="C3649" s="14" t="str">
        <x:v>Игрушечное оружие</x:v>
      </x:c>
      <x:c r="D3649" s="14" t="str">
        <x:v>Бластер</x:v>
      </x:c>
      <x:c r="E3649" s="2" t="n">
        <x:v>14</x:v>
      </x:c>
      <x:c r="F3649" s="2" t="n">
        <x:v>0</x:v>
      </x:c>
      <x:c r="G3649" s="12" t="n">
        <x:v>1406444.1138</x:v>
      </x:c>
      <x:c r="H3649" s="12" t="n">
        <x:v>143849.70409309</x:v>
      </x:c>
      <x:c r="I3649" s="13" t="n">
        <x:v>0.1027071428571428</x:v>
      </x:c>
      <x:c r="J3649" s="2" t="n">
        <x:v>2</x:v>
      </x:c>
      <x:c r="K3649" s="2" t="n">
        <x:v>8</x:v>
      </x:c>
      <x:c r="L3649" s="12" t="n">
        <x:v>1888.0307</x:v>
      </x:c>
      <x:c r="M3649" s="13" t="n">
        <x:v>0.4056179874496767</x:v>
      </x:c>
      <x:c r="N3649" s="13" t="n">
        <x:f>H3649/G3649</x:f>
        <x:v>0.10227900467685828</x:v>
      </x:c>
      <x:c r="O3649" s="13" t="n">
        <x:f>F3649/E3649</x:f>
        <x:v>0</x:v>
      </x:c>
      <x:c r="P3649" s="2" t="str">
        <x:f>IF(AND(E3649&gt;='Итоги'!$F$5,N3649&lt;='Итоги'!$B$5,O3649&gt;='Итоги'!$D$5),"Да","Нет")</x:f>
        <x:v>Нет</x:v>
      </x:c>
    </x:row>
    <x:row r="3650" ht="60" customHeight="1">
      <x:c r="A3650" s="14" t="str">
        <x:v>Хобби и творчество</x:v>
      </x:c>
      <x:c r="B3650" s="14" t="str">
        <x:v>Взрослое творчество и хобби</x:v>
      </x:c>
      <x:c r="C3650" s="14" t="str">
        <x:v>Вышивание</x:v>
      </x:c>
      <x:c r="D3650" s="14" t="str">
        <x:v>Набор для вышивания</x:v>
      </x:c>
      <x:c r="E3650" s="2" t="n">
        <x:v>13</x:v>
      </x:c>
      <x:c r="F3650" s="2" t="n">
        <x:v>0</x:v>
      </x:c>
      <x:c r="G3650" s="12" t="n">
        <x:v>726759.8446</x:v>
      </x:c>
      <x:c r="H3650" s="12" t="n">
        <x:v>74368.80995432</x:v>
      </x:c>
      <x:c r="I3650" s="13" t="n">
        <x:v>0.0605999999999999</x:v>
      </x:c>
      <x:c r="J3650" s="2" t="n">
        <x:v>8</x:v>
      </x:c>
      <x:c r="K3650" s="2" t="n">
        <x:v>6</x:v>
      </x:c>
      <x:c r="L3650" s="12" t="n">
        <x:v>3315.18</x:v>
      </x:c>
      <x:c r="M3650" s="13" t="n">
        <x:v>0.3130418061625525</x:v>
      </x:c>
      <x:c r="N3650" s="13" t="n">
        <x:f>H3650/G3650</x:f>
        <x:v>0.1023292776931721</x:v>
      </x:c>
      <x:c r="O3650" s="13" t="n">
        <x:f>F3650/E3650</x:f>
        <x:v>0</x:v>
      </x:c>
      <x:c r="P3650" s="2" t="str">
        <x:f>IF(AND(E3650&gt;='Итоги'!$F$5,N3650&lt;='Итоги'!$B$5,O3650&gt;='Итоги'!$D$5),"Да","Нет")</x:f>
        <x:v>Нет</x:v>
      </x:c>
    </x:row>
    <x:row r="3651" ht="60" customHeight="1">
      <x:c r="A3651" s="14" t="str">
        <x:v>Строительство и ремонт (DIY)</x:v>
      </x:c>
      <x:c r="B3651" s="14" t="str">
        <x:v>Ремонт и строительство</x:v>
      </x:c>
      <x:c r="C3651" s="14" t="str">
        <x:v>Скобяные изделия</x:v>
      </x:c>
      <x:c r="D3651" s="14" t="str">
        <x:v>Петля мебельная</x:v>
      </x:c>
      <x:c r="E3651" s="2" t="n">
        <x:v>27</x:v>
      </x:c>
      <x:c r="F3651" s="2" t="n">
        <x:v>0</x:v>
      </x:c>
      <x:c r="G3651" s="12" t="n">
        <x:v>4213200.5661</x:v>
      </x:c>
      <x:c r="H3651" s="12" t="n">
        <x:v>431294.64290449</x:v>
      </x:c>
      <x:c r="I3651" s="13" t="n">
        <x:v>0.0964592592592592</x:v>
      </x:c>
      <x:c r="J3651" s="2" t="n">
        <x:v>2</x:v>
      </x:c>
      <x:c r="K3651" s="2" t="n">
        <x:v>4</x:v>
      </x:c>
      <x:c r="L3651" s="12" t="n">
        <x:v>2271.186</x:v>
      </x:c>
      <x:c r="M3651" s="13" t="n">
        <x:v>0.5078176475658478</x:v>
      </x:c>
      <x:c r="N3651" s="13" t="n">
        <x:f>H3651/G3651</x:f>
        <x:v>0.10236746058916513</x:v>
      </x:c>
      <x:c r="O3651" s="13" t="n">
        <x:f>F3651/E3651</x:f>
        <x:v>0</x:v>
      </x:c>
      <x:c r="P3651" s="2" t="str">
        <x:f>IF(AND(E3651&gt;='Итоги'!$F$5,N3651&lt;='Итоги'!$B$5,O3651&gt;='Итоги'!$D$5),"Да","Нет")</x:f>
        <x:v>Нет</x:v>
      </x:c>
    </x:row>
    <x:row r="3652" ht="60" customHeight="1">
      <x:c r="A3652" s="14" t="str">
        <x:v>Автотовары</x:v>
      </x:c>
      <x:c r="B3652" s="14" t="str">
        <x:v>Электронные устройства для авто</x:v>
      </x:c>
      <x:c r="C3652" s="14" t="str">
        <x:v>Автоэлектроника</x:v>
      </x:c>
      <x:c r="D3652" s="14" t="str">
        <x:v>Адаптер, разветвитель в прикуриватель</x:v>
      </x:c>
      <x:c r="E3652" s="2" t="n">
        <x:v>23</x:v>
      </x:c>
      <x:c r="F3652" s="2" t="n">
        <x:v>0</x:v>
      </x:c>
      <x:c r="G3652" s="12" t="n">
        <x:v>3320361.8342</x:v>
      </x:c>
      <x:c r="H3652" s="12" t="n">
        <x:v>340001.87288366</x:v>
      </x:c>
      <x:c r="I3652" s="13" t="n">
        <x:v>0.1040304347826086</x:v>
      </x:c>
      <x:c r="J3652" s="2" t="n">
        <x:v>1</x:v>
      </x:c>
      <x:c r="K3652" s="2" t="n">
        <x:v>15</x:v>
      </x:c>
      <x:c r="L3652" s="12" t="n">
        <x:v>1115.496</x:v>
      </x:c>
      <x:c r="M3652" s="13" t="n">
        <x:v>0.1244193195286306</x:v>
      </x:c>
      <x:c r="N3652" s="13" t="n">
        <x:f>H3652/G3652</x:f>
        <x:v>0.1023990425927719</x:v>
      </x:c>
      <x:c r="O3652" s="13" t="n">
        <x:f>F3652/E3652</x:f>
        <x:v>0</x:v>
      </x:c>
      <x:c r="P3652" s="2" t="str">
        <x:f>IF(AND(E3652&gt;='Итоги'!$F$5,N3652&lt;='Итоги'!$B$5,O3652&gt;='Итоги'!$D$5),"Да","Нет")</x:f>
        <x:v>Нет</x:v>
      </x:c>
    </x:row>
    <x:row r="3653" ht="60" customHeight="1">
      <x:c r="A3653" s="14" t="str">
        <x:v>Хобби и творчество</x:v>
      </x:c>
      <x:c r="B3653" s="14" t="str">
        <x:v>Детское творчество и хобби</x:v>
      </x:c>
      <x:c r="C3653" s="14" t="str">
        <x:v>Лепка для детей</x:v>
      </x:c>
      <x:c r="D3653" s="14" t="str">
        <x:v>Лепка из песка для детей</x:v>
      </x:c>
      <x:c r="E3653" s="2" t="n">
        <x:v>3</x:v>
      </x:c>
      <x:c r="F3653" s="2" t="n">
        <x:v>0</x:v>
      </x:c>
      <x:c r="G3653" s="12" t="n">
        <x:v>294501.4294</x:v>
      </x:c>
      <x:c r="H3653" s="12" t="n">
        <x:v>30173.20595758</x:v>
      </x:c>
      <x:c r="I3653" s="13" t="n">
        <x:v>0.1016333333333333</x:v>
      </x:c>
      <x:c r="J3653" s="2" t="n">
        <x:v>0</x:v>
      </x:c>
      <x:c r="K3653" s="2" t="n">
        <x:v>2</x:v>
      </x:c>
      <x:c r="L3653" s="12" t="n">
        <x:v>1371.1427</x:v>
      </x:c>
      <x:c r="M3653" s="13" t="n">
        <x:v>0.65547006136195</x:v>
      </x:c>
      <x:c r="N3653" s="13" t="n">
        <x:f>H3653/G3653</x:f>
        <x:v>0.10245521055382693</x:v>
      </x:c>
      <x:c r="O3653" s="13" t="n">
        <x:f>F3653/E3653</x:f>
        <x:v>0</x:v>
      </x:c>
      <x:c r="P3653" s="2" t="str">
        <x:f>IF(AND(E3653&gt;='Итоги'!$F$5,N3653&lt;='Итоги'!$B$5,O3653&gt;='Итоги'!$D$5),"Да","Нет")</x:f>
        <x:v>Нет</x:v>
      </x:c>
    </x:row>
    <x:row r="3654" ht="60" customHeight="1">
      <x:c r="A3654" s="14" t="str">
        <x:v>Спорт и отдых</x:v>
      </x:c>
      <x:c r="B3654" s="14" t="str">
        <x:v>Единоборства</x:v>
      </x:c>
      <x:c r="C3654" s="14" t="str">
        <x:v>Самооборона</x:v>
      </x:c>
      <x:c r="D3654" s="14" t="str">
        <x:v>Аксессуары для средств самообороны</x:v>
      </x:c>
      <x:c r="E3654" s="2" t="n">
        <x:v>2</x:v>
      </x:c>
      <x:c r="F3654" s="2" t="n">
        <x:v>0</x:v>
      </x:c>
      <x:c r="G3654" s="12" t="n">
        <x:v>60554.2005</x:v>
      </x:c>
      <x:c r="H3654" s="12" t="n">
        <x:v>6210.1494</x:v>
      </x:c>
      <x:c r="I3654" s="13" t="n">
        <x:v>0.0651</x:v>
      </x:c>
      <x:c r="J3654" s="2" t="n">
        <x:v>1</x:v>
      </x:c>
      <x:c r="K3654" s="2" t="n">
        <x:v>2</x:v>
      </x:c>
      <x:c r="L3654" s="12" t="n">
        <x:v>1181.9065500000002</x:v>
      </x:c>
      <x:c r="M3654" s="13" t="n">
        <x:v>0.7876745065769633</x:v>
      </x:c>
      <x:c r="N3654" s="13" t="n">
        <x:f>H3654/G3654</x:f>
        <x:v>0.10255522075632062</x:v>
      </x:c>
      <x:c r="O3654" s="13" t="n">
        <x:f>F3654/E3654</x:f>
        <x:v>0</x:v>
      </x:c>
      <x:c r="P3654" s="2" t="str">
        <x:f>IF(AND(E3654&gt;='Итоги'!$F$5,N3654&lt;='Итоги'!$B$5,O3654&gt;='Итоги'!$D$5),"Да","Нет")</x:f>
        <x:v>Нет</x:v>
      </x:c>
    </x:row>
    <x:row r="3655" ht="60" customHeight="1">
      <x:c r="A3655" s="14" t="str">
        <x:v>Бытовая химия и гигиена рта</x:v>
      </x:c>
      <x:c r="B3655" s="14" t="str">
        <x:v>Бытовая химия</x:v>
      </x:c>
      <x:c r="C3655" s="14" t="str">
        <x:v>Товары для защиты от насекомых и грызунов</x:v>
      </x:c>
      <x:c r="D3655" s="14" t="str">
        <x:v>Мышеловка, крысоловка</x:v>
      </x:c>
      <x:c r="E3655" s="2" t="n">
        <x:v>4</x:v>
      </x:c>
      <x:c r="F3655" s="2" t="n">
        <x:v>0</x:v>
      </x:c>
      <x:c r="G3655" s="12" t="n">
        <x:v>902172.7658</x:v>
      </x:c>
      <x:c r="H3655" s="12" t="n">
        <x:v>92542.6689</x:v>
      </x:c>
      <x:c r="I3655" s="13" t="n">
        <x:v>0.174625</x:v>
      </x:c>
      <x:c r="J3655" s="2" t="n">
        <x:v>1</x:v>
      </x:c>
      <x:c r="K3655" s="2" t="n">
        <x:v>2</x:v>
      </x:c>
      <x:c r="L3655" s="12" t="n">
        <x:v>1136.6956</x:v>
      </x:c>
      <x:c r="M3655" s="13" t="n">
        <x:v>0.5530925105653417</x:v>
      </x:c>
      <x:c r="N3655" s="13" t="n">
        <x:f>H3655/G3655</x:f>
        <x:v>0.10257754657217785</x:v>
      </x:c>
      <x:c r="O3655" s="13" t="n">
        <x:f>F3655/E3655</x:f>
        <x:v>0</x:v>
      </x:c>
      <x:c r="P3655" s="2" t="str">
        <x:f>IF(AND(E3655&gt;='Итоги'!$F$5,N3655&lt;='Итоги'!$B$5,O3655&gt;='Итоги'!$D$5),"Да","Нет")</x:f>
        <x:v>Нет</x:v>
      </x:c>
    </x:row>
    <x:row r="3656" ht="60" customHeight="1">
      <x:c r="A3656" s="14" t="str">
        <x:v>Строительство и ремонт (DIY)</x:v>
      </x:c>
      <x:c r="B3656" s="14" t="str">
        <x:v>Ремонт и строительство</x:v>
      </x:c>
      <x:c r="C3656" s="14" t="str">
        <x:v>Скобяные изделия</x:v>
      </x:c>
      <x:c r="D3656" s="14" t="str">
        <x:v>Наборы крепежа и метизов</x:v>
      </x:c>
      <x:c r="E3656" s="2" t="n">
        <x:v>32</x:v>
      </x:c>
      <x:c r="F3656" s="2" t="n">
        <x:v>0</x:v>
      </x:c>
      <x:c r="G3656" s="12" t="n">
        <x:v>5019641.3887</x:v>
      </x:c>
      <x:c r="H3656" s="12" t="n">
        <x:v>515418.03517189</x:v>
      </x:c>
      <x:c r="I3656" s="13" t="n">
        <x:v>0.08395</x:v>
      </x:c>
      <x:c r="J3656" s="2" t="n">
        <x:v>2</x:v>
      </x:c>
      <x:c r="K3656" s="2" t="n">
        <x:v>12</x:v>
      </x:c>
      <x:c r="L3656" s="12" t="n">
        <x:v>1507.5091</x:v>
      </x:c>
      <x:c r="M3656" s="13" t="n">
        <x:v>0.2776901436899254</x:v>
      </x:c>
      <x:c r="N3656" s="13" t="n">
        <x:f>H3656/G3656</x:f>
        <x:v>0.10268025049203253</x:v>
      </x:c>
      <x:c r="O3656" s="13" t="n">
        <x:f>F3656/E3656</x:f>
        <x:v>0</x:v>
      </x:c>
      <x:c r="P3656" s="2" t="str">
        <x:f>IF(AND(E3656&gt;='Итоги'!$F$5,N3656&lt;='Итоги'!$B$5,O3656&gt;='Итоги'!$D$5),"Да","Нет")</x:f>
        <x:v>Нет</x:v>
      </x:c>
    </x:row>
    <x:row r="3657" ht="60" customHeight="1">
      <x:c r="A3657" s="14" t="str">
        <x:v>Строительство и ремонт (DIY)</x:v>
      </x:c>
      <x:c r="B3657" s="14" t="str">
        <x:v>Ремонт и строительство</x:v>
      </x:c>
      <x:c r="C3657" s="14" t="str">
        <x:v>Столярные изделия</x:v>
      </x:c>
      <x:c r="D3657" s="14" t="str">
        <x:v>Мягкое окно (ПВХ-штора)</x:v>
      </x:c>
      <x:c r="E3657" s="2" t="n">
        <x:v>4</x:v>
      </x:c>
      <x:c r="F3657" s="2" t="n">
        <x:v>0</x:v>
      </x:c>
      <x:c r="G3657" s="12" t="n">
        <x:v>519401.7856</x:v>
      </x:c>
      <x:c r="H3657" s="12" t="n">
        <x:v>53342.87114624</x:v>
      </x:c>
      <x:c r="I3657" s="13" t="n">
        <x:v>0.1078</x:v>
      </x:c>
      <x:c r="J3657" s="2" t="n">
        <x:v>0</x:v>
      </x:c>
      <x:c r="K3657" s="2" t="n">
        <x:v>2</x:v>
      </x:c>
      <x:c r="L3657" s="12" t="n">
        <x:v>3249.2087</x:v>
      </x:c>
      <x:c r="M3657" s="13" t="n">
        <x:v>0.5863553196071262</x:v>
      </x:c>
      <x:c r="N3657" s="13" t="n">
        <x:f>H3657/G3657</x:f>
        <x:v>0.10270059253766263</x:v>
      </x:c>
      <x:c r="O3657" s="13" t="n">
        <x:f>F3657/E3657</x:f>
        <x:v>0</x:v>
      </x:c>
      <x:c r="P3657" s="2" t="str">
        <x:f>IF(AND(E3657&gt;='Итоги'!$F$5,N3657&lt;='Итоги'!$B$5,O3657&gt;='Итоги'!$D$5),"Да","Нет")</x:f>
        <x:v>Нет</x:v>
      </x:c>
    </x:row>
    <x:row r="3658" ht="60" customHeight="1">
      <x:c r="A3658" s="14" t="str">
        <x:v>Детская одежда</x:v>
      </x:c>
      <x:c r="B3658" s="14" t="str">
        <x:v>Одежда для новорожденных</x:v>
      </x:c>
      <x:c r="C3658" s="14" t="str">
        <x:v>Одежда для новорожденных</x:v>
      </x:c>
      <x:c r="D3658" s="14" t="str">
        <x:v>Комбинезон флисовый и домашний для новорожденных</x:v>
      </x:c>
      <x:c r="E3658" s="2" t="n">
        <x:v>6</x:v>
      </x:c>
      <x:c r="F3658" s="2" t="n">
        <x:v>0</x:v>
      </x:c>
      <x:c r="G3658" s="12" t="n">
        <x:v>523734.19</x:v>
      </x:c>
      <x:c r="H3658" s="12" t="n">
        <x:v>53806.287192</x:v>
      </x:c>
      <x:c r="I3658" s="13" t="n">
        <x:v>0.08055</x:v>
      </x:c>
      <x:c r="J3658" s="2" t="n">
        <x:v>3</x:v>
      </x:c>
      <x:c r="K3658" s="2" t="n">
        <x:v>3</x:v>
      </x:c>
      <x:c r="L3658" s="12" t="n">
        <x:v>1252.8882</x:v>
      </x:c>
      <x:c r="M3658" s="13" t="n">
        <x:v>0.9279262253243388</x:v>
      </x:c>
      <x:c r="N3658" s="13" t="n">
        <x:f>H3658/G3658</x:f>
        <x:v>0.1027358691094809</x:v>
      </x:c>
      <x:c r="O3658" s="13" t="n">
        <x:f>F3658/E3658</x:f>
        <x:v>0</x:v>
      </x:c>
      <x:c r="P3658" s="2" t="str">
        <x:f>IF(AND(E3658&gt;='Итоги'!$F$5,N3658&lt;='Итоги'!$B$5,O3658&gt;='Итоги'!$D$5),"Да","Нет")</x:f>
        <x:v>Нет</x:v>
      </x:c>
    </x:row>
    <x:row r="3659" ht="60" customHeight="1">
      <x:c r="A3659" s="14" t="str">
        <x:v>Товары для дома</x:v>
      </x:c>
      <x:c r="B3659" s="14" t="str">
        <x:v>Домашний текстиль</x:v>
      </x:c>
      <x:c r="C3659" s="14" t="str">
        <x:v>Одеяло</x:v>
      </x:c>
      <x:c r="D3659" s="14" t="str">
        <x:v>Одеяло - 2-х спальное</x:v>
      </x:c>
      <x:c r="E3659" s="2" t="n">
        <x:v>82</x:v>
      </x:c>
      <x:c r="F3659" s="2" t="n">
        <x:v>0</x:v>
      </x:c>
      <x:c r="G3659" s="12" t="n">
        <x:v>12723024.2579</x:v>
      </x:c>
      <x:c r="H3659" s="12" t="n">
        <x:v>1307505.2569686</x:v>
      </x:c>
      <x:c r="I3659" s="13" t="n">
        <x:v>0.0983292682926829</x:v>
      </x:c>
      <x:c r="J3659" s="2" t="n">
        <x:v>15</x:v>
      </x:c>
      <x:c r="K3659" s="2" t="n">
        <x:v>25</x:v>
      </x:c>
      <x:c r="L3659" s="12" t="n">
        <x:v>1797.5469</x:v>
      </x:c>
      <x:c r="M3659" s="13" t="n">
        <x:v>0.6813773621485567</x:v>
      </x:c>
      <x:c r="N3659" s="13" t="n">
        <x:f>H3659/G3659</x:f>
        <x:v>0.10276686033642841</x:v>
      </x:c>
      <x:c r="O3659" s="13" t="n">
        <x:f>F3659/E3659</x:f>
        <x:v>0</x:v>
      </x:c>
      <x:c r="P3659" s="2" t="str">
        <x:f>IF(AND(E3659&gt;='Итоги'!$F$5,N3659&lt;='Итоги'!$B$5,O3659&gt;='Итоги'!$D$5),"Да","Нет")</x:f>
        <x:v>Нет</x:v>
      </x:c>
    </x:row>
    <x:row r="3660" ht="60" customHeight="1">
      <x:c r="A3660" s="14" t="str">
        <x:v>Аксессуары для электроники</x:v>
      </x:c>
      <x:c r="B3660" s="14" t="str">
        <x:v>Фото и видео Access</x:v>
      </x:c>
      <x:c r="C3660" s="14" t="str">
        <x:v>Аксессуар к фото и видео Access</x:v>
      </x:c>
      <x:c r="D3660" s="14" t="str">
        <x:v>Подсветка для фото/видео</x:v>
      </x:c>
      <x:c r="E3660" s="2" t="n">
        <x:v>34</x:v>
      </x:c>
      <x:c r="F3660" s="2" t="n">
        <x:v>0</x:v>
      </x:c>
      <x:c r="G3660" s="12" t="n">
        <x:v>3789619.2064</x:v>
      </x:c>
      <x:c r="H3660" s="12" t="n">
        <x:v>389732.19237627</x:v>
      </x:c>
      <x:c r="I3660" s="13" t="n">
        <x:v>0.097785294117647</x:v>
      </x:c>
      <x:c r="J3660" s="2" t="n">
        <x:v>7</x:v>
      </x:c>
      <x:c r="K3660" s="2" t="n">
        <x:v>16</x:v>
      </x:c>
      <x:c r="L3660" s="12" t="n">
        <x:v>2272.53645</x:v>
      </x:c>
      <x:c r="M3660" s="13" t="n">
        <x:v>0.3708443054717995</x:v>
      </x:c>
      <x:c r="N3660" s="13" t="n">
        <x:f>H3660/G3660</x:f>
        <x:v>0.10284204590215315</x:v>
      </x:c>
      <x:c r="O3660" s="13" t="n">
        <x:f>F3660/E3660</x:f>
        <x:v>0</x:v>
      </x:c>
      <x:c r="P3660" s="2" t="str">
        <x:f>IF(AND(E3660&gt;='Итоги'!$F$5,N3660&lt;='Итоги'!$B$5,O3660&gt;='Итоги'!$D$5),"Да","Нет")</x:f>
        <x:v>Нет</x:v>
      </x:c>
    </x:row>
    <x:row r="3661" ht="60" customHeight="1">
      <x:c r="A3661" s="14" t="str">
        <x:v>Товары для красоты и здоровья</x:v>
      </x:c>
      <x:c r="B3661" s="14" t="str">
        <x:v>Косметическая техника</x:v>
      </x:c>
      <x:c r="C3661" s="14" t="str">
        <x:v>Массажная техника</x:v>
      </x:c>
      <x:c r="D3661" s="14" t="str">
        <x:v>Массажная накидка</x:v>
      </x:c>
      <x:c r="E3661" s="2" t="n">
        <x:v>11</x:v>
      </x:c>
      <x:c r="F3661" s="2" t="n">
        <x:v>0</x:v>
      </x:c>
      <x:c r="G3661" s="12" t="n">
        <x:v>1871898.5064</x:v>
      </x:c>
      <x:c r="H3661" s="12" t="n">
        <x:v>192558.65759135</x:v>
      </x:c>
      <x:c r="I3661" s="13" t="n">
        <x:v>0.0837727272727272</x:v>
      </x:c>
      <x:c r="J3661" s="2" t="n">
        <x:v>3</x:v>
      </x:c>
      <x:c r="K3661" s="2" t="n">
        <x:v>8</x:v>
      </x:c>
      <x:c r="L3661" s="12" t="n">
        <x:v>7543.8788</x:v>
      </x:c>
      <x:c r="M3661" s="13" t="n">
        <x:v>0.2353613696969612</x:v>
      </x:c>
      <x:c r="N3661" s="13" t="n">
        <x:f>H3661/G3661</x:f>
        <x:v>0.10286810793052834</x:v>
      </x:c>
      <x:c r="O3661" s="13" t="n">
        <x:f>F3661/E3661</x:f>
        <x:v>0</x:v>
      </x:c>
      <x:c r="P3661" s="2" t="str">
        <x:f>IF(AND(E3661&gt;='Итоги'!$F$5,N3661&lt;='Итоги'!$B$5,O3661&gt;='Итоги'!$D$5),"Да","Нет")</x:f>
        <x:v>Нет</x:v>
      </x:c>
    </x:row>
    <x:row r="3662" ht="60" customHeight="1">
      <x:c r="A3662" s="14" t="str">
        <x:v>Аксессуары</x:v>
      </x:c>
      <x:c r="B3662" s="14" t="str">
        <x:v>Сумки и рюкзаки</x:v>
      </x:c>
      <x:c r="C3662" s="14" t="str">
        <x:v>Сумка женская</x:v>
      </x:c>
      <x:c r="D3662" s="14" t="str">
        <x:v>Женская Сумка</x:v>
      </x:c>
      <x:c r="E3662" s="2" t="n">
        <x:v>404</x:v>
      </x:c>
      <x:c r="F3662" s="2" t="n">
        <x:v>0</x:v>
      </x:c>
      <x:c r="G3662" s="12" t="n">
        <x:v>47496993.097</x:v>
      </x:c>
      <x:c r="H3662" s="12" t="n">
        <x:v>4887565.61394108</x:v>
      </x:c>
      <x:c r="I3662" s="13" t="n">
        <x:v>0.091009405940594</x:v>
      </x:c>
      <x:c r="J3662" s="2" t="n">
        <x:v>91</x:v>
      </x:c>
      <x:c r="K3662" s="2" t="n">
        <x:v>153</x:v>
      </x:c>
      <x:c r="L3662" s="12" t="n">
        <x:v>1744.98775</x:v>
      </x:c>
      <x:c r="M3662" s="13" t="n">
        <x:v>0.293381133836031</x:v>
      </x:c>
      <x:c r="N3662" s="13" t="n">
        <x:f>H3662/G3662</x:f>
        <x:v>0.10290263225630987</x:v>
      </x:c>
      <x:c r="O3662" s="13" t="n">
        <x:f>F3662/E3662</x:f>
        <x:v>0</x:v>
      </x:c>
      <x:c r="P3662" s="2" t="str">
        <x:f>IF(AND(E3662&gt;='Итоги'!$F$5,N3662&lt;='Итоги'!$B$5,O3662&gt;='Итоги'!$D$5),"Да","Нет")</x:f>
        <x:v>Нет</x:v>
      </x:c>
    </x:row>
    <x:row r="3663" ht="60" customHeight="1">
      <x:c r="A3663" s="14" t="str">
        <x:v>Одежда</x:v>
      </x:c>
      <x:c r="B3663" s="14" t="str">
        <x:v>Спецодежда и одежда для мероприятий</x:v>
      </x:c>
      <x:c r="C3663" s="14" t="str">
        <x:v>Спецодежда мужская</x:v>
      </x:c>
      <x:c r="D3663" s="14" t="str">
        <x:v>Рабочий фартук мужской</x:v>
      </x:c>
      <x:c r="E3663" s="2" t="n">
        <x:v>1</x:v>
      </x:c>
      <x:c r="F3663" s="2" t="n">
        <x:v>0</x:v>
      </x:c>
      <x:c r="G3663" s="12" t="n">
        <x:v>77314</x:v>
      </x:c>
      <x:c r="H3663" s="12" t="n">
        <x:v>7963.342</x:v>
      </x:c>
      <x:c r="I3663" s="13" t="n">
        <x:v>0.103</x:v>
      </x:c>
      <x:c r="J3663" s="2" t="n">
        <x:v>0</x:v>
      </x:c>
      <x:c r="K3663" s="2" t="n">
        <x:v>1</x:v>
      </x:c>
      <x:c r="L3663" s="12" t="n">
        <x:v>5522.4286</x:v>
      </x:c>
      <x:c r="M3663" s="13" t="n">
        <x:v>1</x:v>
      </x:c>
      <x:c r="N3663" s="13" t="n">
        <x:f>H3663/G3663</x:f>
        <x:v>0.103</x:v>
      </x:c>
      <x:c r="O3663" s="13" t="n">
        <x:f>F3663/E3663</x:f>
        <x:v>0</x:v>
      </x:c>
      <x:c r="P3663" s="2" t="str">
        <x:f>IF(AND(E3663&gt;='Итоги'!$F$5,N3663&lt;='Итоги'!$B$5,O3663&gt;='Итоги'!$D$5),"Да","Нет")</x:f>
        <x:v>Нет</x:v>
      </x:c>
    </x:row>
    <x:row r="3664" ht="60" customHeight="1">
      <x:c r="A3664" s="14" t="str">
        <x:v>Аксессуары для электроники</x:v>
      </x:c>
      <x:c r="B3664" s="14" t="str">
        <x:v>Компьютеры Access</x:v>
      </x:c>
      <x:c r="C3664" s="14" t="str">
        <x:v>Аксессуар к компьютерной технике Access</x:v>
      </x:c>
      <x:c r="D3664" s="14" t="str">
        <x:v>Кронштейн для монитора</x:v>
      </x:c>
      <x:c r="E3664" s="2" t="n">
        <x:v>54</x:v>
      </x:c>
      <x:c r="F3664" s="2" t="n">
        <x:v>0</x:v>
      </x:c>
      <x:c r="G3664" s="12" t="n">
        <x:v>8635340.7308</x:v>
      </x:c>
      <x:c r="H3664" s="12" t="n">
        <x:v>889631.24575221</x:v>
      </x:c>
      <x:c r="I3664" s="13" t="n">
        <x:v>0.1027425925925926</x:v>
      </x:c>
      <x:c r="J3664" s="2" t="n">
        <x:v>9</x:v>
      </x:c>
      <x:c r="K3664" s="2" t="n">
        <x:v>10</x:v>
      </x:c>
      <x:c r="L3664" s="12" t="n">
        <x:v>2880.57705</x:v>
      </x:c>
      <x:c r="M3664" s="13" t="n">
        <x:v>0.6592211137883639</x:v>
      </x:c>
      <x:c r="N3664" s="13" t="n">
        <x:f>H3664/G3664</x:f>
        <x:v>0.10302213583525759</x:v>
      </x:c>
      <x:c r="O3664" s="13" t="n">
        <x:f>F3664/E3664</x:f>
        <x:v>0</x:v>
      </x:c>
      <x:c r="P3664" s="2" t="str">
        <x:f>IF(AND(E3664&gt;='Итоги'!$F$5,N3664&lt;='Итоги'!$B$5,O3664&gt;='Итоги'!$D$5),"Да","Нет")</x:f>
        <x:v>Нет</x:v>
      </x:c>
    </x:row>
    <x:row r="3665" ht="60" customHeight="1">
      <x:c r="A3665" s="14" t="str">
        <x:v>Товары для дома</x:v>
      </x:c>
      <x:c r="B3665" s="14" t="str">
        <x:v>Кухня</x:v>
      </x:c>
      <x:c r="C3665" s="14" t="str">
        <x:v>Питьевое стекло, аксессуар для бара, сосуд для жидкости</x:v>
      </x:c>
      <x:c r="D3665" s="14" t="str">
        <x:v>Набор для коктейлей, мартини</x:v>
      </x:c>
      <x:c r="E3665" s="2" t="n">
        <x:v>2</x:v>
      </x:c>
      <x:c r="F3665" s="2" t="n">
        <x:v>0</x:v>
      </x:c>
      <x:c r="G3665" s="12" t="n">
        <x:v>314648.26</x:v>
      </x:c>
      <x:c r="H3665" s="12" t="n">
        <x:v>32424.178392</x:v>
      </x:c>
      <x:c r="I3665" s="13" t="n">
        <x:v>0.0846</x:v>
      </x:c>
      <x:c r="J3665" s="2" t="n">
        <x:v>1</x:v>
      </x:c>
      <x:c r="K3665" s="2" t="n">
        <x:v>2</x:v>
      </x:c>
      <x:c r="L3665" s="12" t="n">
        <x:v>1973.27565</x:v>
      </x:c>
      <x:c r="M3665" s="13" t="n">
        <x:v>0.6090364523229844</x:v>
      </x:c>
      <x:c r="N3665" s="13" t="n">
        <x:f>H3665/G3665</x:f>
        <x:v>0.10304896773304896</x:v>
      </x:c>
      <x:c r="O3665" s="13" t="n">
        <x:f>F3665/E3665</x:f>
        <x:v>0</x:v>
      </x:c>
      <x:c r="P3665" s="2" t="str">
        <x:f>IF(AND(E3665&gt;='Итоги'!$F$5,N3665&lt;='Итоги'!$B$5,O3665&gt;='Итоги'!$D$5),"Да","Нет")</x:f>
        <x:v>Нет</x:v>
      </x:c>
    </x:row>
    <x:row r="3666" ht="60" customHeight="1">
      <x:c r="A3666" s="14" t="str">
        <x:v>Спорт и отдых</x:v>
      </x:c>
      <x:c r="B3666" s="14" t="str">
        <x:v>Туризм</x:v>
      </x:c>
      <x:c r="C3666" s="14" t="str">
        <x:v>Рюкзак, сумка туристические</x:v>
      </x:c>
      <x:c r="D3666" s="14" t="str">
        <x:v>Рюкзак тактический</x:v>
      </x:c>
      <x:c r="E3666" s="2" t="n">
        <x:v>115</x:v>
      </x:c>
      <x:c r="F3666" s="2" t="n">
        <x:v>0</x:v>
      </x:c>
      <x:c r="G3666" s="12" t="n">
        <x:v>18176679.0975</x:v>
      </x:c>
      <x:c r="H3666" s="12" t="n">
        <x:v>1875408.69443317</x:v>
      </x:c>
      <x:c r="I3666" s="13" t="n">
        <x:v>0.1030165217391304</x:v>
      </x:c>
      <x:c r="J3666" s="2" t="n">
        <x:v>16</x:v>
      </x:c>
      <x:c r="K3666" s="2" t="n">
        <x:v>37</x:v>
      </x:c>
      <x:c r="L3666" s="12" t="n">
        <x:v>2133.9556</x:v>
      </x:c>
      <x:c r="M3666" s="13" t="n">
        <x:v>0.186385052144424</x:v>
      </x:c>
      <x:c r="N3666" s="13" t="n">
        <x:f>H3666/G3666</x:f>
        <x:v>0.10317664103401107</x:v>
      </x:c>
      <x:c r="O3666" s="13" t="n">
        <x:f>F3666/E3666</x:f>
        <x:v>0</x:v>
      </x:c>
      <x:c r="P3666" s="2" t="str">
        <x:f>IF(AND(E3666&gt;='Итоги'!$F$5,N3666&lt;='Итоги'!$B$5,O3666&gt;='Итоги'!$D$5),"Да","Нет")</x:f>
        <x:v>Нет</x:v>
      </x:c>
    </x:row>
    <x:row r="3667" ht="60" customHeight="1">
      <x:c r="A3667" s="14" t="str">
        <x:v>Игрушки</x:v>
      </x:c>
      <x:c r="B3667" s="14" t="str">
        <x:v>Игрушки</x:v>
      </x:c>
      <x:c r="C3667" s="14" t="str">
        <x:v>Игровой набор детский</x:v>
      </x:c>
      <x:c r="D3667" s="14" t="str">
        <x:v>Подарочный набор игрушек</x:v>
      </x:c>
      <x:c r="E3667" s="2" t="n">
        <x:v>14</x:v>
      </x:c>
      <x:c r="F3667" s="2" t="n">
        <x:v>0</x:v>
      </x:c>
      <x:c r="G3667" s="12" t="n">
        <x:v>1722086.6828</x:v>
      </x:c>
      <x:c r="H3667" s="12" t="n">
        <x:v>177778.16628524</x:v>
      </x:c>
      <x:c r="I3667" s="13" t="n">
        <x:v>0.1105785714285714</x:v>
      </x:c>
      <x:c r="J3667" s="2" t="n">
        <x:v>3</x:v>
      </x:c>
      <x:c r="K3667" s="2" t="n">
        <x:v>11</x:v>
      </x:c>
      <x:c r="L3667" s="12" t="n">
        <x:v>2654.43705</x:v>
      </x:c>
      <x:c r="M3667" s="13" t="n">
        <x:v>0.1953519781321428</x:v>
      </x:c>
      <x:c r="N3667" s="13" t="n">
        <x:f>H3667/G3667</x:f>
        <x:v>0.10323415659668442</x:v>
      </x:c>
      <x:c r="O3667" s="13" t="n">
        <x:f>F3667/E3667</x:f>
        <x:v>0</x:v>
      </x:c>
      <x:c r="P3667" s="2" t="str">
        <x:f>IF(AND(E3667&gt;='Итоги'!$F$5,N3667&lt;='Итоги'!$B$5,O3667&gt;='Итоги'!$D$5),"Да","Нет")</x:f>
        <x:v>Нет</x:v>
      </x:c>
    </x:row>
    <x:row r="3668" ht="60" customHeight="1">
      <x:c r="A3668" s="14" t="str">
        <x:v>Мелкая бытовая техника</x:v>
      </x:c>
      <x:c r="B3668" s="14" t="str">
        <x:v>SDA Климатическая техника</x:v>
      </x:c>
      <x:c r="C3668" s="14" t="str">
        <x:v>Климатическая техника SDA</x:v>
      </x:c>
      <x:c r="D3668" s="14" t="str">
        <x:v>Конвектор электрический</x:v>
      </x:c>
      <x:c r="E3668" s="2" t="n">
        <x:v>40</x:v>
      </x:c>
      <x:c r="F3668" s="2" t="n">
        <x:v>0</x:v>
      </x:c>
      <x:c r="G3668" s="12" t="n">
        <x:v>5994064.1756</x:v>
      </x:c>
      <x:c r="H3668" s="12" t="n">
        <x:v>619121.32545696</x:v>
      </x:c>
      <x:c r="I3668" s="13" t="n">
        <x:v>0.10286</x:v>
      </x:c>
      <x:c r="J3668" s="2" t="n">
        <x:v>6</x:v>
      </x:c>
      <x:c r="K3668" s="2" t="n">
        <x:v>3</x:v>
      </x:c>
      <x:c r="L3668" s="12" t="n">
        <x:v>3774.09575</x:v>
      </x:c>
      <x:c r="M3668" s="13" t="n">
        <x:v>0.9804099494833578</x:v>
      </x:c>
      <x:c r="N3668" s="13" t="n">
        <x:f>H3668/G3668</x:f>
        <x:v>0.10328907187500817</x:v>
      </x:c>
      <x:c r="O3668" s="13" t="n">
        <x:f>F3668/E3668</x:f>
        <x:v>0</x:v>
      </x:c>
      <x:c r="P3668" s="2" t="str">
        <x:f>IF(AND(E3668&gt;='Итоги'!$F$5,N3668&lt;='Итоги'!$B$5,O3668&gt;='Итоги'!$D$5),"Да","Нет")</x:f>
        <x:v>Нет</x:v>
      </x:c>
    </x:row>
    <x:row r="3669" ht="60" customHeight="1">
      <x:c r="A3669" s="14" t="str">
        <x:v>Аптека</x:v>
      </x:c>
      <x:c r="B3669" s="14" t="str">
        <x:v>Товары для взрослых</x:v>
      </x:c>
      <x:c r="C3669" s="14" t="str">
        <x:v>Эротический аксессуар</x:v>
      </x:c>
      <x:c r="D3669" s="14" t="str">
        <x:v>Аксессуары для ролевых игр</x:v>
      </x:c>
      <x:c r="E3669" s="2" t="n">
        <x:v>3</x:v>
      </x:c>
      <x:c r="F3669" s="2" t="n">
        <x:v>0</x:v>
      </x:c>
      <x:c r="G3669" s="12" t="n">
        <x:v>487983.8894</x:v>
      </x:c>
      <x:c r="H3669" s="12" t="n">
        <x:v>50407.15709671</x:v>
      </x:c>
      <x:c r="I3669" s="13" t="n">
        <x:v>0.1141</x:v>
      </x:c>
      <x:c r="J3669" s="2" t="n">
        <x:v>0</x:v>
      </x:c>
      <x:c r="K3669" s="2" t="n">
        <x:v>3</x:v>
      </x:c>
      <x:c r="L3669" s="12" t="n">
        <x:v>831.6486</x:v>
      </x:c>
      <x:c r="M3669" s="13" t="n">
        <x:v>0.4116554102779771</x:v>
      </x:c>
      <x:c r="N3669" s="13" t="n">
        <x:f>H3669/G3669</x:f>
        <x:v>0.10329676489666095</x:v>
      </x:c>
      <x:c r="O3669" s="13" t="n">
        <x:f>F3669/E3669</x:f>
        <x:v>0</x:v>
      </x:c>
      <x:c r="P3669" s="2" t="str">
        <x:f>IF(AND(E3669&gt;='Итоги'!$F$5,N3669&lt;='Итоги'!$B$5,O3669&gt;='Итоги'!$D$5),"Да","Нет")</x:f>
        <x:v>Нет</x:v>
      </x:c>
    </x:row>
    <x:row r="3670" ht="60" customHeight="1">
      <x:c r="A3670" s="14" t="str">
        <x:v>Спорт и отдых</x:v>
      </x:c>
      <x:c r="B3670" s="14" t="str">
        <x:v>Тренажеры и фитнес</x:v>
      </x:c>
      <x:c r="C3670" s="14" t="str">
        <x:v>Измерительные приборы для спорта</x:v>
      </x:c>
      <x:c r="D3670" s="14" t="str">
        <x:v>Ремешок для наручных спортивных часов</x:v>
      </x:c>
      <x:c r="E3670" s="2" t="n">
        <x:v>1</x:v>
      </x:c>
      <x:c r="F3670" s="2" t="n">
        <x:v>0</x:v>
      </x:c>
      <x:c r="G3670" s="12" t="n">
        <x:v>67007</x:v>
      </x:c>
      <x:c r="H3670" s="12" t="n">
        <x:v>6921.8231000000005</x:v>
      </x:c>
      <x:c r="I3670" s="13" t="n">
        <x:v>0.1033</x:v>
      </x:c>
      <x:c r="J3670" s="2" t="n">
        <x:v>0</x:v>
      </x:c>
      <x:c r="K3670" s="2" t="n">
        <x:v>1</x:v>
      </x:c>
      <x:c r="L3670" s="12" t="n">
        <x:v>3941.5882</x:v>
      </x:c>
      <x:c r="M3670" s="13" t="n">
        <x:v>1</x:v>
      </x:c>
      <x:c r="N3670" s="13" t="n">
        <x:f>H3670/G3670</x:f>
        <x:v>0.1033</x:v>
      </x:c>
      <x:c r="O3670" s="13" t="n">
        <x:f>F3670/E3670</x:f>
        <x:v>0</x:v>
      </x:c>
      <x:c r="P3670" s="2" t="str">
        <x:f>IF(AND(E3670&gt;='Итоги'!$F$5,N3670&lt;='Итоги'!$B$5,O3670&gt;='Итоги'!$D$5),"Да","Нет")</x:f>
        <x:v>Нет</x:v>
      </x:c>
    </x:row>
    <x:row r="3671" ht="60" customHeight="1">
      <x:c r="A3671" s="14" t="str">
        <x:v>Аксессуары для электроники</x:v>
      </x:c>
      <x:c r="B3671" s="14" t="str">
        <x:v>Бытовая техника Access</x:v>
      </x:c>
      <x:c r="C3671" s="14" t="str">
        <x:v>Запчасти для бытовой техники Access</x:v>
      </x:c>
      <x:c r="D3671" s="14" t="str">
        <x:v>Запчасти для вытяжки</x:v>
      </x:c>
      <x:c r="E3671" s="2" t="n">
        <x:v>3</x:v>
      </x:c>
      <x:c r="F3671" s="2" t="n">
        <x:v>0</x:v>
      </x:c>
      <x:c r="G3671" s="12" t="n">
        <x:v>232481.76770000003</x:v>
      </x:c>
      <x:c r="H3671" s="12" t="n">
        <x:v>24029.99507225</x:v>
      </x:c>
      <x:c r="I3671" s="13" t="n">
        <x:v>0.0855666666666666</x:v>
      </x:c>
      <x:c r="J3671" s="2" t="n">
        <x:v>1</x:v>
      </x:c>
      <x:c r="K3671" s="2" t="n">
        <x:v>2</x:v>
      </x:c>
      <x:c r="L3671" s="12" t="n">
        <x:v>1195.0437</x:v>
      </x:c>
      <x:c r="M3671" s="13" t="n">
        <x:v>0.6374511393565938</x:v>
      </x:c>
      <x:c r="N3671" s="13" t="n">
        <x:f>H3671/G3671</x:f>
        <x:v>0.10336292307988158</x:v>
      </x:c>
      <x:c r="O3671" s="13" t="n">
        <x:f>F3671/E3671</x:f>
        <x:v>0</x:v>
      </x:c>
      <x:c r="P3671" s="2" t="str">
        <x:f>IF(AND(E3671&gt;='Итоги'!$F$5,N3671&lt;='Итоги'!$B$5,O3671&gt;='Итоги'!$D$5),"Да","Нет")</x:f>
        <x:v>Нет</x:v>
      </x:c>
    </x:row>
    <x:row r="3672" ht="60" customHeight="1">
      <x:c r="A3672" s="14" t="str">
        <x:v>Спорт и отдых</x:v>
      </x:c>
      <x:c r="B3672" s="14" t="str">
        <x:v>Колесный транспорт</x:v>
      </x:c>
      <x:c r="C3672" s="14" t="str">
        <x:v>Велоаксессуары</x:v>
      </x:c>
      <x:c r="D3672" s="14" t="str">
        <x:v>Велофонарь</x:v>
      </x:c>
      <x:c r="E3672" s="2" t="n">
        <x:v>101</x:v>
      </x:c>
      <x:c r="F3672" s="2" t="n">
        <x:v>0</x:v>
      </x:c>
      <x:c r="G3672" s="12" t="n">
        <x:v>18802561.7472</x:v>
      </x:c>
      <x:c r="H3672" s="12" t="n">
        <x:v>1943502.58588739</x:v>
      </x:c>
      <x:c r="I3672" s="13" t="n">
        <x:v>0.1015049504950495</x:v>
      </x:c>
      <x:c r="J3672" s="2" t="n">
        <x:v>16</x:v>
      </x:c>
      <x:c r="K3672" s="2" t="n">
        <x:v>37</x:v>
      </x:c>
      <x:c r="L3672" s="12" t="n">
        <x:v>1432.2843</x:v>
      </x:c>
      <x:c r="M3672" s="13" t="n">
        <x:v>0.4739175736799252</x:v>
      </x:c>
      <x:c r="N3672" s="13" t="n">
        <x:f>H3672/G3672</x:f>
        <x:v>0.10336371245672459</x:v>
      </x:c>
      <x:c r="O3672" s="13" t="n">
        <x:f>F3672/E3672</x:f>
        <x:v>0</x:v>
      </x:c>
      <x:c r="P3672" s="2" t="str">
        <x:f>IF(AND(E3672&gt;='Итоги'!$F$5,N3672&lt;='Итоги'!$B$5,O3672&gt;='Итоги'!$D$5),"Да","Нет")</x:f>
        <x:v>Нет</x:v>
      </x:c>
    </x:row>
    <x:row r="3673" ht="60" customHeight="1">
      <x:c r="A3673" s="14" t="str">
        <x:v>Мебель</x:v>
      </x:c>
      <x:c r="B3673" s="14" t="str">
        <x:v>Мебель для сада</x:v>
      </x:c>
      <x:c r="C3673" s="14" t="str">
        <x:v>Садовые диван, кресло, стул</x:v>
      </x:c>
      <x:c r="D3673" s="14" t="str">
        <x:v>Табурет для сада</x:v>
      </x:c>
      <x:c r="E3673" s="2" t="n">
        <x:v>2</x:v>
      </x:c>
      <x:c r="F3673" s="2" t="n">
        <x:v>0</x:v>
      </x:c>
      <x:c r="G3673" s="12" t="n">
        <x:v>621732.7894</x:v>
      </x:c>
      <x:c r="H3673" s="12" t="n">
        <x:v>64283.77357122</x:v>
      </x:c>
      <x:c r="I3673" s="13" t="n">
        <x:v>0.11755</x:v>
      </x:c>
      <x:c r="J3673" s="2" t="n">
        <x:v>0</x:v>
      </x:c>
      <x:c r="K3673" s="2" t="n">
        <x:v>1</x:v>
      </x:c>
      <x:c r="L3673" s="12" t="n">
        <x:v>1766.85905</x:v>
      </x:c>
      <x:c r="M3673" s="13" t="n">
        <x:v>1</x:v>
      </x:c>
      <x:c r="N3673" s="13" t="n">
        <x:f>H3673/G3673</x:f>
        <x:v>0.10339453647483628</x:v>
      </x:c>
      <x:c r="O3673" s="13" t="n">
        <x:f>F3673/E3673</x:f>
        <x:v>0</x:v>
      </x:c>
      <x:c r="P3673" s="2" t="str">
        <x:f>IF(AND(E3673&gt;='Итоги'!$F$5,N3673&lt;='Итоги'!$B$5,O3673&gt;='Итоги'!$D$5),"Да","Нет")</x:f>
        <x:v>Нет</x:v>
      </x:c>
    </x:row>
    <x:row r="3674" ht="60" customHeight="1">
      <x:c r="A3674" s="14" t="str">
        <x:v>Напитки</x:v>
      </x:c>
      <x:c r="B3674" s="14" t="str">
        <x:v>Напитки горячие</x:v>
      </x:c>
      <x:c r="C3674" s="14" t="str">
        <x:v>Чай</x:v>
      </x:c>
      <x:c r="D3674" s="14" t="str">
        <x:v>Чай растворимый</x:v>
      </x:c>
      <x:c r="E3674" s="2" t="n">
        <x:v>21</x:v>
      </x:c>
      <x:c r="F3674" s="2" t="n">
        <x:v>0</x:v>
      </x:c>
      <x:c r="G3674" s="12" t="n">
        <x:v>2967242.6594</x:v>
      </x:c>
      <x:c r="H3674" s="12" t="n">
        <x:v>307768.17670415</x:v>
      </x:c>
      <x:c r="I3674" s="13" t="n">
        <x:v>0.0989428571428571</x:v>
      </x:c>
      <x:c r="J3674" s="2" t="n">
        <x:v>2</x:v>
      </x:c>
      <x:c r="K3674" s="2" t="n">
        <x:v>6</x:v>
      </x:c>
      <x:c r="L3674" s="12" t="n">
        <x:v>1309.0055</x:v>
      </x:c>
      <x:c r="M3674" s="13" t="n">
        <x:v>0.4770367929686687</x:v>
      </x:c>
      <x:c r="N3674" s="13" t="n">
        <x:f>H3674/G3674</x:f>
        <x:v>0.10372194391623608</x:v>
      </x:c>
      <x:c r="O3674" s="13" t="n">
        <x:f>F3674/E3674</x:f>
        <x:v>0</x:v>
      </x:c>
      <x:c r="P3674" s="2" t="str">
        <x:f>IF(AND(E3674&gt;='Итоги'!$F$5,N3674&lt;='Итоги'!$B$5,O3674&gt;='Итоги'!$D$5),"Да","Нет")</x:f>
        <x:v>Нет</x:v>
      </x:c>
    </x:row>
    <x:row r="3675" ht="60" customHeight="1">
      <x:c r="A3675" s="14" t="str">
        <x:v>Школьные принадлежности и канцелярия</x:v>
      </x:c>
      <x:c r="B3675" s="14" t="str">
        <x:v>Товары для школы, канцелярия, оборудование</x:v>
      </x:c>
      <x:c r="C3675" s="14" t="str">
        <x:v>Школьные принадлежности</x:v>
      </x:c>
      <x:c r="D3675" s="14" t="str">
        <x:v>Краска - гуашь</x:v>
      </x:c>
      <x:c r="E3675" s="2" t="n">
        <x:v>8</x:v>
      </x:c>
      <x:c r="F3675" s="2" t="n">
        <x:v>0</x:v>
      </x:c>
      <x:c r="G3675" s="12" t="n">
        <x:v>1017683.5125</x:v>
      </x:c>
      <x:c r="H3675" s="12" t="n">
        <x:v>105559.53089567</x:v>
      </x:c>
      <x:c r="I3675" s="13" t="n">
        <x:v>0.1008625</x:v>
      </x:c>
      <x:c r="J3675" s="2" t="n">
        <x:v>1</x:v>
      </x:c>
      <x:c r="K3675" s="2" t="n">
        <x:v>2</x:v>
      </x:c>
      <x:c r="L3675" s="12" t="n">
        <x:v>1376.70595</x:v>
      </x:c>
      <x:c r="M3675" s="13" t="n">
        <x:v>0.7814619012018238</x:v>
      </x:c>
      <x:c r="N3675" s="13" t="n">
        <x:f>H3675/G3675</x:f>
        <x:v>0.1037253031999671</x:v>
      </x:c>
      <x:c r="O3675" s="13" t="n">
        <x:f>F3675/E3675</x:f>
        <x:v>0</x:v>
      </x:c>
      <x:c r="P3675" s="2" t="str">
        <x:f>IF(AND(E3675&gt;='Итоги'!$F$5,N3675&lt;='Итоги'!$B$5,O3675&gt;='Итоги'!$D$5),"Да","Нет")</x:f>
        <x:v>Нет</x:v>
      </x:c>
    </x:row>
    <x:row r="3676" ht="60" customHeight="1">
      <x:c r="A3676" s="14" t="str">
        <x:v>Товары для детей и спорта</x:v>
      </x:c>
      <x:c r="B3676" s="14" t="str">
        <x:v>Спорт детский</x:v>
      </x:c>
      <x:c r="C3676" s="14" t="str">
        <x:v>Товары для активных игр</x:v>
      </x:c>
      <x:c r="D3676" s="14" t="str">
        <x:v>Фингерборд, фингербайк</x:v>
      </x:c>
      <x:c r="E3676" s="2" t="n">
        <x:v>7</x:v>
      </x:c>
      <x:c r="F3676" s="2" t="n">
        <x:v>0</x:v>
      </x:c>
      <x:c r="G3676" s="12" t="n">
        <x:v>546665.6273</x:v>
      </x:c>
      <x:c r="H3676" s="12" t="n">
        <x:v>56752.72058482</x:v>
      </x:c>
      <x:c r="I3676" s="13" t="n">
        <x:v>0.0969142857142857</x:v>
      </x:c>
      <x:c r="J3676" s="2" t="n">
        <x:v>0</x:v>
      </x:c>
      <x:c r="K3676" s="2" t="n">
        <x:v>5</x:v>
      </x:c>
      <x:c r="L3676" s="12" t="n">
        <x:v>1263.0556</x:v>
      </x:c>
      <x:c r="M3676" s="13" t="n">
        <x:v>0.3604699389520223</x:v>
      </x:c>
      <x:c r="N3676" s="13" t="n">
        <x:f>H3676/G3676</x:f>
        <x:v>0.10381614967292456</x:v>
      </x:c>
      <x:c r="O3676" s="13" t="n">
        <x:f>F3676/E3676</x:f>
        <x:v>0</x:v>
      </x:c>
      <x:c r="P3676" s="2" t="str">
        <x:f>IF(AND(E3676&gt;='Итоги'!$F$5,N3676&lt;='Итоги'!$B$5,O3676&gt;='Итоги'!$D$5),"Да","Нет")</x:f>
        <x:v>Нет</x:v>
      </x:c>
    </x:row>
    <x:row r="3677" ht="60" customHeight="1">
      <x:c r="A3677" s="14" t="str">
        <x:v>Одежда</x:v>
      </x:c>
      <x:c r="B3677" s="14" t="str">
        <x:v>Белье, домашняя одежда и ЧНИ</x:v>
      </x:c>
      <x:c r="C3677" s="14" t="str">
        <x:v>Белье женское</x:v>
      </x:c>
      <x:c r="D3677" s="14" t="str">
        <x:v>Боди женское</x:v>
      </x:c>
      <x:c r="E3677" s="2" t="n">
        <x:v>44</x:v>
      </x:c>
      <x:c r="F3677" s="2" t="n">
        <x:v>0</x:v>
      </x:c>
      <x:c r="G3677" s="12" t="n">
        <x:v>4309247.7623</x:v>
      </x:c>
      <x:c r="H3677" s="12" t="n">
        <x:v>447695.84086395</x:v>
      </x:c>
      <x:c r="I3677" s="13" t="n">
        <x:v>0.1035318181818181</x:v>
      </x:c>
      <x:c r="J3677" s="2" t="n">
        <x:v>7</x:v>
      </x:c>
      <x:c r="K3677" s="2" t="n">
        <x:v>10</x:v>
      </x:c>
      <x:c r="L3677" s="12" t="n">
        <x:v>1349.98295</x:v>
      </x:c>
      <x:c r="M3677" s="13" t="n">
        <x:v>0.8151505507135552</x:v>
      </x:c>
      <x:c r="N3677" s="13" t="n">
        <x:f>H3677/G3677</x:f>
        <x:v>0.10389187755242896</x:v>
      </x:c>
      <x:c r="O3677" s="13" t="n">
        <x:f>F3677/E3677</x:f>
        <x:v>0</x:v>
      </x:c>
      <x:c r="P3677" s="2" t="str">
        <x:f>IF(AND(E3677&gt;='Итоги'!$F$5,N3677&lt;='Итоги'!$B$5,O3677&gt;='Итоги'!$D$5),"Да","Нет")</x:f>
        <x:v>Нет</x:v>
      </x:c>
    </x:row>
    <x:row r="3678" ht="60" customHeight="1">
      <x:c r="A3678" s="14" t="str">
        <x:v>Аптека</x:v>
      </x:c>
      <x:c r="B3678" s="14" t="str">
        <x:v>Товары для взрослых</x:v>
      </x:c>
      <x:c r="C3678" s="14" t="str">
        <x:v>Секс игрушки</x:v>
      </x:c>
      <x:c r="D3678" s="14" t="str">
        <x:v>Кукла для секса, имитатор женской груди</x:v>
      </x:c>
      <x:c r="E3678" s="2" t="n">
        <x:v>31</x:v>
      </x:c>
      <x:c r="F3678" s="2" t="n">
        <x:v>0</x:v>
      </x:c>
      <x:c r="G3678" s="12" t="n">
        <x:v>7444469.7356</x:v>
      </x:c>
      <x:c r="H3678" s="12" t="n">
        <x:v>773955.21390058</x:v>
      </x:c>
      <x:c r="I3678" s="13" t="n">
        <x:v>0.0958</x:v>
      </x:c>
      <x:c r="J3678" s="2" t="n">
        <x:v>6</x:v>
      </x:c>
      <x:c r="K3678" s="2" t="n">
        <x:v>8</x:v>
      </x:c>
      <x:c r="L3678" s="12" t="n">
        <x:v>8479.4167</x:v>
      </x:c>
      <x:c r="M3678" s="13" t="n">
        <x:v>0.6166127412337492</x:v>
      </x:c>
      <x:c r="N3678" s="13" t="n">
        <x:f>H3678/G3678</x:f>
        <x:v>0.10396378001235862</x:v>
      </x:c>
      <x:c r="O3678" s="13" t="n">
        <x:f>F3678/E3678</x:f>
        <x:v>0</x:v>
      </x:c>
      <x:c r="P3678" s="2" t="str">
        <x:f>IF(AND(E3678&gt;='Итоги'!$F$5,N3678&lt;='Итоги'!$B$5,O3678&gt;='Итоги'!$D$5),"Да","Нет")</x:f>
        <x:v>Нет</x:v>
      </x:c>
    </x:row>
    <x:row r="3679" ht="60" customHeight="1">
      <x:c r="A3679" s="14" t="str">
        <x:v>Спорт и отдых</x:v>
      </x:c>
      <x:c r="B3679" s="14" t="str">
        <x:v>Товары для рыбалки</x:v>
      </x:c>
      <x:c r="C3679" s="14" t="str">
        <x:v>Аксесcуары для рыбалки</x:v>
      </x:c>
      <x:c r="D3679" s="14" t="str">
        <x:v>Набор для рыбалки</x:v>
      </x:c>
      <x:c r="E3679" s="2" t="n">
        <x:v>48</x:v>
      </x:c>
      <x:c r="F3679" s="2" t="n">
        <x:v>0</x:v>
      </x:c>
      <x:c r="G3679" s="12" t="n">
        <x:v>8918653.5091</x:v>
      </x:c>
      <x:c r="H3679" s="12" t="n">
        <x:v>927314.22098795</x:v>
      </x:c>
      <x:c r="I3679" s="13" t="n">
        <x:v>0.1139145833333333</x:v>
      </x:c>
      <x:c r="J3679" s="2" t="n">
        <x:v>4</x:v>
      </x:c>
      <x:c r="K3679" s="2" t="n">
        <x:v>15</x:v>
      </x:c>
      <x:c r="L3679" s="12" t="n">
        <x:v>2341.9591</x:v>
      </x:c>
      <x:c r="M3679" s="13" t="n">
        <x:v>0.6342860700584451</x:v>
      </x:c>
      <x:c r="N3679" s="13" t="n">
        <x:f>H3679/G3679</x:f>
        <x:v>0.10397468856052995</x:v>
      </x:c>
      <x:c r="O3679" s="13" t="n">
        <x:f>F3679/E3679</x:f>
        <x:v>0</x:v>
      </x:c>
      <x:c r="P3679" s="2" t="str">
        <x:f>IF(AND(E3679&gt;='Итоги'!$F$5,N3679&lt;='Итоги'!$B$5,O3679&gt;='Итоги'!$D$5),"Да","Нет")</x:f>
        <x:v>Нет</x:v>
      </x:c>
    </x:row>
    <x:row r="3680" ht="60" customHeight="1">
      <x:c r="A3680" s="14" t="str">
        <x:v>Аптека</x:v>
      </x:c>
      <x:c r="B3680" s="14" t="str">
        <x:v>Спортивное питание</x:v>
      </x:c>
      <x:c r="C3680" s="14" t="str">
        <x:v>Протеины (высокобелковые смеси)</x:v>
      </x:c>
      <x:c r="D3680" s="14" t="str">
        <x:v>Растительный протеин</x:v>
      </x:c>
      <x:c r="E3680" s="2" t="n">
        <x:v>33</x:v>
      </x:c>
      <x:c r="F3680" s="2" t="n">
        <x:v>0</x:v>
      </x:c>
      <x:c r="G3680" s="12" t="n">
        <x:v>4785016.6145</x:v>
      </x:c>
      <x:c r="H3680" s="12" t="n">
        <x:v>497569.8769809</x:v>
      </x:c>
      <x:c r="I3680" s="13" t="n">
        <x:v>0.1042818181818181</x:v>
      </x:c>
      <x:c r="J3680" s="2" t="n">
        <x:v>3</x:v>
      </x:c>
      <x:c r="K3680" s="2" t="n">
        <x:v>10</x:v>
      </x:c>
      <x:c r="L3680" s="12" t="n">
        <x:v>1276.0691</x:v>
      </x:c>
      <x:c r="M3680" s="13" t="n">
        <x:v>0.6486070756776888</x:v>
      </x:c>
      <x:c r="N3680" s="13" t="n">
        <x:f>H3680/G3680</x:f>
        <x:v>0.1039849841844055</x:v>
      </x:c>
      <x:c r="O3680" s="13" t="n">
        <x:f>F3680/E3680</x:f>
        <x:v>0</x:v>
      </x:c>
      <x:c r="P3680" s="2" t="str">
        <x:f>IF(AND(E3680&gt;='Итоги'!$F$5,N3680&lt;='Итоги'!$B$5,O3680&gt;='Итоги'!$D$5),"Да","Нет")</x:f>
        <x:v>Нет</x:v>
      </x:c>
    </x:row>
    <x:row r="3681" ht="60" customHeight="1">
      <x:c r="A3681" s="14" t="str">
        <x:v>Аптека</x:v>
      </x:c>
      <x:c r="B3681" s="14" t="str">
        <x:v>Парафармацевтика</x:v>
      </x:c>
      <x:c r="C3681" s="14" t="str">
        <x:v>Парафармацевтика</x:v>
      </x:c>
      <x:c r="D3681" s="14" t="str">
        <x:v>Средства для вен и улучшения микроциркуляции</x:v>
      </x:c>
      <x:c r="E3681" s="2" t="n">
        <x:v>5</x:v>
      </x:c>
      <x:c r="F3681" s="2" t="n">
        <x:v>0</x:v>
      </x:c>
      <x:c r="G3681" s="12" t="n">
        <x:v>552713.8498</x:v>
      </x:c>
      <x:c r="H3681" s="12" t="n">
        <x:v>57493.84329414</x:v>
      </x:c>
      <x:c r="I3681" s="13" t="n">
        <x:v>0.1028</x:v>
      </x:c>
      <x:c r="J3681" s="2" t="n">
        <x:v>0</x:v>
      </x:c>
      <x:c r="K3681" s="2" t="n">
        <x:v>1</x:v>
      </x:c>
      <x:c r="L3681" s="12" t="n">
        <x:v>898.486</x:v>
      </x:c>
      <x:c r="M3681" s="13" t="n">
        <x:v>1</x:v>
      </x:c>
      <x:c r="N3681" s="13" t="n">
        <x:f>H3681/G3681</x:f>
        <x:v>0.10402099262564925</x:v>
      </x:c>
      <x:c r="O3681" s="13" t="n">
        <x:f>F3681/E3681</x:f>
        <x:v>0</x:v>
      </x:c>
      <x:c r="P3681" s="2" t="str">
        <x:f>IF(AND(E3681&gt;='Итоги'!$F$5,N3681&lt;='Итоги'!$B$5,O3681&gt;='Итоги'!$D$5),"Да","Нет")</x:f>
        <x:v>Нет</x:v>
      </x:c>
    </x:row>
    <x:row r="3682" ht="60" customHeight="1">
      <x:c r="A3682" s="14" t="str">
        <x:v>Товары для дома</x:v>
      </x:c>
      <x:c r="B3682" s="14" t="str">
        <x:v>Хранение</x:v>
      </x:c>
      <x:c r="C3682" s="14" t="str">
        <x:v>Товары для хранения</x:v>
      </x:c>
      <x:c r="D3682" s="14" t="str">
        <x:v>Органайзер для хранения</x:v>
      </x:c>
      <x:c r="E3682" s="2" t="n">
        <x:v>131</x:v>
      </x:c>
      <x:c r="F3682" s="2" t="n">
        <x:v>0</x:v>
      </x:c>
      <x:c r="G3682" s="12" t="n">
        <x:v>21667944.5167</x:v>
      </x:c>
      <x:c r="H3682" s="12" t="n">
        <x:v>2255329.68783494</x:v>
      </x:c>
      <x:c r="I3682" s="13" t="n">
        <x:v>0.1041679389312977</x:v>
      </x:c>
      <x:c r="J3682" s="2" t="n">
        <x:v>18</x:v>
      </x:c>
      <x:c r="K3682" s="2" t="n">
        <x:v>64</x:v>
      </x:c>
      <x:c r="L3682" s="12" t="n">
        <x:v>1068.7175</x:v>
      </x:c>
      <x:c r="M3682" s="13" t="n">
        <x:v>0.4353913317402564</x:v>
      </x:c>
      <x:c r="N3682" s="13" t="n">
        <x:f>H3682/G3682</x:f>
        <x:v>0.10408600068625355</x:v>
      </x:c>
      <x:c r="O3682" s="13" t="n">
        <x:f>F3682/E3682</x:f>
        <x:v>0</x:v>
      </x:c>
      <x:c r="P3682" s="2" t="str">
        <x:f>IF(AND(E3682&gt;='Итоги'!$F$5,N3682&lt;='Итоги'!$B$5,O3682&gt;='Итоги'!$D$5),"Да","Нет")</x:f>
        <x:v>Нет</x:v>
      </x:c>
    </x:row>
    <x:row r="3683" ht="60" customHeight="1">
      <x:c r="A3683" s="14" t="str">
        <x:v>Товары для дома</x:v>
      </x:c>
      <x:c r="B3683" s="14" t="str">
        <x:v>Домашний текстиль</x:v>
      </x:c>
      <x:c r="C3683" s="14" t="str">
        <x:v>Одеяло</x:v>
      </x:c>
      <x:c r="D3683" s="14" t="str">
        <x:v>Одеяло детское 110х140</x:v>
      </x:c>
      <x:c r="E3683" s="2" t="n">
        <x:v>7</x:v>
      </x:c>
      <x:c r="F3683" s="2" t="n">
        <x:v>0</x:v>
      </x:c>
      <x:c r="G3683" s="12" t="n">
        <x:v>885582.6702</x:v>
      </x:c>
      <x:c r="H3683" s="12" t="n">
        <x:v>92271.87219572</x:v>
      </x:c>
      <x:c r="I3683" s="13" t="n">
        <x:v>0.1122285714285714</x:v>
      </x:c>
      <x:c r="J3683" s="2" t="n">
        <x:v>0</x:v>
      </x:c>
      <x:c r="K3683" s="2" t="n">
        <x:v>4</x:v>
      </x:c>
      <x:c r="L3683" s="12" t="n">
        <x:v>1146.0484</x:v>
      </x:c>
      <x:c r="M3683" s="13" t="n">
        <x:v>0.4393343868304617</x:v>
      </x:c>
      <x:c r="N3683" s="13" t="n">
        <x:f>H3683/G3683</x:f>
        <x:v>0.10419340316910371</x:v>
      </x:c>
      <x:c r="O3683" s="13" t="n">
        <x:f>F3683/E3683</x:f>
        <x:v>0</x:v>
      </x:c>
      <x:c r="P3683" s="2" t="str">
        <x:f>IF(AND(E3683&gt;='Итоги'!$F$5,N3683&lt;='Итоги'!$B$5,O3683&gt;='Итоги'!$D$5),"Да","Нет")</x:f>
        <x:v>Нет</x:v>
      </x:c>
    </x:row>
    <x:row r="3684" ht="60" customHeight="1">
      <x:c r="A3684" s="14" t="str">
        <x:v>Товары для дома</x:v>
      </x:c>
      <x:c r="B3684" s="14" t="str">
        <x:v>Интерьер и декор</x:v>
      </x:c>
      <x:c r="C3684" s="14" t="str">
        <x:v>Шкатулка, копилка</x:v>
      </x:c>
      <x:c r="D3684" s="14" t="str">
        <x:v>Шкатулка декоративная</x:v>
      </x:c>
      <x:c r="E3684" s="2" t="n">
        <x:v>18</x:v>
      </x:c>
      <x:c r="F3684" s="2" t="n">
        <x:v>0</x:v>
      </x:c>
      <x:c r="G3684" s="12" t="n">
        <x:v>3149530.1062</x:v>
      </x:c>
      <x:c r="H3684" s="12" t="n">
        <x:v>328221.79946214</x:v>
      </x:c>
      <x:c r="I3684" s="13" t="n">
        <x:v>0.1036666666666666</x:v>
      </x:c>
      <x:c r="J3684" s="2" t="n">
        <x:v>2</x:v>
      </x:c>
      <x:c r="K3684" s="2" t="n">
        <x:v>9</x:v>
      </x:c>
      <x:c r="L3684" s="12" t="n">
        <x:v>1618.6598</x:v>
      </x:c>
      <x:c r="M3684" s="13" t="n">
        <x:v>0.4588244034738035</x:v>
      </x:c>
      <x:c r="N3684" s="13" t="n">
        <x:f>H3684/G3684</x:f>
        <x:v>0.10421294237385437</x:v>
      </x:c>
      <x:c r="O3684" s="13" t="n">
        <x:f>F3684/E3684</x:f>
        <x:v>0</x:v>
      </x:c>
      <x:c r="P3684" s="2" t="str">
        <x:f>IF(AND(E3684&gt;='Итоги'!$F$5,N3684&lt;='Итоги'!$B$5,O3684&gt;='Итоги'!$D$5),"Да","Нет")</x:f>
        <x:v>Нет</x:v>
      </x:c>
    </x:row>
    <x:row r="3685" ht="60" customHeight="1">
      <x:c r="A3685" s="14" t="str">
        <x:v>Ноутбуки и компьютеры</x:v>
      </x:c>
      <x:c r="B3685" s="14" t="str">
        <x:v>Компьютерные комплектующие Lap&amp;Comp</x:v>
      </x:c>
      <x:c r="C3685" s="14" t="str">
        <x:v>Компьютерные комплектующие Lap&amp;Comp</x:v>
      </x:c>
      <x:c r="D3685" s="14" t="str">
        <x:v>Карта видеозахвата</x:v>
      </x:c>
      <x:c r="E3685" s="2" t="n">
        <x:v>3</x:v>
      </x:c>
      <x:c r="F3685" s="2" t="n">
        <x:v>0</x:v>
      </x:c>
      <x:c r="G3685" s="12" t="n">
        <x:v>401708.55</x:v>
      </x:c>
      <x:c r="H3685" s="12" t="n">
        <x:v>41877.84676</x:v>
      </x:c>
      <x:c r="I3685" s="13" t="n">
        <x:v>0.0912666666666666</x:v>
      </x:c>
      <x:c r="J3685" s="2" t="n">
        <x:v>0</x:v>
      </x:c>
      <x:c r="K3685" s="2" t="n">
        <x:v>3</x:v>
      </x:c>
      <x:c r="L3685" s="12" t="n">
        <x:v>1726.0722</x:v>
      </x:c>
      <x:c r="M3685" s="13" t="n">
        <x:v>0.4167922241137262</x:v>
      </x:c>
      <x:c r="N3685" s="13" t="n">
        <x:f>H3685/G3685</x:f>
        <x:v>0.10424932892267293</x:v>
      </x:c>
      <x:c r="O3685" s="13" t="n">
        <x:f>F3685/E3685</x:f>
        <x:v>0</x:v>
      </x:c>
      <x:c r="P3685" s="2" t="str">
        <x:f>IF(AND(E3685&gt;='Итоги'!$F$5,N3685&lt;='Итоги'!$B$5,O3685&gt;='Итоги'!$D$5),"Да","Нет")</x:f>
        <x:v>Нет</x:v>
      </x:c>
    </x:row>
    <x:row r="3686" ht="60" customHeight="1">
      <x:c r="A3686" s="14" t="str">
        <x:v>Товары для дома</x:v>
      </x:c>
      <x:c r="B3686" s="14" t="str">
        <x:v>Интерьер и декор</x:v>
      </x:c>
      <x:c r="C3686" s="14" t="str">
        <x:v>Принадлежности для праздника</x:v>
      </x:c>
      <x:c r="D3686" s="14" t="str">
        <x:v>Краски Холи</x:v>
      </x:c>
      <x:c r="E3686" s="2" t="n">
        <x:v>14</x:v>
      </x:c>
      <x:c r="F3686" s="2" t="n">
        <x:v>0</x:v>
      </x:c>
      <x:c r="G3686" s="12" t="n">
        <x:v>2549861.0083</x:v>
      </x:c>
      <x:c r="H3686" s="12" t="n">
        <x:v>265821.46428328</x:v>
      </x:c>
      <x:c r="I3686" s="13" t="n">
        <x:v>0.0963571428571428</x:v>
      </x:c>
      <x:c r="J3686" s="2" t="n">
        <x:v>4</x:v>
      </x:c>
      <x:c r="K3686" s="2" t="n">
        <x:v>4</x:v>
      </x:c>
      <x:c r="L3686" s="12" t="n">
        <x:v>2245.0369</x:v>
      </x:c>
      <x:c r="M3686" s="13" t="n">
        <x:v>0.6186405899636424</x:v>
      </x:c>
      <x:c r="N3686" s="13" t="n">
        <x:f>H3686/G3686</x:f>
        <x:v>0.10424939375833038</x:v>
      </x:c>
      <x:c r="O3686" s="13" t="n">
        <x:f>F3686/E3686</x:f>
        <x:v>0</x:v>
      </x:c>
      <x:c r="P3686" s="2" t="str">
        <x:f>IF(AND(E3686&gt;='Итоги'!$F$5,N3686&lt;='Итоги'!$B$5,O3686&gt;='Итоги'!$D$5),"Да","Нет")</x:f>
        <x:v>Нет</x:v>
      </x:c>
    </x:row>
    <x:row r="3687" ht="60" customHeight="1">
      <x:c r="A3687" s="14" t="str">
        <x:v>Мебель</x:v>
      </x:c>
      <x:c r="B3687" s="14" t="str">
        <x:v>Корпусная мебель и мебель для хранения</x:v>
      </x:c>
      <x:c r="C3687" s="14" t="str">
        <x:v>Обувница, этажерка для обуви</x:v>
      </x:c>
      <x:c r="D3687" s="14" t="str">
        <x:v>Складные обувницы и этажерки для обуви</x:v>
      </x:c>
      <x:c r="E3687" s="2" t="n">
        <x:v>106</x:v>
      </x:c>
      <x:c r="F3687" s="2" t="n">
        <x:v>0</x:v>
      </x:c>
      <x:c r="G3687" s="12" t="n">
        <x:v>19431937.0059</x:v>
      </x:c>
      <x:c r="H3687" s="12" t="n">
        <x:v>2026280.51083728</x:v>
      </x:c>
      <x:c r="I3687" s="13" t="n">
        <x:v>0.1129745283018868</x:v>
      </x:c>
      <x:c r="J3687" s="2" t="n">
        <x:v>15</x:v>
      </x:c>
      <x:c r="K3687" s="2" t="n">
        <x:v>8</x:v>
      </x:c>
      <x:c r="L3687" s="12" t="n">
        <x:v>2495.52585</x:v>
      </x:c>
      <x:c r="M3687" s="13" t="n">
        <x:v>0.9464841053527367</x:v>
      </x:c>
      <x:c r="N3687" s="13" t="n">
        <x:f>H3687/G3687</x:f>
        <x:v>0.10427578631106374</x:v>
      </x:c>
      <x:c r="O3687" s="13" t="n">
        <x:f>F3687/E3687</x:f>
        <x:v>0</x:v>
      </x:c>
      <x:c r="P3687" s="2" t="str">
        <x:f>IF(AND(E3687&gt;='Итоги'!$F$5,N3687&lt;='Итоги'!$B$5,O3687&gt;='Итоги'!$D$5),"Да","Нет")</x:f>
        <x:v>Нет</x:v>
      </x:c>
    </x:row>
    <x:row r="3688" ht="60" customHeight="1">
      <x:c r="A3688" s="14" t="str">
        <x:v>Аксессуары</x:v>
      </x:c>
      <x:c r="B3688" s="14" t="str">
        <x:v>Аксессуары</x:v>
      </x:c>
      <x:c r="C3688" s="14" t="str">
        <x:v>Мелкие аксессуары</x:v>
      </x:c>
      <x:c r="D3688" s="14" t="str">
        <x:v>Женский зонт складной</x:v>
      </x:c>
      <x:c r="E3688" s="2" t="n">
        <x:v>84</x:v>
      </x:c>
      <x:c r="F3688" s="2" t="n">
        <x:v>0</x:v>
      </x:c>
      <x:c r="G3688" s="12" t="n">
        <x:v>10783949.7848</x:v>
      </x:c>
      <x:c r="H3688" s="12" t="n">
        <x:v>1124945.02373974</x:v>
      </x:c>
      <x:c r="I3688" s="13" t="n">
        <x:v>0.1051940476190476</x:v>
      </x:c>
      <x:c r="J3688" s="2" t="n">
        <x:v>17</x:v>
      </x:c>
      <x:c r="K3688" s="2" t="n">
        <x:v>15</x:v>
      </x:c>
      <x:c r="L3688" s="12" t="n">
        <x:v>1004.4651</x:v>
      </x:c>
      <x:c r="M3688" s="13" t="n">
        <x:v>0.7979767602710137</x:v>
      </x:c>
      <x:c r="N3688" s="13" t="n">
        <x:f>H3688/G3688</x:f>
        <x:v>0.10431660441569864</x:v>
      </x:c>
      <x:c r="O3688" s="13" t="n">
        <x:f>F3688/E3688</x:f>
        <x:v>0</x:v>
      </x:c>
      <x:c r="P3688" s="2" t="str">
        <x:f>IF(AND(E3688&gt;='Итоги'!$F$5,N3688&lt;='Итоги'!$B$5,O3688&gt;='Итоги'!$D$5),"Да","Нет")</x:f>
        <x:v>Нет</x:v>
      </x:c>
    </x:row>
    <x:row r="3689" ht="60" customHeight="1">
      <x:c r="A3689" s="14" t="str">
        <x:v>Товары для животных</x:v>
      </x:c>
      <x:c r="B3689" s="14" t="str">
        <x:v>Фермерское хозяйство - Оборудование для птицеводства и животноводства</x:v>
      </x:c>
      <x:c r="C3689" s="14" t="str">
        <x:v>Система кормления и поения для сельскохозяйственных животных и птиц</x:v>
      </x:c>
      <x:c r="D3689" s="14" t="str">
        <x:v>Навесная поилка</x:v>
      </x:c>
      <x:c r="E3689" s="2" t="n">
        <x:v>1</x:v>
      </x:c>
      <x:c r="F3689" s="2" t="n">
        <x:v>0</x:v>
      </x:c>
      <x:c r="G3689" s="12" t="n">
        <x:v>31954</x:v>
      </x:c>
      <x:c r="H3689" s="12" t="n">
        <x:v>3335.9976</x:v>
      </x:c>
      <x:c r="I3689" s="13" t="n">
        <x:v>0.1044</x:v>
      </x:c>
      <x:c r="J3689" s="2" t="n">
        <x:v>0</x:v>
      </x:c>
      <x:c r="K3689" s="2" t="n">
        <x:v>1</x:v>
      </x:c>
      <x:c r="L3689" s="12" t="n">
        <x:v>1101.8621</x:v>
      </x:c>
      <x:c r="M3689" s="13" t="n">
        <x:v>1</x:v>
      </x:c>
      <x:c r="N3689" s="13" t="n">
        <x:f>H3689/G3689</x:f>
        <x:v>0.1044</x:v>
      </x:c>
      <x:c r="O3689" s="13" t="n">
        <x:f>F3689/E3689</x:f>
        <x:v>0</x:v>
      </x:c>
      <x:c r="P3689" s="2" t="str">
        <x:f>IF(AND(E3689&gt;='Итоги'!$F$5,N3689&lt;='Итоги'!$B$5,O3689&gt;='Итоги'!$D$5),"Да","Нет")</x:f>
        <x:v>Нет</x:v>
      </x:c>
    </x:row>
    <x:row r="3690" ht="60" customHeight="1">
      <x:c r="A3690" s="14" t="str">
        <x:v>Товары для дома</x:v>
      </x:c>
      <x:c r="B3690" s="14" t="str">
        <x:v>Ванная комната</x:v>
      </x:c>
      <x:c r="C3690" s="14" t="str">
        <x:v>Шторы и карнизы для ванной</x:v>
      </x:c>
      <x:c r="D3690" s="14" t="str">
        <x:v>Шторы для ванной</x:v>
      </x:c>
      <x:c r="E3690" s="2" t="n">
        <x:v>122</x:v>
      </x:c>
      <x:c r="F3690" s="2" t="n">
        <x:v>0</x:v>
      </x:c>
      <x:c r="G3690" s="12" t="n">
        <x:v>20000852.3521</x:v>
      </x:c>
      <x:c r="H3690" s="12" t="n">
        <x:v>2088257.9744376896</x:v>
      </x:c>
      <x:c r="I3690" s="13" t="n">
        <x:v>0.1011016393442622</x:v>
      </x:c>
      <x:c r="J3690" s="2" t="n">
        <x:v>15</x:v>
      </x:c>
      <x:c r="K3690" s="2" t="n">
        <x:v>24</x:v>
      </x:c>
      <x:c r="L3690" s="12" t="n">
        <x:v>1161.15405</x:v>
      </x:c>
      <x:c r="M3690" s="13" t="n">
        <x:v>0.1960865611353917</x:v>
      </x:c>
      <x:c r="N3690" s="13" t="n">
        <x:f>H3690/G3690</x:f>
        <x:v>0.10440844908384277</x:v>
      </x:c>
      <x:c r="O3690" s="13" t="n">
        <x:f>F3690/E3690</x:f>
        <x:v>0</x:v>
      </x:c>
      <x:c r="P3690" s="2" t="str">
        <x:f>IF(AND(E3690&gt;='Итоги'!$F$5,N3690&lt;='Итоги'!$B$5,O3690&gt;='Итоги'!$D$5),"Да","Нет")</x:f>
        <x:v>Нет</x:v>
      </x:c>
    </x:row>
    <x:row r="3691" ht="60" customHeight="1">
      <x:c r="A3691" s="14" t="str">
        <x:v>Автотовары</x:v>
      </x:c>
      <x:c r="B3691" s="14" t="str">
        <x:v>Авто и мото запчасти</x:v>
      </x:c>
      <x:c r="C3691" s="14" t="str">
        <x:v>Запчасти для ТО</x:v>
      </x:c>
      <x:c r="D3691" s="14" t="str">
        <x:v>Фильтр воздушный</x:v>
      </x:c>
      <x:c r="E3691" s="2" t="n">
        <x:v>11</x:v>
      </x:c>
      <x:c r="F3691" s="2" t="n">
        <x:v>0</x:v>
      </x:c>
      <x:c r="G3691" s="12" t="n">
        <x:v>1040203.9931</x:v>
      </x:c>
      <x:c r="H3691" s="12" t="n">
        <x:v>108609.133988</x:v>
      </x:c>
      <x:c r="I3691" s="13" t="n">
        <x:v>0.0740818181818181</x:v>
      </x:c>
      <x:c r="J3691" s="2" t="n">
        <x:v>5</x:v>
      </x:c>
      <x:c r="K3691" s="2" t="n">
        <x:v>8</x:v>
      </x:c>
      <x:c r="L3691" s="12" t="n">
        <x:v>1444.377</x:v>
      </x:c>
      <x:c r="M3691" s="13" t="n">
        <x:v>0.265894754139259</x:v>
      </x:c>
      <x:c r="N3691" s="13" t="n">
        <x:f>H3691/G3691</x:f>
        <x:v>0.10441137960288417</x:v>
      </x:c>
      <x:c r="O3691" s="13" t="n">
        <x:f>F3691/E3691</x:f>
        <x:v>0</x:v>
      </x:c>
      <x:c r="P3691" s="2" t="str">
        <x:f>IF(AND(E3691&gt;='Итоги'!$F$5,N3691&lt;='Итоги'!$B$5,O3691&gt;='Итоги'!$D$5),"Да","Нет")</x:f>
        <x:v>Нет</x:v>
      </x:c>
    </x:row>
    <x:row r="3692" ht="60" customHeight="1">
      <x:c r="A3692" s="14" t="str">
        <x:v>Товары для дома</x:v>
      </x:c>
      <x:c r="B3692" s="14" t="str">
        <x:v>Домашний текстиль</x:v>
      </x:c>
      <x:c r="C3692" s="14" t="str">
        <x:v>Коврики, покрытия</x:v>
      </x:c>
      <x:c r="D3692" s="14" t="str">
        <x:v>Защитное покрытие</x:v>
      </x:c>
      <x:c r="E3692" s="2" t="n">
        <x:v>15</x:v>
      </x:c>
      <x:c r="F3692" s="2" t="n">
        <x:v>0</x:v>
      </x:c>
      <x:c r="G3692" s="12" t="n">
        <x:v>1888669.0823</x:v>
      </x:c>
      <x:c r="H3692" s="12" t="n">
        <x:v>197434.29095466</x:v>
      </x:c>
      <x:c r="I3692" s="13" t="n">
        <x:v>0.0800066666666666</x:v>
      </x:c>
      <x:c r="J3692" s="2" t="n">
        <x:v>5</x:v>
      </x:c>
      <x:c r="K3692" s="2" t="n">
        <x:v>6</x:v>
      </x:c>
      <x:c r="L3692" s="12" t="n">
        <x:v>2377.7569</x:v>
      </x:c>
      <x:c r="M3692" s="13" t="n">
        <x:v>0.5636101778632902</x:v>
      </x:c>
      <x:c r="N3692" s="13" t="n">
        <x:f>H3692/G3692</x:f>
        <x:v>0.1045362010767004</x:v>
      </x:c>
      <x:c r="O3692" s="13" t="n">
        <x:f>F3692/E3692</x:f>
        <x:v>0</x:v>
      </x:c>
      <x:c r="P3692" s="2" t="str">
        <x:f>IF(AND(E3692&gt;='Итоги'!$F$5,N3692&lt;='Итоги'!$B$5,O3692&gt;='Итоги'!$D$5),"Да","Нет")</x:f>
        <x:v>Нет</x:v>
      </x:c>
    </x:row>
    <x:row r="3693" ht="60" customHeight="1">
      <x:c r="A3693" s="14" t="str">
        <x:v>Строительство и ремонт (DIY)</x:v>
      </x:c>
      <x:c r="B3693" s="14" t="str">
        <x:v>Освещение</x:v>
      </x:c>
      <x:c r="C3693" s="14" t="str">
        <x:v>Светильник домашний</x:v>
      </x:c>
      <x:c r="D3693" s="14" t="str">
        <x:v>Светильник управляемый</x:v>
      </x:c>
      <x:c r="E3693" s="2" t="n">
        <x:v>24</x:v>
      </x:c>
      <x:c r="F3693" s="2" t="n">
        <x:v>0</x:v>
      </x:c>
      <x:c r="G3693" s="12" t="n">
        <x:v>2980428.9094</x:v>
      </x:c>
      <x:c r="H3693" s="12" t="n">
        <x:v>311774.54872966</x:v>
      </x:c>
      <x:c r="I3693" s="13" t="n">
        <x:v>0.1017458333333333</x:v>
      </x:c>
      <x:c r="J3693" s="2" t="n">
        <x:v>4</x:v>
      </x:c>
      <x:c r="K3693" s="2" t="n">
        <x:v>9</x:v>
      </x:c>
      <x:c r="L3693" s="12" t="n">
        <x:v>2531.57745</x:v>
      </x:c>
      <x:c r="M3693" s="13" t="n">
        <x:v>0.3218526357648005</x:v>
      </x:c>
      <x:c r="N3693" s="13" t="n">
        <x:f>H3693/G3693</x:f>
        <x:v>0.10460727573348642</x:v>
      </x:c>
      <x:c r="O3693" s="13" t="n">
        <x:f>F3693/E3693</x:f>
        <x:v>0</x:v>
      </x:c>
      <x:c r="P3693" s="2" t="str">
        <x:f>IF(AND(E3693&gt;='Итоги'!$F$5,N3693&lt;='Итоги'!$B$5,O3693&gt;='Итоги'!$D$5),"Да","Нет")</x:f>
        <x:v>Нет</x:v>
      </x:c>
    </x:row>
    <x:row r="3694" ht="60" customHeight="1">
      <x:c r="A3694" s="14" t="str">
        <x:v>Товары для дома</x:v>
      </x:c>
      <x:c r="B3694" s="14" t="str">
        <x:v>Кухня</x:v>
      </x:c>
      <x:c r="C3694" s="14" t="str">
        <x:v>Посуда для приготовления пищи</x:v>
      </x:c>
      <x:c r="D3694" s="14" t="str">
        <x:v>Форма для выпечки и запекания</x:v>
      </x:c>
      <x:c r="E3694" s="2" t="n">
        <x:v>27</x:v>
      </x:c>
      <x:c r="F3694" s="2" t="n">
        <x:v>0</x:v>
      </x:c>
      <x:c r="G3694" s="12" t="n">
        <x:v>3537890.8644</x:v>
      </x:c>
      <x:c r="H3694" s="12" t="n">
        <x:v>370260.60187325</x:v>
      </x:c>
      <x:c r="I3694" s="13" t="n">
        <x:v>0.0986037037037037</x:v>
      </x:c>
      <x:c r="J3694" s="2" t="n">
        <x:v>5</x:v>
      </x:c>
      <x:c r="K3694" s="2" t="n">
        <x:v>8</x:v>
      </x:c>
      <x:c r="L3694" s="12" t="n">
        <x:v>1193.7171</x:v>
      </x:c>
      <x:c r="M3694" s="13" t="n">
        <x:v>0.6755681837589246</x:v>
      </x:c>
      <x:c r="N3694" s="13" t="n">
        <x:f>H3694/G3694</x:f>
        <x:v>0.10465574435859357</x:v>
      </x:c>
      <x:c r="O3694" s="13" t="n">
        <x:f>F3694/E3694</x:f>
        <x:v>0</x:v>
      </x:c>
      <x:c r="P3694" s="2" t="str">
        <x:f>IF(AND(E3694&gt;='Итоги'!$F$5,N3694&lt;='Итоги'!$B$5,O3694&gt;='Итоги'!$D$5),"Да","Нет")</x:f>
        <x:v>Нет</x:v>
      </x:c>
    </x:row>
    <x:row r="3695" ht="60" customHeight="1">
      <x:c r="A3695" s="14" t="str">
        <x:v>Строительство и ремонт (DIY)</x:v>
      </x:c>
      <x:c r="B3695" s="14" t="str">
        <x:v>Ремонт и строительство</x:v>
      </x:c>
      <x:c r="C3695" s="14" t="str">
        <x:v>Стройматериалы</x:v>
      </x:c>
      <x:c r="D3695" s="14" t="str">
        <x:v>Уплотнительная лента, серпянка для гипсокартона</x:v>
      </x:c>
      <x:c r="E3695" s="2" t="n">
        <x:v>4</x:v>
      </x:c>
      <x:c r="F3695" s="2" t="n">
        <x:v>0</x:v>
      </x:c>
      <x:c r="G3695" s="12" t="n">
        <x:v>348564</x:v>
      </x:c>
      <x:c r="H3695" s="12" t="n">
        <x:v>36520.0123</x:v>
      </x:c>
      <x:c r="I3695" s="13" t="n">
        <x:v>0.08315</x:v>
      </x:c>
      <x:c r="J3695" s="2" t="n">
        <x:v>1</x:v>
      </x:c>
      <x:c r="K3695" s="2" t="n">
        <x:v>3</x:v>
      </x:c>
      <x:c r="L3695" s="12" t="n">
        <x:v>2300.14485</x:v>
      </x:c>
      <x:c r="M3695" s="13" t="n">
        <x:v>0.7047371501359865</x:v>
      </x:c>
      <x:c r="N3695" s="13" t="n">
        <x:f>H3695/G3695</x:f>
        <x:v>0.10477275995226129</x:v>
      </x:c>
      <x:c r="O3695" s="13" t="n">
        <x:f>F3695/E3695</x:f>
        <x:v>0</x:v>
      </x:c>
      <x:c r="P3695" s="2" t="str">
        <x:f>IF(AND(E3695&gt;='Итоги'!$F$5,N3695&lt;='Итоги'!$B$5,O3695&gt;='Итоги'!$D$5),"Да","Нет")</x:f>
        <x:v>Нет</x:v>
      </x:c>
    </x:row>
    <x:row r="3696" ht="60" customHeight="1">
      <x:c r="A3696" s="14" t="str">
        <x:v>Аксессуары</x:v>
      </x:c>
      <x:c r="B3696" s="14" t="str">
        <x:v>Сумки и рюкзаки</x:v>
      </x:c>
      <x:c r="C3696" s="14" t="str">
        <x:v>Рюкзак</x:v>
      </x:c>
      <x:c r="D3696" s="14" t="str">
        <x:v>Рюкзак унисекс</x:v>
      </x:c>
      <x:c r="E3696" s="2" t="n">
        <x:v>435</x:v>
      </x:c>
      <x:c r="F3696" s="2" t="n">
        <x:v>0</x:v>
      </x:c>
      <x:c r="G3696" s="12" t="n">
        <x:v>55667446.0227</x:v>
      </x:c>
      <x:c r="H3696" s="12" t="n">
        <x:v>5836998.37612336</x:v>
      </x:c>
      <x:c r="I3696" s="13" t="n">
        <x:v>0.0997788505747126</x:v>
      </x:c>
      <x:c r="J3696" s="2" t="n">
        <x:v>83</x:v>
      </x:c>
      <x:c r="K3696" s="2" t="n">
        <x:v>186</x:v>
      </x:c>
      <x:c r="L3696" s="12" t="n">
        <x:v>1699.1771</x:v>
      </x:c>
      <x:c r="M3696" s="13" t="n">
        <x:v>0.3329506402636474</x:v>
      </x:c>
      <x:c r="N3696" s="13" t="n">
        <x:f>H3696/G3696</x:f>
        <x:v>0.10485479024389151</x:v>
      </x:c>
      <x:c r="O3696" s="13" t="n">
        <x:f>F3696/E3696</x:f>
        <x:v>0</x:v>
      </x:c>
      <x:c r="P3696" s="2" t="str">
        <x:f>IF(AND(E3696&gt;='Итоги'!$F$5,N3696&lt;='Итоги'!$B$5,O3696&gt;='Итоги'!$D$5),"Да","Нет")</x:f>
        <x:v>Нет</x:v>
      </x:c>
    </x:row>
    <x:row r="3697" ht="60" customHeight="1">
      <x:c r="A3697" s="14" t="str">
        <x:v>Аудио и видеотехника</x:v>
      </x:c>
      <x:c r="B3697" s="14" t="str">
        <x:v>Домашняя Аудио и Видеотехника TV&amp;Audio</x:v>
      </x:c>
      <x:c r="C3697" s="14" t="str">
        <x:v>Музыкальные инструменты TV&amp;Audio</x:v>
      </x:c>
      <x:c r="D3697" s="14" t="str">
        <x:v>Этнический музыкальный инструмент</x:v>
      </x:c>
      <x:c r="E3697" s="2" t="n">
        <x:v>27</x:v>
      </x:c>
      <x:c r="F3697" s="2" t="n">
        <x:v>0</x:v>
      </x:c>
      <x:c r="G3697" s="12" t="n">
        <x:v>3637317.8045</x:v>
      </x:c>
      <x:c r="H3697" s="12" t="n">
        <x:v>381447.82419881</x:v>
      </x:c>
      <x:c r="I3697" s="13" t="n">
        <x:v>0.0877222222222222</x:v>
      </x:c>
      <x:c r="J3697" s="2" t="n">
        <x:v>10</x:v>
      </x:c>
      <x:c r="K3697" s="2" t="n">
        <x:v>13</x:v>
      </x:c>
      <x:c r="L3697" s="12" t="n">
        <x:v>2481.1</x:v>
      </x:c>
      <x:c r="M3697" s="13" t="n">
        <x:v>0.3543760208154777</x:v>
      </x:c>
      <x:c r="N3697" s="13" t="n">
        <x:f>H3697/G3697</x:f>
        <x:v>0.10487063399488825</x:v>
      </x:c>
      <x:c r="O3697" s="13" t="n">
        <x:f>F3697/E3697</x:f>
        <x:v>0</x:v>
      </x:c>
      <x:c r="P3697" s="2" t="str">
        <x:f>IF(AND(E3697&gt;='Итоги'!$F$5,N3697&lt;='Итоги'!$B$5,O3697&gt;='Итоги'!$D$5),"Да","Нет")</x:f>
        <x:v>Нет</x:v>
      </x:c>
    </x:row>
    <x:row r="3698" ht="60" customHeight="1">
      <x:c r="A3698" s="14" t="str">
        <x:v>Товары для дома</x:v>
      </x:c>
      <x:c r="B3698" s="14" t="str">
        <x:v>Кухня</x:v>
      </x:c>
      <x:c r="C3698" s="14" t="str">
        <x:v>Кухонная утварь и принадлежности</x:v>
      </x:c>
      <x:c r="D3698" s="14" t="str">
        <x:v>Овощерезка, терка, измельчитель</x:v>
      </x:c>
      <x:c r="E3698" s="2" t="n">
        <x:v>55</x:v>
      </x:c>
      <x:c r="F3698" s="2" t="n">
        <x:v>0</x:v>
      </x:c>
      <x:c r="G3698" s="12" t="n">
        <x:v>9604949.4441</x:v>
      </x:c>
      <x:c r="H3698" s="12" t="n">
        <x:v>1007492.10536655</x:v>
      </x:c>
      <x:c r="I3698" s="13" t="n">
        <x:v>0.12</x:v>
      </x:c>
      <x:c r="J3698" s="2" t="n">
        <x:v>14</x:v>
      </x:c>
      <x:c r="K3698" s="2" t="n">
        <x:v>27</x:v>
      </x:c>
      <x:c r="L3698" s="12" t="n">
        <x:v>1319.3987</x:v>
      </x:c>
      <x:c r="M3698" s="13" t="n">
        <x:v>0.387121637364163</x:v>
      </x:c>
      <x:c r="N3698" s="13" t="n">
        <x:f>H3698/G3698</x:f>
        <x:v>0.10489301492215754</x:v>
      </x:c>
      <x:c r="O3698" s="13" t="n">
        <x:f>F3698/E3698</x:f>
        <x:v>0</x:v>
      </x:c>
      <x:c r="P3698" s="2" t="str">
        <x:f>IF(AND(E3698&gt;='Итоги'!$F$5,N3698&lt;='Итоги'!$B$5,O3698&gt;='Итоги'!$D$5),"Да","Нет")</x:f>
        <x:v>Нет</x:v>
      </x:c>
    </x:row>
    <x:row r="3699" ht="60" customHeight="1">
      <x:c r="A3699" s="14" t="str">
        <x:v>Товары для дома</x:v>
      </x:c>
      <x:c r="B3699" s="14" t="str">
        <x:v>Домашний текстиль</x:v>
      </x:c>
      <x:c r="C3699" s="14" t="str">
        <x:v>Подушка</x:v>
      </x:c>
      <x:c r="D3699" s="14" t="str">
        <x:v>Подушка декоративная</x:v>
      </x:c>
      <x:c r="E3699" s="2" t="n">
        <x:v>19</x:v>
      </x:c>
      <x:c r="F3699" s="2" t="n">
        <x:v>0</x:v>
      </x:c>
      <x:c r="G3699" s="12" t="n">
        <x:v>2921979.8174</x:v>
      </x:c>
      <x:c r="H3699" s="12" t="n">
        <x:v>306665.47410538</x:v>
      </x:c>
      <x:c r="I3699" s="13" t="n">
        <x:v>0.0926894736842105</x:v>
      </x:c>
      <x:c r="J3699" s="2" t="n">
        <x:v>6</x:v>
      </x:c>
      <x:c r="K3699" s="2" t="n">
        <x:v>8</x:v>
      </x:c>
      <x:c r="L3699" s="12" t="n">
        <x:v>1040.2428</x:v>
      </x:c>
      <x:c r="M3699" s="13" t="n">
        <x:v>0.455114267313214</x:v>
      </x:c>
      <x:c r="N3699" s="13" t="n">
        <x:f>H3699/G3699</x:f>
        <x:v>0.10495126361901203</x:v>
      </x:c>
      <x:c r="O3699" s="13" t="n">
        <x:f>F3699/E3699</x:f>
        <x:v>0</x:v>
      </x:c>
      <x:c r="P3699" s="2" t="str">
        <x:f>IF(AND(E3699&gt;='Итоги'!$F$5,N3699&lt;='Итоги'!$B$5,O3699&gt;='Итоги'!$D$5),"Да","Нет")</x:f>
        <x:v>Нет</x:v>
      </x:c>
    </x:row>
    <x:row r="3700" ht="60" customHeight="1">
      <x:c r="A3700" s="14" t="str">
        <x:v>Товары для дома</x:v>
      </x:c>
      <x:c r="B3700" s="14" t="str">
        <x:v>Кухня</x:v>
      </x:c>
      <x:c r="C3700" s="14" t="str">
        <x:v>Питьевое стекло, аксессуар для бара, сосуд для жидкости</x:v>
      </x:c>
      <x:c r="D3700" s="14" t="str">
        <x:v>Графин, штоф</x:v>
      </x:c>
      <x:c r="E3700" s="2" t="n">
        <x:v>11</x:v>
      </x:c>
      <x:c r="F3700" s="2" t="n">
        <x:v>0</x:v>
      </x:c>
      <x:c r="G3700" s="12" t="n">
        <x:v>1483232.5959</x:v>
      </x:c>
      <x:c r="H3700" s="12" t="n">
        <x:v>155985.87960443</x:v>
      </x:c>
      <x:c r="I3700" s="13" t="n">
        <x:v>0.1015181818181818</x:v>
      </x:c>
      <x:c r="J3700" s="2" t="n">
        <x:v>1</x:v>
      </x:c>
      <x:c r="K3700" s="2" t="n">
        <x:v>9</x:v>
      </x:c>
      <x:c r="L3700" s="12" t="n">
        <x:v>991.8365</x:v>
      </x:c>
      <x:c r="M3700" s="13" t="n">
        <x:v>0.2762175879443939</x:v>
      </x:c>
      <x:c r="N3700" s="13" t="n">
        <x:f>H3700/G3700</x:f>
        <x:v>0.10516616209461095</x:v>
      </x:c>
      <x:c r="O3700" s="13" t="n">
        <x:f>F3700/E3700</x:f>
        <x:v>0</x:v>
      </x:c>
      <x:c r="P3700" s="2" t="str">
        <x:f>IF(AND(E3700&gt;='Итоги'!$F$5,N3700&lt;='Итоги'!$B$5,O3700&gt;='Итоги'!$D$5),"Да","Нет")</x:f>
        <x:v>Нет</x:v>
      </x:c>
    </x:row>
    <x:row r="3701" ht="60" customHeight="1">
      <x:c r="A3701" s="14" t="str">
        <x:v>Одежда</x:v>
      </x:c>
      <x:c r="B3701" s="14" t="str">
        <x:v>Белье, домашняя одежда и ЧНИ</x:v>
      </x:c>
      <x:c r="C3701" s="14" t="str">
        <x:v>Спортивное белье, носки</x:v>
      </x:c>
      <x:c r="D3701" s="14" t="str">
        <x:v>Спортивные трусы женские</x:v>
      </x:c>
      <x:c r="E3701" s="2" t="n">
        <x:v>31</x:v>
      </x:c>
      <x:c r="F3701" s="2" t="n">
        <x:v>0</x:v>
      </x:c>
      <x:c r="G3701" s="12" t="n">
        <x:v>5196054.1592</x:v>
      </x:c>
      <x:c r="H3701" s="12" t="n">
        <x:v>546565.49521703</x:v>
      </x:c>
      <x:c r="I3701" s="13" t="n">
        <x:v>0.111658064516129</x:v>
      </x:c>
      <x:c r="J3701" s="2" t="n">
        <x:v>3</x:v>
      </x:c>
      <x:c r="K3701" s="2" t="n">
        <x:v>8</x:v>
      </x:c>
      <x:c r="L3701" s="12" t="n">
        <x:v>823.8482</x:v>
      </x:c>
      <x:c r="M3701" s="13" t="n">
        <x:v>0.5354817217356306</x:v>
      </x:c>
      <x:c r="N3701" s="13" t="n">
        <x:f>H3701/G3701</x:f>
        <x:v>0.10518856779991319</x:v>
      </x:c>
      <x:c r="O3701" s="13" t="n">
        <x:f>F3701/E3701</x:f>
        <x:v>0</x:v>
      </x:c>
      <x:c r="P3701" s="2" t="str">
        <x:f>IF(AND(E3701&gt;='Итоги'!$F$5,N3701&lt;='Итоги'!$B$5,O3701&gt;='Итоги'!$D$5),"Да","Нет")</x:f>
        <x:v>Нет</x:v>
      </x:c>
    </x:row>
    <x:row r="3702" ht="60" customHeight="1">
      <x:c r="A3702" s="14" t="str">
        <x:v>Ноутбуки и компьютеры</x:v>
      </x:c>
      <x:c r="B3702" s="14" t="str">
        <x:v>Компьютерная офисная техника Lap&amp;Comp</x:v>
      </x:c>
      <x:c r="C3702" s="14" t="str">
        <x:v>Компьютерная офисная техника Lap&amp;Comp</x:v>
      </x:c>
      <x:c r="D3702" s="14" t="str">
        <x:v>Ламинатор</x:v>
      </x:c>
      <x:c r="E3702" s="2" t="n">
        <x:v>28</x:v>
      </x:c>
      <x:c r="F3702" s="2" t="n">
        <x:v>0</x:v>
      </x:c>
      <x:c r="G3702" s="12" t="n">
        <x:v>6309834.1526</x:v>
      </x:c>
      <x:c r="H3702" s="12" t="n">
        <x:v>664161.17556493</x:v>
      </x:c>
      <x:c r="I3702" s="13" t="n">
        <x:v>0.0968178571428571</x:v>
      </x:c>
      <x:c r="J3702" s="2" t="n">
        <x:v>10</x:v>
      </x:c>
      <x:c r="K3702" s="2" t="n">
        <x:v>3</x:v>
      </x:c>
      <x:c r="L3702" s="12" t="n">
        <x:v>1884.80895</x:v>
      </x:c>
      <x:c r="M3702" s="13" t="n">
        <x:v>0.5849163322270868</x:v>
      </x:c>
      <x:c r="N3702" s="13" t="n">
        <x:f>H3702/G3702</x:f>
        <x:v>0.10525810338315451</x:v>
      </x:c>
      <x:c r="O3702" s="13" t="n">
        <x:f>F3702/E3702</x:f>
        <x:v>0</x:v>
      </x:c>
      <x:c r="P3702" s="2" t="str">
        <x:f>IF(AND(E3702&gt;='Итоги'!$F$5,N3702&lt;='Итоги'!$B$5,O3702&gt;='Итоги'!$D$5),"Да","Нет")</x:f>
        <x:v>Нет</x:v>
      </x:c>
    </x:row>
    <x:row r="3703" ht="60" customHeight="1">
      <x:c r="A3703" s="14" t="str">
        <x:v>Спорт и отдых</x:v>
      </x:c>
      <x:c r="B3703" s="14" t="str">
        <x:v>Тренажеры и фитнес</x:v>
      </x:c>
      <x:c r="C3703" s="14" t="str">
        <x:v>Кросстренинг и тяжёлая атлетика</x:v>
      </x:c>
      <x:c r="D3703" s="14" t="str">
        <x:v>Аксессуары для кросстренинга</x:v>
      </x:c>
      <x:c r="E3703" s="2" t="n">
        <x:v>6</x:v>
      </x:c>
      <x:c r="F3703" s="2" t="n">
        <x:v>0</x:v>
      </x:c>
      <x:c r="G3703" s="12" t="n">
        <x:v>671708.4225</x:v>
      </x:c>
      <x:c r="H3703" s="12" t="n">
        <x:v>70719.33275272</x:v>
      </x:c>
      <x:c r="I3703" s="13" t="n">
        <x:v>0.1065833333333333</x:v>
      </x:c>
      <x:c r="J3703" s="2" t="n">
        <x:v>0</x:v>
      </x:c>
      <x:c r="K3703" s="2" t="n">
        <x:v>5</x:v>
      </x:c>
      <x:c r="L3703" s="12" t="n">
        <x:v>1105.7316</x:v>
      </x:c>
      <x:c r="M3703" s="13" t="n">
        <x:v>0.3193460778735434</x:v>
      </x:c>
      <x:c r="N3703" s="13" t="n">
        <x:f>H3703/G3703</x:f>
        <x:v>0.10528278399355638</x:v>
      </x:c>
      <x:c r="O3703" s="13" t="n">
        <x:f>F3703/E3703</x:f>
        <x:v>0</x:v>
      </x:c>
      <x:c r="P3703" s="2" t="str">
        <x:f>IF(AND(E3703&gt;='Итоги'!$F$5,N3703&lt;='Итоги'!$B$5,O3703&gt;='Итоги'!$D$5),"Да","Нет")</x:f>
        <x:v>Нет</x:v>
      </x:c>
    </x:row>
    <x:row r="3704" ht="60" customHeight="1">
      <x:c r="A3704" s="14" t="str">
        <x:v>Аксессуары</x:v>
      </x:c>
      <x:c r="B3704" s="14" t="str">
        <x:v>Аксессуары</x:v>
      </x:c>
      <x:c r="C3704" s="14" t="str">
        <x:v>Аксессуары и уход для обуви</x:v>
      </x:c>
      <x:c r="D3704" s="14" t="str">
        <x:v>Аксессуары для обуви</x:v>
      </x:c>
      <x:c r="E3704" s="2" t="n">
        <x:v>5</x:v>
      </x:c>
      <x:c r="F3704" s="2" t="n">
        <x:v>0</x:v>
      </x:c>
      <x:c r="G3704" s="12" t="n">
        <x:v>617057.3854</x:v>
      </x:c>
      <x:c r="H3704" s="12" t="n">
        <x:v>65035.12905988</x:v>
      </x:c>
      <x:c r="I3704" s="13" t="n">
        <x:v>0.09432</x:v>
      </x:c>
      <x:c r="J3704" s="2" t="n">
        <x:v>0</x:v>
      </x:c>
      <x:c r="K3704" s="2" t="n">
        <x:v>4</x:v>
      </x:c>
      <x:c r="L3704" s="12" t="n">
        <x:v>1545.9665</x:v>
      </x:c>
      <x:c r="M3704" s="13" t="n">
        <x:v>0.4027113456213079</x:v>
      </x:c>
      <x:c r="N3704" s="13" t="n">
        <x:f>H3704/G3704</x:f>
        <x:v>0.10539559301720659</x:v>
      </x:c>
      <x:c r="O3704" s="13" t="n">
        <x:f>F3704/E3704</x:f>
        <x:v>0</x:v>
      </x:c>
      <x:c r="P3704" s="2" t="str">
        <x:f>IF(AND(E3704&gt;='Итоги'!$F$5,N3704&lt;='Итоги'!$B$5,O3704&gt;='Итоги'!$D$5),"Да","Нет")</x:f>
        <x:v>Нет</x:v>
      </x:c>
    </x:row>
    <x:row r="3705" ht="60" customHeight="1">
      <x:c r="A3705" s="14" t="str">
        <x:v>Хобби и творчество</x:v>
      </x:c>
      <x:c r="B3705" s="14" t="str">
        <x:v>Взрослое творчество и хобби</x:v>
      </x:c>
      <x:c r="C3705" s="14" t="str">
        <x:v>Расходные материалы для творчества, хобби</x:v>
      </x:c>
      <x:c r="D3705" s="14" t="str">
        <x:v>Стеклярус, бусины, стразы</x:v>
      </x:c>
      <x:c r="E3705" s="2" t="n">
        <x:v>2</x:v>
      </x:c>
      <x:c r="F3705" s="2" t="n">
        <x:v>0</x:v>
      </x:c>
      <x:c r="G3705" s="12" t="n">
        <x:v>213391.96</x:v>
      </x:c>
      <x:c r="H3705" s="12" t="n">
        <x:v>22498.086002</x:v>
      </x:c>
      <x:c r="I3705" s="13" t="n">
        <x:v>0.10685</x:v>
      </x:c>
      <x:c r="J3705" s="2" t="n">
        <x:v>0</x:v>
      </x:c>
      <x:c r="K3705" s="2" t="n">
        <x:v>1</x:v>
      </x:c>
      <x:c r="L3705" s="12" t="n">
        <x:v>2312.8693</x:v>
      </x:c>
      <x:c r="M3705" s="13" t="n">
        <x:v>1</x:v>
      </x:c>
      <x:c r="N3705" s="13" t="n">
        <x:f>H3705/G3705</x:f>
        <x:v>0.10543080443143218</x:v>
      </x:c>
      <x:c r="O3705" s="13" t="n">
        <x:f>F3705/E3705</x:f>
        <x:v>0</x:v>
      </x:c>
      <x:c r="P3705" s="2" t="str">
        <x:f>IF(AND(E3705&gt;='Итоги'!$F$5,N3705&lt;='Итоги'!$B$5,O3705&gt;='Итоги'!$D$5),"Да","Нет")</x:f>
        <x:v>Нет</x:v>
      </x:c>
    </x:row>
    <x:row r="3706" ht="60" customHeight="1">
      <x:c r="A3706" s="14" t="str">
        <x:v>Мебель</x:v>
      </x:c>
      <x:c r="B3706" s="14" t="str">
        <x:v>Компьютерная и офисная мебель</x:v>
      </x:c>
      <x:c r="C3706" s="14" t="str">
        <x:v>Аксессуары для компьютерной, офисной мебели</x:v>
      </x:c>
      <x:c r="D3706" s="14" t="str">
        <x:v>Подставка под ноги</x:v>
      </x:c>
      <x:c r="E3706" s="2" t="n">
        <x:v>11</x:v>
      </x:c>
      <x:c r="F3706" s="2" t="n">
        <x:v>0</x:v>
      </x:c>
      <x:c r="G3706" s="12" t="n">
        <x:v>1608898.6877</x:v>
      </x:c>
      <x:c r="H3706" s="12" t="n">
        <x:v>169628.46554833</x:v>
      </x:c>
      <x:c r="I3706" s="13" t="n">
        <x:v>0.0902818181818181</x:v>
      </x:c>
      <x:c r="J3706" s="2" t="n">
        <x:v>0</x:v>
      </x:c>
      <x:c r="K3706" s="2" t="n">
        <x:v>7</x:v>
      </x:c>
      <x:c r="L3706" s="12" t="n">
        <x:v>1570.3027</x:v>
      </x:c>
      <x:c r="M3706" s="13" t="n">
        <x:v>0.3288712670630641</x:v>
      </x:c>
      <x:c r="N3706" s="13" t="n">
        <x:f>H3706/G3706</x:f>
        <x:v>0.10543141519421727</x:v>
      </x:c>
      <x:c r="O3706" s="13" t="n">
        <x:f>F3706/E3706</x:f>
        <x:v>0</x:v>
      </x:c>
      <x:c r="P3706" s="2" t="str">
        <x:f>IF(AND(E3706&gt;='Итоги'!$F$5,N3706&lt;='Итоги'!$B$5,O3706&gt;='Итоги'!$D$5),"Да","Нет")</x:f>
        <x:v>Нет</x:v>
      </x:c>
    </x:row>
    <x:row r="3707" ht="60" customHeight="1">
      <x:c r="A3707" s="14" t="str">
        <x:v>Спорт и отдых</x:v>
      </x:c>
      <x:c r="B3707" s="14" t="str">
        <x:v>Всесезонные виды спорта</x:v>
      </x:c>
      <x:c r="C3707" s="14" t="str">
        <x:v>Дартс</x:v>
      </x:c>
      <x:c r="D3707" s="14" t="str">
        <x:v>Дротики для дартс</x:v>
      </x:c>
      <x:c r="E3707" s="2" t="n">
        <x:v>5</x:v>
      </x:c>
      <x:c r="F3707" s="2" t="n">
        <x:v>0</x:v>
      </x:c>
      <x:c r="G3707" s="12" t="n">
        <x:v>462794.0645</x:v>
      </x:c>
      <x:c r="H3707" s="12" t="n">
        <x:v>48811.9097273</x:v>
      </x:c>
      <x:c r="I3707" s="13" t="n">
        <x:v>0.08812</x:v>
      </x:c>
      <x:c r="J3707" s="2" t="n">
        <x:v>1</x:v>
      </x:c>
      <x:c r="K3707" s="2" t="n">
        <x:v>3</x:v>
      </x:c>
      <x:c r="L3707" s="12" t="n">
        <x:v>1152.9853</x:v>
      </x:c>
      <x:c r="M3707" s="13" t="n">
        <x:v>0.5034480605357894</x:v>
      </x:c>
      <x:c r="N3707" s="13" t="n">
        <x:f>H3707/G3707</x:f>
        <x:v>0.10547220345195245</x:v>
      </x:c>
      <x:c r="O3707" s="13" t="n">
        <x:f>F3707/E3707</x:f>
        <x:v>0</x:v>
      </x:c>
      <x:c r="P3707" s="2" t="str">
        <x:f>IF(AND(E3707&gt;='Итоги'!$F$5,N3707&lt;='Итоги'!$B$5,O3707&gt;='Итоги'!$D$5),"Да","Нет")</x:f>
        <x:v>Нет</x:v>
      </x:c>
    </x:row>
    <x:row r="3708" ht="60" customHeight="1">
      <x:c r="A3708" s="14" t="str">
        <x:v>Аксессуары для электроники</x:v>
      </x:c>
      <x:c r="B3708" s="14" t="str">
        <x:v>Фото и видео Access</x:v>
      </x:c>
      <x:c r="C3708" s="14" t="str">
        <x:v>Аксессуар к фото и видео Access</x:v>
      </x:c>
      <x:c r="D3708" s="14" t="str">
        <x:v>Стойка для микрофона/пантограф</x:v>
      </x:c>
      <x:c r="E3708" s="2" t="n">
        <x:v>12</x:v>
      </x:c>
      <x:c r="F3708" s="2" t="n">
        <x:v>0</x:v>
      </x:c>
      <x:c r="G3708" s="12" t="n">
        <x:v>1843982.4634</x:v>
      </x:c>
      <x:c r="H3708" s="12" t="n">
        <x:v>194544.79304266</x:v>
      </x:c>
      <x:c r="I3708" s="13" t="n">
        <x:v>0.1008083333333333</x:v>
      </x:c>
      <x:c r="J3708" s="2" t="n">
        <x:v>1</x:v>
      </x:c>
      <x:c r="K3708" s="2" t="n">
        <x:v>8</x:v>
      </x:c>
      <x:c r="L3708" s="12" t="n">
        <x:v>2174.87695</x:v>
      </x:c>
      <x:c r="M3708" s="13" t="n">
        <x:v>0.5269190797012653</x:v>
      </x:c>
      <x:c r="N3708" s="13" t="n">
        <x:f>H3708/G3708</x:f>
        <x:v>0.10550251800331736</x:v>
      </x:c>
      <x:c r="O3708" s="13" t="n">
        <x:f>F3708/E3708</x:f>
        <x:v>0</x:v>
      </x:c>
      <x:c r="P3708" s="2" t="str">
        <x:f>IF(AND(E3708&gt;='Итоги'!$F$5,N3708&lt;='Итоги'!$B$5,O3708&gt;='Итоги'!$D$5),"Да","Нет")</x:f>
        <x:v>Нет</x:v>
      </x:c>
    </x:row>
    <x:row r="3709" ht="60" customHeight="1">
      <x:c r="A3709" s="14" t="str">
        <x:v>Товары для дома</x:v>
      </x:c>
      <x:c r="B3709" s="14" t="str">
        <x:v>Домашний текстиль</x:v>
      </x:c>
      <x:c r="C3709" s="14" t="str">
        <x:v>Халат, тюрбан, чалма банные</x:v>
      </x:c>
      <x:c r="D3709" s="14" t="str">
        <x:v>Одежда для бани и сауны</x:v>
      </x:c>
      <x:c r="E3709" s="2" t="n">
        <x:v>3</x:v>
      </x:c>
      <x:c r="F3709" s="2" t="n">
        <x:v>0</x:v>
      </x:c>
      <x:c r="G3709" s="12" t="n">
        <x:v>176492.90000000002</x:v>
      </x:c>
      <x:c r="H3709" s="12" t="n">
        <x:v>18624.254192</x:v>
      </x:c>
      <x:c r="I3709" s="13" t="n">
        <x:v>0.0953333333333333</x:v>
      </x:c>
      <x:c r="J3709" s="2" t="n">
        <x:v>0</x:v>
      </x:c>
      <x:c r="K3709" s="2" t="n">
        <x:v>3</x:v>
      </x:c>
      <x:c r="L3709" s="12" t="n">
        <x:v>1278.6296</x:v>
      </x:c>
      <x:c r="M3709" s="13" t="n">
        <x:v>0.5071256124184033</x:v>
      </x:c>
      <x:c r="N3709" s="13" t="n">
        <x:f>H3709/G3709</x:f>
        <x:v>0.10552409865779303</x:v>
      </x:c>
      <x:c r="O3709" s="13" t="n">
        <x:f>F3709/E3709</x:f>
        <x:v>0</x:v>
      </x:c>
      <x:c r="P3709" s="2" t="str">
        <x:f>IF(AND(E3709&gt;='Итоги'!$F$5,N3709&lt;='Итоги'!$B$5,O3709&gt;='Итоги'!$D$5),"Да","Нет")</x:f>
        <x:v>Нет</x:v>
      </x:c>
    </x:row>
    <x:row r="3710" ht="60" customHeight="1">
      <x:c r="A3710" s="14" t="str">
        <x:v>Аксессуары</x:v>
      </x:c>
      <x:c r="B3710" s="14" t="str">
        <x:v>Сумки и рюкзаки</x:v>
      </x:c>
      <x:c r="C3710" s="14" t="str">
        <x:v>Сумка унисекс</x:v>
      </x:c>
      <x:c r="D3710" s="14" t="str">
        <x:v>Сумка с ручками унисекс</x:v>
      </x:c>
      <x:c r="E3710" s="2" t="n">
        <x:v>21</x:v>
      </x:c>
      <x:c r="F3710" s="2" t="n">
        <x:v>0</x:v>
      </x:c>
      <x:c r="G3710" s="12" t="n">
        <x:v>3078835.8897</x:v>
      </x:c>
      <x:c r="H3710" s="12" t="n">
        <x:v>325073.06560632</x:v>
      </x:c>
      <x:c r="I3710" s="13" t="n">
        <x:v>0.1045047619047619</x:v>
      </x:c>
      <x:c r="J3710" s="2" t="n">
        <x:v>6</x:v>
      </x:c>
      <x:c r="K3710" s="2" t="n">
        <x:v>12</x:v>
      </x:c>
      <x:c r="L3710" s="12" t="n">
        <x:v>1775.1388</x:v>
      </x:c>
      <x:c r="M3710" s="13" t="n">
        <x:v>0.2226043623477382</x:v>
      </x:c>
      <x:c r="N3710" s="13" t="n">
        <x:f>H3710/G3710</x:f>
        <x:v>0.10558310908802447</x:v>
      </x:c>
      <x:c r="O3710" s="13" t="n">
        <x:f>F3710/E3710</x:f>
        <x:v>0</x:v>
      </x:c>
      <x:c r="P3710" s="2" t="str">
        <x:f>IF(AND(E3710&gt;='Итоги'!$F$5,N3710&lt;='Итоги'!$B$5,O3710&gt;='Итоги'!$D$5),"Да","Нет")</x:f>
        <x:v>Нет</x:v>
      </x:c>
    </x:row>
    <x:row r="3711" ht="60" customHeight="1">
      <x:c r="A3711" s="14" t="str">
        <x:v>Товары для красоты и здоровья</x:v>
      </x:c>
      <x:c r="B3711" s="14" t="str">
        <x:v>Косметическая техника</x:v>
      </x:c>
      <x:c r="C3711" s="14" t="str">
        <x:v>Приборы для косметических процедур</x:v>
      </x:c>
      <x:c r="D3711" s="14" t="str">
        <x:v>Косметологический аппарат</x:v>
      </x:c>
      <x:c r="E3711" s="2" t="n">
        <x:v>197</x:v>
      </x:c>
      <x:c r="F3711" s="2" t="n">
        <x:v>0</x:v>
      </x:c>
      <x:c r="G3711" s="12" t="n">
        <x:v>33957768.2203</x:v>
      </x:c>
      <x:c r="H3711" s="12" t="n">
        <x:v>3588343.89096504</x:v>
      </x:c>
      <x:c r="I3711" s="13" t="n">
        <x:v>0.1115548223350253</x:v>
      </x:c>
      <x:c r="J3711" s="2" t="n">
        <x:v>28</x:v>
      </x:c>
      <x:c r="K3711" s="2" t="n">
        <x:v>70</x:v>
      </x:c>
      <x:c r="L3711" s="12" t="n">
        <x:v>3721.48</x:v>
      </x:c>
      <x:c r="M3711" s="13" t="n">
        <x:v>0.5292849703136708</x:v>
      </x:c>
      <x:c r="N3711" s="13" t="n">
        <x:f>H3711/G3711</x:f>
        <x:v>0.10567078106210535</x:v>
      </x:c>
      <x:c r="O3711" s="13" t="n">
        <x:f>F3711/E3711</x:f>
        <x:v>0</x:v>
      </x:c>
      <x:c r="P3711" s="2" t="str">
        <x:f>IF(AND(E3711&gt;='Итоги'!$F$5,N3711&lt;='Итоги'!$B$5,O3711&gt;='Итоги'!$D$5),"Да","Нет")</x:f>
        <x:v>Нет</x:v>
      </x:c>
    </x:row>
    <x:row r="3712" ht="60" customHeight="1">
      <x:c r="A3712" s="14" t="str">
        <x:v>Бакалея и кондитерские изделия</x:v>
      </x:c>
      <x:c r="B3712" s="14" t="str">
        <x:v>Бакалея</x:v>
      </x:c>
      <x:c r="C3712" s="14" t="str">
        <x:v>Консервы</x:v>
      </x:c>
      <x:c r="D3712" s="14" t="str">
        <x:v>Перга</x:v>
      </x:c>
      <x:c r="E3712" s="2" t="n">
        <x:v>1</x:v>
      </x:c>
      <x:c r="F3712" s="2" t="n">
        <x:v>0</x:v>
      </x:c>
      <x:c r="G3712" s="12" t="n">
        <x:v>81297.57</x:v>
      </x:c>
      <x:c r="H3712" s="12" t="n">
        <x:v>8593.153149000002</x:v>
      </x:c>
      <x:c r="I3712" s="13" t="n">
        <x:v>0.1057</x:v>
      </x:c>
      <x:c r="J3712" s="2" t="n">
        <x:v>0</x:v>
      </x:c>
      <x:c r="K3712" s="2" t="n">
        <x:v>1</x:v>
      </x:c>
      <x:c r="L3712" s="12" t="n">
        <x:v>1377.9249</x:v>
      </x:c>
      <x:c r="M3712" s="13" t="n">
        <x:v>1</x:v>
      </x:c>
      <x:c r="N3712" s="13" t="n">
        <x:f>H3712/G3712</x:f>
        <x:v>0.10570000000000002</x:v>
      </x:c>
      <x:c r="O3712" s="13" t="n">
        <x:f>F3712/E3712</x:f>
        <x:v>0</x:v>
      </x:c>
      <x:c r="P3712" s="2" t="str">
        <x:f>IF(AND(E3712&gt;='Итоги'!$F$5,N3712&lt;='Итоги'!$B$5,O3712&gt;='Итоги'!$D$5),"Да","Нет")</x:f>
        <x:v>Нет</x:v>
      </x:c>
    </x:row>
    <x:row r="3713" ht="60" customHeight="1">
      <x:c r="A3713" s="14" t="str">
        <x:v>Товары для детей и спорта</x:v>
      </x:c>
      <x:c r="B3713" s="14" t="str">
        <x:v>Спорт детский</x:v>
      </x:c>
      <x:c r="C3713" s="14" t="str">
        <x:v>Летний спорт детский</x:v>
      </x:c>
      <x:c r="D3713" s="14" t="str">
        <x:v>Электросамокат детский с нагрузкой до 50 кг</x:v>
      </x:c>
      <x:c r="E3713" s="2" t="n">
        <x:v>2</x:v>
      </x:c>
      <x:c r="F3713" s="2" t="n">
        <x:v>0</x:v>
      </x:c>
      <x:c r="G3713" s="12" t="n">
        <x:v>274088.97000000003</x:v>
      </x:c>
      <x:c r="H3713" s="12" t="n">
        <x:v>28984.648671000003</x:v>
      </x:c>
      <x:c r="I3713" s="13" t="n">
        <x:v>0.1036</x:v>
      </x:c>
      <x:c r="J3713" s="2" t="n">
        <x:v>0</x:v>
      </x:c>
      <x:c r="K3713" s="2" t="n">
        <x:v>1</x:v>
      </x:c>
      <x:c r="L3713" s="12" t="n">
        <x:v>1299.3408</x:v>
      </x:c>
      <x:c r="M3713" s="13" t="n">
        <x:v>1</x:v>
      </x:c>
      <x:c r="N3713" s="13" t="n">
        <x:f>H3713/G3713</x:f>
        <x:v>0.1057490517440377</x:v>
      </x:c>
      <x:c r="O3713" s="13" t="n">
        <x:f>F3713/E3713</x:f>
        <x:v>0</x:v>
      </x:c>
      <x:c r="P3713" s="2" t="str">
        <x:f>IF(AND(E3713&gt;='Итоги'!$F$5,N3713&lt;='Итоги'!$B$5,O3713&gt;='Итоги'!$D$5),"Да","Нет")</x:f>
        <x:v>Нет</x:v>
      </x:c>
    </x:row>
    <x:row r="3714" ht="60" customHeight="1">
      <x:c r="A3714" s="14" t="str">
        <x:v>Товары для дома</x:v>
      </x:c>
      <x:c r="B3714" s="14" t="str">
        <x:v>Кухня</x:v>
      </x:c>
      <x:c r="C3714" s="14" t="str">
        <x:v>Питьевое стекло, аксессуар для бара, сосуд для жидкости</x:v>
      </x:c>
      <x:c r="D3714" s="14" t="str">
        <x:v>Охладительная рубашка</x:v>
      </x:c>
      <x:c r="E3714" s="2" t="n">
        <x:v>3</x:v>
      </x:c>
      <x:c r="F3714" s="2" t="n">
        <x:v>0</x:v>
      </x:c>
      <x:c r="G3714" s="12" t="n">
        <x:v>271723.37820000004</x:v>
      </x:c>
      <x:c r="H3714" s="12" t="n">
        <x:v>28744.93771364</x:v>
      </x:c>
      <x:c r="I3714" s="13" t="n">
        <x:v>0.0918333333333333</x:v>
      </x:c>
      <x:c r="J3714" s="2" t="n">
        <x:v>1</x:v>
      </x:c>
      <x:c r="K3714" s="2" t="n">
        <x:v>2</x:v>
      </x:c>
      <x:c r="L3714" s="12" t="n">
        <x:v>837.2424</x:v>
      </x:c>
      <x:c r="M3714" s="13" t="n">
        <x:v>0.7439933197474136</x:v>
      </x:c>
      <x:c r="N3714" s="13" t="n">
        <x:f>H3714/G3714</x:f>
        <x:v>0.10578750309987128</x:v>
      </x:c>
      <x:c r="O3714" s="13" t="n">
        <x:f>F3714/E3714</x:f>
        <x:v>0</x:v>
      </x:c>
      <x:c r="P3714" s="2" t="str">
        <x:f>IF(AND(E3714&gt;='Итоги'!$F$5,N3714&lt;='Итоги'!$B$5,O3714&gt;='Итоги'!$D$5),"Да","Нет")</x:f>
        <x:v>Нет</x:v>
      </x:c>
    </x:row>
    <x:row r="3715" ht="60" customHeight="1">
      <x:c r="A3715" s="14" t="str">
        <x:v>Бакалея и кондитерские изделия</x:v>
      </x:c>
      <x:c r="B3715" s="14" t="str">
        <x:v>Бакалея</x:v>
      </x:c>
      <x:c r="C3715" s="14" t="str">
        <x:v>Макаронные изделия, крупы</x:v>
      </x:c>
      <x:c r="D3715" s="14" t="str">
        <x:v>Хлопья</x:v>
      </x:c>
      <x:c r="E3715" s="2" t="n">
        <x:v>1</x:v>
      </x:c>
      <x:c r="F3715" s="2" t="n">
        <x:v>0</x:v>
      </x:c>
      <x:c r="G3715" s="12" t="n">
        <x:v>143531.3645</x:v>
      </x:c>
      <x:c r="H3715" s="12" t="n">
        <x:v>15199.971500549998</x:v>
      </x:c>
      <x:c r="I3715" s="13" t="n">
        <x:v>0.1059</x:v>
      </x:c>
      <x:c r="J3715" s="2" t="n">
        <x:v>0</x:v>
      </x:c>
      <x:c r="K3715" s="2" t="n">
        <x:v>1</x:v>
      </x:c>
      <x:c r="L3715" s="12" t="n">
        <x:v>1840.1457</x:v>
      </x:c>
      <x:c r="M3715" s="13" t="n">
        <x:v>1</x:v>
      </x:c>
      <x:c r="N3715" s="13" t="n">
        <x:f>H3715/G3715</x:f>
        <x:v>0.1059</x:v>
      </x:c>
      <x:c r="O3715" s="13" t="n">
        <x:f>F3715/E3715</x:f>
        <x:v>0</x:v>
      </x:c>
      <x:c r="P3715" s="2" t="str">
        <x:f>IF(AND(E3715&gt;='Итоги'!$F$5,N3715&lt;='Итоги'!$B$5,O3715&gt;='Итоги'!$D$5),"Да","Нет")</x:f>
        <x:v>Нет</x:v>
      </x:c>
    </x:row>
    <x:row r="3716" ht="60" customHeight="1">
      <x:c r="A3716" s="14" t="str">
        <x:v>Товары для дома</x:v>
      </x:c>
      <x:c r="B3716" s="14" t="str">
        <x:v>Домашний текстиль</x:v>
      </x:c>
      <x:c r="C3716" s="14" t="str">
        <x:v>Столовый текстиль</x:v>
      </x:c>
      <x:c r="D3716" s="14" t="str">
        <x:v>Скатерть круглая, овальная</x:v>
      </x:c>
      <x:c r="E3716" s="2" t="n">
        <x:v>5</x:v>
      </x:c>
      <x:c r="F3716" s="2" t="n">
        <x:v>0</x:v>
      </x:c>
      <x:c r="G3716" s="12" t="n">
        <x:v>397384.6316</x:v>
      </x:c>
      <x:c r="H3716" s="12" t="n">
        <x:v>42103.6997438</x:v>
      </x:c>
      <x:c r="I3716" s="13" t="n">
        <x:v>0.0993199999999999</x:v>
      </x:c>
      <x:c r="J3716" s="2" t="n">
        <x:v>0</x:v>
      </x:c>
      <x:c r="K3716" s="2" t="n">
        <x:v>5</x:v>
      </x:c>
      <x:c r="L3716" s="12" t="n">
        <x:v>1382.6066</x:v>
      </x:c>
      <x:c r="M3716" s="13" t="n">
        <x:v>0.2471635594072632</x:v>
      </x:c>
      <x:c r="N3716" s="13" t="n">
        <x:f>H3716/G3716</x:f>
        <x:v>0.10595200819487353</x:v>
      </x:c>
      <x:c r="O3716" s="13" t="n">
        <x:f>F3716/E3716</x:f>
        <x:v>0</x:v>
      </x:c>
      <x:c r="P3716" s="2" t="str">
        <x:f>IF(AND(E3716&gt;='Итоги'!$F$5,N3716&lt;='Итоги'!$B$5,O3716&gt;='Итоги'!$D$5),"Да","Нет")</x:f>
        <x:v>Нет</x:v>
      </x:c>
    </x:row>
    <x:row r="3717" ht="60" customHeight="1">
      <x:c r="A3717" s="14" t="str">
        <x:v>Товары для дома</x:v>
      </x:c>
      <x:c r="B3717" s="14" t="str">
        <x:v>Ванная комната</x:v>
      </x:c>
      <x:c r="C3717" s="14" t="str">
        <x:v>Диспенсер для мыла, антисептика</x:v>
      </x:c>
      <x:c r="D3717" s="14" t="str">
        <x:v>Диспенсер для мыла, антисептика</x:v>
      </x:c>
      <x:c r="E3717" s="2" t="n">
        <x:v>122</x:v>
      </x:c>
      <x:c r="F3717" s="2" t="n">
        <x:v>0</x:v>
      </x:c>
      <x:c r="G3717" s="12" t="n">
        <x:v>19806605.7759</x:v>
      </x:c>
      <x:c r="H3717" s="12" t="n">
        <x:v>2099857.40223861</x:v>
      </x:c>
      <x:c r="I3717" s="13" t="n">
        <x:v>0.1021360655737704</x:v>
      </x:c>
      <x:c r="J3717" s="2" t="n">
        <x:v>16</x:v>
      </x:c>
      <x:c r="K3717" s="2" t="n">
        <x:v>55</x:v>
      </x:c>
      <x:c r="L3717" s="12" t="n">
        <x:v>1098.6296</x:v>
      </x:c>
      <x:c r="M3717" s="13" t="n">
        <x:v>0.2874460183393688</x:v>
      </x:c>
      <x:c r="N3717" s="13" t="n">
        <x:f>H3717/G3717</x:f>
        <x:v>0.10601803388209226</x:v>
      </x:c>
      <x:c r="O3717" s="13" t="n">
        <x:f>F3717/E3717</x:f>
        <x:v>0</x:v>
      </x:c>
      <x:c r="P3717" s="2" t="str">
        <x:f>IF(AND(E3717&gt;='Итоги'!$F$5,N3717&lt;='Итоги'!$B$5,O3717&gt;='Итоги'!$D$5),"Да","Нет")</x:f>
        <x:v>Нет</x:v>
      </x:c>
    </x:row>
    <x:row r="3718" ht="60" customHeight="1">
      <x:c r="A3718" s="14" t="str">
        <x:v>Аксессуары</x:v>
      </x:c>
      <x:c r="B3718" s="14" t="str">
        <x:v>Галантерея</x:v>
      </x:c>
      <x:c r="C3718" s="14" t="str">
        <x:v>Галантерея мужская</x:v>
      </x:c>
      <x:c r="D3718" s="14" t="str">
        <x:v>Мужская Ключница</x:v>
      </x:c>
      <x:c r="E3718" s="2" t="n">
        <x:v>1</x:v>
      </x:c>
      <x:c r="F3718" s="2" t="n">
        <x:v>0</x:v>
      </x:c>
      <x:c r="G3718" s="12" t="n">
        <x:v>98274.88</x:v>
      </x:c>
      <x:c r="H3718" s="12" t="n">
        <x:v>10436.792256</x:v>
      </x:c>
      <x:c r="I3718" s="13" t="n">
        <x:v>0.1062</x:v>
      </x:c>
      <x:c r="J3718" s="2" t="n">
        <x:v>0</x:v>
      </x:c>
      <x:c r="K3718" s="2" t="n">
        <x:v>1</x:v>
      </x:c>
      <x:c r="L3718" s="12" t="n">
        <x:v>761.8208</x:v>
      </x:c>
      <x:c r="M3718" s="13" t="n">
        <x:v>1</x:v>
      </x:c>
      <x:c r="N3718" s="13" t="n">
        <x:f>H3718/G3718</x:f>
        <x:v>0.1062</x:v>
      </x:c>
      <x:c r="O3718" s="13" t="n">
        <x:f>F3718/E3718</x:f>
        <x:v>0</x:v>
      </x:c>
      <x:c r="P3718" s="2" t="str">
        <x:f>IF(AND(E3718&gt;='Итоги'!$F$5,N3718&lt;='Итоги'!$B$5,O3718&gt;='Итоги'!$D$5),"Да","Нет")</x:f>
        <x:v>Нет</x:v>
      </x:c>
    </x:row>
    <x:row r="3719" ht="60" customHeight="1">
      <x:c r="A3719" s="14" t="str">
        <x:v>Товары для дома</x:v>
      </x:c>
      <x:c r="B3719" s="14" t="str">
        <x:v>Кухня</x:v>
      </x:c>
      <x:c r="C3719" s="14" t="str">
        <x:v>Столовая посуда</x:v>
      </x:c>
      <x:c r="D3719" s="14" t="str">
        <x:v>Масленка</x:v>
      </x:c>
      <x:c r="E3719" s="2" t="n">
        <x:v>8</x:v>
      </x:c>
      <x:c r="F3719" s="2" t="n">
        <x:v>0</x:v>
      </x:c>
      <x:c r="G3719" s="12" t="n">
        <x:v>1219885.4271</x:v>
      </x:c>
      <x:c r="H3719" s="12" t="n">
        <x:v>129568.14509518</x:v>
      </x:c>
      <x:c r="I3719" s="13" t="n">
        <x:v>0.0931125</x:v>
      </x:c>
      <x:c r="J3719" s="2" t="n">
        <x:v>0</x:v>
      </x:c>
      <x:c r="K3719" s="2" t="n">
        <x:v>6</x:v>
      </x:c>
      <x:c r="L3719" s="12" t="n">
        <x:v>912.05965</x:v>
      </x:c>
      <x:c r="M3719" s="13" t="n">
        <x:v>0.299967938029973</x:v>
      </x:c>
      <x:c r="N3719" s="13" t="n">
        <x:f>H3719/G3719</x:f>
        <x:v>0.10621337235185996</x:v>
      </x:c>
      <x:c r="O3719" s="13" t="n">
        <x:f>F3719/E3719</x:f>
        <x:v>0</x:v>
      </x:c>
      <x:c r="P3719" s="2" t="str">
        <x:f>IF(AND(E3719&gt;='Итоги'!$F$5,N3719&lt;='Итоги'!$B$5,O3719&gt;='Итоги'!$D$5),"Да","Нет")</x:f>
        <x:v>Нет</x:v>
      </x:c>
    </x:row>
    <x:row r="3720" ht="60" customHeight="1">
      <x:c r="A3720" s="14" t="str">
        <x:v>Аксессуары для электроники</x:v>
      </x:c>
      <x:c r="B3720" s="14" t="str">
        <x:v>Аксессуары для мобильных устройств Access</x:v>
      </x:c>
      <x:c r="C3720" s="14" t="str">
        <x:v>Аксессуары для зарядки и передачи информации Access</x:v>
      </x:c>
      <x:c r="D3720" s="14" t="str">
        <x:v>Беспроводное зарядное устройство Apple</x:v>
      </x:c>
      <x:c r="E3720" s="2" t="n">
        <x:v>6</x:v>
      </x:c>
      <x:c r="F3720" s="2" t="n">
        <x:v>0</x:v>
      </x:c>
      <x:c r="G3720" s="12" t="n">
        <x:v>774445.7224</x:v>
      </x:c>
      <x:c r="H3720" s="12" t="n">
        <x:v>82259.76081728001</x:v>
      </x:c>
      <x:c r="I3720" s="13" t="n">
        <x:v>0.0847833333333333</x:v>
      </x:c>
      <x:c r="J3720" s="2" t="n">
        <x:v>2</x:v>
      </x:c>
      <x:c r="K3720" s="2" t="n">
        <x:v>4</x:v>
      </x:c>
      <x:c r="L3720" s="12" t="n">
        <x:v>2611.2865</x:v>
      </x:c>
      <x:c r="M3720" s="13" t="n">
        <x:v>0.607655877214514</x:v>
      </x:c>
      <x:c r="N3720" s="13" t="n">
        <x:f>H3720/G3720</x:f>
        <x:v>0.10621759335484195</x:v>
      </x:c>
      <x:c r="O3720" s="13" t="n">
        <x:f>F3720/E3720</x:f>
        <x:v>0</x:v>
      </x:c>
      <x:c r="P3720" s="2" t="str">
        <x:f>IF(AND(E3720&gt;='Итоги'!$F$5,N3720&lt;='Итоги'!$B$5,O3720&gt;='Итоги'!$D$5),"Да","Нет")</x:f>
        <x:v>Нет</x:v>
      </x:c>
    </x:row>
    <x:row r="3721" ht="60" customHeight="1">
      <x:c r="A3721" s="14" t="str">
        <x:v>Детская одежда</x:v>
      </x:c>
      <x:c r="B3721" s="14" t="str">
        <x:v>Детская одежда</x:v>
      </x:c>
      <x:c r="C3721" s="14" t="str">
        <x:v>Белье и ЧНИ для мальчиков</x:v>
      </x:c>
      <x:c r="D3721" s="14" t="str">
        <x:v>Пижама для мальчика</x:v>
      </x:c>
      <x:c r="E3721" s="2" t="n">
        <x:v>9</x:v>
      </x:c>
      <x:c r="F3721" s="2" t="n">
        <x:v>0</x:v>
      </x:c>
      <x:c r="G3721" s="12" t="n">
        <x:v>500388.9638</x:v>
      </x:c>
      <x:c r="H3721" s="12" t="n">
        <x:v>53159.24840652</x:v>
      </x:c>
      <x:c r="I3721" s="13" t="n">
        <x:v>0.0487666666666666</x:v>
      </x:c>
      <x:c r="J3721" s="2" t="n">
        <x:v>7</x:v>
      </x:c>
      <x:c r="K3721" s="2" t="n">
        <x:v>2</x:v>
      </x:c>
      <x:c r="L3721" s="12" t="n">
        <x:v>1010.1818</x:v>
      </x:c>
      <x:c r="M3721" s="13" t="n">
        <x:v>0.9394086356946147</x:v>
      </x:c>
      <x:c r="N3721" s="13" t="n">
        <x:f>H3721/G3721</x:f>
        <x:v>0.1062358530108733</x:v>
      </x:c>
      <x:c r="O3721" s="13" t="n">
        <x:f>F3721/E3721</x:f>
        <x:v>0</x:v>
      </x:c>
      <x:c r="P3721" s="2" t="str">
        <x:f>IF(AND(E3721&gt;='Итоги'!$F$5,N3721&lt;='Итоги'!$B$5,O3721&gt;='Итоги'!$D$5),"Да","Нет")</x:f>
        <x:v>Нет</x:v>
      </x:c>
    </x:row>
    <x:row r="3722" ht="60" customHeight="1">
      <x:c r="A3722" s="14" t="str">
        <x:v>Спорт и отдых</x:v>
      </x:c>
      <x:c r="B3722" s="14" t="str">
        <x:v>Туризм</x:v>
      </x:c>
      <x:c r="C3722" s="14" t="str">
        <x:v>Рюкзак, сумка туристические</x:v>
      </x:c>
      <x:c r="D3722" s="14" t="str">
        <x:v>Сумка тактическая</x:v>
      </x:c>
      <x:c r="E3722" s="2" t="n">
        <x:v>20</x:v>
      </x:c>
      <x:c r="F3722" s="2" t="n">
        <x:v>0</x:v>
      </x:c>
      <x:c r="G3722" s="12" t="n">
        <x:v>2311154.9339</x:v>
      </x:c>
      <x:c r="H3722" s="12" t="n">
        <x:v>245571.47964304</x:v>
      </x:c>
      <x:c r="I3722" s="13" t="n">
        <x:v>0.082505</x:v>
      </x:c>
      <x:c r="J3722" s="2" t="n">
        <x:v>3</x:v>
      </x:c>
      <x:c r="K3722" s="2" t="n">
        <x:v>11</x:v>
      </x:c>
      <x:c r="L3722" s="12" t="n">
        <x:v>2635.28335</x:v>
      </x:c>
      <x:c r="M3722" s="13" t="n">
        <x:v>0.2349428836359848</x:v>
      </x:c>
      <x:c r="N3722" s="13" t="n">
        <x:f>H3722/G3722</x:f>
        <x:v>0.10625487544820111</x:v>
      </x:c>
      <x:c r="O3722" s="13" t="n">
        <x:f>F3722/E3722</x:f>
        <x:v>0</x:v>
      </x:c>
      <x:c r="P3722" s="2" t="str">
        <x:f>IF(AND(E3722&gt;='Итоги'!$F$5,N3722&lt;='Итоги'!$B$5,O3722&gt;='Итоги'!$D$5),"Да","Нет")</x:f>
        <x:v>Нет</x:v>
      </x:c>
    </x:row>
    <x:row r="3723" ht="60" customHeight="1">
      <x:c r="A3723" s="14" t="str">
        <x:v>Книги</x:v>
      </x:c>
      <x:c r="B3723" s="14" t="str">
        <x:v>Печатные книги: Книги детям и родителям</x:v>
      </x:c>
      <x:c r="C3723" s="14" t="str">
        <x:v>Познавательная литература</x:v>
      </x:c>
      <x:c r="D3723" s="14" t="str">
        <x:v>Печатная книга: Энциклопедия для детей</x:v>
      </x:c>
      <x:c r="E3723" s="2" t="n">
        <x:v>2</x:v>
      </x:c>
      <x:c r="F3723" s="2" t="n">
        <x:v>0</x:v>
      </x:c>
      <x:c r="G3723" s="12" t="n">
        <x:v>110782.15</x:v>
      </x:c>
      <x:c r="H3723" s="12" t="n">
        <x:v>11788.539475</x:v>
      </x:c>
      <x:c r="I3723" s="13" t="n">
        <x:v>0.10675</x:v>
      </x:c>
      <x:c r="J3723" s="2" t="n">
        <x:v>0</x:v>
      </x:c>
      <x:c r="K3723" s="2" t="n">
        <x:v>1</x:v>
      </x:c>
      <x:c r="L3723" s="12" t="n">
        <x:v>1438.3555</x:v>
      </x:c>
      <x:c r="M3723" s="13" t="n">
        <x:v>1</x:v>
      </x:c>
      <x:c r="N3723" s="13" t="n">
        <x:f>H3723/G3723</x:f>
        <x:v>0.10641190367762315</x:v>
      </x:c>
      <x:c r="O3723" s="13" t="n">
        <x:f>F3723/E3723</x:f>
        <x:v>0</x:v>
      </x:c>
      <x:c r="P3723" s="2" t="str">
        <x:f>IF(AND(E3723&gt;='Итоги'!$F$5,N3723&lt;='Итоги'!$B$5,O3723&gt;='Итоги'!$D$5),"Да","Нет")</x:f>
        <x:v>Нет</x:v>
      </x:c>
    </x:row>
    <x:row r="3724" ht="60" customHeight="1">
      <x:c r="A3724" s="14" t="str">
        <x:v>Спорт и отдых</x:v>
      </x:c>
      <x:c r="B3724" s="14" t="str">
        <x:v>Тренажеры и фитнес</x:v>
      </x:c>
      <x:c r="C3724" s="14" t="str">
        <x:v>Йога, пилатес</x:v>
      </x:c>
      <x:c r="D3724" s="14" t="str">
        <x:v>Валик для пилатеса</x:v>
      </x:c>
      <x:c r="E3724" s="2" t="n">
        <x:v>3</x:v>
      </x:c>
      <x:c r="F3724" s="2" t="n">
        <x:v>0</x:v>
      </x:c>
      <x:c r="G3724" s="12" t="n">
        <x:v>390533.0359</x:v>
      </x:c>
      <x:c r="H3724" s="12" t="n">
        <x:v>41562.26019993</x:v>
      </x:c>
      <x:c r="I3724" s="13" t="n">
        <x:v>0.0885</x:v>
      </x:c>
      <x:c r="J3724" s="2" t="n">
        <x:v>1</x:v>
      </x:c>
      <x:c r="K3724" s="2" t="n">
        <x:v>2</x:v>
      </x:c>
      <x:c r="L3724" s="12" t="n">
        <x:v>837.5682</x:v>
      </x:c>
      <x:c r="M3724" s="13" t="n">
        <x:v>0.7718502871475001</x:v>
      </x:c>
      <x:c r="N3724" s="13" t="n">
        <x:f>H3724/G3724</x:f>
        <x:v>0.1064244414154311</x:v>
      </x:c>
      <x:c r="O3724" s="13" t="n">
        <x:f>F3724/E3724</x:f>
        <x:v>0</x:v>
      </x:c>
      <x:c r="P3724" s="2" t="str">
        <x:f>IF(AND(E3724&gt;='Итоги'!$F$5,N3724&lt;='Итоги'!$B$5,O3724&gt;='Итоги'!$D$5),"Да","Нет")</x:f>
        <x:v>Нет</x:v>
      </x:c>
    </x:row>
    <x:row r="3725" ht="60" customHeight="1">
      <x:c r="A3725" s="14" t="str">
        <x:v>Спорт и отдых</x:v>
      </x:c>
      <x:c r="B3725" s="14" t="str">
        <x:v>Туризм</x:v>
      </x:c>
      <x:c r="C3725" s="14" t="str">
        <x:v>Туристическая мебель</x:v>
      </x:c>
      <x:c r="D3725" s="14" t="str">
        <x:v>Гамак</x:v>
      </x:c>
      <x:c r="E3725" s="2" t="n">
        <x:v>83</x:v>
      </x:c>
      <x:c r="F3725" s="2" t="n">
        <x:v>0</x:v>
      </x:c>
      <x:c r="G3725" s="12" t="n">
        <x:v>14258951.1198</x:v>
      </x:c>
      <x:c r="H3725" s="12" t="n">
        <x:v>1518134.35804564</x:v>
      </x:c>
      <x:c r="I3725" s="13" t="n">
        <x:v>0.0955168674698795</x:v>
      </x:c>
      <x:c r="J3725" s="2" t="n">
        <x:v>14</x:v>
      </x:c>
      <x:c r="K3725" s="2" t="n">
        <x:v>18</x:v>
      </x:c>
      <x:c r="L3725" s="12" t="n">
        <x:v>1354.0326</x:v>
      </x:c>
      <x:c r="M3725" s="13" t="n">
        <x:v>0.7889624426847599</x:v>
      </x:c>
      <x:c r="N3725" s="13" t="n">
        <x:f>H3725/G3725</x:f>
        <x:v>0.10646886613823624</x:v>
      </x:c>
      <x:c r="O3725" s="13" t="n">
        <x:f>F3725/E3725</x:f>
        <x:v>0</x:v>
      </x:c>
      <x:c r="P3725" s="2" t="str">
        <x:f>IF(AND(E3725&gt;='Итоги'!$F$5,N3725&lt;='Итоги'!$B$5,O3725&gt;='Итоги'!$D$5),"Да","Нет")</x:f>
        <x:v>Нет</x:v>
      </x:c>
    </x:row>
    <x:row r="3726" ht="60" customHeight="1">
      <x:c r="A3726" s="14" t="str">
        <x:v>Игрушки</x:v>
      </x:c>
      <x:c r="B3726" s="14" t="str">
        <x:v>Игрушки</x:v>
      </x:c>
      <x:c r="C3726" s="14" t="str">
        <x:v>Транспорт и радиоуправляемые игрушки</x:v>
      </x:c>
      <x:c r="D3726" s="14" t="str">
        <x:v>Машинка р/у</x:v>
      </x:c>
      <x:c r="E3726" s="2" t="n">
        <x:v>149</x:v>
      </x:c>
      <x:c r="F3726" s="2" t="n">
        <x:v>0</x:v>
      </x:c>
      <x:c r="G3726" s="12" t="n">
        <x:v>15874056.424</x:v>
      </x:c>
      <x:c r="H3726" s="12" t="n">
        <x:v>1690583.96496703</x:v>
      </x:c>
      <x:c r="I3726" s="13" t="n">
        <x:v>0.1072973154362416</x:v>
      </x:c>
      <x:c r="J3726" s="2" t="n">
        <x:v>31</x:v>
      </x:c>
      <x:c r="K3726" s="2" t="n">
        <x:v>61</x:v>
      </x:c>
      <x:c r="L3726" s="12" t="n">
        <x:v>1860.4898</x:v>
      </x:c>
      <x:c r="M3726" s="13" t="n">
        <x:v>0.2631456734451632</x:v>
      </x:c>
      <x:c r="N3726" s="13" t="n">
        <x:f>H3726/G3726</x:f>
        <x:v>0.1064998082286664</x:v>
      </x:c>
      <x:c r="O3726" s="13" t="n">
        <x:f>F3726/E3726</x:f>
        <x:v>0</x:v>
      </x:c>
      <x:c r="P3726" s="2" t="str">
        <x:f>IF(AND(E3726&gt;='Итоги'!$F$5,N3726&lt;='Итоги'!$B$5,O3726&gt;='Итоги'!$D$5),"Да","Нет")</x:f>
        <x:v>Нет</x:v>
      </x:c>
    </x:row>
    <x:row r="3727" ht="60" customHeight="1">
      <x:c r="A3727" s="14" t="str">
        <x:v>Товары для дома</x:v>
      </x:c>
      <x:c r="B3727" s="14" t="str">
        <x:v>Домашний текстиль</x:v>
      </x:c>
      <x:c r="C3727" s="14" t="str">
        <x:v>Одеяло</x:v>
      </x:c>
      <x:c r="D3727" s="14" t="str">
        <x:v>Одеяло - Евро размер от 200х220</x:v>
      </x:c>
      <x:c r="E3727" s="2" t="n">
        <x:v>69</x:v>
      </x:c>
      <x:c r="F3727" s="2" t="n">
        <x:v>0</x:v>
      </x:c>
      <x:c r="G3727" s="12" t="n">
        <x:v>12695342.612</x:v>
      </x:c>
      <x:c r="H3727" s="12" t="n">
        <x:v>1352150.61580692</x:v>
      </x:c>
      <x:c r="I3727" s="13" t="n">
        <x:v>0.1010840579710145</x:v>
      </x:c>
      <x:c r="J3727" s="2" t="n">
        <x:v>7</x:v>
      </x:c>
      <x:c r="K3727" s="2" t="n">
        <x:v>11</x:v>
      </x:c>
      <x:c r="L3727" s="12" t="n">
        <x:v>2075.5054</x:v>
      </x:c>
      <x:c r="M3727" s="13" t="n">
        <x:v>0.7641373196679507</x:v>
      </x:c>
      <x:c r="N3727" s="13" t="n">
        <x:f>H3727/G3727</x:f>
        <x:v>0.10650761126594793</x:v>
      </x:c>
      <x:c r="O3727" s="13" t="n">
        <x:f>F3727/E3727</x:f>
        <x:v>0</x:v>
      </x:c>
      <x:c r="P3727" s="2" t="str">
        <x:f>IF(AND(E3727&gt;='Итоги'!$F$5,N3727&lt;='Итоги'!$B$5,O3727&gt;='Итоги'!$D$5),"Да","Нет")</x:f>
        <x:v>Нет</x:v>
      </x:c>
    </x:row>
    <x:row r="3728" ht="60" customHeight="1">
      <x:c r="A3728" s="14" t="str">
        <x:v>Аптека</x:v>
      </x:c>
      <x:c r="B3728" s="14" t="str">
        <x:v>Товары для взрослых</x:v>
      </x:c>
      <x:c r="C3728" s="14" t="str">
        <x:v>Секс игрушки</x:v>
      </x:c>
      <x:c r="D3728" s="14" t="str">
        <x:v>Вагинальный тренажер</x:v>
      </x:c>
      <x:c r="E3728" s="2" t="n">
        <x:v>18</x:v>
      </x:c>
      <x:c r="F3728" s="2" t="n">
        <x:v>0</x:v>
      </x:c>
      <x:c r="G3728" s="12" t="n">
        <x:v>3608421.2863</x:v>
      </x:c>
      <x:c r="H3728" s="12" t="n">
        <x:v>384753.55478607</x:v>
      </x:c>
      <x:c r="I3728" s="13" t="n">
        <x:v>0.1015166666666666</x:v>
      </x:c>
      <x:c r="J3728" s="2" t="n">
        <x:v>3</x:v>
      </x:c>
      <x:c r="K3728" s="2" t="n">
        <x:v>6</x:v>
      </x:c>
      <x:c r="L3728" s="12" t="n">
        <x:v>5739.0524000000005</x:v>
      </x:c>
      <x:c r="M3728" s="13" t="n">
        <x:v>0.3472952592752806</x:v>
      </x:c>
      <x:c r="N3728" s="13" t="n">
        <x:f>H3728/G3728</x:f>
        <x:v>0.10662656166198052</x:v>
      </x:c>
      <x:c r="O3728" s="13" t="n">
        <x:f>F3728/E3728</x:f>
        <x:v>0</x:v>
      </x:c>
      <x:c r="P3728" s="2" t="str">
        <x:f>IF(AND(E3728&gt;='Итоги'!$F$5,N3728&lt;='Итоги'!$B$5,O3728&gt;='Итоги'!$D$5),"Да","Нет")</x:f>
        <x:v>Нет</x:v>
      </x:c>
    </x:row>
    <x:row r="3729" ht="60" customHeight="1">
      <x:c r="A3729" s="14" t="str">
        <x:v>Мелкая бытовая техника</x:v>
      </x:c>
      <x:c r="B3729" s="14" t="str">
        <x:v>SDA Климатическая техника</x:v>
      </x:c>
      <x:c r="C3729" s="14" t="str">
        <x:v>Климатическая техника SDA</x:v>
      </x:c>
      <x:c r="D3729" s="14" t="str">
        <x:v>Климатический комплекс</x:v>
      </x:c>
      <x:c r="E3729" s="2" t="n">
        <x:v>13</x:v>
      </x:c>
      <x:c r="F3729" s="2" t="n">
        <x:v>0</x:v>
      </x:c>
      <x:c r="G3729" s="12" t="n">
        <x:v>3741055.8252</x:v>
      </x:c>
      <x:c r="H3729" s="12" t="n">
        <x:v>399011.7322315</x:v>
      </x:c>
      <x:c r="I3729" s="13" t="n">
        <x:v>0.0760923076923077</x:v>
      </x:c>
      <x:c r="J3729" s="2" t="n">
        <x:v>4</x:v>
      </x:c>
      <x:c r="K3729" s="2" t="n">
        <x:v>5</x:v>
      </x:c>
      <x:c r="L3729" s="12" t="n">
        <x:v>34058</x:v>
      </x:c>
      <x:c r="M3729" s="13" t="n">
        <x:v>0.8733993765049791</x:v>
      </x:c>
      <x:c r="N3729" s="13" t="n">
        <x:f>H3729/G3729</x:f>
        <x:v>0.10665751885971081</x:v>
      </x:c>
      <x:c r="O3729" s="13" t="n">
        <x:f>F3729/E3729</x:f>
        <x:v>0</x:v>
      </x:c>
      <x:c r="P3729" s="2" t="str">
        <x:f>IF(AND(E3729&gt;='Итоги'!$F$5,N3729&lt;='Итоги'!$B$5,O3729&gt;='Итоги'!$D$5),"Да","Нет")</x:f>
        <x:v>Нет</x:v>
      </x:c>
    </x:row>
    <x:row r="3730" ht="60" customHeight="1">
      <x:c r="A3730" s="14" t="str">
        <x:v>Мелкая бытовая техника</x:v>
      </x:c>
      <x:c r="B3730" s="14" t="str">
        <x:v>SDA Климатическая техника</x:v>
      </x:c>
      <x:c r="C3730" s="14" t="str">
        <x:v>Климатическая техника SDA</x:v>
      </x:c>
      <x:c r="D3730" s="14" t="str">
        <x:v>Обогреватель</x:v>
      </x:c>
      <x:c r="E3730" s="2" t="n">
        <x:v>103</x:v>
      </x:c>
      <x:c r="F3730" s="2" t="n">
        <x:v>0</x:v>
      </x:c>
      <x:c r="G3730" s="12" t="n">
        <x:v>19241518.1373</x:v>
      </x:c>
      <x:c r="H3730" s="12" t="n">
        <x:v>2052257.3937695</x:v>
      </x:c>
      <x:c r="I3730" s="13" t="n">
        <x:v>0.0951300970873786</x:v>
      </x:c>
      <x:c r="J3730" s="2" t="n">
        <x:v>12</x:v>
      </x:c>
      <x:c r="K3730" s="2" t="n">
        <x:v>10</x:v>
      </x:c>
      <x:c r="L3730" s="12" t="n">
        <x:v>3297.6944</x:v>
      </x:c>
      <x:c r="M3730" s="13" t="n">
        <x:v>0.669161499754028</x:v>
      </x:c>
      <x:c r="N3730" s="13" t="n">
        <x:f>H3730/G3730</x:f>
        <x:v>0.10665776884783147</x:v>
      </x:c>
      <x:c r="O3730" s="13" t="n">
        <x:f>F3730/E3730</x:f>
        <x:v>0</x:v>
      </x:c>
      <x:c r="P3730" s="2" t="str">
        <x:f>IF(AND(E3730&gt;='Итоги'!$F$5,N3730&lt;='Итоги'!$B$5,O3730&gt;='Итоги'!$D$5),"Да","Нет")</x:f>
        <x:v>Нет</x:v>
      </x:c>
    </x:row>
    <x:row r="3731" ht="60" customHeight="1">
      <x:c r="A3731" s="14" t="str">
        <x:v>Спорт и отдых</x:v>
      </x:c>
      <x:c r="B3731" s="14" t="str">
        <x:v>Всесезонные виды спорта</x:v>
      </x:c>
      <x:c r="C3731" s="14" t="str">
        <x:v>Бадминтон</x:v>
      </x:c>
      <x:c r="D3731" s="14" t="str">
        <x:v>Ракетка для бадминтона</x:v>
      </x:c>
      <x:c r="E3731" s="2" t="n">
        <x:v>4</x:v>
      </x:c>
      <x:c r="F3731" s="2" t="n">
        <x:v>0</x:v>
      </x:c>
      <x:c r="G3731" s="12" t="n">
        <x:v>841251.09</x:v>
      </x:c>
      <x:c r="H3731" s="12" t="n">
        <x:v>89790.22628</x:v>
      </x:c>
      <x:c r="I3731" s="13" t="n">
        <x:v>0.1068</x:v>
      </x:c>
      <x:c r="J3731" s="2" t="n">
        <x:v>0</x:v>
      </x:c>
      <x:c r="K3731" s="2" t="n">
        <x:v>2</x:v>
      </x:c>
      <x:c r="L3731" s="12" t="n">
        <x:v>3030.6097</x:v>
      </x:c>
      <x:c r="M3731" s="13" t="n">
        <x:v>0.6211832545738514</x:v>
      </x:c>
      <x:c r="N3731" s="13" t="n">
        <x:f>H3731/G3731</x:f>
        <x:v>0.10673415743211698</x:v>
      </x:c>
      <x:c r="O3731" s="13" t="n">
        <x:f>F3731/E3731</x:f>
        <x:v>0</x:v>
      </x:c>
      <x:c r="P3731" s="2" t="str">
        <x:f>IF(AND(E3731&gt;='Итоги'!$F$5,N3731&lt;='Итоги'!$B$5,O3731&gt;='Итоги'!$D$5),"Да","Нет")</x:f>
        <x:v>Нет</x:v>
      </x:c>
    </x:row>
    <x:row r="3732" ht="60" customHeight="1">
      <x:c r="A3732" s="14" t="str">
        <x:v>Бакалея и кондитерские изделия</x:v>
      </x:c>
      <x:c r="B3732" s="14" t="str">
        <x:v>Бакалея</x:v>
      </x:c>
      <x:c r="C3732" s="14" t="str">
        <x:v>Приправы, специи, травы</x:v>
      </x:c>
      <x:c r="D3732" s="14" t="str">
        <x:v>Крахмал</x:v>
      </x:c>
      <x:c r="E3732" s="2" t="n">
        <x:v>3</x:v>
      </x:c>
      <x:c r="F3732" s="2" t="n">
        <x:v>0</x:v>
      </x:c>
      <x:c r="G3732" s="12" t="n">
        <x:v>497848.56</x:v>
      </x:c>
      <x:c r="H3732" s="12" t="n">
        <x:v>53141.829987</x:v>
      </x:c>
      <x:c r="I3732" s="13" t="n">
        <x:v>0.1078</x:v>
      </x:c>
      <x:c r="J3732" s="2" t="n">
        <x:v>0</x:v>
      </x:c>
      <x:c r="K3732" s="2" t="n">
        <x:v>1</x:v>
      </x:c>
      <x:c r="L3732" s="12" t="n">
        <x:v>1241.0962</x:v>
      </x:c>
      <x:c r="M3732" s="13" t="n">
        <x:v>1</x:v>
      </x:c>
      <x:c r="N3732" s="13" t="n">
        <x:f>H3732/G3732</x:f>
        <x:v>0.10674296213089378</x:v>
      </x:c>
      <x:c r="O3732" s="13" t="n">
        <x:f>F3732/E3732</x:f>
        <x:v>0</x:v>
      </x:c>
      <x:c r="P3732" s="2" t="str">
        <x:f>IF(AND(E3732&gt;='Итоги'!$F$5,N3732&lt;='Итоги'!$B$5,O3732&gt;='Итоги'!$D$5),"Да","Нет")</x:f>
        <x:v>Нет</x:v>
      </x:c>
    </x:row>
    <x:row r="3733" ht="60" customHeight="1">
      <x:c r="A3733" s="14" t="str">
        <x:v>Одежда</x:v>
      </x:c>
      <x:c r="B3733" s="14" t="str">
        <x:v>Основная одежда женская</x:v>
      </x:c>
      <x:c r="C3733" s="14" t="str">
        <x:v>Головные уборы, перчатки, шарфы женские</x:v>
      </x:c>
      <x:c r="D3733" s="14" t="str">
        <x:v>Женская шаль легкая</x:v>
      </x:c>
      <x:c r="E3733" s="2" t="n">
        <x:v>1</x:v>
      </x:c>
      <x:c r="F3733" s="2" t="n">
        <x:v>0</x:v>
      </x:c>
      <x:c r="G3733" s="12" t="n">
        <x:v>154981</x:v>
      </x:c>
      <x:c r="H3733" s="12" t="n">
        <x:v>16551.9708</x:v>
      </x:c>
      <x:c r="I3733" s="13" t="n">
        <x:v>0.1068</x:v>
      </x:c>
      <x:c r="J3733" s="2" t="n">
        <x:v>0</x:v>
      </x:c>
      <x:c r="K3733" s="2" t="n">
        <x:v>1</x:v>
      </x:c>
      <x:c r="L3733" s="12" t="n">
        <x:v>9686.3125</x:v>
      </x:c>
      <x:c r="M3733" s="13" t="n">
        <x:v>1</x:v>
      </x:c>
      <x:c r="N3733" s="13" t="n">
        <x:f>H3733/G3733</x:f>
        <x:v>0.10679999999999999</x:v>
      </x:c>
      <x:c r="O3733" s="13" t="n">
        <x:f>F3733/E3733</x:f>
        <x:v>0</x:v>
      </x:c>
      <x:c r="P3733" s="2" t="str">
        <x:f>IF(AND(E3733&gt;='Итоги'!$F$5,N3733&lt;='Итоги'!$B$5,O3733&gt;='Итоги'!$D$5),"Да","Нет")</x:f>
        <x:v>Нет</x:v>
      </x:c>
    </x:row>
    <x:row r="3734" ht="60" customHeight="1">
      <x:c r="A3734" s="14" t="str">
        <x:v>Строительство и ремонт (DIY)</x:v>
      </x:c>
      <x:c r="B3734" s="14" t="str">
        <x:v>Инструменты</x:v>
      </x:c>
      <x:c r="C3734" s="14" t="str">
        <x:v>Оснастка для инструмента</x:v>
      </x:c>
      <x:c r="D3734" s="14" t="str">
        <x:v>Головки, биты</x:v>
      </x:c>
      <x:c r="E3734" s="2" t="n">
        <x:v>60</x:v>
      </x:c>
      <x:c r="F3734" s="2" t="n">
        <x:v>0</x:v>
      </x:c>
      <x:c r="G3734" s="12" t="n">
        <x:v>9931290.8865</x:v>
      </x:c>
      <x:c r="H3734" s="12" t="n">
        <x:v>1061787.82431751</x:v>
      </x:c>
      <x:c r="I3734" s="13" t="n">
        <x:v>0.0989</x:v>
      </x:c>
      <x:c r="J3734" s="2" t="n">
        <x:v>8</x:v>
      </x:c>
      <x:c r="K3734" s="2" t="n">
        <x:v>16</x:v>
      </x:c>
      <x:c r="L3734" s="12" t="n">
        <x:v>1182.4666</x:v>
      </x:c>
      <x:c r="M3734" s="13" t="n">
        <x:v>0.732492181121051</x:v>
      </x:c>
      <x:c r="N3734" s="13" t="n">
        <x:f>H3734/G3734</x:f>
        <x:v>0.10691337475179996</x:v>
      </x:c>
      <x:c r="O3734" s="13" t="n">
        <x:f>F3734/E3734</x:f>
        <x:v>0</x:v>
      </x:c>
      <x:c r="P3734" s="2" t="str">
        <x:f>IF(AND(E3734&gt;='Итоги'!$F$5,N3734&lt;='Итоги'!$B$5,O3734&gt;='Итоги'!$D$5),"Да","Нет")</x:f>
        <x:v>Нет</x:v>
      </x:c>
    </x:row>
    <x:row r="3735" ht="60" customHeight="1">
      <x:c r="A3735" s="14" t="str">
        <x:v>Автотовары</x:v>
      </x:c>
      <x:c r="B3735" s="14" t="str">
        <x:v>Авто и мото запчасти</x:v>
      </x:c>
      <x:c r="C3735" s="14" t="str">
        <x:v>Система очистки стекол и фар</x:v>
      </x:c>
      <x:c r="D3735" s="14" t="str">
        <x:v>Щетки стеклоочистителя</x:v>
      </x:c>
      <x:c r="E3735" s="2" t="n">
        <x:v>61</x:v>
      </x:c>
      <x:c r="F3735" s="2" t="n">
        <x:v>0</x:v>
      </x:c>
      <x:c r="G3735" s="12" t="n">
        <x:v>7841144.8469</x:v>
      </x:c>
      <x:c r="H3735" s="12" t="n">
        <x:v>838331.56990954</x:v>
      </x:c>
      <x:c r="I3735" s="13" t="n">
        <x:v>0.1006213114754098</x:v>
      </x:c>
      <x:c r="J3735" s="2" t="n">
        <x:v>10</x:v>
      </x:c>
      <x:c r="K3735" s="2" t="n">
        <x:v>8</x:v>
      </x:c>
      <x:c r="L3735" s="12" t="n">
        <x:v>1147.6268</x:v>
      </x:c>
      <x:c r="M3735" s="13" t="n">
        <x:v>0.8920947684910443</x:v>
      </x:c>
      <x:c r="N3735" s="13" t="n">
        <x:f>H3735/G3735</x:f>
        <x:v>0.10691443485334604</x:v>
      </x:c>
      <x:c r="O3735" s="13" t="n">
        <x:f>F3735/E3735</x:f>
        <x:v>0</x:v>
      </x:c>
      <x:c r="P3735" s="2" t="str">
        <x:f>IF(AND(E3735&gt;='Итоги'!$F$5,N3735&lt;='Итоги'!$B$5,O3735&gt;='Итоги'!$D$5),"Да","Нет")</x:f>
        <x:v>Нет</x:v>
      </x:c>
    </x:row>
    <x:row r="3736" ht="60" customHeight="1">
      <x:c r="A3736" s="14" t="str">
        <x:v>Школьные принадлежности и канцелярия</x:v>
      </x:c>
      <x:c r="B3736" s="14" t="str">
        <x:v>Товары для школы, канцелярия, оборудование</x:v>
      </x:c>
      <x:c r="C3736" s="14" t="str">
        <x:v>Ранец, рюкзак, сумка школьные</x:v>
      </x:c>
      <x:c r="D3736" s="14" t="str">
        <x:v>Ранец с ортопедической спинкой</x:v>
      </x:c>
      <x:c r="E3736" s="2" t="n">
        <x:v>237</x:v>
      </x:c>
      <x:c r="F3736" s="2" t="n">
        <x:v>0</x:v>
      </x:c>
      <x:c r="G3736" s="12" t="n">
        <x:v>23478861.4854</x:v>
      </x:c>
      <x:c r="H3736" s="12" t="n">
        <x:v>2510660.21829056</x:v>
      </x:c>
      <x:c r="I3736" s="13" t="n">
        <x:v>0.0975113924050632</x:v>
      </x:c>
      <x:c r="J3736" s="2" t="n">
        <x:v>47</x:v>
      </x:c>
      <x:c r="K3736" s="2" t="n">
        <x:v>40</x:v>
      </x:c>
      <x:c r="L3736" s="12" t="n">
        <x:v>3247.3714</x:v>
      </x:c>
      <x:c r="M3736" s="13" t="n">
        <x:v>0.5089288121798563</x:v>
      </x:c>
      <x:c r="N3736" s="13" t="n">
        <x:f>H3736/G3736</x:f>
        <x:v>0.10693279228431833</x:v>
      </x:c>
      <x:c r="O3736" s="13" t="n">
        <x:f>F3736/E3736</x:f>
        <x:v>0</x:v>
      </x:c>
      <x:c r="P3736" s="2" t="str">
        <x:f>IF(AND(E3736&gt;='Итоги'!$F$5,N3736&lt;='Итоги'!$B$5,O3736&gt;='Итоги'!$D$5),"Да","Нет")</x:f>
        <x:v>Нет</x:v>
      </x:c>
    </x:row>
    <x:row r="3737" ht="60" customHeight="1">
      <x:c r="A3737" s="14" t="str">
        <x:v>Детская одежда</x:v>
      </x:c>
      <x:c r="B3737" s="14" t="str">
        <x:v>Детская одежда</x:v>
      </x:c>
      <x:c r="C3737" s="14" t="str">
        <x:v>Одежда для девочки</x:v>
      </x:c>
      <x:c r="D3737" s="14" t="str">
        <x:v>Шорты для девочки</x:v>
      </x:c>
      <x:c r="E3737" s="2" t="n">
        <x:v>37</x:v>
      </x:c>
      <x:c r="F3737" s="2" t="n">
        <x:v>0</x:v>
      </x:c>
      <x:c r="G3737" s="12" t="n">
        <x:v>2473960.4092</x:v>
      </x:c>
      <x:c r="H3737" s="12" t="n">
        <x:v>264765.63391461</x:v>
      </x:c>
      <x:c r="I3737" s="13" t="n">
        <x:v>0.0865216216216216</x:v>
      </x:c>
      <x:c r="J3737" s="2" t="n">
        <x:v>5</x:v>
      </x:c>
      <x:c r="K3737" s="2" t="n">
        <x:v>5</x:v>
      </x:c>
      <x:c r="L3737" s="12" t="n">
        <x:v>863.9665</x:v>
      </x:c>
      <x:c r="M3737" s="13" t="n">
        <x:v>0.6874351855331219</x:v>
      </x:c>
      <x:c r="N3737" s="13" t="n">
        <x:f>H3737/G3737</x:f>
        <x:v>0.1070209664350396</x:v>
      </x:c>
      <x:c r="O3737" s="13" t="n">
        <x:f>F3737/E3737</x:f>
        <x:v>0</x:v>
      </x:c>
      <x:c r="P3737" s="2" t="str">
        <x:f>IF(AND(E3737&gt;='Итоги'!$F$5,N3737&lt;='Итоги'!$B$5,O3737&gt;='Итоги'!$D$5),"Да","Нет")</x:f>
        <x:v>Нет</x:v>
      </x:c>
    </x:row>
    <x:row r="3738" ht="60" customHeight="1">
      <x:c r="A3738" s="14" t="str">
        <x:v>Спорт и отдых</x:v>
      </x:c>
      <x:c r="B3738" s="14" t="str">
        <x:v>Тренажеры и фитнес</x:v>
      </x:c>
      <x:c r="C3738" s="14" t="str">
        <x:v>Фитнес</x:v>
      </x:c>
      <x:c r="D3738" s="14" t="str">
        <x:v>Эспандер</x:v>
      </x:c>
      <x:c r="E3738" s="2" t="n">
        <x:v>37</x:v>
      </x:c>
      <x:c r="F3738" s="2" t="n">
        <x:v>0</x:v>
      </x:c>
      <x:c r="G3738" s="12" t="n">
        <x:v>6702200.9424</x:v>
      </x:c>
      <x:c r="H3738" s="12" t="n">
        <x:v>717283.3174310001</x:v>
      </x:c>
      <x:c r="I3738" s="13" t="n">
        <x:v>0.0900081081081081</x:v>
      </x:c>
      <x:c r="J3738" s="2" t="n">
        <x:v>6</x:v>
      </x:c>
      <x:c r="K3738" s="2" t="n">
        <x:v>17</x:v>
      </x:c>
      <x:c r="L3738" s="12" t="n">
        <x:v>1475.8692</x:v>
      </x:c>
      <x:c r="M3738" s="13" t="n">
        <x:v>0.4126279070513354</x:v>
      </x:c>
      <x:c r="N3738" s="13" t="n">
        <x:f>H3738/G3738</x:f>
        <x:v>0.10702205493321827</x:v>
      </x:c>
      <x:c r="O3738" s="13" t="n">
        <x:f>F3738/E3738</x:f>
        <x:v>0</x:v>
      </x:c>
      <x:c r="P3738" s="2" t="str">
        <x:f>IF(AND(E3738&gt;='Итоги'!$F$5,N3738&lt;='Итоги'!$B$5,O3738&gt;='Итоги'!$D$5),"Да","Нет")</x:f>
        <x:v>Нет</x:v>
      </x:c>
    </x:row>
    <x:row r="3739" ht="60" customHeight="1">
      <x:c r="A3739" s="14" t="str">
        <x:v>Бакалея и кондитерские изделия</x:v>
      </x:c>
      <x:c r="B3739" s="14" t="str">
        <x:v>Бакалея</x:v>
      </x:c>
      <x:c r="C3739" s="14" t="str">
        <x:v>Консервы</x:v>
      </x:c>
      <x:c r="D3739" s="14" t="str">
        <x:v>Пыльца цветочная</x:v>
      </x:c>
      <x:c r="E3739" s="2" t="n">
        <x:v>5</x:v>
      </x:c>
      <x:c r="F3739" s="2" t="n">
        <x:v>0</x:v>
      </x:c>
      <x:c r="G3739" s="12" t="n">
        <x:v>468247.67</x:v>
      </x:c>
      <x:c r="H3739" s="12" t="n">
        <x:v>50133.586893</x:v>
      </x:c>
      <x:c r="I3739" s="13" t="n">
        <x:v>0.11362</x:v>
      </x:c>
      <x:c r="J3739" s="2" t="n">
        <x:v>0</x:v>
      </x:c>
      <x:c r="K3739" s="2" t="n">
        <x:v>3</x:v>
      </x:c>
      <x:c r="L3739" s="12" t="n">
        <x:v>1161.0655</x:v>
      </x:c>
      <x:c r="M3739" s="13" t="n">
        <x:v>0.6809017757632408</x:v>
      </x:c>
      <x:c r="N3739" s="13" t="n">
        <x:f>H3739/G3739</x:f>
        <x:v>0.10706638837733032</x:v>
      </x:c>
      <x:c r="O3739" s="13" t="n">
        <x:f>F3739/E3739</x:f>
        <x:v>0</x:v>
      </x:c>
      <x:c r="P3739" s="2" t="str">
        <x:f>IF(AND(E3739&gt;='Итоги'!$F$5,N3739&lt;='Итоги'!$B$5,O3739&gt;='Итоги'!$D$5),"Да","Нет")</x:f>
        <x:v>Нет</x:v>
      </x:c>
    </x:row>
    <x:row r="3740" ht="60" customHeight="1">
      <x:c r="A3740" s="14" t="str">
        <x:v>Товары для красоты и здоровья</x:v>
      </x:c>
      <x:c r="B3740" s="14" t="str">
        <x:v>Косметика для ухода за волосами</x:v>
      </x:c>
      <x:c r="C3740" s="14" t="str">
        <x:v>Стайлинг для мужчин</x:v>
      </x:c>
      <x:c r="D3740" s="14" t="str">
        <x:v>Помада для укладки мужская</x:v>
      </x:c>
      <x:c r="E3740" s="2" t="n">
        <x:v>12</x:v>
      </x:c>
      <x:c r="F3740" s="2" t="n">
        <x:v>0</x:v>
      </x:c>
      <x:c r="G3740" s="12" t="n">
        <x:v>1899279.4237</x:v>
      </x:c>
      <x:c r="H3740" s="12" t="n">
        <x:v>203618.36019845</x:v>
      </x:c>
      <x:c r="I3740" s="13" t="n">
        <x:v>0.1130416666666666</x:v>
      </x:c>
      <x:c r="J3740" s="2" t="n">
        <x:v>0</x:v>
      </x:c>
      <x:c r="K3740" s="2" t="n">
        <x:v>2</x:v>
      </x:c>
      <x:c r="L3740" s="12" t="n">
        <x:v>1923.8615</x:v>
      </x:c>
      <x:c r="M3740" s="13" t="n">
        <x:v>0.8386561786664187</x:v>
      </x:c>
      <x:c r="N3740" s="13" t="n">
        <x:f>H3740/G3740</x:f>
        <x:v>0.10720821678875435</x:v>
      </x:c>
      <x:c r="O3740" s="13" t="n">
        <x:f>F3740/E3740</x:f>
        <x:v>0</x:v>
      </x:c>
      <x:c r="P3740" s="2" t="str">
        <x:f>IF(AND(E3740&gt;='Итоги'!$F$5,N3740&lt;='Итоги'!$B$5,O3740&gt;='Итоги'!$D$5),"Да","Нет")</x:f>
        <x:v>Нет</x:v>
      </x:c>
    </x:row>
    <x:row r="3741" ht="60" customHeight="1">
      <x:c r="A3741" s="14" t="str">
        <x:v>Товары для дома</x:v>
      </x:c>
      <x:c r="B3741" s="14" t="str">
        <x:v>Кухня</x:v>
      </x:c>
      <x:c r="C3741" s="14" t="str">
        <x:v>Нож, ножницы кухонные</x:v>
      </x:c>
      <x:c r="D3741" s="14" t="str">
        <x:v>Ножеточка механическая</x:v>
      </x:c>
      <x:c r="E3741" s="2" t="n">
        <x:v>92</x:v>
      </x:c>
      <x:c r="F3741" s="2" t="n">
        <x:v>0</x:v>
      </x:c>
      <x:c r="G3741" s="12" t="n">
        <x:v>16889393.5774</x:v>
      </x:c>
      <x:c r="H3741" s="12" t="n">
        <x:v>1811387.96437193</x:v>
      </x:c>
      <x:c r="I3741" s="13" t="n">
        <x:v>0.1048739130434782</x:v>
      </x:c>
      <x:c r="J3741" s="2" t="n">
        <x:v>17</x:v>
      </x:c>
      <x:c r="K3741" s="2" t="n">
        <x:v>30</x:v>
      </x:c>
      <x:c r="L3741" s="12" t="n">
        <x:v>1412.7645</x:v>
      </x:c>
      <x:c r="M3741" s="13" t="n">
        <x:v>0.5453532665509663</x:v>
      </x:c>
      <x:c r="N3741" s="13" t="n">
        <x:f>H3741/G3741</x:f>
        <x:v>0.10725002979359667</x:v>
      </x:c>
      <x:c r="O3741" s="13" t="n">
        <x:f>F3741/E3741</x:f>
        <x:v>0</x:v>
      </x:c>
      <x:c r="P3741" s="2" t="str">
        <x:f>IF(AND(E3741&gt;='Итоги'!$F$5,N3741&lt;='Итоги'!$B$5,O3741&gt;='Итоги'!$D$5),"Да","Нет")</x:f>
        <x:v>Нет</x:v>
      </x:c>
    </x:row>
    <x:row r="3742" ht="60" customHeight="1">
      <x:c r="A3742" s="14" t="str">
        <x:v>Строительство и ремонт (DIY)</x:v>
      </x:c>
      <x:c r="B3742" s="14" t="str">
        <x:v>Ремонт и строительство</x:v>
      </x:c>
      <x:c r="C3742" s="14" t="str">
        <x:v>Отделка стен</x:v>
      </x:c>
      <x:c r="D3742" s="14" t="str">
        <x:v>Фотообои</x:v>
      </x:c>
      <x:c r="E3742" s="2" t="n">
        <x:v>22</x:v>
      </x:c>
      <x:c r="F3742" s="2" t="n">
        <x:v>0</x:v>
      </x:c>
      <x:c r="G3742" s="12" t="n">
        <x:v>2842057.0507</x:v>
      </x:c>
      <x:c r="H3742" s="12" t="n">
        <x:v>304846.06007221</x:v>
      </x:c>
      <x:c r="I3742" s="13" t="n">
        <x:v>0.1075454545454545</x:v>
      </x:c>
      <x:c r="J3742" s="2" t="n">
        <x:v>1</x:v>
      </x:c>
      <x:c r="K3742" s="2" t="n">
        <x:v>4</x:v>
      </x:c>
      <x:c r="L3742" s="12" t="n">
        <x:v>2800.6241</x:v>
      </x:c>
      <x:c r="M3742" s="13" t="n">
        <x:v>0.6123045034832735</x:v>
      </x:c>
      <x:c r="N3742" s="13" t="n">
        <x:f>H3742/G3742</x:f>
        <x:v>0.1072624703283582</x:v>
      </x:c>
      <x:c r="O3742" s="13" t="n">
        <x:f>F3742/E3742</x:f>
        <x:v>0</x:v>
      </x:c>
      <x:c r="P3742" s="2" t="str">
        <x:f>IF(AND(E3742&gt;='Итоги'!$F$5,N3742&lt;='Итоги'!$B$5,O3742&gt;='Итоги'!$D$5),"Да","Нет")</x:f>
        <x:v>Нет</x:v>
      </x:c>
    </x:row>
    <x:row r="3743" ht="60" customHeight="1">
      <x:c r="A3743" s="14" t="str">
        <x:v>Строительство и ремонт (DIY)</x:v>
      </x:c>
      <x:c r="B3743" s="14" t="str">
        <x:v>Инструменты</x:v>
      </x:c>
      <x:c r="C3743" s="14" t="str">
        <x:v>Оснастка для инструмента</x:v>
      </x:c>
      <x:c r="D3743" s="14" t="str">
        <x:v>Оснастка для гравировальных аппаратов</x:v>
      </x:c>
      <x:c r="E3743" s="2" t="n">
        <x:v>7</x:v>
      </x:c>
      <x:c r="F3743" s="2" t="n">
        <x:v>0</x:v>
      </x:c>
      <x:c r="G3743" s="12" t="n">
        <x:v>809872.2907</x:v>
      </x:c>
      <x:c r="H3743" s="12" t="n">
        <x:v>86869.32787742</x:v>
      </x:c>
      <x:c r="I3743" s="13" t="n">
        <x:v>0.1217714285714285</x:v>
      </x:c>
      <x:c r="J3743" s="2" t="n">
        <x:v>1</x:v>
      </x:c>
      <x:c r="K3743" s="2" t="n">
        <x:v>5</x:v>
      </x:c>
      <x:c r="L3743" s="12" t="n">
        <x:v>1075.5417</x:v>
      </x:c>
      <x:c r="M3743" s="13" t="n">
        <x:v>0.4205796731304317</x:v>
      </x:c>
      <x:c r="N3743" s="13" t="n">
        <x:f>H3743/G3743</x:f>
        <x:v>0.10726299550554558</x:v>
      </x:c>
      <x:c r="O3743" s="13" t="n">
        <x:f>F3743/E3743</x:f>
        <x:v>0</x:v>
      </x:c>
      <x:c r="P3743" s="2" t="str">
        <x:f>IF(AND(E3743&gt;='Итоги'!$F$5,N3743&lt;='Итоги'!$B$5,O3743&gt;='Итоги'!$D$5),"Да","Нет")</x:f>
        <x:v>Нет</x:v>
      </x:c>
    </x:row>
    <x:row r="3744" ht="60" customHeight="1">
      <x:c r="A3744" s="14" t="str">
        <x:v>Товары для дома</x:v>
      </x:c>
      <x:c r="B3744" s="14" t="str">
        <x:v>Кухня</x:v>
      </x:c>
      <x:c r="C3744" s="14" t="str">
        <x:v>Посуда для чая и кофе</x:v>
      </x:c>
      <x:c r="D3744" s="14" t="str">
        <x:v>Набор чайный, кофейный (без чайника)</x:v>
      </x:c>
      <x:c r="E3744" s="2" t="n">
        <x:v>48</x:v>
      </x:c>
      <x:c r="F3744" s="2" t="n">
        <x:v>0</x:v>
      </x:c>
      <x:c r="G3744" s="12" t="n">
        <x:v>5623056.2639</x:v>
      </x:c>
      <x:c r="H3744" s="12" t="n">
        <x:v>603689.66478821</x:v>
      </x:c>
      <x:c r="I3744" s="13" t="n">
        <x:v>0.11215625</x:v>
      </x:c>
      <x:c r="J3744" s="2" t="n">
        <x:v>12</x:v>
      </x:c>
      <x:c r="K3744" s="2" t="n">
        <x:v>11</x:v>
      </x:c>
      <x:c r="L3744" s="12" t="n">
        <x:v>1844.45935</x:v>
      </x:c>
      <x:c r="M3744" s="13" t="n">
        <x:v>0.8179166135019473</x:v>
      </x:c>
      <x:c r="N3744" s="13" t="n">
        <x:f>H3744/G3744</x:f>
        <x:v>0.10735970555085769</x:v>
      </x:c>
      <x:c r="O3744" s="13" t="n">
        <x:f>F3744/E3744</x:f>
        <x:v>0</x:v>
      </x:c>
      <x:c r="P3744" s="2" t="str">
        <x:f>IF(AND(E3744&gt;='Итоги'!$F$5,N3744&lt;='Итоги'!$B$5,O3744&gt;='Итоги'!$D$5),"Да","Нет")</x:f>
        <x:v>Нет</x:v>
      </x:c>
    </x:row>
    <x:row r="3745" ht="60" customHeight="1">
      <x:c r="A3745" s="14" t="str">
        <x:v>Хобби и творчество</x:v>
      </x:c>
      <x:c r="B3745" s="14" t="str">
        <x:v>Детское творчество и хобби</x:v>
      </x:c>
      <x:c r="C3745" s="14" t="str">
        <x:v>Рисование для детей</x:v>
      </x:c>
      <x:c r="D3745" s="14" t="str">
        <x:v>Краска - масло</x:v>
      </x:c>
      <x:c r="E3745" s="2" t="n">
        <x:v>4</x:v>
      </x:c>
      <x:c r="F3745" s="2" t="n">
        <x:v>0</x:v>
      </x:c>
      <x:c r="G3745" s="12" t="n">
        <x:v>289664.6135</x:v>
      </x:c>
      <x:c r="H3745" s="12" t="n">
        <x:v>31110.33269995001</x:v>
      </x:c>
      <x:c r="I3745" s="13" t="n">
        <x:v>0.08295</x:v>
      </x:c>
      <x:c r="J3745" s="2" t="n">
        <x:v>2</x:v>
      </x:c>
      <x:c r="K3745" s="2" t="n">
        <x:v>2</x:v>
      </x:c>
      <x:c r="L3745" s="12" t="n">
        <x:v>1697.5716</x:v>
      </x:c>
      <x:c r="M3745" s="13" t="n">
        <x:v>0.9541469707344836</x:v>
      </x:c>
      <x:c r="N3745" s="13" t="n">
        <x:f>H3745/G3745</x:f>
        <x:v>0.10740121937590423</x:v>
      </x:c>
      <x:c r="O3745" s="13" t="n">
        <x:f>F3745/E3745</x:f>
        <x:v>0</x:v>
      </x:c>
      <x:c r="P3745" s="2" t="str">
        <x:f>IF(AND(E3745&gt;='Итоги'!$F$5,N3745&lt;='Итоги'!$B$5,O3745&gt;='Итоги'!$D$5),"Да","Нет")</x:f>
        <x:v>Нет</x:v>
      </x:c>
    </x:row>
    <x:row r="3746" ht="60" customHeight="1">
      <x:c r="A3746" s="14" t="str">
        <x:v>Товары для животных</x:v>
      </x:c>
      <x:c r="B3746" s="14" t="str">
        <x:v>Спальное место животного</x:v>
      </x:c>
      <x:c r="C3746" s="14" t="str">
        <x:v>Лежак, подстилка для животных</x:v>
      </x:c>
      <x:c r="D3746" s="14" t="str">
        <x:v>Лежак</x:v>
      </x:c>
      <x:c r="E3746" s="2" t="n">
        <x:v>83</x:v>
      </x:c>
      <x:c r="F3746" s="2" t="n">
        <x:v>0</x:v>
      </x:c>
      <x:c r="G3746" s="12" t="n">
        <x:v>11004521.6815</x:v>
      </x:c>
      <x:c r="H3746" s="12" t="n">
        <x:v>1182026.48332823</x:v>
      </x:c>
      <x:c r="I3746" s="13" t="n">
        <x:v>0.0974855421686747</x:v>
      </x:c>
      <x:c r="J3746" s="2" t="n">
        <x:v>13</x:v>
      </x:c>
      <x:c r="K3746" s="2" t="n">
        <x:v>26</x:v>
      </x:c>
      <x:c r="L3746" s="12" t="n">
        <x:v>1630.5098</x:v>
      </x:c>
      <x:c r="M3746" s="13" t="n">
        <x:v>0.5076786384356945</x:v>
      </x:c>
      <x:c r="N3746" s="13" t="n">
        <x:f>H3746/G3746</x:f>
        <x:v>0.10741279971444526</x:v>
      </x:c>
      <x:c r="O3746" s="13" t="n">
        <x:f>F3746/E3746</x:f>
        <x:v>0</x:v>
      </x:c>
      <x:c r="P3746" s="2" t="str">
        <x:f>IF(AND(E3746&gt;='Итоги'!$F$5,N3746&lt;='Итоги'!$B$5,O3746&gt;='Итоги'!$D$5),"Да","Нет")</x:f>
        <x:v>Нет</x:v>
      </x:c>
    </x:row>
    <x:row r="3747" ht="60" customHeight="1">
      <x:c r="A3747" s="14" t="str">
        <x:v>Товары для дома</x:v>
      </x:c>
      <x:c r="B3747" s="14" t="str">
        <x:v>Кухня</x:v>
      </x:c>
      <x:c r="C3747" s="14" t="str">
        <x:v>Банка, контейнер для хранения продуктов</x:v>
      </x:c>
      <x:c r="D3747" s="14" t="str">
        <x:v>Набор банок для продуктов</x:v>
      </x:c>
      <x:c r="E3747" s="2" t="n">
        <x:v>104</x:v>
      </x:c>
      <x:c r="F3747" s="2" t="n">
        <x:v>0</x:v>
      </x:c>
      <x:c r="G3747" s="12" t="n">
        <x:v>15704474.8139</x:v>
      </x:c>
      <x:c r="H3747" s="12" t="n">
        <x:v>1686933.75501046</x:v>
      </x:c>
      <x:c r="I3747" s="13" t="n">
        <x:v>0.1098884615384615</x:v>
      </x:c>
      <x:c r="J3747" s="2" t="n">
        <x:v>12</x:v>
      </x:c>
      <x:c r="K3747" s="2" t="n">
        <x:v>21</x:v>
      </x:c>
      <x:c r="L3747" s="12" t="n">
        <x:v>1021.00845</x:v>
      </x:c>
      <x:c r="M3747" s="13" t="n">
        <x:v>0.561851468728535</x:v>
      </x:c>
      <x:c r="N3747" s="13" t="n">
        <x:f>H3747/G3747</x:f>
        <x:v>0.10741739376839003</x:v>
      </x:c>
      <x:c r="O3747" s="13" t="n">
        <x:f>F3747/E3747</x:f>
        <x:v>0</x:v>
      </x:c>
      <x:c r="P3747" s="2" t="str">
        <x:f>IF(AND(E3747&gt;='Итоги'!$F$5,N3747&lt;='Итоги'!$B$5,O3747&gt;='Итоги'!$D$5),"Да","Нет")</x:f>
        <x:v>Нет</x:v>
      </x:c>
    </x:row>
    <x:row r="3748" ht="60" customHeight="1">
      <x:c r="A3748" s="14" t="str">
        <x:v>Аксессуары</x:v>
      </x:c>
      <x:c r="B3748" s="14" t="str">
        <x:v>Аксессуары</x:v>
      </x:c>
      <x:c r="C3748" s="14" t="str">
        <x:v>Аксессуары для путешествий</x:v>
      </x:c>
      <x:c r="D3748" s="14" t="str">
        <x:v>Чехол, органайзер для одежды и обуви дорожные</x:v>
      </x:c>
      <x:c r="E3748" s="2" t="n">
        <x:v>41</x:v>
      </x:c>
      <x:c r="F3748" s="2" t="n">
        <x:v>0</x:v>
      </x:c>
      <x:c r="G3748" s="12" t="n">
        <x:v>5528902.0421</x:v>
      </x:c>
      <x:c r="H3748" s="12" t="n">
        <x:v>593999.3552585699</x:v>
      </x:c>
      <x:c r="I3748" s="13" t="n">
        <x:v>0.1056341463414634</x:v>
      </x:c>
      <x:c r="J3748" s="2" t="n">
        <x:v>4</x:v>
      </x:c>
      <x:c r="K3748" s="2" t="n">
        <x:v>14</x:v>
      </x:c>
      <x:c r="L3748" s="12" t="n">
        <x:v>1020.1538</x:v>
      </x:c>
      <x:c r="M3748" s="13" t="n">
        <x:v>0.2146990581242296</x:v>
      </x:c>
      <x:c r="N3748" s="13" t="n">
        <x:f>H3748/G3748</x:f>
        <x:v>0.10743531911680529</x:v>
      </x:c>
      <x:c r="O3748" s="13" t="n">
        <x:f>F3748/E3748</x:f>
        <x:v>0</x:v>
      </x:c>
      <x:c r="P3748" s="2" t="str">
        <x:f>IF(AND(E3748&gt;='Итоги'!$F$5,N3748&lt;='Итоги'!$B$5,O3748&gt;='Итоги'!$D$5),"Да","Нет")</x:f>
        <x:v>Нет</x:v>
      </x:c>
    </x:row>
    <x:row r="3749" ht="60" customHeight="1">
      <x:c r="A3749" s="14" t="str">
        <x:v>Бакалея и кондитерские изделия</x:v>
      </x:c>
      <x:c r="B3749" s="14" t="str">
        <x:v>Бакалея</x:v>
      </x:c>
      <x:c r="C3749" s="14" t="str">
        <x:v>Снэки, чипсы, готовые завтраки</x:v>
      </x:c>
      <x:c r="D3749" s="14" t="str">
        <x:v>Мюсли</x:v>
      </x:c>
      <x:c r="E3749" s="2" t="n">
        <x:v>1</x:v>
      </x:c>
      <x:c r="F3749" s="2" t="n">
        <x:v>0</x:v>
      </x:c>
      <x:c r="G3749" s="12" t="n">
        <x:v>100993</x:v>
      </x:c>
      <x:c r="H3749" s="12" t="n">
        <x:v>10856.7475</x:v>
      </x:c>
      <x:c r="I3749" s="13" t="n">
        <x:v>0.1075</x:v>
      </x:c>
      <x:c r="J3749" s="2" t="n">
        <x:v>0</x:v>
      </x:c>
      <x:c r="K3749" s="2" t="n">
        <x:v>1</x:v>
      </x:c>
      <x:c r="L3749" s="12" t="n">
        <x:v>782.8915</x:v>
      </x:c>
      <x:c r="M3749" s="13" t="n">
        <x:v>1</x:v>
      </x:c>
      <x:c r="N3749" s="13" t="n">
        <x:f>H3749/G3749</x:f>
        <x:v>0.1075</x:v>
      </x:c>
      <x:c r="O3749" s="13" t="n">
        <x:f>F3749/E3749</x:f>
        <x:v>0</x:v>
      </x:c>
      <x:c r="P3749" s="2" t="str">
        <x:f>IF(AND(E3749&gt;='Итоги'!$F$5,N3749&lt;='Итоги'!$B$5,O3749&gt;='Итоги'!$D$5),"Да","Нет")</x:f>
        <x:v>Нет</x:v>
      </x:c>
    </x:row>
    <x:row r="3750" ht="60" customHeight="1">
      <x:c r="A3750" s="14" t="str">
        <x:v>Аптека</x:v>
      </x:c>
      <x:c r="B3750" s="14" t="str">
        <x:v>Медицинские изделия</x:v>
      </x:c>
      <x:c r="C3750" s="14" t="str">
        <x:v>Перевязочные средства</x:v>
      </x:c>
      <x:c r="D3750" s="14" t="str">
        <x:v>Бинт</x:v>
      </x:c>
      <x:c r="E3750" s="2" t="n">
        <x:v>17</x:v>
      </x:c>
      <x:c r="F3750" s="2" t="n">
        <x:v>0</x:v>
      </x:c>
      <x:c r="G3750" s="12" t="n">
        <x:v>2436996.3854</x:v>
      </x:c>
      <x:c r="H3750" s="12" t="n">
        <x:v>262049.18686256</x:v>
      </x:c>
      <x:c r="I3750" s="13" t="n">
        <x:v>0.0792470588235294</x:v>
      </x:c>
      <x:c r="J3750" s="2" t="n">
        <x:v>4</x:v>
      </x:c>
      <x:c r="K3750" s="2" t="n">
        <x:v>5</x:v>
      </x:c>
      <x:c r="L3750" s="12" t="n">
        <x:v>1153.9403</x:v>
      </x:c>
      <x:c r="M3750" s="13" t="n">
        <x:v>0.7411575069298009</x:v>
      </x:c>
      <x:c r="N3750" s="13" t="n">
        <x:f>H3750/G3750</x:f>
        <x:v>0.10752957551865558</x:v>
      </x:c>
      <x:c r="O3750" s="13" t="n">
        <x:f>F3750/E3750</x:f>
        <x:v>0</x:v>
      </x:c>
      <x:c r="P3750" s="2" t="str">
        <x:f>IF(AND(E3750&gt;='Итоги'!$F$5,N3750&lt;='Итоги'!$B$5,O3750&gt;='Итоги'!$D$5),"Да","Нет")</x:f>
        <x:v>Нет</x:v>
      </x:c>
    </x:row>
    <x:row r="3751" ht="60" customHeight="1">
      <x:c r="A3751" s="14" t="str">
        <x:v>Товары для дома</x:v>
      </x:c>
      <x:c r="B3751" s="14" t="str">
        <x:v>Кухня</x:v>
      </x:c>
      <x:c r="C3751" s="14" t="str">
        <x:v>Питьевое стекло, аксессуар для бара, сосуд для жидкости</x:v>
      </x:c>
      <x:c r="D3751" s="14" t="str">
        <x:v>Форма, пакетик для льда</x:v>
      </x:c>
      <x:c r="E3751" s="2" t="n">
        <x:v>7</x:v>
      </x:c>
      <x:c r="F3751" s="2" t="n">
        <x:v>0</x:v>
      </x:c>
      <x:c r="G3751" s="12" t="n">
        <x:v>1541770.0638</x:v>
      </x:c>
      <x:c r="H3751" s="12" t="n">
        <x:v>165936.06373254</x:v>
      </x:c>
      <x:c r="I3751" s="13" t="n">
        <x:v>0.1466857142857143</x:v>
      </x:c>
      <x:c r="J3751" s="2" t="n">
        <x:v>0</x:v>
      </x:c>
      <x:c r="K3751" s="2" t="n">
        <x:v>4</x:v>
      </x:c>
      <x:c r="L3751" s="12" t="n">
        <x:v>792.0487</x:v>
      </x:c>
      <x:c r="M3751" s="13" t="n">
        <x:v>0.7705199100649447</x:v>
      </x:c>
      <x:c r="N3751" s="13" t="n">
        <x:f>H3751/G3751</x:f>
        <x:v>0.107626985131335</x:v>
      </x:c>
      <x:c r="O3751" s="13" t="n">
        <x:f>F3751/E3751</x:f>
        <x:v>0</x:v>
      </x:c>
      <x:c r="P3751" s="2" t="str">
        <x:f>IF(AND(E3751&gt;='Итоги'!$F$5,N3751&lt;='Итоги'!$B$5,O3751&gt;='Итоги'!$D$5),"Да","Нет")</x:f>
        <x:v>Нет</x:v>
      </x:c>
    </x:row>
    <x:row r="3752" ht="60" customHeight="1">
      <x:c r="A3752" s="14" t="str">
        <x:v>Аксессуары</x:v>
      </x:c>
      <x:c r="B3752" s="14" t="str">
        <x:v>Ювелирные изделия</x:v>
      </x:c>
      <x:c r="C3752" s="14" t="str">
        <x:v>Крестик ювелирный</x:v>
      </x:c>
      <x:c r="D3752" s="14" t="str">
        <x:v>Серебро крестик</x:v>
      </x:c>
      <x:c r="E3752" s="2" t="n">
        <x:v>36</x:v>
      </x:c>
      <x:c r="F3752" s="2" t="n">
        <x:v>0</x:v>
      </x:c>
      <x:c r="G3752" s="12" t="n">
        <x:v>3550693.72</x:v>
      </x:c>
      <x:c r="H3752" s="12" t="n">
        <x:v>382275.522496</x:v>
      </x:c>
      <x:c r="I3752" s="13" t="n">
        <x:v>0.0947277777777777</x:v>
      </x:c>
      <x:c r="J3752" s="2" t="n">
        <x:v>4</x:v>
      </x:c>
      <x:c r="K3752" s="2" t="n">
        <x:v>6</x:v>
      </x:c>
      <x:c r="L3752" s="12" t="n">
        <x:v>2957.05595</x:v>
      </x:c>
      <x:c r="M3752" s="13" t="n">
        <x:v>0.7227224177477071</x:v>
      </x:c>
      <x:c r="N3752" s="13" t="n">
        <x:f>H3752/G3752</x:f>
        <x:v>0.10766220706189211</x:v>
      </x:c>
      <x:c r="O3752" s="13" t="n">
        <x:f>F3752/E3752</x:f>
        <x:v>0</x:v>
      </x:c>
      <x:c r="P3752" s="2" t="str">
        <x:f>IF(AND(E3752&gt;='Итоги'!$F$5,N3752&lt;='Итоги'!$B$5,O3752&gt;='Итоги'!$D$5),"Да","Нет")</x:f>
        <x:v>Нет</x:v>
      </x:c>
    </x:row>
    <x:row r="3753" ht="60" customHeight="1">
      <x:c r="A3753" s="14" t="str">
        <x:v>Хобби и творчество</x:v>
      </x:c>
      <x:c r="B3753" s="14" t="str">
        <x:v>Взрослое творчество и хобби</x:v>
      </x:c>
      <x:c r="C3753" s="14" t="str">
        <x:v>Мозаика, гравюра, стразы</x:v>
      </x:c>
      <x:c r="D3753" s="14" t="str">
        <x:v>Алмазная мозаика</x:v>
      </x:c>
      <x:c r="E3753" s="2" t="n">
        <x:v>22</x:v>
      </x:c>
      <x:c r="F3753" s="2" t="n">
        <x:v>0</x:v>
      </x:c>
      <x:c r="G3753" s="12" t="n">
        <x:v>1994545.5193</x:v>
      </x:c>
      <x:c r="H3753" s="12" t="n">
        <x:v>214768.18921277</x:v>
      </x:c>
      <x:c r="I3753" s="13" t="n">
        <x:v>0.1028954545454545</x:v>
      </x:c>
      <x:c r="J3753" s="2" t="n">
        <x:v>2</x:v>
      </x:c>
      <x:c r="K3753" s="2" t="n">
        <x:v>3</x:v>
      </x:c>
      <x:c r="L3753" s="12" t="n">
        <x:v>868.77615</x:v>
      </x:c>
      <x:c r="M3753" s="13" t="n">
        <x:v>0.9205159413179806</x:v>
      </x:c>
      <x:c r="N3753" s="13" t="n">
        <x:f>H3753/G3753</x:f>
        <x:v>0.10767775773206942</x:v>
      </x:c>
      <x:c r="O3753" s="13" t="n">
        <x:f>F3753/E3753</x:f>
        <x:v>0</x:v>
      </x:c>
      <x:c r="P3753" s="2" t="str">
        <x:f>IF(AND(E3753&gt;='Итоги'!$F$5,N3753&lt;='Итоги'!$B$5,O3753&gt;='Итоги'!$D$5),"Да","Нет")</x:f>
        <x:v>Нет</x:v>
      </x:c>
    </x:row>
    <x:row r="3754" ht="60" customHeight="1">
      <x:c r="A3754" s="14" t="str">
        <x:v>Спорт и отдых</x:v>
      </x:c>
      <x:c r="B3754" s="14" t="str">
        <x:v>Всесезонные виды спорта</x:v>
      </x:c>
      <x:c r="C3754" s="14" t="str">
        <x:v>Бег</x:v>
      </x:c>
      <x:c r="D3754" s="14" t="str">
        <x:v>Повязка, бафф, маска для бега</x:v>
      </x:c>
      <x:c r="E3754" s="2" t="n">
        <x:v>2</x:v>
      </x:c>
      <x:c r="F3754" s="2" t="n">
        <x:v>0</x:v>
      </x:c>
      <x:c r="G3754" s="12" t="n">
        <x:v>214063.8916</x:v>
      </x:c>
      <x:c r="H3754" s="12" t="n">
        <x:v>23057.39133724</x:v>
      </x:c>
      <x:c r="I3754" s="13" t="n">
        <x:v>0.1124</x:v>
      </x:c>
      <x:c r="J3754" s="2" t="n">
        <x:v>0</x:v>
      </x:c>
      <x:c r="K3754" s="2" t="n">
        <x:v>2</x:v>
      </x:c>
      <x:c r="L3754" s="12" t="n">
        <x:v>1695.14725</x:v>
      </x:c>
      <x:c r="M3754" s="13" t="n">
        <x:v>0.7757258375470925</x:v>
      </x:c>
      <x:c r="N3754" s="13" t="n">
        <x:f>H3754/G3754</x:f>
        <x:v>0.10771266076169941</x:v>
      </x:c>
      <x:c r="O3754" s="13" t="n">
        <x:f>F3754/E3754</x:f>
        <x:v>0</x:v>
      </x:c>
      <x:c r="P3754" s="2" t="str">
        <x:f>IF(AND(E3754&gt;='Итоги'!$F$5,N3754&lt;='Итоги'!$B$5,O3754&gt;='Итоги'!$D$5),"Да","Нет")</x:f>
        <x:v>Нет</x:v>
      </x:c>
    </x:row>
    <x:row r="3755" ht="60" customHeight="1">
      <x:c r="A3755" s="14" t="str">
        <x:v>Аптека</x:v>
      </x:c>
      <x:c r="B3755" s="14" t="str">
        <x:v>Ортопедия и компрессионный трикотаж</x:v>
      </x:c>
      <x:c r="C3755" s="14" t="str">
        <x:v>Ортопедические стельки и корректоры стопы</x:v>
      </x:c>
      <x:c r="D3755" s="14" t="str">
        <x:v>Стельки ортопедические</x:v>
      </x:c>
      <x:c r="E3755" s="2" t="n">
        <x:v>15</x:v>
      </x:c>
      <x:c r="F3755" s="2" t="n">
        <x:v>0</x:v>
      </x:c>
      <x:c r="G3755" s="12" t="n">
        <x:v>2552971.4</x:v>
      </x:c>
      <x:c r="H3755" s="12" t="n">
        <x:v>275179.028869</x:v>
      </x:c>
      <x:c r="I3755" s="13" t="n">
        <x:v>0.08718</x:v>
      </x:c>
      <x:c r="J3755" s="2" t="n">
        <x:v>4</x:v>
      </x:c>
      <x:c r="K3755" s="2" t="n">
        <x:v>3</x:v>
      </x:c>
      <x:c r="L3755" s="12" t="n">
        <x:v>1203.9127</x:v>
      </x:c>
      <x:c r="M3755" s="13" t="n">
        <x:v>0.5133621865094141</x:v>
      </x:c>
      <x:c r="N3755" s="13" t="n">
        <x:f>H3755/G3755</x:f>
        <x:v>0.10778774445691008</x:v>
      </x:c>
      <x:c r="O3755" s="13" t="n">
        <x:f>F3755/E3755</x:f>
        <x:v>0</x:v>
      </x:c>
      <x:c r="P3755" s="2" t="str">
        <x:f>IF(AND(E3755&gt;='Итоги'!$F$5,N3755&lt;='Итоги'!$B$5,O3755&gt;='Итоги'!$D$5),"Да","Нет")</x:f>
        <x:v>Нет</x:v>
      </x:c>
    </x:row>
    <x:row r="3756" ht="60" customHeight="1">
      <x:c r="A3756" s="14" t="str">
        <x:v>Аксессуары для электроники</x:v>
      </x:c>
      <x:c r="B3756" s="14" t="str">
        <x:v>Домашняя Аудио и Видеотехника Access</x:v>
      </x:c>
      <x:c r="C3756" s="14" t="str">
        <x:v>Аксессуар к TV и аудиотехнике Access</x:v>
      </x:c>
      <x:c r="D3756" s="14" t="str">
        <x:v>Чехол для портативной акустики</x:v>
      </x:c>
      <x:c r="E3756" s="2" t="n">
        <x:v>12</x:v>
      </x:c>
      <x:c r="F3756" s="2" t="n">
        <x:v>0</x:v>
      </x:c>
      <x:c r="G3756" s="12" t="n">
        <x:v>1556743.3906</x:v>
      </x:c>
      <x:c r="H3756" s="12" t="n">
        <x:v>167811.832491</x:v>
      </x:c>
      <x:c r="I3756" s="13" t="n">
        <x:v>0.100275</x:v>
      </x:c>
      <x:c r="J3756" s="2" t="n">
        <x:v>5</x:v>
      </x:c>
      <x:c r="K3756" s="2" t="n">
        <x:v>6</x:v>
      </x:c>
      <x:c r="L3756" s="12" t="n">
        <x:v>2447.82065</x:v>
      </x:c>
      <x:c r="M3756" s="13" t="n">
        <x:v>0.3578039922079371</x:v>
      </x:c>
      <x:c r="N3756" s="13" t="n">
        <x:f>H3756/G3756</x:f>
        <x:v>0.10779672070829989</x:v>
      </x:c>
      <x:c r="O3756" s="13" t="n">
        <x:f>F3756/E3756</x:f>
        <x:v>0</x:v>
      </x:c>
      <x:c r="P3756" s="2" t="str">
        <x:f>IF(AND(E3756&gt;='Итоги'!$F$5,N3756&lt;='Итоги'!$B$5,O3756&gt;='Итоги'!$D$5),"Да","Нет")</x:f>
        <x:v>Нет</x:v>
      </x:c>
    </x:row>
    <x:row r="3757" ht="60" customHeight="1">
      <x:c r="A3757" s="14" t="str">
        <x:v>Товары для красоты и здоровья</x:v>
      </x:c>
      <x:c r="B3757" s="14" t="str">
        <x:v>Косметические аксессуары</x:v>
      </x:c>
      <x:c r="C3757" s="14" t="str">
        <x:v>Аксессуары для макияжа</x:v>
      </x:c>
      <x:c r="D3757" s="14" t="str">
        <x:v>Зеркало косметическое</x:v>
      </x:c>
      <x:c r="E3757" s="2" t="n">
        <x:v>51</x:v>
      </x:c>
      <x:c r="F3757" s="2" t="n">
        <x:v>0</x:v>
      </x:c>
      <x:c r="G3757" s="12" t="n">
        <x:v>6772068.0167</x:v>
      </x:c>
      <x:c r="H3757" s="12" t="n">
        <x:v>730336.84921133</x:v>
      </x:c>
      <x:c r="I3757" s="13" t="n">
        <x:v>0.1053862745098039</x:v>
      </x:c>
      <x:c r="J3757" s="2" t="n">
        <x:v>11</x:v>
      </x:c>
      <x:c r="K3757" s="2" t="n">
        <x:v>23</x:v>
      </x:c>
      <x:c r="L3757" s="12" t="n">
        <x:v>1506.7184</x:v>
      </x:c>
      <x:c r="M3757" s="13" t="n">
        <x:v>0.4638457162647771</x:v>
      </x:c>
      <x:c r="N3757" s="13" t="n">
        <x:f>H3757/G3757</x:f>
        <x:v>0.10784546868258126</x:v>
      </x:c>
      <x:c r="O3757" s="13" t="n">
        <x:f>F3757/E3757</x:f>
        <x:v>0</x:v>
      </x:c>
      <x:c r="P3757" s="2" t="str">
        <x:f>IF(AND(E3757&gt;='Итоги'!$F$5,N3757&lt;='Итоги'!$B$5,O3757&gt;='Итоги'!$D$5),"Да","Нет")</x:f>
        <x:v>Нет</x:v>
      </x:c>
    </x:row>
    <x:row r="3758" ht="60" customHeight="1">
      <x:c r="A3758" s="14" t="str">
        <x:v>Аксессуары</x:v>
      </x:c>
      <x:c r="B3758" s="14" t="str">
        <x:v>Аксессуары</x:v>
      </x:c>
      <x:c r="C3758" s="14" t="str">
        <x:v>Мелкие аксессуары</x:v>
      </x:c>
      <x:c r="D3758" s="14" t="str">
        <x:v>Мужской зонт-трость</x:v>
      </x:c>
      <x:c r="E3758" s="2" t="n">
        <x:v>16</x:v>
      </x:c>
      <x:c r="F3758" s="2" t="n">
        <x:v>0</x:v>
      </x:c>
      <x:c r="G3758" s="12" t="n">
        <x:v>2727571.214</x:v>
      </x:c>
      <x:c r="H3758" s="12" t="n">
        <x:v>294171.61374192</x:v>
      </x:c>
      <x:c r="I3758" s="13" t="n">
        <x:v>0.1091625</x:v>
      </x:c>
      <x:c r="J3758" s="2" t="n">
        <x:v>5</x:v>
      </x:c>
      <x:c r="K3758" s="2" t="n">
        <x:v>8</x:v>
      </x:c>
      <x:c r="L3758" s="12" t="n">
        <x:v>1142.4672999999998</x:v>
      </x:c>
      <x:c r="M3758" s="13" t="n">
        <x:v>0.4072846648688821</x:v>
      </x:c>
      <x:c r="N3758" s="13" t="n">
        <x:f>H3758/G3758</x:f>
        <x:v>0.10785112125835772</x:v>
      </x:c>
      <x:c r="O3758" s="13" t="n">
        <x:f>F3758/E3758</x:f>
        <x:v>0</x:v>
      </x:c>
      <x:c r="P3758" s="2" t="str">
        <x:f>IF(AND(E3758&gt;='Итоги'!$F$5,N3758&lt;='Итоги'!$B$5,O3758&gt;='Итоги'!$D$5),"Да","Нет")</x:f>
        <x:v>Нет</x:v>
      </x:c>
    </x:row>
    <x:row r="3759" ht="60" customHeight="1">
      <x:c r="A3759" s="14" t="str">
        <x:v>Спорт и отдых</x:v>
      </x:c>
      <x:c r="B3759" s="14" t="str">
        <x:v>Единоборства</x:v>
      </x:c>
      <x:c r="C3759" s="14" t="str">
        <x:v>Бокс</x:v>
      </x:c>
      <x:c r="D3759" s="14" t="str">
        <x:v>Лапы и макивара</x:v>
      </x:c>
      <x:c r="E3759" s="2" t="n">
        <x:v>6</x:v>
      </x:c>
      <x:c r="F3759" s="2" t="n">
        <x:v>0</x:v>
      </x:c>
      <x:c r="G3759" s="12" t="n">
        <x:v>804397.1575</x:v>
      </x:c>
      <x:c r="H3759" s="12" t="n">
        <x:v>86778.54806599999</x:v>
      </x:c>
      <x:c r="I3759" s="13" t="n">
        <x:v>0.09845</x:v>
      </x:c>
      <x:c r="J3759" s="2" t="n">
        <x:v>0</x:v>
      </x:c>
      <x:c r="K3759" s="2" t="n">
        <x:v>5</x:v>
      </x:c>
      <x:c r="L3759" s="12" t="n">
        <x:v>1101.2786999999998</x:v>
      </x:c>
      <x:c r="M3759" s="13" t="n">
        <x:v>0.4810670747552958</x:v>
      </x:c>
      <x:c r="N3759" s="13" t="n">
        <x:f>H3759/G3759</x:f>
        <x:v>0.10788022714513383</x:v>
      </x:c>
      <x:c r="O3759" s="13" t="n">
        <x:f>F3759/E3759</x:f>
        <x:v>0</x:v>
      </x:c>
      <x:c r="P3759" s="2" t="str">
        <x:f>IF(AND(E3759&gt;='Итоги'!$F$5,N3759&lt;='Итоги'!$B$5,O3759&gt;='Итоги'!$D$5),"Да","Нет")</x:f>
        <x:v>Нет</x:v>
      </x:c>
    </x:row>
    <x:row r="3760" ht="60" customHeight="1">
      <x:c r="A3760" s="14" t="str">
        <x:v>Школьные принадлежности и канцелярия</x:v>
      </x:c>
      <x:c r="B3760" s="14" t="str">
        <x:v>Товары для школы, канцелярия, оборудование</x:v>
      </x:c>
      <x:c r="C3760" s="14" t="str">
        <x:v>Офисные принадлежности</x:v>
      </x:c>
      <x:c r="D3760" s="14" t="str">
        <x:v>Подарочный настольный канцелярский набор</x:v>
      </x:c>
      <x:c r="E3760" s="2" t="n">
        <x:v>12</x:v>
      </x:c>
      <x:c r="F3760" s="2" t="n">
        <x:v>0</x:v>
      </x:c>
      <x:c r="G3760" s="12" t="n">
        <x:v>1120476.0688</x:v>
      </x:c>
      <x:c r="H3760" s="12" t="n">
        <x:v>121002.81149981</x:v>
      </x:c>
      <x:c r="I3760" s="13" t="n">
        <x:v>0.1143416666666666</x:v>
      </x:c>
      <x:c r="J3760" s="2" t="n">
        <x:v>1</x:v>
      </x:c>
      <x:c r="K3760" s="2" t="n">
        <x:v>9</x:v>
      </x:c>
      <x:c r="L3760" s="12" t="n">
        <x:v>1982.3408</x:v>
      </x:c>
      <x:c r="M3760" s="13" t="n">
        <x:v>0.2273597866956959</x:v>
      </x:c>
      <x:c r="N3760" s="13" t="n">
        <x:f>H3760/G3760</x:f>
        <x:v>0.10799232118308497</x:v>
      </x:c>
      <x:c r="O3760" s="13" t="n">
        <x:f>F3760/E3760</x:f>
        <x:v>0</x:v>
      </x:c>
      <x:c r="P3760" s="2" t="str">
        <x:f>IF(AND(E3760&gt;='Итоги'!$F$5,N3760&lt;='Итоги'!$B$5,O3760&gt;='Итоги'!$D$5),"Да","Нет")</x:f>
        <x:v>Нет</x:v>
      </x:c>
    </x:row>
    <x:row r="3761" ht="60" customHeight="1">
      <x:c r="A3761" s="14" t="str">
        <x:v>Товары для дома</x:v>
      </x:c>
      <x:c r="B3761" s="14" t="str">
        <x:v>Хранение</x:v>
      </x:c>
      <x:c r="C3761" s="14" t="str">
        <x:v>Товары для переноски</x:v>
      </x:c>
      <x:c r="D3761" s="14" t="str">
        <x:v>Пакет непищевой с вырубкой</x:v>
      </x:c>
      <x:c r="E3761" s="2" t="n">
        <x:v>3</x:v>
      </x:c>
      <x:c r="F3761" s="2" t="n">
        <x:v>0</x:v>
      </x:c>
      <x:c r="G3761" s="12" t="n">
        <x:v>351997.0532</x:v>
      </x:c>
      <x:c r="H3761" s="12" t="n">
        <x:v>38056.50768832</x:v>
      </x:c>
      <x:c r="I3761" s="13" t="n">
        <x:v>0.0807333333333333</x:v>
      </x:c>
      <x:c r="J3761" s="2" t="n">
        <x:v>1</x:v>
      </x:c>
      <x:c r="K3761" s="2" t="n">
        <x:v>3</x:v>
      </x:c>
      <x:c r="L3761" s="12" t="n">
        <x:v>1775</x:v>
      </x:c>
      <x:c r="M3761" s="13" t="n">
        <x:v>0.5875769109989811</x:v>
      </x:c>
      <x:c r="N3761" s="13" t="n">
        <x:f>H3761/G3761</x:f>
        <x:v>0.10811598376278679</x:v>
      </x:c>
      <x:c r="O3761" s="13" t="n">
        <x:f>F3761/E3761</x:f>
        <x:v>0</x:v>
      </x:c>
      <x:c r="P3761" s="2" t="str">
        <x:f>IF(AND(E3761&gt;='Итоги'!$F$5,N3761&lt;='Итоги'!$B$5,O3761&gt;='Итоги'!$D$5),"Да","Нет")</x:f>
        <x:v>Нет</x:v>
      </x:c>
    </x:row>
    <x:row r="3762" ht="60" customHeight="1">
      <x:c r="A3762" s="14" t="str">
        <x:v>Товары для красоты и здоровья</x:v>
      </x:c>
      <x:c r="B3762" s="14" t="str">
        <x:v>Декоративная косметика</x:v>
      </x:c>
      <x:c r="C3762" s="14" t="str">
        <x:v>Глаза, ресницы, брови</x:v>
      </x:c>
      <x:c r="D3762" s="14" t="str">
        <x:v>Средство для окрашивания бровей и ресниц</x:v>
      </x:c>
      <x:c r="E3762" s="2" t="n">
        <x:v>19</x:v>
      </x:c>
      <x:c r="F3762" s="2" t="n">
        <x:v>0</x:v>
      </x:c>
      <x:c r="G3762" s="12" t="n">
        <x:v>2931094.2209</x:v>
      </x:c>
      <x:c r="H3762" s="12" t="n">
        <x:v>316997.20396622</x:v>
      </x:c>
      <x:c r="I3762" s="13" t="n">
        <x:v>0.1004052631578947</x:v>
      </x:c>
      <x:c r="J3762" s="2" t="n">
        <x:v>4</x:v>
      </x:c>
      <x:c r="K3762" s="2" t="n">
        <x:v>5</x:v>
      </x:c>
      <x:c r="L3762" s="12" t="n">
        <x:v>1644.8157</x:v>
      </x:c>
      <x:c r="M3762" s="13" t="n">
        <x:v>0.6061257936479731</x:v>
      </x:c>
      <x:c r="N3762" s="13" t="n">
        <x:f>H3762/G3762</x:f>
        <x:v>0.10814978300795981</x:v>
      </x:c>
      <x:c r="O3762" s="13" t="n">
        <x:f>F3762/E3762</x:f>
        <x:v>0</x:v>
      </x:c>
      <x:c r="P3762" s="2" t="str">
        <x:f>IF(AND(E3762&gt;='Итоги'!$F$5,N3762&lt;='Итоги'!$B$5,O3762&gt;='Итоги'!$D$5),"Да","Нет")</x:f>
        <x:v>Нет</x:v>
      </x:c>
    </x:row>
    <x:row r="3763" ht="60" customHeight="1">
      <x:c r="A3763" s="14" t="str">
        <x:v>Аптека</x:v>
      </x:c>
      <x:c r="B3763" s="14" t="str">
        <x:v>Спортивное питание</x:v>
      </x:c>
      <x:c r="C3763" s="14" t="str">
        <x:v>Протеины (высокобелковые смеси)</x:v>
      </x:c>
      <x:c r="D3763" s="14" t="str">
        <x:v>Говяжий протеин</x:v>
      </x:c>
      <x:c r="E3763" s="2" t="n">
        <x:v>8</x:v>
      </x:c>
      <x:c r="F3763" s="2" t="n">
        <x:v>0</x:v>
      </x:c>
      <x:c r="G3763" s="12" t="n">
        <x:v>1701751.1888</x:v>
      </x:c>
      <x:c r="H3763" s="12" t="n">
        <x:v>184098.10975457</x:v>
      </x:c>
      <x:c r="I3763" s="13" t="n">
        <x:v>0.086625</x:v>
      </x:c>
      <x:c r="J3763" s="2" t="n">
        <x:v>1</x:v>
      </x:c>
      <x:c r="K3763" s="2" t="n">
        <x:v>3</x:v>
      </x:c>
      <x:c r="L3763" s="12" t="n">
        <x:v>1783.9146</x:v>
      </x:c>
      <x:c r="M3763" s="13" t="n">
        <x:v>0.7479944463547538</x:v>
      </x:c>
      <x:c r="N3763" s="13" t="n">
        <x:f>H3763/G3763</x:f>
        <x:v>0.10818156670975379</x:v>
      </x:c>
      <x:c r="O3763" s="13" t="n">
        <x:f>F3763/E3763</x:f>
        <x:v>0</x:v>
      </x:c>
      <x:c r="P3763" s="2" t="str">
        <x:f>IF(AND(E3763&gt;='Итоги'!$F$5,N3763&lt;='Итоги'!$B$5,O3763&gt;='Итоги'!$D$5),"Да","Нет")</x:f>
        <x:v>Нет</x:v>
      </x:c>
    </x:row>
    <x:row r="3764" ht="60" customHeight="1">
      <x:c r="A3764" s="14" t="str">
        <x:v>Автотовары</x:v>
      </x:c>
      <x:c r="B3764" s="14" t="str">
        <x:v>Автоинструменты и гаражное оборудование</x:v>
      </x:c>
      <x:c r="C3764" s="14" t="str">
        <x:v>Оборудование для гаража и автосервиса</x:v>
      </x:c>
      <x:c r="D3764" s="14" t="str">
        <x:v>Компрессор автомобильный</x:v>
      </x:c>
      <x:c r="E3764" s="2" t="n">
        <x:v>240</x:v>
      </x:c>
      <x:c r="F3764" s="2" t="n">
        <x:v>0</x:v>
      </x:c>
      <x:c r="G3764" s="12" t="n">
        <x:v>46583288.9605</x:v>
      </x:c>
      <x:c r="H3764" s="12" t="n">
        <x:v>5041888.43519933</x:v>
      </x:c>
      <x:c r="I3764" s="13" t="n">
        <x:v>0.1152529166666666</x:v>
      </x:c>
      <x:c r="J3764" s="2" t="n">
        <x:v>22</x:v>
      </x:c>
      <x:c r="K3764" s="2" t="n">
        <x:v>115</x:v>
      </x:c>
      <x:c r="L3764" s="12" t="n">
        <x:v>1966.9485</x:v>
      </x:c>
      <x:c r="M3764" s="13" t="n">
        <x:v>0.468763571237234</x:v>
      </x:c>
      <x:c r="N3764" s="13" t="n">
        <x:f>H3764/G3764</x:f>
        <x:v>0.10823384410393534</x:v>
      </x:c>
      <x:c r="O3764" s="13" t="n">
        <x:f>F3764/E3764</x:f>
        <x:v>0</x:v>
      </x:c>
      <x:c r="P3764" s="2" t="str">
        <x:f>IF(AND(E3764&gt;='Итоги'!$F$5,N3764&lt;='Итоги'!$B$5,O3764&gt;='Итоги'!$D$5),"Да","Нет")</x:f>
        <x:v>Нет</x:v>
      </x:c>
    </x:row>
    <x:row r="3765" ht="60" customHeight="1">
      <x:c r="A3765" s="14" t="str">
        <x:v>Товары для дома</x:v>
      </x:c>
      <x:c r="B3765" s="14" t="str">
        <x:v>Ванная комната</x:v>
      </x:c>
      <x:c r="C3765" s="14" t="str">
        <x:v>Держатели для ванной</x:v>
      </x:c>
      <x:c r="D3765" s="14" t="str">
        <x:v>Держатель для туалетной бумаги</x:v>
      </x:c>
      <x:c r="E3765" s="2" t="n">
        <x:v>41</x:v>
      </x:c>
      <x:c r="F3765" s="2" t="n">
        <x:v>0</x:v>
      </x:c>
      <x:c r="G3765" s="12" t="n">
        <x:v>5322326.3985</x:v>
      </x:c>
      <x:c r="H3765" s="12" t="n">
        <x:v>576683.54144906</x:v>
      </x:c>
      <x:c r="I3765" s="13" t="n">
        <x:v>0.104380487804878</x:v>
      </x:c>
      <x:c r="J3765" s="2" t="n">
        <x:v>6</x:v>
      </x:c>
      <x:c r="K3765" s="2" t="n">
        <x:v>22</x:v>
      </x:c>
      <x:c r="L3765" s="12" t="n">
        <x:v>1174.1842</x:v>
      </x:c>
      <x:c r="M3765" s="13" t="n">
        <x:v>0.3698708185493483</x:v>
      </x:c>
      <x:c r="N3765" s="13" t="n">
        <x:f>H3765/G3765</x:f>
        <x:v>0.10835178045667918</x:v>
      </x:c>
      <x:c r="O3765" s="13" t="n">
        <x:f>F3765/E3765</x:f>
        <x:v>0</x:v>
      </x:c>
      <x:c r="P3765" s="2" t="str">
        <x:f>IF(AND(E3765&gt;='Итоги'!$F$5,N3765&lt;='Итоги'!$B$5,O3765&gt;='Итоги'!$D$5),"Да","Нет")</x:f>
        <x:v>Нет</x:v>
      </x:c>
    </x:row>
    <x:row r="3766" ht="60" customHeight="1">
      <x:c r="A3766" s="14" t="str">
        <x:v>Аксессуары для электроники</x:v>
      </x:c>
      <x:c r="B3766" s="14" t="str">
        <x:v>Аксессуары для мобильных устройств Access</x:v>
      </x:c>
      <x:c r="C3766" s="14" t="str">
        <x:v>Аксессуары для зарядки и передачи информации Access</x:v>
      </x:c>
      <x:c r="D3766" s="14" t="str">
        <x:v>Внешний аккумулятор</x:v>
      </x:c>
      <x:c r="E3766" s="2" t="n">
        <x:v>445</x:v>
      </x:c>
      <x:c r="F3766" s="2" t="n">
        <x:v>0</x:v>
      </x:c>
      <x:c r="G3766" s="12" t="n">
        <x:v>62377374.0258</x:v>
      </x:c>
      <x:c r="H3766" s="12" t="n">
        <x:v>6761769.70601032</x:v>
      </x:c>
      <x:c r="I3766" s="13" t="n">
        <x:v>0.1072483146067415</x:v>
      </x:c>
      <x:c r="J3766" s="2" t="n">
        <x:v>101</x:v>
      </x:c>
      <x:c r="K3766" s="2" t="n">
        <x:v>146</x:v>
      </x:c>
      <x:c r="L3766" s="12" t="n">
        <x:v>1819.3488</x:v>
      </x:c>
      <x:c r="M3766" s="13" t="n">
        <x:v>0.4428360086186833</x:v>
      </x:c>
      <x:c r="N3766" s="13" t="n">
        <x:f>H3766/G3766</x:f>
        <x:v>0.10840099974733747</x:v>
      </x:c>
      <x:c r="O3766" s="13" t="n">
        <x:f>F3766/E3766</x:f>
        <x:v>0</x:v>
      </x:c>
      <x:c r="P3766" s="2" t="str">
        <x:f>IF(AND(E3766&gt;='Итоги'!$F$5,N3766&lt;='Итоги'!$B$5,O3766&gt;='Итоги'!$D$5),"Да","Нет")</x:f>
        <x:v>Нет</x:v>
      </x:c>
    </x:row>
    <x:row r="3767" ht="60" customHeight="1">
      <x:c r="A3767" s="14" t="str">
        <x:v>Товары для дома</x:v>
      </x:c>
      <x:c r="B3767" s="14" t="str">
        <x:v>Интерьер и декор</x:v>
      </x:c>
      <x:c r="C3767" s="14" t="str">
        <x:v>Принадлежности для праздника</x:v>
      </x:c>
      <x:c r="D3767" s="14" t="str">
        <x:v>Подарочная коробка, корзинка</x:v>
      </x:c>
      <x:c r="E3767" s="2" t="n">
        <x:v>6</x:v>
      </x:c>
      <x:c r="F3767" s="2" t="n">
        <x:v>0</x:v>
      </x:c>
      <x:c r="G3767" s="12" t="n">
        <x:v>952489.3955</x:v>
      </x:c>
      <x:c r="H3767" s="12" t="n">
        <x:v>103335.97328145</x:v>
      </x:c>
      <x:c r="I3767" s="13" t="n">
        <x:v>0.0781666666666666</x:v>
      </x:c>
      <x:c r="J3767" s="2" t="n">
        <x:v>3</x:v>
      </x:c>
      <x:c r="K3767" s="2" t="n">
        <x:v>5</x:v>
      </x:c>
      <x:c r="L3767" s="12" t="n">
        <x:v>1118.67665</x:v>
      </x:c>
      <x:c r="M3767" s="13" t="n">
        <x:v>0.3068286128756171</x:v>
      </x:c>
      <x:c r="N3767" s="13" t="n">
        <x:f>H3767/G3767</x:f>
        <x:v>0.10849041865416759</x:v>
      </x:c>
      <x:c r="O3767" s="13" t="n">
        <x:f>F3767/E3767</x:f>
        <x:v>0</x:v>
      </x:c>
      <x:c r="P3767" s="2" t="str">
        <x:f>IF(AND(E3767&gt;='Итоги'!$F$5,N3767&lt;='Итоги'!$B$5,O3767&gt;='Итоги'!$D$5),"Да","Нет")</x:f>
        <x:v>Нет</x:v>
      </x:c>
    </x:row>
    <x:row r="3768" ht="60" customHeight="1">
      <x:c r="A3768" s="14" t="str">
        <x:v>Товары для дома</x:v>
      </x:c>
      <x:c r="B3768" s="14" t="str">
        <x:v>Кухня</x:v>
      </x:c>
      <x:c r="C3768" s="14" t="str">
        <x:v>Посуда для чая и кофе</x:v>
      </x:c>
      <x:c r="D3768" s="14" t="str">
        <x:v>Сахарница</x:v>
      </x:c>
      <x:c r="E3768" s="2" t="n">
        <x:v>6</x:v>
      </x:c>
      <x:c r="F3768" s="2" t="n">
        <x:v>0</x:v>
      </x:c>
      <x:c r="G3768" s="12" t="n">
        <x:v>608097.3042</x:v>
      </x:c>
      <x:c r="H3768" s="12" t="n">
        <x:v>66041.44450253</x:v>
      </x:c>
      <x:c r="I3768" s="13" t="n">
        <x:v>0.1000166666666666</x:v>
      </x:c>
      <x:c r="J3768" s="2" t="n">
        <x:v>1</x:v>
      </x:c>
      <x:c r="K3768" s="2" t="n">
        <x:v>6</x:v>
      </x:c>
      <x:c r="L3768" s="12" t="n">
        <x:v>879.9635499999999</x:v>
      </x:c>
      <x:c r="M3768" s="13" t="n">
        <x:v>0.2244577954174064</x:v>
      </x:c>
      <x:c r="N3768" s="13" t="n">
        <x:f>H3768/G3768</x:f>
        <x:v>0.10860341600989783</x:v>
      </x:c>
      <x:c r="O3768" s="13" t="n">
        <x:f>F3768/E3768</x:f>
        <x:v>0</x:v>
      </x:c>
      <x:c r="P3768" s="2" t="str">
        <x:f>IF(AND(E3768&gt;='Итоги'!$F$5,N3768&lt;='Итоги'!$B$5,O3768&gt;='Итоги'!$D$5),"Да","Нет")</x:f>
        <x:v>Нет</x:v>
      </x:c>
    </x:row>
    <x:row r="3769" ht="60" customHeight="1">
      <x:c r="A3769" s="14" t="str">
        <x:v>Строительство и ремонт (DIY)</x:v>
      </x:c>
      <x:c r="B3769" s="14" t="str">
        <x:v>Промышленно-строительное оборудование</x:v>
      </x:c>
      <x:c r="C3769" s="14" t="str">
        <x:v>Комплектующие для промышленно-строительного оборудования</x:v>
      </x:c>
      <x:c r="D3769" s="14" t="str">
        <x:v>Телекоммуникационное оборудование</x:v>
      </x:c>
      <x:c r="E3769" s="2" t="n">
        <x:v>1</x:v>
      </x:c>
      <x:c r="F3769" s="2" t="n">
        <x:v>0</x:v>
      </x:c>
      <x:c r="G3769" s="12" t="n">
        <x:v>236034.08</x:v>
      </x:c>
      <x:c r="H3769" s="12" t="n">
        <x:v>25656.904496</x:v>
      </x:c>
      <x:c r="I3769" s="13" t="n">
        <x:v>0.1087</x:v>
      </x:c>
      <x:c r="J3769" s="2" t="n">
        <x:v>0</x:v>
      </x:c>
      <x:c r="K3769" s="2" t="n">
        <x:v>1</x:v>
      </x:c>
      <x:c r="L3769" s="12" t="n">
        <x:v>1605.674</x:v>
      </x:c>
      <x:c r="M3769" s="13" t="n">
        <x:v>1</x:v>
      </x:c>
      <x:c r="N3769" s="13" t="n">
        <x:f>H3769/G3769</x:f>
        <x:v>0.1087</x:v>
      </x:c>
      <x:c r="O3769" s="13" t="n">
        <x:f>F3769/E3769</x:f>
        <x:v>0</x:v>
      </x:c>
      <x:c r="P3769" s="2" t="str">
        <x:f>IF(AND(E3769&gt;='Итоги'!$F$5,N3769&lt;='Итоги'!$B$5,O3769&gt;='Итоги'!$D$5),"Да","Нет")</x:f>
        <x:v>Нет</x:v>
      </x:c>
    </x:row>
    <x:row r="3770" ht="60" customHeight="1">
      <x:c r="A3770" s="14" t="str">
        <x:v>Товары для дома</x:v>
      </x:c>
      <x:c r="B3770" s="14" t="str">
        <x:v>Домашний текстиль</x:v>
      </x:c>
      <x:c r="C3770" s="14" t="str">
        <x:v>Плед</x:v>
      </x:c>
      <x:c r="D3770" s="14" t="str">
        <x:v>Плед - Евро размер от 200х220</x:v>
      </x:c>
      <x:c r="E3770" s="2" t="n">
        <x:v>98</x:v>
      </x:c>
      <x:c r="F3770" s="2" t="n">
        <x:v>0</x:v>
      </x:c>
      <x:c r="G3770" s="12" t="n">
        <x:v>12901222.0311</x:v>
      </x:c>
      <x:c r="H3770" s="12" t="n">
        <x:v>1402488.45339294</x:v>
      </x:c>
      <x:c r="I3770" s="13" t="n">
        <x:v>0.1078602040816326</x:v>
      </x:c>
      <x:c r="J3770" s="2" t="n">
        <x:v>10</x:v>
      </x:c>
      <x:c r="K3770" s="2" t="n">
        <x:v>19</x:v>
      </x:c>
      <x:c r="L3770" s="12" t="n">
        <x:v>1209.6531</x:v>
      </x:c>
      <x:c r="M3770" s="13" t="n">
        <x:v>0.4782943942538966</x:v>
      </x:c>
      <x:c r="N3770" s="13" t="n">
        <x:f>H3770/G3770</x:f>
        <x:v>0.10870973695453558</x:v>
      </x:c>
      <x:c r="O3770" s="13" t="n">
        <x:f>F3770/E3770</x:f>
        <x:v>0</x:v>
      </x:c>
      <x:c r="P3770" s="2" t="str">
        <x:f>IF(AND(E3770&gt;='Итоги'!$F$5,N3770&lt;='Итоги'!$B$5,O3770&gt;='Итоги'!$D$5),"Да","Нет")</x:f>
        <x:v>Нет</x:v>
      </x:c>
    </x:row>
    <x:row r="3771" ht="60" customHeight="1">
      <x:c r="A3771" s="14" t="str">
        <x:v>Строительство и ремонт (DIY)</x:v>
      </x:c>
      <x:c r="B3771" s="14" t="str">
        <x:v>Освещение</x:v>
      </x:c>
      <x:c r="C3771" s="14" t="str">
        <x:v>Светильник домашний</x:v>
      </x:c>
      <x:c r="D3771" s="14" t="str">
        <x:v>Светильник настольный</x:v>
      </x:c>
      <x:c r="E3771" s="2" t="n">
        <x:v>185</x:v>
      </x:c>
      <x:c r="F3771" s="2" t="n">
        <x:v>0</x:v>
      </x:c>
      <x:c r="G3771" s="12" t="n">
        <x:v>33565210.4219</x:v>
      </x:c>
      <x:c r="H3771" s="12" t="n">
        <x:v>3648950.36832659</x:v>
      </x:c>
      <x:c r="I3771" s="13" t="n">
        <x:v>0.1148972972972973</x:v>
      </x:c>
      <x:c r="J3771" s="2" t="n">
        <x:v>25</x:v>
      </x:c>
      <x:c r="K3771" s="2" t="n">
        <x:v>72</x:v>
      </x:c>
      <x:c r="L3771" s="12" t="n">
        <x:v>1771.1067</x:v>
      </x:c>
      <x:c r="M3771" s="13" t="n">
        <x:v>0.3997856652715841</x:v>
      </x:c>
      <x:c r="N3771" s="13" t="n">
        <x:f>H3771/G3771</x:f>
        <x:v>0.1087122744788691</x:v>
      </x:c>
      <x:c r="O3771" s="13" t="n">
        <x:f>F3771/E3771</x:f>
        <x:v>0</x:v>
      </x:c>
      <x:c r="P3771" s="2" t="str">
        <x:f>IF(AND(E3771&gt;='Итоги'!$F$5,N3771&lt;='Итоги'!$B$5,O3771&gt;='Итоги'!$D$5),"Да","Нет")</x:f>
        <x:v>Нет</x:v>
      </x:c>
    </x:row>
    <x:row r="3772" ht="60" customHeight="1">
      <x:c r="A3772" s="14" t="str">
        <x:v>Строительство и ремонт (DIY)</x:v>
      </x:c>
      <x:c r="B3772" s="14" t="str">
        <x:v>Сантехника</x:v>
      </x:c>
      <x:c r="C3772" s="14" t="str">
        <x:v>Душевая программа</x:v>
      </x:c>
      <x:c r="D3772" s="14" t="str">
        <x:v>Комплектующие для душевых кабин</x:v>
      </x:c>
      <x:c r="E3772" s="2" t="n">
        <x:v>14</x:v>
      </x:c>
      <x:c r="F3772" s="2" t="n">
        <x:v>0</x:v>
      </x:c>
      <x:c r="G3772" s="12" t="n">
        <x:v>2022595.5909</x:v>
      </x:c>
      <x:c r="H3772" s="12" t="n">
        <x:v>220056.95253003</x:v>
      </x:c>
      <x:c r="I3772" s="13" t="n">
        <x:v>0.1050357142857142</x:v>
      </x:c>
      <x:c r="J3772" s="2" t="n">
        <x:v>2</x:v>
      </x:c>
      <x:c r="K3772" s="2" t="n">
        <x:v>6</x:v>
      </x:c>
      <x:c r="L3772" s="12" t="n">
        <x:v>1306.4478</x:v>
      </x:c>
      <x:c r="M3772" s="13" t="n">
        <x:v>0.7714986811603061</x:v>
      </x:c>
      <x:c r="N3772" s="13" t="n">
        <x:f>H3772/G3772</x:f>
        <x:v>0.10879928420693859</x:v>
      </x:c>
      <x:c r="O3772" s="13" t="n">
        <x:f>F3772/E3772</x:f>
        <x:v>0</x:v>
      </x:c>
      <x:c r="P3772" s="2" t="str">
        <x:f>IF(AND(E3772&gt;='Итоги'!$F$5,N3772&lt;='Итоги'!$B$5,O3772&gt;='Итоги'!$D$5),"Да","Нет")</x:f>
        <x:v>Нет</x:v>
      </x:c>
    </x:row>
    <x:row r="3773" ht="60" customHeight="1">
      <x:c r="A3773" s="14" t="str">
        <x:v>Товары для дома</x:v>
      </x:c>
      <x:c r="B3773" s="14" t="str">
        <x:v>Кухня</x:v>
      </x:c>
      <x:c r="C3773" s="14" t="str">
        <x:v>Кухонная утварь и принадлежности</x:v>
      </x:c>
      <x:c r="D3773" s="14" t="str">
        <x:v>Наборы и емкости для хранения специй и соусов, солонка, перечница</x:v>
      </x:c>
      <x:c r="E3773" s="2" t="n">
        <x:v>48</x:v>
      </x:c>
      <x:c r="F3773" s="2" t="n">
        <x:v>0</x:v>
      </x:c>
      <x:c r="G3773" s="12" t="n">
        <x:v>6664481.1722</x:v>
      </x:c>
      <x:c r="H3773" s="12" t="n">
        <x:v>725446.81379591</x:v>
      </x:c>
      <x:c r="I3773" s="13" t="n">
        <x:v>0.1185916666666666</x:v>
      </x:c>
      <x:c r="J3773" s="2" t="n">
        <x:v>5</x:v>
      </x:c>
      <x:c r="K3773" s="2" t="n">
        <x:v>17</x:v>
      </x:c>
      <x:c r="L3773" s="12" t="n">
        <x:v>1182.28335</x:v>
      </x:c>
      <x:c r="M3773" s="13" t="n">
        <x:v>0.4263587396949627</x:v>
      </x:c>
      <x:c r="N3773" s="13" t="n">
        <x:f>H3773/G3773</x:f>
        <x:v>0.10885270661758566</x:v>
      </x:c>
      <x:c r="O3773" s="13" t="n">
        <x:f>F3773/E3773</x:f>
        <x:v>0</x:v>
      </x:c>
      <x:c r="P3773" s="2" t="str">
        <x:f>IF(AND(E3773&gt;='Итоги'!$F$5,N3773&lt;='Итоги'!$B$5,O3773&gt;='Итоги'!$D$5),"Да","Нет")</x:f>
        <x:v>Нет</x:v>
      </x:c>
    </x:row>
    <x:row r="3774" ht="60" customHeight="1">
      <x:c r="A3774" s="14" t="str">
        <x:v>Товары для дома</x:v>
      </x:c>
      <x:c r="B3774" s="14" t="str">
        <x:v>Хранение</x:v>
      </x:c>
      <x:c r="C3774" s="14" t="str">
        <x:v>Товары для хранения</x:v>
      </x:c>
      <x:c r="D3774" s="14" t="str">
        <x:v>Коробка, контейнер для хранения</x:v>
      </x:c>
      <x:c r="E3774" s="2" t="n">
        <x:v>227</x:v>
      </x:c>
      <x:c r="F3774" s="2" t="n">
        <x:v>0</x:v>
      </x:c>
      <x:c r="G3774" s="12" t="n">
        <x:v>37302893.3965</x:v>
      </x:c>
      <x:c r="H3774" s="12" t="n">
        <x:v>4060528.12417012</x:v>
      </x:c>
      <x:c r="I3774" s="13" t="n">
        <x:v>0.1058757709251101</x:v>
      </x:c>
      <x:c r="J3774" s="2" t="n">
        <x:v>20</x:v>
      </x:c>
      <x:c r="K3774" s="2" t="n">
        <x:v>62</x:v>
      </x:c>
      <x:c r="L3774" s="12" t="n">
        <x:v>1177.764</x:v>
      </x:c>
      <x:c r="M3774" s="13" t="n">
        <x:v>0.5434983353222205</x:v>
      </x:c>
      <x:c r="N3774" s="13" t="n">
        <x:f>H3774/G3774</x:f>
        <x:v>0.10885289998847932</x:v>
      </x:c>
      <x:c r="O3774" s="13" t="n">
        <x:f>F3774/E3774</x:f>
        <x:v>0</x:v>
      </x:c>
      <x:c r="P3774" s="2" t="str">
        <x:f>IF(AND(E3774&gt;='Итоги'!$F$5,N3774&lt;='Итоги'!$B$5,O3774&gt;='Итоги'!$D$5),"Да","Нет")</x:f>
        <x:v>Нет</x:v>
      </x:c>
    </x:row>
    <x:row r="3775" ht="60" customHeight="1">
      <x:c r="A3775" s="14" t="str">
        <x:v>Товары для дома</x:v>
      </x:c>
      <x:c r="B3775" s="14" t="str">
        <x:v>Кухня</x:v>
      </x:c>
      <x:c r="C3775" s="14" t="str">
        <x:v>Кухонная утварь и принадлежности</x:v>
      </x:c>
      <x:c r="D3775" s="14" t="str">
        <x:v>Салфетница</x:v>
      </x:c>
      <x:c r="E3775" s="2" t="n">
        <x:v>6</x:v>
      </x:c>
      <x:c r="F3775" s="2" t="n">
        <x:v>0</x:v>
      </x:c>
      <x:c r="G3775" s="12" t="n">
        <x:v>810101.2221</x:v>
      </x:c>
      <x:c r="H3775" s="12" t="n">
        <x:v>88210.96986787</x:v>
      </x:c>
      <x:c r="I3775" s="13" t="n">
        <x:v>0.1064666666666666</x:v>
      </x:c>
      <x:c r="J3775" s="2" t="n">
        <x:v>0</x:v>
      </x:c>
      <x:c r="K3775" s="2" t="n">
        <x:v>4</x:v>
      </x:c>
      <x:c r="L3775" s="12" t="n">
        <x:v>897.73095</x:v>
      </x:c>
      <x:c r="M3775" s="13" t="n">
        <x:v>0.3403558062599298</x:v>
      </x:c>
      <x:c r="N3775" s="13" t="n">
        <x:f>H3775/G3775</x:f>
        <x:v>0.10888882458318414</x:v>
      </x:c>
      <x:c r="O3775" s="13" t="n">
        <x:f>F3775/E3775</x:f>
        <x:v>0</x:v>
      </x:c>
      <x:c r="P3775" s="2" t="str">
        <x:f>IF(AND(E3775&gt;='Итоги'!$F$5,N3775&lt;='Итоги'!$B$5,O3775&gt;='Итоги'!$D$5),"Да","Нет")</x:f>
        <x:v>Нет</x:v>
      </x:c>
    </x:row>
    <x:row r="3776" ht="60" customHeight="1">
      <x:c r="A3776" s="14" t="str">
        <x:v>Аксессуары для электроники</x:v>
      </x:c>
      <x:c r="B3776" s="14" t="str">
        <x:v>Компьютеры Access</x:v>
      </x:c>
      <x:c r="C3776" s="14" t="str">
        <x:v>Аксессуар к компьютерной технике Access</x:v>
      </x:c>
      <x:c r="D3776" s="14" t="str">
        <x:v>Док-станция для ноутбука</x:v>
      </x:c>
      <x:c r="E3776" s="2" t="n">
        <x:v>6</x:v>
      </x:c>
      <x:c r="F3776" s="2" t="n">
        <x:v>0</x:v>
      </x:c>
      <x:c r="G3776" s="12" t="n">
        <x:v>756312.9243000001</x:v>
      </x:c>
      <x:c r="H3776" s="12" t="n">
        <x:v>82354.57489053</x:v>
      </x:c>
      <x:c r="I3776" s="13" t="n">
        <x:v>0.1066166666666666</x:v>
      </x:c>
      <x:c r="J3776" s="2" t="n">
        <x:v>1</x:v>
      </x:c>
      <x:c r="K3776" s="2" t="n">
        <x:v>5</x:v>
      </x:c>
      <x:c r="L3776" s="12" t="n">
        <x:v>2184.7278</x:v>
      </x:c>
      <x:c r="M3776" s="13" t="n">
        <x:v>0.258588684678385</x:v>
      </x:c>
      <x:c r="N3776" s="13" t="n">
        <x:f>H3776/G3776</x:f>
        <x:v>0.10888955119569413</x:v>
      </x:c>
      <x:c r="O3776" s="13" t="n">
        <x:f>F3776/E3776</x:f>
        <x:v>0</x:v>
      </x:c>
      <x:c r="P3776" s="2" t="str">
        <x:f>IF(AND(E3776&gt;='Итоги'!$F$5,N3776&lt;='Итоги'!$B$5,O3776&gt;='Итоги'!$D$5),"Да","Нет")</x:f>
        <x:v>Нет</x:v>
      </x:c>
    </x:row>
    <x:row r="3777" ht="60" customHeight="1">
      <x:c r="A3777" s="14" t="str">
        <x:v>Товары для дома</x:v>
      </x:c>
      <x:c r="B3777" s="14" t="str">
        <x:v>Антиквариат Хоум Декор</x:v>
      </x:c>
      <x:c r="C3777" s="14" t="str">
        <x:v>Винтаж Хоум Декор</x:v>
      </x:c>
      <x:c r="D3777" s="14" t="str">
        <x:v>Винтаж портмоне</x:v>
      </x:c>
      <x:c r="E3777" s="2" t="n">
        <x:v>1</x:v>
      </x:c>
      <x:c r="F3777" s="2" t="n">
        <x:v>0</x:v>
      </x:c>
      <x:c r="G3777" s="12" t="n">
        <x:v>160334.29</x:v>
      </x:c>
      <x:c r="H3777" s="12" t="n">
        <x:v>17460.404181</x:v>
      </x:c>
      <x:c r="I3777" s="13" t="n">
        <x:v>0.1089</x:v>
      </x:c>
      <x:c r="J3777" s="2" t="n">
        <x:v>0</x:v>
      </x:c>
      <x:c r="K3777" s="2" t="n">
        <x:v>1</x:v>
      </x:c>
      <x:c r="L3777" s="12" t="n">
        <x:v>2628.431</x:v>
      </x:c>
      <x:c r="M3777" s="13" t="n">
        <x:v>1</x:v>
      </x:c>
      <x:c r="N3777" s="13" t="n">
        <x:f>H3777/G3777</x:f>
        <x:v>0.10890000000000001</x:v>
      </x:c>
      <x:c r="O3777" s="13" t="n">
        <x:f>F3777/E3777</x:f>
        <x:v>0</x:v>
      </x:c>
      <x:c r="P3777" s="2" t="str">
        <x:f>IF(AND(E3777&gt;='Итоги'!$F$5,N3777&lt;='Итоги'!$B$5,O3777&gt;='Итоги'!$D$5),"Да","Нет")</x:f>
        <x:v>Нет</x:v>
      </x:c>
    </x:row>
    <x:row r="3778" ht="60" customHeight="1">
      <x:c r="A3778" s="14" t="str">
        <x:v>Товары для дома</x:v>
      </x:c>
      <x:c r="B3778" s="14" t="str">
        <x:v>Домашний текстиль</x:v>
      </x:c>
      <x:c r="C3778" s="14" t="str">
        <x:v>Шторы</x:v>
      </x:c>
      <x:c r="D3778" s="14" t="str">
        <x:v>Шторы комнатные</x:v>
      </x:c>
      <x:c r="E3778" s="2" t="n">
        <x:v>790</x:v>
      </x:c>
      <x:c r="F3778" s="2" t="n">
        <x:v>0</x:v>
      </x:c>
      <x:c r="G3778" s="12" t="n">
        <x:v>110003673.8695</x:v>
      </x:c>
      <x:c r="H3778" s="12" t="n">
        <x:v>11984808.58221973</x:v>
      </x:c>
      <x:c r="I3778" s="13" t="n">
        <x:v>0.1129612658227848</x:v>
      </x:c>
      <x:c r="J3778" s="2" t="n">
        <x:v>85</x:v>
      </x:c>
      <x:c r="K3778" s="2" t="n">
        <x:v>77</x:v>
      </x:c>
      <x:c r="L3778" s="12" t="n">
        <x:v>1876.64725</x:v>
      </x:c>
      <x:c r="M3778" s="13" t="n">
        <x:v>0.476180334055402</x:v>
      </x:c>
      <x:c r="N3778" s="13" t="n">
        <x:f>H3778/G3778</x:f>
        <x:v>0.1089491665199982</x:v>
      </x:c>
      <x:c r="O3778" s="13" t="n">
        <x:f>F3778/E3778</x:f>
        <x:v>0</x:v>
      </x:c>
      <x:c r="P3778" s="2" t="str">
        <x:f>IF(AND(E3778&gt;='Итоги'!$F$5,N3778&lt;='Итоги'!$B$5,O3778&gt;='Итоги'!$D$5),"Да","Нет")</x:f>
        <x:v>Нет</x:v>
      </x:c>
    </x:row>
    <x:row r="3779" ht="60" customHeight="1">
      <x:c r="A3779" s="14" t="str">
        <x:v>Товары для красоты и здоровья</x:v>
      </x:c>
      <x:c r="B3779" s="14" t="str">
        <x:v>Декоративная косметика</x:v>
      </x:c>
      <x:c r="C3779" s="14" t="str">
        <x:v>Тон для лица</x:v>
      </x:c>
      <x:c r="D3779" s="14" t="str">
        <x:v>Румяна</x:v>
      </x:c>
      <x:c r="E3779" s="2" t="n">
        <x:v>9</x:v>
      </x:c>
      <x:c r="F3779" s="2" t="n">
        <x:v>0</x:v>
      </x:c>
      <x:c r="G3779" s="12" t="n">
        <x:v>1318770.6013</x:v>
      </x:c>
      <x:c r="H3779" s="12" t="n">
        <x:v>143689.13501629</x:v>
      </x:c>
      <x:c r="I3779" s="13" t="n">
        <x:v>0.0487777777777777</x:v>
      </x:c>
      <x:c r="J3779" s="2" t="n">
        <x:v>7</x:v>
      </x:c>
      <x:c r="K3779" s="2" t="n">
        <x:v>4</x:v>
      </x:c>
      <x:c r="L3779" s="12" t="n">
        <x:v>2383.3353</x:v>
      </x:c>
      <x:c r="M3779" s="13" t="n">
        <x:v>0.3963795029891526</x:v>
      </x:c>
      <x:c r="N3779" s="13" t="n">
        <x:f>H3779/G3779</x:f>
        <x:v>0.1089568836874632</x:v>
      </x:c>
      <x:c r="O3779" s="13" t="n">
        <x:f>F3779/E3779</x:f>
        <x:v>0</x:v>
      </x:c>
      <x:c r="P3779" s="2" t="str">
        <x:f>IF(AND(E3779&gt;='Итоги'!$F$5,N3779&lt;='Итоги'!$B$5,O3779&gt;='Итоги'!$D$5),"Да","Нет")</x:f>
        <x:v>Нет</x:v>
      </x:c>
    </x:row>
    <x:row r="3780" ht="60" customHeight="1">
      <x:c r="A3780" s="14" t="str">
        <x:v>Спорт и отдых</x:v>
      </x:c>
      <x:c r="B3780" s="14" t="str">
        <x:v>Всесезонные виды спорта</x:v>
      </x:c>
      <x:c r="C3780" s="14" t="str">
        <x:v>Теннис настольный</x:v>
      </x:c>
      <x:c r="D3780" s="14" t="str">
        <x:v>Сетка для настольного тенниса</x:v>
      </x:c>
      <x:c r="E3780" s="2" t="n">
        <x:v>5</x:v>
      </x:c>
      <x:c r="F3780" s="2" t="n">
        <x:v>0</x:v>
      </x:c>
      <x:c r="G3780" s="12" t="n">
        <x:v>715518.48</x:v>
      </x:c>
      <x:c r="H3780" s="12" t="n">
        <x:v>77974.30816999999</x:v>
      </x:c>
      <x:c r="I3780" s="13" t="n">
        <x:v>0.0928</x:v>
      </x:c>
      <x:c r="J3780" s="2" t="n">
        <x:v>1</x:v>
      </x:c>
      <x:c r="K3780" s="2" t="n">
        <x:v>4</x:v>
      </x:c>
      <x:c r="L3780" s="12" t="n">
        <x:v>839.0633</x:v>
      </x:c>
      <x:c r="M3780" s="13" t="n">
        <x:v>0.4508655877064139</x:v>
      </x:c>
      <x:c r="N3780" s="13" t="n">
        <x:f>H3780/G3780</x:f>
        <x:v>0.10897595289222997</x:v>
      </x:c>
      <x:c r="O3780" s="13" t="n">
        <x:f>F3780/E3780</x:f>
        <x:v>0</x:v>
      </x:c>
      <x:c r="P3780" s="2" t="str">
        <x:f>IF(AND(E3780&gt;='Итоги'!$F$5,N3780&lt;='Итоги'!$B$5,O3780&gt;='Итоги'!$D$5),"Да","Нет")</x:f>
        <x:v>Нет</x:v>
      </x:c>
    </x:row>
    <x:row r="3781" ht="60" customHeight="1">
      <x:c r="A3781" s="14" t="str">
        <x:v>Школьные принадлежности и канцелярия</x:v>
      </x:c>
      <x:c r="B3781" s="14" t="str">
        <x:v>Товары для школы, канцелярия, оборудование</x:v>
      </x:c>
      <x:c r="C3781" s="14" t="str">
        <x:v>Офисные принадлежности</x:v>
      </x:c>
      <x:c r="D3781" s="14" t="str">
        <x:v>Корзина для бумаг</x:v>
      </x:c>
      <x:c r="E3781" s="2" t="n">
        <x:v>5</x:v>
      </x:c>
      <x:c r="F3781" s="2" t="n">
        <x:v>0</x:v>
      </x:c>
      <x:c r="G3781" s="12" t="n">
        <x:v>534040</x:v>
      </x:c>
      <x:c r="H3781" s="12" t="n">
        <x:v>58258.0214</x:v>
      </x:c>
      <x:c r="I3781" s="13" t="n">
        <x:v>0.09354</x:v>
      </x:c>
      <x:c r="J3781" s="2" t="n">
        <x:v>1</x:v>
      </x:c>
      <x:c r="K3781" s="2" t="n">
        <x:v>2</x:v>
      </x:c>
      <x:c r="L3781" s="12" t="n">
        <x:v>2178.4894</x:v>
      </x:c>
      <x:c r="M3781" s="13" t="n">
        <x:v>0.5367556737323047</x:v>
      </x:c>
      <x:c r="N3781" s="13" t="n">
        <x:f>H3781/G3781</x:f>
        <x:v>0.10908924687289341</x:v>
      </x:c>
      <x:c r="O3781" s="13" t="n">
        <x:f>F3781/E3781</x:f>
        <x:v>0</x:v>
      </x:c>
      <x:c r="P3781" s="2" t="str">
        <x:f>IF(AND(E3781&gt;='Итоги'!$F$5,N3781&lt;='Итоги'!$B$5,O3781&gt;='Итоги'!$D$5),"Да","Нет")</x:f>
        <x:v>Нет</x:v>
      </x:c>
    </x:row>
    <x:row r="3782" ht="60" customHeight="1">
      <x:c r="A3782" s="14" t="str">
        <x:v>Товары для животных</x:v>
      </x:c>
      <x:c r="B3782" s="14" t="str">
        <x:v>Товары для прогулки и дрессировки животных</x:v>
      </x:c>
      <x:c r="C3782" s="14" t="str">
        <x:v>Аксессуары для прогулки и дрессировки животных</x:v>
      </x:c>
      <x:c r="D3782" s="14" t="str">
        <x:v>Игрушка для кошек</x:v>
      </x:c>
      <x:c r="E3782" s="2" t="n">
        <x:v>9</x:v>
      </x:c>
      <x:c r="F3782" s="2" t="n">
        <x:v>0</x:v>
      </x:c>
      <x:c r="G3782" s="12" t="n">
        <x:v>2038983.3817</x:v>
      </x:c>
      <x:c r="H3782" s="12" t="n">
        <x:v>222547.03703973</x:v>
      </x:c>
      <x:c r="I3782" s="13" t="n">
        <x:v>0.1068222222222222</x:v>
      </x:c>
      <x:c r="J3782" s="2" t="n">
        <x:v>0</x:v>
      </x:c>
      <x:c r="K3782" s="2" t="n">
        <x:v>7</x:v>
      </x:c>
      <x:c r="L3782" s="12" t="n">
        <x:v>1749.4308</x:v>
      </x:c>
      <x:c r="M3782" s="13" t="n">
        <x:v>0.5609317958474069</x:v>
      </x:c>
      <x:c r="N3782" s="13" t="n">
        <x:f>H3782/G3782</x:f>
        <x:v>0.10914607693083878</x:v>
      </x:c>
      <x:c r="O3782" s="13" t="n">
        <x:f>F3782/E3782</x:f>
        <x:v>0</x:v>
      </x:c>
      <x:c r="P3782" s="2" t="str">
        <x:f>IF(AND(E3782&gt;='Итоги'!$F$5,N3782&lt;='Итоги'!$B$5,O3782&gt;='Итоги'!$D$5),"Да","Нет")</x:f>
        <x:v>Нет</x:v>
      </x:c>
    </x:row>
    <x:row r="3783" ht="60" customHeight="1">
      <x:c r="A3783" s="14" t="str">
        <x:v>Спорт и отдых</x:v>
      </x:c>
      <x:c r="B3783" s="14" t="str">
        <x:v>Страйкбол и пневматика</x:v>
      </x:c>
      <x:c r="C3783" s="14" t="str">
        <x:v>Пейнтбол и лазертаг</x:v>
      </x:c>
      <x:c r="D3783" s="14" t="str">
        <x:v>Защита для пейнтбола</x:v>
      </x:c>
      <x:c r="E3783" s="2" t="n">
        <x:v>1</x:v>
      </x:c>
      <x:c r="F3783" s="2" t="n">
        <x:v>0</x:v>
      </x:c>
      <x:c r="G3783" s="12" t="n">
        <x:v>258678</x:v>
      </x:c>
      <x:c r="H3783" s="12" t="n">
        <x:v>28273.5054</x:v>
      </x:c>
      <x:c r="I3783" s="13" t="n">
        <x:v>0.1093</x:v>
      </x:c>
      <x:c r="J3783" s="2" t="n">
        <x:v>0</x:v>
      </x:c>
      <x:c r="K3783" s="2" t="n">
        <x:v>1</x:v>
      </x:c>
      <x:c r="L3783" s="12" t="n">
        <x:v>2811.7174</x:v>
      </x:c>
      <x:c r="M3783" s="13" t="n">
        <x:v>1</x:v>
      </x:c>
      <x:c r="N3783" s="13" t="n">
        <x:f>H3783/G3783</x:f>
        <x:v>0.1093</x:v>
      </x:c>
      <x:c r="O3783" s="13" t="n">
        <x:f>F3783/E3783</x:f>
        <x:v>0</x:v>
      </x:c>
      <x:c r="P3783" s="2" t="str">
        <x:f>IF(AND(E3783&gt;='Итоги'!$F$5,N3783&lt;='Итоги'!$B$5,O3783&gt;='Итоги'!$D$5),"Да","Нет")</x:f>
        <x:v>Нет</x:v>
      </x:c>
    </x:row>
    <x:row r="3784" ht="60" customHeight="1">
      <x:c r="A3784" s="14" t="str">
        <x:v>Детская одежда</x:v>
      </x:c>
      <x:c r="B3784" s="14" t="str">
        <x:v>Детская обувь</x:v>
      </x:c>
      <x:c r="C3784" s="14" t="str">
        <x:v>Обувь для девочки</x:v>
      </x:c>
      <x:c r="D3784" s="14" t="str">
        <x:v>Тапочки для девочки</x:v>
      </x:c>
      <x:c r="E3784" s="2" t="n">
        <x:v>11</x:v>
      </x:c>
      <x:c r="F3784" s="2" t="n">
        <x:v>0</x:v>
      </x:c>
      <x:c r="G3784" s="12" t="n">
        <x:v>1189016.69</x:v>
      </x:c>
      <x:c r="H3784" s="12" t="n">
        <x:v>129994.759492</x:v>
      </x:c>
      <x:c r="I3784" s="13" t="n">
        <x:v>0.0989636363636363</x:v>
      </x:c>
      <x:c r="J3784" s="2" t="n">
        <x:v>1</x:v>
      </x:c>
      <x:c r="K3784" s="2" t="n">
        <x:v>4</x:v>
      </x:c>
      <x:c r="L3784" s="12" t="n">
        <x:v>1231.3379</x:v>
      </x:c>
      <x:c r="M3784" s="13" t="n">
        <x:v>0.6698180662207526</x:v>
      </x:c>
      <x:c r="N3784" s="13" t="n">
        <x:f>H3784/G3784</x:f>
        <x:v>0.10932963396165617</x:v>
      </x:c>
      <x:c r="O3784" s="13" t="n">
        <x:f>F3784/E3784</x:f>
        <x:v>0</x:v>
      </x:c>
      <x:c r="P3784" s="2" t="str">
        <x:f>IF(AND(E3784&gt;='Итоги'!$F$5,N3784&lt;='Итоги'!$B$5,O3784&gt;='Итоги'!$D$5),"Да","Нет")</x:f>
        <x:v>Нет</x:v>
      </x:c>
    </x:row>
    <x:row r="3785" ht="60" customHeight="1">
      <x:c r="A3785" s="14" t="str">
        <x:v>Спорт и отдых</x:v>
      </x:c>
      <x:c r="B3785" s="14" t="str">
        <x:v>Туризм</x:v>
      </x:c>
      <x:c r="C3785" s="14" t="str">
        <x:v>Инструменты для туризма</x:v>
      </x:c>
      <x:c r="D3785" s="14" t="str">
        <x:v>Топор туристический</x:v>
      </x:c>
      <x:c r="E3785" s="2" t="n">
        <x:v>14</x:v>
      </x:c>
      <x:c r="F3785" s="2" t="n">
        <x:v>0</x:v>
      </x:c>
      <x:c r="G3785" s="12" t="n">
        <x:v>2550229.5277</x:v>
      </x:c>
      <x:c r="H3785" s="12" t="n">
        <x:v>278848.56882578</x:v>
      </x:c>
      <x:c r="I3785" s="13" t="n">
        <x:v>0.0914857142857142</x:v>
      </x:c>
      <x:c r="J3785" s="2" t="n">
        <x:v>5</x:v>
      </x:c>
      <x:c r="K3785" s="2" t="n">
        <x:v>5</x:v>
      </x:c>
      <x:c r="L3785" s="12" t="n">
        <x:v>1312.11165</x:v>
      </x:c>
      <x:c r="M3785" s="13" t="n">
        <x:v>0.6404856343550837</x:v>
      </x:c>
      <x:c r="N3785" s="13" t="n">
        <x:f>H3785/G3785</x:f>
        <x:v>0.10934253791550592</x:v>
      </x:c>
      <x:c r="O3785" s="13" t="n">
        <x:f>F3785/E3785</x:f>
        <x:v>0</x:v>
      </x:c>
      <x:c r="P3785" s="2" t="str">
        <x:f>IF(AND(E3785&gt;='Итоги'!$F$5,N3785&lt;='Итоги'!$B$5,O3785&gt;='Итоги'!$D$5),"Да","Нет")</x:f>
        <x:v>Нет</x:v>
      </x:c>
    </x:row>
    <x:row r="3786" ht="60" customHeight="1">
      <x:c r="A3786" s="14" t="str">
        <x:v>Товары для животных</x:v>
      </x:c>
      <x:c r="B3786" s="14" t="str">
        <x:v>Фермерское хозяйство - Оборудование для птицеводства и животноводства</x:v>
      </x:c>
      <x:c r="C3786" s="14" t="str">
        <x:v>Система кормления и поения для сельскохозяйственных животных и птиц</x:v>
      </x:c>
      <x:c r="D3786" s="14" t="str">
        <x:v>Автоматическая поилка</x:v>
      </x:c>
      <x:c r="E3786" s="2" t="n">
        <x:v>1</x:v>
      </x:c>
      <x:c r="F3786" s="2" t="n">
        <x:v>0</x:v>
      </x:c>
      <x:c r="G3786" s="12" t="n">
        <x:v>121013.3095</x:v>
      </x:c>
      <x:c r="H3786" s="12" t="n">
        <x:v>13238.8560593</x:v>
      </x:c>
      <x:c r="I3786" s="13" t="n">
        <x:v>0.1094</x:v>
      </x:c>
      <x:c r="J3786" s="2" t="n">
        <x:v>0</x:v>
      </x:c>
      <x:c r="K3786" s="2" t="n">
        <x:v>1</x:v>
      </x:c>
      <x:c r="L3786" s="12" t="n">
        <x:v>1728.7616</x:v>
      </x:c>
      <x:c r="M3786" s="13" t="n">
        <x:v>1</x:v>
      </x:c>
      <x:c r="N3786" s="13" t="n">
        <x:f>H3786/G3786</x:f>
        <x:v>0.1094</x:v>
      </x:c>
      <x:c r="O3786" s="13" t="n">
        <x:f>F3786/E3786</x:f>
        <x:v>0</x:v>
      </x:c>
      <x:c r="P3786" s="2" t="str">
        <x:f>IF(AND(E3786&gt;='Итоги'!$F$5,N3786&lt;='Итоги'!$B$5,O3786&gt;='Итоги'!$D$5),"Да","Нет")</x:f>
        <x:v>Нет</x:v>
      </x:c>
    </x:row>
    <x:row r="3787" ht="60" customHeight="1">
      <x:c r="A3787" s="14" t="str">
        <x:v>Товары для дома</x:v>
      </x:c>
      <x:c r="B3787" s="14" t="str">
        <x:v>Принадлежности для Нового года</x:v>
      </x:c>
      <x:c r="C3787" s="14" t="str">
        <x:v>Гирлянда электрическая</x:v>
      </x:c>
      <x:c r="D3787" s="14" t="str">
        <x:v>Электрогирлянда новогодняя</x:v>
      </x:c>
      <x:c r="E3787" s="2" t="n">
        <x:v>129</x:v>
      </x:c>
      <x:c r="F3787" s="2" t="n">
        <x:v>0</x:v>
      </x:c>
      <x:c r="G3787" s="12" t="n">
        <x:v>21463528.0052</x:v>
      </x:c>
      <x:c r="H3787" s="12" t="n">
        <x:v>2349987.19540029</x:v>
      </x:c>
      <x:c r="I3787" s="13" t="n">
        <x:v>0.0980302325581395</x:v>
      </x:c>
      <x:c r="J3787" s="2" t="n">
        <x:v>21</x:v>
      </x:c>
      <x:c r="K3787" s="2" t="n">
        <x:v>47</x:v>
      </x:c>
      <x:c r="L3787" s="12" t="n">
        <x:v>1857.2484</x:v>
      </x:c>
      <x:c r="M3787" s="13" t="n">
        <x:v>0.2825628956307031</x:v>
      </x:c>
      <x:c r="N3787" s="13" t="n">
        <x:f>H3787/G3787</x:f>
        <x:v>0.10948746146630486</x:v>
      </x:c>
      <x:c r="O3787" s="13" t="n">
        <x:f>F3787/E3787</x:f>
        <x:v>0</x:v>
      </x:c>
      <x:c r="P3787" s="2" t="str">
        <x:f>IF(AND(E3787&gt;='Итоги'!$F$5,N3787&lt;='Итоги'!$B$5,O3787&gt;='Итоги'!$D$5),"Да","Нет")</x:f>
        <x:v>Нет</x:v>
      </x:c>
    </x:row>
    <x:row r="3788" ht="60" customHeight="1">
      <x:c r="A3788" s="14" t="str">
        <x:v>Хобби и творчество</x:v>
      </x:c>
      <x:c r="B3788" s="14" t="str">
        <x:v>Взрослое творчество и хобби</x:v>
      </x:c>
      <x:c r="C3788" s="14" t="str">
        <x:v>Шитье</x:v>
      </x:c>
      <x:c r="D3788" s="14" t="str">
        <x:v>Ножницы портновские</x:v>
      </x:c>
      <x:c r="E3788" s="2" t="n">
        <x:v>3</x:v>
      </x:c>
      <x:c r="F3788" s="2" t="n">
        <x:v>0</x:v>
      </x:c>
      <x:c r="G3788" s="12" t="n">
        <x:v>289091.58</x:v>
      </x:c>
      <x:c r="H3788" s="12" t="n">
        <x:v>31654.174103</x:v>
      </x:c>
      <x:c r="I3788" s="13" t="n">
        <x:v>0.1094666666666666</x:v>
      </x:c>
      <x:c r="J3788" s="2" t="n">
        <x:v>0</x:v>
      </x:c>
      <x:c r="K3788" s="2" t="n">
        <x:v>3</x:v>
      </x:c>
      <x:c r="L3788" s="12" t="n">
        <x:v>846.1289</x:v>
      </x:c>
      <x:c r="M3788" s="13" t="n">
        <x:v>0.3717104801184455</x:v>
      </x:c>
      <x:c r="N3788" s="13" t="n">
        <x:f>H3788/G3788</x:f>
        <x:v>0.1094953166847682</x:v>
      </x:c>
      <x:c r="O3788" s="13" t="n">
        <x:f>F3788/E3788</x:f>
        <x:v>0</x:v>
      </x:c>
      <x:c r="P3788" s="2" t="str">
        <x:f>IF(AND(E3788&gt;='Итоги'!$F$5,N3788&lt;='Итоги'!$B$5,O3788&gt;='Итоги'!$D$5),"Да","Нет")</x:f>
        <x:v>Нет</x:v>
      </x:c>
    </x:row>
    <x:row r="3789" ht="60" customHeight="1">
      <x:c r="A3789" s="14" t="str">
        <x:v>Строительство и ремонт (DIY)</x:v>
      </x:c>
      <x:c r="B3789" s="14" t="str">
        <x:v>Ремонт и строительство</x:v>
      </x:c>
      <x:c r="C3789" s="14" t="str">
        <x:v>Магниты для ремонта, строительства</x:v>
      </x:c>
      <x:c r="D3789" s="14" t="str">
        <x:v>Гибкие магниты</x:v>
      </x:c>
      <x:c r="E3789" s="2" t="n">
        <x:v>1</x:v>
      </x:c>
      <x:c r="F3789" s="2" t="n">
        <x:v>0</x:v>
      </x:c>
      <x:c r="G3789" s="12" t="n">
        <x:v>89035</x:v>
      </x:c>
      <x:c r="H3789" s="12" t="n">
        <x:v>9758.236</x:v>
      </x:c>
      <x:c r="I3789" s="13" t="n">
        <x:v>0.1096</x:v>
      </x:c>
      <x:c r="J3789" s="2" t="n">
        <x:v>0</x:v>
      </x:c>
      <x:c r="K3789" s="2" t="n">
        <x:v>1</x:v>
      </x:c>
      <x:c r="L3789" s="12" t="n">
        <x:v>1978.5556</x:v>
      </x:c>
      <x:c r="M3789" s="13" t="n">
        <x:v>1</x:v>
      </x:c>
      <x:c r="N3789" s="13" t="n">
        <x:f>H3789/G3789</x:f>
        <x:v>0.1096</x:v>
      </x:c>
      <x:c r="O3789" s="13" t="n">
        <x:f>F3789/E3789</x:f>
        <x:v>0</x:v>
      </x:c>
      <x:c r="P3789" s="2" t="str">
        <x:f>IF(AND(E3789&gt;='Итоги'!$F$5,N3789&lt;='Итоги'!$B$5,O3789&gt;='Итоги'!$D$5),"Да","Нет")</x:f>
        <x:v>Нет</x:v>
      </x:c>
    </x:row>
    <x:row r="3790" ht="60" customHeight="1">
      <x:c r="A3790" s="14" t="str">
        <x:v>Аксессуары для электроники</x:v>
      </x:c>
      <x:c r="B3790" s="14" t="str">
        <x:v>Игровые приставки и аксессуары Access</x:v>
      </x:c>
      <x:c r="C3790" s="14" t="str">
        <x:v>Запчасти для игровых приставок и аксессуаров Access</x:v>
      </x:c>
      <x:c r="D3790" s="14" t="str">
        <x:v>Запчасти для игровых приставок, аксессуаров</x:v>
      </x:c>
      <x:c r="E3790" s="2" t="n">
        <x:v>3</x:v>
      </x:c>
      <x:c r="F3790" s="2" t="n">
        <x:v>0</x:v>
      </x:c>
      <x:c r="G3790" s="12" t="n">
        <x:v>338111.7028</x:v>
      </x:c>
      <x:c r="H3790" s="12" t="n">
        <x:v>37059.58434481</x:v>
      </x:c>
      <x:c r="I3790" s="13" t="n">
        <x:v>0.1102333333333333</x:v>
      </x:c>
      <x:c r="J3790" s="2" t="n">
        <x:v>0</x:v>
      </x:c>
      <x:c r="K3790" s="2" t="n">
        <x:v>2</x:v>
      </x:c>
      <x:c r="L3790" s="12" t="n">
        <x:v>1298.6707</x:v>
      </x:c>
      <x:c r="M3790" s="13" t="n">
        <x:v>0.6347745464668371</x:v>
      </x:c>
      <x:c r="N3790" s="13" t="n">
        <x:f>H3790/G3790</x:f>
        <x:v>0.10960751739117264</x:v>
      </x:c>
      <x:c r="O3790" s="13" t="n">
        <x:f>F3790/E3790</x:f>
        <x:v>0</x:v>
      </x:c>
      <x:c r="P3790" s="2" t="str">
        <x:f>IF(AND(E3790&gt;='Итоги'!$F$5,N3790&lt;='Итоги'!$B$5,O3790&gt;='Итоги'!$D$5),"Да","Нет")</x:f>
        <x:v>Нет</x:v>
      </x:c>
    </x:row>
    <x:row r="3791" ht="60" customHeight="1">
      <x:c r="A3791" s="14" t="str">
        <x:v>Товары для дома</x:v>
      </x:c>
      <x:c r="B3791" s="14" t="str">
        <x:v>Ванная комната</x:v>
      </x:c>
      <x:c r="C3791" s="14" t="str">
        <x:v>Аксессуары для ванной</x:v>
      </x:c>
      <x:c r="D3791" s="14" t="str">
        <x:v>Набор для ванной комнаты</x:v>
      </x:c>
      <x:c r="E3791" s="2" t="n">
        <x:v>36</x:v>
      </x:c>
      <x:c r="F3791" s="2" t="n">
        <x:v>0</x:v>
      </x:c>
      <x:c r="G3791" s="12" t="n">
        <x:v>4531614.5564</x:v>
      </x:c>
      <x:c r="H3791" s="12" t="n">
        <x:v>496994.37352625</x:v>
      </x:c>
      <x:c r="I3791" s="13" t="n">
        <x:v>0.1326444444444444</x:v>
      </x:c>
      <x:c r="J3791" s="2" t="n">
        <x:v>4</x:v>
      </x:c>
      <x:c r="K3791" s="2" t="n">
        <x:v>13</x:v>
      </x:c>
      <x:c r="L3791" s="12" t="n">
        <x:v>1349.71655</x:v>
      </x:c>
      <x:c r="M3791" s="13" t="n">
        <x:v>0.2911177477433173</x:v>
      </x:c>
      <x:c r="N3791" s="13" t="n">
        <x:f>H3791/G3791</x:f>
        <x:v>0.10967269332832925</x:v>
      </x:c>
      <x:c r="O3791" s="13" t="n">
        <x:f>F3791/E3791</x:f>
        <x:v>0</x:v>
      </x:c>
      <x:c r="P3791" s="2" t="str">
        <x:f>IF(AND(E3791&gt;='Итоги'!$F$5,N3791&lt;='Итоги'!$B$5,O3791&gt;='Итоги'!$D$5),"Да","Нет")</x:f>
        <x:v>Нет</x:v>
      </x:c>
    </x:row>
    <x:row r="3792" ht="60" customHeight="1">
      <x:c r="A3792" s="14" t="str">
        <x:v>Бытовая химия и гигиена рта</x:v>
      </x:c>
      <x:c r="B3792" s="14" t="str">
        <x:v>Средства для стирки</x:v>
      </x:c>
      <x:c r="C3792" s="14" t="str">
        <x:v>Пятновыводитель</x:v>
      </x:c>
      <x:c r="D3792" s="14" t="str">
        <x:v>Пятновыводитель детского белья</x:v>
      </x:c>
      <x:c r="E3792" s="2" t="n">
        <x:v>1</x:v>
      </x:c>
      <x:c r="F3792" s="2" t="n">
        <x:v>0</x:v>
      </x:c>
      <x:c r="G3792" s="12" t="n">
        <x:v>15264</x:v>
      </x:c>
      <x:c r="H3792" s="12" t="n">
        <x:v>1674.4608</x:v>
      </x:c>
      <x:c r="I3792" s="13" t="n">
        <x:v>0.1097</x:v>
      </x:c>
      <x:c r="J3792" s="2" t="n">
        <x:v>0</x:v>
      </x:c>
      <x:c r="K3792" s="2" t="n">
        <x:v>1</x:v>
      </x:c>
      <x:c r="L3792" s="12" t="n">
        <x:v>897.8824</x:v>
      </x:c>
      <x:c r="M3792" s="13" t="n">
        <x:v>1</x:v>
      </x:c>
      <x:c r="N3792" s="13" t="n">
        <x:f>H3792/G3792</x:f>
        <x:v>0.1097</x:v>
      </x:c>
      <x:c r="O3792" s="13" t="n">
        <x:f>F3792/E3792</x:f>
        <x:v>0</x:v>
      </x:c>
      <x:c r="P3792" s="2" t="str">
        <x:f>IF(AND(E3792&gt;='Итоги'!$F$5,N3792&lt;='Итоги'!$B$5,O3792&gt;='Итоги'!$D$5),"Да","Нет")</x:f>
        <x:v>Нет</x:v>
      </x:c>
    </x:row>
    <x:row r="3793" ht="60" customHeight="1">
      <x:c r="A3793" s="14" t="str">
        <x:v>Товары для дома</x:v>
      </x:c>
      <x:c r="B3793" s="14" t="str">
        <x:v>Интерьер и декор</x:v>
      </x:c>
      <x:c r="C3793" s="14" t="str">
        <x:v>Домашние растения</x:v>
      </x:c>
      <x:c r="D3793" s="14" t="str">
        <x:v>Опора для домашних растений</x:v>
      </x:c>
      <x:c r="E3793" s="2" t="n">
        <x:v>24</x:v>
      </x:c>
      <x:c r="F3793" s="2" t="n">
        <x:v>0</x:v>
      </x:c>
      <x:c r="G3793" s="12" t="n">
        <x:v>4089156.3897</x:v>
      </x:c>
      <x:c r="H3793" s="12" t="n">
        <x:v>448598.23917229</x:v>
      </x:c>
      <x:c r="I3793" s="13" t="n">
        <x:v>0.1066166666666666</x:v>
      </x:c>
      <x:c r="J3793" s="2" t="n">
        <x:v>4</x:v>
      </x:c>
      <x:c r="K3793" s="2" t="n">
        <x:v>12</x:v>
      </x:c>
      <x:c r="L3793" s="12" t="n">
        <x:v>1099.60135</x:v>
      </x:c>
      <x:c r="M3793" s="13" t="n">
        <x:v>0.1926660471300291</x:v>
      </x:c>
      <x:c r="N3793" s="13" t="n">
        <x:f>H3793/G3793</x:f>
        <x:v>0.10970434887309392</x:v>
      </x:c>
      <x:c r="O3793" s="13" t="n">
        <x:f>F3793/E3793</x:f>
        <x:v>0</x:v>
      </x:c>
      <x:c r="P3793" s="2" t="str">
        <x:f>IF(AND(E3793&gt;='Итоги'!$F$5,N3793&lt;='Итоги'!$B$5,O3793&gt;='Итоги'!$D$5),"Да","Нет")</x:f>
        <x:v>Нет</x:v>
      </x:c>
    </x:row>
    <x:row r="3794" ht="60" customHeight="1">
      <x:c r="A3794" s="14" t="str">
        <x:v>Товары для красоты и здоровья</x:v>
      </x:c>
      <x:c r="B3794" s="14" t="str">
        <x:v>Косметика для ухода за кожей</x:v>
      </x:c>
      <x:c r="C3794" s="14" t="str">
        <x:v>Лицо</x:v>
      </x:c>
      <x:c r="D3794" s="14" t="str">
        <x:v>Сыворотки и дополнительный уход для глаз</x:v>
      </x:c>
      <x:c r="E3794" s="2" t="n">
        <x:v>24</x:v>
      </x:c>
      <x:c r="F3794" s="2" t="n">
        <x:v>0</x:v>
      </x:c>
      <x:c r="G3794" s="12" t="n">
        <x:v>2645592.8983</x:v>
      </x:c>
      <x:c r="H3794" s="12" t="n">
        <x:v>290315.34589673</x:v>
      </x:c>
      <x:c r="I3794" s="13" t="n">
        <x:v>0.0988958333333333</x:v>
      </x:c>
      <x:c r="J3794" s="2" t="n">
        <x:v>7</x:v>
      </x:c>
      <x:c r="K3794" s="2" t="n">
        <x:v>9</x:v>
      </x:c>
      <x:c r="L3794" s="12" t="n">
        <x:v>1497.9713499999998</x:v>
      </x:c>
      <x:c r="M3794" s="13" t="n">
        <x:v>0.3859956572895976</x:v>
      </x:c>
      <x:c r="N3794" s="13" t="n">
        <x:f>H3794/G3794</x:f>
        <x:v>0.10973545706267972</x:v>
      </x:c>
      <x:c r="O3794" s="13" t="n">
        <x:f>F3794/E3794</x:f>
        <x:v>0</x:v>
      </x:c>
      <x:c r="P3794" s="2" t="str">
        <x:f>IF(AND(E3794&gt;='Итоги'!$F$5,N3794&lt;='Итоги'!$B$5,O3794&gt;='Итоги'!$D$5),"Да","Нет")</x:f>
        <x:v>Нет</x:v>
      </x:c>
    </x:row>
    <x:row r="3795" ht="60" customHeight="1">
      <x:c r="A3795" s="14" t="str">
        <x:v>Товары для дома</x:v>
      </x:c>
      <x:c r="B3795" s="14" t="str">
        <x:v>Кухня</x:v>
      </x:c>
      <x:c r="C3795" s="14" t="str">
        <x:v>Посуда для чая и кофе</x:v>
      </x:c>
      <x:c r="D3795" s="14" t="str">
        <x:v>Чайник заварочный</x:v>
      </x:c>
      <x:c r="E3795" s="2" t="n">
        <x:v>61</x:v>
      </x:c>
      <x:c r="F3795" s="2" t="n">
        <x:v>0</x:v>
      </x:c>
      <x:c r="G3795" s="12" t="n">
        <x:v>7714014.4396</x:v>
      </x:c>
      <x:c r="H3795" s="12" t="n">
        <x:v>846597.55915516</x:v>
      </x:c>
      <x:c r="I3795" s="13" t="n">
        <x:v>0.1053</x:v>
      </x:c>
      <x:c r="J3795" s="2" t="n">
        <x:v>5</x:v>
      </x:c>
      <x:c r="K3795" s="2" t="n">
        <x:v>19</x:v>
      </x:c>
      <x:c r="L3795" s="12" t="n">
        <x:v>1614.5</x:v>
      </x:c>
      <x:c r="M3795" s="13" t="n">
        <x:v>0.4588936203992324</x:v>
      </x:c>
      <x:c r="N3795" s="13" t="n">
        <x:f>H3795/G3795</x:f>
        <x:v>0.10974798735262144</x:v>
      </x:c>
      <x:c r="O3795" s="13" t="n">
        <x:f>F3795/E3795</x:f>
        <x:v>0</x:v>
      </x:c>
      <x:c r="P3795" s="2" t="str">
        <x:f>IF(AND(E3795&gt;='Итоги'!$F$5,N3795&lt;='Итоги'!$B$5,O3795&gt;='Итоги'!$D$5),"Да","Нет")</x:f>
        <x:v>Нет</x:v>
      </x:c>
    </x:row>
    <x:row r="3796" ht="60" customHeight="1">
      <x:c r="A3796" s="14" t="str">
        <x:v>Товары для красоты и здоровья</x:v>
      </x:c>
      <x:c r="B3796" s="14" t="str">
        <x:v>Декоративная косметика</x:v>
      </x:c>
      <x:c r="C3796" s="14" t="str">
        <x:v>Маникюр и педикюр</x:v>
      </x:c>
      <x:c r="D3796" s="14" t="str">
        <x:v>Гель-лак</x:v>
      </x:c>
      <x:c r="E3796" s="2" t="n">
        <x:v>42</x:v>
      </x:c>
      <x:c r="F3796" s="2" t="n">
        <x:v>0</x:v>
      </x:c>
      <x:c r="G3796" s="12" t="n">
        <x:v>5868174.9618</x:v>
      </x:c>
      <x:c r="H3796" s="12" t="n">
        <x:v>645403.24885742</x:v>
      </x:c>
      <x:c r="I3796" s="13" t="n">
        <x:v>0.1032714285714285</x:v>
      </x:c>
      <x:c r="J3796" s="2" t="n">
        <x:v>4</x:v>
      </x:c>
      <x:c r="K3796" s="2" t="n">
        <x:v>14</x:v>
      </x:c>
      <x:c r="L3796" s="12" t="n">
        <x:v>1405.1280499999998</x:v>
      </x:c>
      <x:c r="M3796" s="13" t="n">
        <x:v>0.4237891562519431</x:v>
      </x:c>
      <x:c r="N3796" s="13" t="n">
        <x:f>H3796/G3796</x:f>
        <x:v>0.1099836410909346</x:v>
      </x:c>
      <x:c r="O3796" s="13" t="n">
        <x:f>F3796/E3796</x:f>
        <x:v>0</x:v>
      </x:c>
      <x:c r="P3796" s="2" t="str">
        <x:f>IF(AND(E3796&gt;='Итоги'!$F$5,N3796&lt;='Итоги'!$B$5,O3796&gt;='Итоги'!$D$5),"Да","Нет")</x:f>
        <x:v>Нет</x:v>
      </x:c>
    </x:row>
    <x:row r="3797" ht="60" customHeight="1">
      <x:c r="A3797" s="14" t="str">
        <x:v>Спорт и отдых</x:v>
      </x:c>
      <x:c r="B3797" s="14" t="str">
        <x:v>Всесезонные виды спорта</x:v>
      </x:c>
      <x:c r="C3797" s="14" t="str">
        <x:v>Спортивные аксессуары</x:v>
      </x:c>
      <x:c r="D3797" s="14" t="str">
        <x:v>Сумка, чехол для спортинвентаря</x:v>
      </x:c>
      <x:c r="E3797" s="2" t="n">
        <x:v>1</x:v>
      </x:c>
      <x:c r="F3797" s="2" t="n">
        <x:v>0</x:v>
      </x:c>
      <x:c r="G3797" s="12" t="n">
        <x:v>33856</x:v>
      </x:c>
      <x:c r="H3797" s="12" t="n">
        <x:v>3730.9312</x:v>
      </x:c>
      <x:c r="I3797" s="13" t="n">
        <x:v>0.1102</x:v>
      </x:c>
      <x:c r="J3797" s="2" t="n">
        <x:v>0</x:v>
      </x:c>
      <x:c r="K3797" s="2" t="n">
        <x:v>1</x:v>
      </x:c>
      <x:c r="L3797" s="12" t="n">
        <x:v>3077.8182</x:v>
      </x:c>
      <x:c r="M3797" s="13" t="n">
        <x:v>1</x:v>
      </x:c>
      <x:c r="N3797" s="13" t="n">
        <x:f>H3797/G3797</x:f>
        <x:v>0.1102</x:v>
      </x:c>
      <x:c r="O3797" s="13" t="n">
        <x:f>F3797/E3797</x:f>
        <x:v>0</x:v>
      </x:c>
      <x:c r="P3797" s="2" t="str">
        <x:f>IF(AND(E3797&gt;='Итоги'!$F$5,N3797&lt;='Итоги'!$B$5,O3797&gt;='Итоги'!$D$5),"Да","Нет")</x:f>
        <x:v>Нет</x:v>
      </x:c>
    </x:row>
    <x:row r="3798" ht="60" customHeight="1">
      <x:c r="A3798" s="14" t="str">
        <x:v>Товары для животных</x:v>
      </x:c>
      <x:c r="B3798" s="14" t="str">
        <x:v>Товары для прогулки и дрессировки животных</x:v>
      </x:c>
      <x:c r="C3798" s="14" t="str">
        <x:v>Аксессуары для прогулки и дрессировки животных</x:v>
      </x:c>
      <x:c r="D3798" s="14" t="str">
        <x:v>Стационарный антилай для собак</x:v>
      </x:c>
      <x:c r="E3798" s="2" t="n">
        <x:v>1</x:v>
      </x:c>
      <x:c r="F3798" s="2" t="n">
        <x:v>0</x:v>
      </x:c>
      <x:c r="G3798" s="12" t="n">
        <x:v>84860</x:v>
      </x:c>
      <x:c r="H3798" s="12" t="n">
        <x:v>9351.572</x:v>
      </x:c>
      <x:c r="I3798" s="13" t="n">
        <x:v>0.1102</x:v>
      </x:c>
      <x:c r="J3798" s="2" t="n">
        <x:v>0</x:v>
      </x:c>
      <x:c r="K3798" s="2" t="n">
        <x:v>1</x:v>
      </x:c>
      <x:c r="L3798" s="12" t="n">
        <x:v>1601.1321</x:v>
      </x:c>
      <x:c r="M3798" s="13" t="n">
        <x:v>1</x:v>
      </x:c>
      <x:c r="N3798" s="13" t="n">
        <x:f>H3798/G3798</x:f>
        <x:v>0.1102</x:v>
      </x:c>
      <x:c r="O3798" s="13" t="n">
        <x:f>F3798/E3798</x:f>
        <x:v>0</x:v>
      </x:c>
      <x:c r="P3798" s="2" t="str">
        <x:f>IF(AND(E3798&gt;='Итоги'!$F$5,N3798&lt;='Итоги'!$B$5,O3798&gt;='Итоги'!$D$5),"Да","Нет")</x:f>
        <x:v>Нет</x:v>
      </x:c>
    </x:row>
    <x:row r="3799" ht="60" customHeight="1">
      <x:c r="A3799" s="14" t="str">
        <x:v>Автотовары</x:v>
      </x:c>
      <x:c r="B3799" s="14" t="str">
        <x:v>Универсальные авто и мото аксессуары</x:v>
      </x:c>
      <x:c r="C3799" s="14" t="str">
        <x:v>Мотоаксессуары</x:v>
      </x:c>
      <x:c r="D3799" s="14" t="str">
        <x:v>Держатель на руль мотоцикла</x:v>
      </x:c>
      <x:c r="E3799" s="2" t="n">
        <x:v>17</x:v>
      </x:c>
      <x:c r="F3799" s="2" t="n">
        <x:v>0</x:v>
      </x:c>
      <x:c r="G3799" s="12" t="n">
        <x:v>1843980.2527</x:v>
      </x:c>
      <x:c r="H3799" s="12" t="n">
        <x:v>203356.97541768</x:v>
      </x:c>
      <x:c r="I3799" s="13" t="n">
        <x:v>0.099135294117647</x:v>
      </x:c>
      <x:c r="J3799" s="2" t="n">
        <x:v>1</x:v>
      </x:c>
      <x:c r="K3799" s="2" t="n">
        <x:v>7</x:v>
      </x:c>
      <x:c r="L3799" s="12" t="n">
        <x:v>2018.2041</x:v>
      </x:c>
      <x:c r="M3799" s="13" t="n">
        <x:v>0.4084609468551279</x:v>
      </x:c>
      <x:c r="N3799" s="13" t="n">
        <x:f>H3799/G3799</x:f>
        <x:v>0.11028153643181364</x:v>
      </x:c>
      <x:c r="O3799" s="13" t="n">
        <x:f>F3799/E3799</x:f>
        <x:v>0</x:v>
      </x:c>
      <x:c r="P3799" s="2" t="str">
        <x:f>IF(AND(E3799&gt;='Итоги'!$F$5,N3799&lt;='Итоги'!$B$5,O3799&gt;='Итоги'!$D$5),"Да","Нет")</x:f>
        <x:v>Нет</x:v>
      </x:c>
    </x:row>
    <x:row r="3800" ht="60" customHeight="1">
      <x:c r="A3800" s="14" t="str">
        <x:v>Автотовары</x:v>
      </x:c>
      <x:c r="B3800" s="14" t="str">
        <x:v>Электронные устройства для авто</x:v>
      </x:c>
      <x:c r="C3800" s="14" t="str">
        <x:v>Автоакустика</x:v>
      </x:c>
      <x:c r="D3800" s="14" t="str">
        <x:v>Авто-мото акустическая система</x:v>
      </x:c>
      <x:c r="E3800" s="2" t="n">
        <x:v>60</x:v>
      </x:c>
      <x:c r="F3800" s="2" t="n">
        <x:v>0</x:v>
      </x:c>
      <x:c r="G3800" s="12" t="n">
        <x:v>11843269.3225</x:v>
      </x:c>
      <x:c r="H3800" s="12" t="n">
        <x:v>1306225.79116591</x:v>
      </x:c>
      <x:c r="I3800" s="13" t="n">
        <x:v>0.09485</x:v>
      </x:c>
      <x:c r="J3800" s="2" t="n">
        <x:v>7</x:v>
      </x:c>
      <x:c r="K3800" s="2" t="n">
        <x:v>5</x:v>
      </x:c>
      <x:c r="L3800" s="12" t="n">
        <x:v>5875.81395</x:v>
      </x:c>
      <x:c r="M3800" s="13" t="n">
        <x:v>0.9113109412529784</x:v>
      </x:c>
      <x:c r="N3800" s="13" t="n">
        <x:f>H3800/G3800</x:f>
        <x:v>0.11029266966717753</x:v>
      </x:c>
      <x:c r="O3800" s="13" t="n">
        <x:f>F3800/E3800</x:f>
        <x:v>0</x:v>
      </x:c>
      <x:c r="P3800" s="2" t="str">
        <x:f>IF(AND(E3800&gt;='Итоги'!$F$5,N3800&lt;='Итоги'!$B$5,O3800&gt;='Итоги'!$D$5),"Да","Нет")</x:f>
        <x:v>Нет</x:v>
      </x:c>
    </x:row>
    <x:row r="3801" ht="60" customHeight="1">
      <x:c r="A3801" s="14" t="str">
        <x:v>Товары для дома</x:v>
      </x:c>
      <x:c r="B3801" s="14" t="str">
        <x:v>Кухня</x:v>
      </x:c>
      <x:c r="C3801" s="14" t="str">
        <x:v>Столовая посуда</x:v>
      </x:c>
      <x:c r="D3801" s="14" t="str">
        <x:v>Миска, чаша, пиала</x:v>
      </x:c>
      <x:c r="E3801" s="2" t="n">
        <x:v>28</x:v>
      </x:c>
      <x:c r="F3801" s="2" t="n">
        <x:v>0</x:v>
      </x:c>
      <x:c r="G3801" s="12" t="n">
        <x:v>4171167.0129</x:v>
      </x:c>
      <x:c r="H3801" s="12" t="n">
        <x:v>460082.95828709</x:v>
      </x:c>
      <x:c r="I3801" s="13" t="n">
        <x:v>0.0950107142857142</x:v>
      </x:c>
      <x:c r="J3801" s="2" t="n">
        <x:v>2</x:v>
      </x:c>
      <x:c r="K3801" s="2" t="n">
        <x:v>13</x:v>
      </x:c>
      <x:c r="L3801" s="12" t="n">
        <x:v>1292.23175</x:v>
      </x:c>
      <x:c r="M3801" s="13" t="n">
        <x:v>0.2507563953122094</x:v>
      </x:c>
      <x:c r="N3801" s="13" t="n">
        <x:f>H3801/G3801</x:f>
        <x:v>0.11030077598528422</x:v>
      </x:c>
      <x:c r="O3801" s="13" t="n">
        <x:f>F3801/E3801</x:f>
        <x:v>0</x:v>
      </x:c>
      <x:c r="P3801" s="2" t="str">
        <x:f>IF(AND(E3801&gt;='Итоги'!$F$5,N3801&lt;='Итоги'!$B$5,O3801&gt;='Итоги'!$D$5),"Да","Нет")</x:f>
        <x:v>Нет</x:v>
      </x:c>
    </x:row>
    <x:row r="3802" ht="60" customHeight="1">
      <x:c r="A3802" s="14" t="str">
        <x:v>Товары для дома</x:v>
      </x:c>
      <x:c r="B3802" s="14" t="str">
        <x:v>Кухня</x:v>
      </x:c>
      <x:c r="C3802" s="14" t="str">
        <x:v>Посуда для чая и кофе</x:v>
      </x:c>
      <x:c r="D3802" s="14" t="str">
        <x:v>Кофейник, френч-пресс</x:v>
      </x:c>
      <x:c r="E3802" s="2" t="n">
        <x:v>23</x:v>
      </x:c>
      <x:c r="F3802" s="2" t="n">
        <x:v>0</x:v>
      </x:c>
      <x:c r="G3802" s="12" t="n">
        <x:v>3076252.409</x:v>
      </x:c>
      <x:c r="H3802" s="12" t="n">
        <x:v>339754.32245145</x:v>
      </x:c>
      <x:c r="I3802" s="13" t="n">
        <x:v>0.1000130434782608</x:v>
      </x:c>
      <x:c r="J3802" s="2" t="n">
        <x:v>3</x:v>
      </x:c>
      <x:c r="K3802" s="2" t="n">
        <x:v>8</x:v>
      </x:c>
      <x:c r="L3802" s="12" t="n">
        <x:v>1464.625</x:v>
      </x:c>
      <x:c r="M3802" s="13" t="n">
        <x:v>0.572555999776545</x:v>
      </x:c>
      <x:c r="N3802" s="13" t="n">
        <x:f>H3802/G3802</x:f>
        <x:v>0.11044422800204949</x:v>
      </x:c>
      <x:c r="O3802" s="13" t="n">
        <x:f>F3802/E3802</x:f>
        <x:v>0</x:v>
      </x:c>
      <x:c r="P3802" s="2" t="str">
        <x:f>IF(AND(E3802&gt;='Итоги'!$F$5,N3802&lt;='Итоги'!$B$5,O3802&gt;='Итоги'!$D$5),"Да","Нет")</x:f>
        <x:v>Нет</x:v>
      </x:c>
    </x:row>
    <x:row r="3803" ht="60" customHeight="1">
      <x:c r="A3803" s="14" t="str">
        <x:v>Одежда</x:v>
      </x:c>
      <x:c r="B3803" s="14" t="str">
        <x:v>Основная одежда женская</x:v>
      </x:c>
      <x:c r="C3803" s="14" t="str">
        <x:v>Спортивная основная одежда женская комплект</x:v>
      </x:c>
      <x:c r="D3803" s="14" t="str">
        <x:v>Термобелье женское - комплект</x:v>
      </x:c>
      <x:c r="E3803" s="2" t="n">
        <x:v>7</x:v>
      </x:c>
      <x:c r="F3803" s="2" t="n">
        <x:v>0</x:v>
      </x:c>
      <x:c r="G3803" s="12" t="n">
        <x:v>287946.44</x:v>
      </x:c>
      <x:c r="H3803" s="12" t="n">
        <x:v>31827.669278</x:v>
      </x:c>
      <x:c r="I3803" s="13" t="n">
        <x:v>0.0655428571428571</x:v>
      </x:c>
      <x:c r="J3803" s="2" t="n">
        <x:v>2</x:v>
      </x:c>
      <x:c r="K3803" s="2" t="n">
        <x:v>3</x:v>
      </x:c>
      <x:c r="L3803" s="12" t="n">
        <x:v>2372.0972</x:v>
      </x:c>
      <x:c r="M3803" s="13" t="n">
        <x:v>0.6383114165259345</x:v>
      </x:c>
      <x:c r="N3803" s="13" t="n">
        <x:f>H3803/G3803</x:f>
        <x:v>0.11053329667142264</x:v>
      </x:c>
      <x:c r="O3803" s="13" t="n">
        <x:f>F3803/E3803</x:f>
        <x:v>0</x:v>
      </x:c>
      <x:c r="P3803" s="2" t="str">
        <x:f>IF(AND(E3803&gt;='Итоги'!$F$5,N3803&lt;='Итоги'!$B$5,O3803&gt;='Итоги'!$D$5),"Да","Нет")</x:f>
        <x:v>Нет</x:v>
      </x:c>
    </x:row>
    <x:row r="3804" ht="60" customHeight="1">
      <x:c r="A3804" s="14" t="str">
        <x:v>Спорт и отдых</x:v>
      </x:c>
      <x:c r="B3804" s="14" t="str">
        <x:v>Тренажеры и фитнес</x:v>
      </x:c>
      <x:c r="C3804" s="14" t="str">
        <x:v>Кросстренинг и тяжёлая атлетика</x:v>
      </x:c>
      <x:c r="D3804" s="14" t="str">
        <x:v>Ботинки гравитационные</x:v>
      </x:c>
      <x:c r="E3804" s="2" t="n">
        <x:v>5</x:v>
      </x:c>
      <x:c r="F3804" s="2" t="n">
        <x:v>0</x:v>
      </x:c>
      <x:c r="G3804" s="12" t="n">
        <x:v>890366.3986</x:v>
      </x:c>
      <x:c r="H3804" s="12" t="n">
        <x:v>98456.6121614</x:v>
      </x:c>
      <x:c r="I3804" s="13" t="n">
        <x:v>0.0994</x:v>
      </x:c>
      <x:c r="J3804" s="2" t="n">
        <x:v>1</x:v>
      </x:c>
      <x:c r="K3804" s="2" t="n">
        <x:v>3</x:v>
      </x:c>
      <x:c r="L3804" s="12" t="n">
        <x:v>1346.3369</x:v>
      </x:c>
      <x:c r="M3804" s="13" t="n">
        <x:v>0.3970657268242513</x:v>
      </x:c>
      <x:c r="N3804" s="13" t="n">
        <x:f>H3804/G3804</x:f>
        <x:v>0.11057988297425851</x:v>
      </x:c>
      <x:c r="O3804" s="13" t="n">
        <x:f>F3804/E3804</x:f>
        <x:v>0</x:v>
      </x:c>
      <x:c r="P3804" s="2" t="str">
        <x:f>IF(AND(E3804&gt;='Итоги'!$F$5,N3804&lt;='Итоги'!$B$5,O3804&gt;='Итоги'!$D$5),"Да","Нет")</x:f>
        <x:v>Нет</x:v>
      </x:c>
    </x:row>
    <x:row r="3805" ht="60" customHeight="1">
      <x:c r="A3805" s="14" t="str">
        <x:v>Спорт и отдых</x:v>
      </x:c>
      <x:c r="B3805" s="14" t="str">
        <x:v>Туризм</x:v>
      </x:c>
      <x:c r="C3805" s="14" t="str">
        <x:v>Спальный мешок</x:v>
      </x:c>
      <x:c r="D3805" s="14" t="str">
        <x:v>Спальный мешок кокон</x:v>
      </x:c>
      <x:c r="E3805" s="2" t="n">
        <x:v>47</x:v>
      </x:c>
      <x:c r="F3805" s="2" t="n">
        <x:v>0</x:v>
      </x:c>
      <x:c r="G3805" s="12" t="n">
        <x:v>6847567.4826</x:v>
      </x:c>
      <x:c r="H3805" s="12" t="n">
        <x:v>757280.29902228</x:v>
      </x:c>
      <x:c r="I3805" s="13" t="n">
        <x:v>0.0882255319148936</x:v>
      </x:c>
      <x:c r="J3805" s="2" t="n">
        <x:v>9</x:v>
      </x:c>
      <x:c r="K3805" s="2" t="n">
        <x:v>12</x:v>
      </x:c>
      <x:c r="L3805" s="12" t="n">
        <x:v>2766.6</x:v>
      </x:c>
      <x:c r="M3805" s="13" t="n">
        <x:v>0.3160480908730343</x:v>
      </x:c>
      <x:c r="N3805" s="13" t="n">
        <x:f>H3805/G3805</x:f>
        <x:v>0.1105911407147963</x:v>
      </x:c>
      <x:c r="O3805" s="13" t="n">
        <x:f>F3805/E3805</x:f>
        <x:v>0</x:v>
      </x:c>
      <x:c r="P3805" s="2" t="str">
        <x:f>IF(AND(E3805&gt;='Итоги'!$F$5,N3805&lt;='Итоги'!$B$5,O3805&gt;='Итоги'!$D$5),"Да","Нет")</x:f>
        <x:v>Нет</x:v>
      </x:c>
    </x:row>
    <x:row r="3806" ht="60" customHeight="1">
      <x:c r="A3806" s="14" t="str">
        <x:v>Товары для красоты и здоровья</x:v>
      </x:c>
      <x:c r="B3806" s="14" t="str">
        <x:v>Косметика для ухода за кожей</x:v>
      </x:c>
      <x:c r="C3806" s="14" t="str">
        <x:v>Набор косметики для ухода за кожей женский</x:v>
      </x:c>
      <x:c r="D3806" s="14" t="str">
        <x:v>Набор косметики для ухода за лицом женский</x:v>
      </x:c>
      <x:c r="E3806" s="2" t="n">
        <x:v>168</x:v>
      </x:c>
      <x:c r="F3806" s="2" t="n">
        <x:v>0</x:v>
      </x:c>
      <x:c r="G3806" s="12" t="n">
        <x:v>24357339.5487</x:v>
      </x:c>
      <x:c r="H3806" s="12" t="n">
        <x:v>2699497.6380674</x:v>
      </x:c>
      <x:c r="I3806" s="13" t="n">
        <x:v>0.1008678571428571</x:v>
      </x:c>
      <x:c r="J3806" s="2" t="n">
        <x:v>62</x:v>
      </x:c>
      <x:c r="K3806" s="2" t="n">
        <x:v>40</x:v>
      </x:c>
      <x:c r="L3806" s="12" t="n">
        <x:v>1657.2138</x:v>
      </x:c>
      <x:c r="M3806" s="13" t="n">
        <x:v>0.6791144997517944</x:v>
      </x:c>
      <x:c r="N3806" s="13" t="n">
        <x:f>H3806/G3806</x:f>
        <x:v>0.1108289200743797</x:v>
      </x:c>
      <x:c r="O3806" s="13" t="n">
        <x:f>F3806/E3806</x:f>
        <x:v>0</x:v>
      </x:c>
      <x:c r="P3806" s="2" t="str">
        <x:f>IF(AND(E3806&gt;='Итоги'!$F$5,N3806&lt;='Итоги'!$B$5,O3806&gt;='Итоги'!$D$5),"Да","Нет")</x:f>
        <x:v>Нет</x:v>
      </x:c>
    </x:row>
    <x:row r="3807" ht="60" customHeight="1">
      <x:c r="A3807" s="14" t="str">
        <x:v>Товары для дома</x:v>
      </x:c>
      <x:c r="B3807" s="14" t="str">
        <x:v>Интерьер и декор</x:v>
      </x:c>
      <x:c r="C3807" s="14" t="str">
        <x:v>Камин</x:v>
      </x:c>
      <x:c r="D3807" s="14" t="str">
        <x:v>Дровница</x:v>
      </x:c>
      <x:c r="E3807" s="2" t="n">
        <x:v>17</x:v>
      </x:c>
      <x:c r="F3807" s="2" t="n">
        <x:v>0</x:v>
      </x:c>
      <x:c r="G3807" s="12" t="n">
        <x:v>1798499.0735</x:v>
      </x:c>
      <x:c r="H3807" s="12" t="n">
        <x:v>199336.95095123</x:v>
      </x:c>
      <x:c r="I3807" s="13" t="n">
        <x:v>0.112335294117647</x:v>
      </x:c>
      <x:c r="J3807" s="2" t="n">
        <x:v>3</x:v>
      </x:c>
      <x:c r="K3807" s="2" t="n">
        <x:v>7</x:v>
      </x:c>
      <x:c r="L3807" s="12" t="n">
        <x:v>3058.4348</x:v>
      </x:c>
      <x:c r="M3807" s="13" t="n">
        <x:v>0.4015160987515516</x:v>
      </x:c>
      <x:c r="N3807" s="13" t="n">
        <x:f>H3807/G3807</x:f>
        <x:v>0.11083517021963593</x:v>
      </x:c>
      <x:c r="O3807" s="13" t="n">
        <x:f>F3807/E3807</x:f>
        <x:v>0</x:v>
      </x:c>
      <x:c r="P3807" s="2" t="str">
        <x:f>IF(AND(E3807&gt;='Итоги'!$F$5,N3807&lt;='Итоги'!$B$5,O3807&gt;='Итоги'!$D$5),"Да","Нет")</x:f>
        <x:v>Нет</x:v>
      </x:c>
    </x:row>
    <x:row r="3808" ht="60" customHeight="1">
      <x:c r="A3808" s="14" t="str">
        <x:v>Товары для дома</x:v>
      </x:c>
      <x:c r="B3808" s="14" t="str">
        <x:v>Интерьер и декор</x:v>
      </x:c>
      <x:c r="C3808" s="14" t="str">
        <x:v>Принадлежности для праздника</x:v>
      </x:c>
      <x:c r="D3808" s="14" t="str">
        <x:v>Аквагрим, тату временное</x:v>
      </x:c>
      <x:c r="E3808" s="2" t="n">
        <x:v>8</x:v>
      </x:c>
      <x:c r="F3808" s="2" t="n">
        <x:v>0</x:v>
      </x:c>
      <x:c r="G3808" s="12" t="n">
        <x:v>1172213.459</x:v>
      </x:c>
      <x:c r="H3808" s="12" t="n">
        <x:v>130062.33381001</x:v>
      </x:c>
      <x:c r="I3808" s="13" t="n">
        <x:v>0.1096375</x:v>
      </x:c>
      <x:c r="J3808" s="2" t="n">
        <x:v>0</x:v>
      </x:c>
      <x:c r="K3808" s="2" t="n">
        <x:v>7</x:v>
      </x:c>
      <x:c r="L3808" s="12" t="n">
        <x:v>890.9385</x:v>
      </x:c>
      <x:c r="M3808" s="13" t="n">
        <x:v>0.4580125212501932</x:v>
      </x:c>
      <x:c r="N3808" s="13" t="n">
        <x:f>H3808/G3808</x:f>
        <x:v>0.1109544791619817</x:v>
      </x:c>
      <x:c r="O3808" s="13" t="n">
        <x:f>F3808/E3808</x:f>
        <x:v>0</x:v>
      </x:c>
      <x:c r="P3808" s="2" t="str">
        <x:f>IF(AND(E3808&gt;='Итоги'!$F$5,N3808&lt;='Итоги'!$B$5,O3808&gt;='Итоги'!$D$5),"Да","Нет")</x:f>
        <x:v>Нет</x:v>
      </x:c>
    </x:row>
    <x:row r="3809" ht="60" customHeight="1">
      <x:c r="A3809" s="14" t="str">
        <x:v>Товары для дома</x:v>
      </x:c>
      <x:c r="B3809" s="14" t="str">
        <x:v>Интерьер и декор</x:v>
      </x:c>
      <x:c r="C3809" s="14" t="str">
        <x:v>Сувенирная продукция</x:v>
      </x:c>
      <x:c r="D3809" s="14" t="str">
        <x:v>Сувенирное оружие</x:v>
      </x:c>
      <x:c r="E3809" s="2" t="n">
        <x:v>3</x:v>
      </x:c>
      <x:c r="F3809" s="2" t="n">
        <x:v>0</x:v>
      </x:c>
      <x:c r="G3809" s="12" t="n">
        <x:v>281646</x:v>
      </x:c>
      <x:c r="H3809" s="12" t="n">
        <x:v>31261.6472</x:v>
      </x:c>
      <x:c r="I3809" s="13" t="n">
        <x:v>0.0697</x:v>
      </x:c>
      <x:c r="J3809" s="2" t="n">
        <x:v>1</x:v>
      </x:c>
      <x:c r="K3809" s="2" t="n">
        <x:v>1</x:v>
      </x:c>
      <x:c r="L3809" s="12" t="n">
        <x:v>4977.75</x:v>
      </x:c>
      <x:c r="M3809" s="13" t="n">
        <x:v>1</x:v>
      </x:c>
      <x:c r="N3809" s="13" t="n">
        <x:f>H3809/G3809</x:f>
        <x:v>0.11099624067091313</x:v>
      </x:c>
      <x:c r="O3809" s="13" t="n">
        <x:f>F3809/E3809</x:f>
        <x:v>0</x:v>
      </x:c>
      <x:c r="P3809" s="2" t="str">
        <x:f>IF(AND(E3809&gt;='Итоги'!$F$5,N3809&lt;='Итоги'!$B$5,O3809&gt;='Итоги'!$D$5),"Да","Нет")</x:f>
        <x:v>Нет</x:v>
      </x:c>
    </x:row>
    <x:row r="3810" ht="60" customHeight="1">
      <x:c r="A3810" s="14" t="str">
        <x:v>Аптека</x:v>
      </x:c>
      <x:c r="B3810" s="14" t="str">
        <x:v>Товары для взрослых</x:v>
      </x:c>
      <x:c r="C3810" s="14" t="str">
        <x:v>Товары для БДСМ</x:v>
      </x:c>
      <x:c r="D3810" s="14" t="str">
        <x:v>БДСМ набор</x:v>
      </x:c>
      <x:c r="E3810" s="2" t="n">
        <x:v>25</x:v>
      </x:c>
      <x:c r="F3810" s="2" t="n">
        <x:v>0</x:v>
      </x:c>
      <x:c r="G3810" s="12" t="n">
        <x:v>4819723.5647</x:v>
      </x:c>
      <x:c r="H3810" s="12" t="n">
        <x:v>535207.27100483</x:v>
      </x:c>
      <x:c r="I3810" s="13" t="n">
        <x:v>0.137524</x:v>
      </x:c>
      <x:c r="J3810" s="2" t="n">
        <x:v>3</x:v>
      </x:c>
      <x:c r="K3810" s="2" t="n">
        <x:v>15</x:v>
      </x:c>
      <x:c r="L3810" s="12" t="n">
        <x:v>1929</x:v>
      </x:c>
      <x:c r="M3810" s="13" t="n">
        <x:v>0.2669558766447816</x:v>
      </x:c>
      <x:c r="N3810" s="13" t="n">
        <x:f>H3810/G3810</x:f>
        <x:v>0.11104522154024067</x:v>
      </x:c>
      <x:c r="O3810" s="13" t="n">
        <x:f>F3810/E3810</x:f>
        <x:v>0</x:v>
      </x:c>
      <x:c r="P3810" s="2" t="str">
        <x:f>IF(AND(E3810&gt;='Итоги'!$F$5,N3810&lt;='Итоги'!$B$5,O3810&gt;='Итоги'!$D$5),"Да","Нет")</x:f>
        <x:v>Нет</x:v>
      </x:c>
    </x:row>
    <x:row r="3811" ht="60" customHeight="1">
      <x:c r="A3811" s="14" t="str">
        <x:v>Строительство и ремонт (DIY)</x:v>
      </x:c>
      <x:c r="B3811" s="14" t="str">
        <x:v>Инструменты</x:v>
      </x:c>
      <x:c r="C3811" s="14" t="str">
        <x:v>Техника для строительства, ремонта</x:v>
      </x:c>
      <x:c r="D3811" s="14" t="str">
        <x:v>Рукав для газовой сварки</x:v>
      </x:c>
      <x:c r="E3811" s="2" t="n">
        <x:v>5</x:v>
      </x:c>
      <x:c r="F3811" s="2" t="n">
        <x:v>0</x:v>
      </x:c>
      <x:c r="G3811" s="12" t="n">
        <x:v>461357.5979</x:v>
      </x:c>
      <x:c r="H3811" s="12" t="n">
        <x:v>51240.2983</x:v>
      </x:c>
      <x:c r="I3811" s="13" t="n">
        <x:v>0.11716</x:v>
      </x:c>
      <x:c r="J3811" s="2" t="n">
        <x:v>1</x:v>
      </x:c>
      <x:c r="K3811" s="2" t="n">
        <x:v>3</x:v>
      </x:c>
      <x:c r="L3811" s="12" t="n">
        <x:v>1145.8265</x:v>
      </x:c>
      <x:c r="M3811" s="13" t="n">
        <x:v>0.710301513384917</x:v>
      </x:c>
      <x:c r="N3811" s="13" t="n">
        <x:f>H3811/G3811</x:f>
        <x:v>0.11106416916776651</x:v>
      </x:c>
      <x:c r="O3811" s="13" t="n">
        <x:f>F3811/E3811</x:f>
        <x:v>0</x:v>
      </x:c>
      <x:c r="P3811" s="2" t="str">
        <x:f>IF(AND(E3811&gt;='Итоги'!$F$5,N3811&lt;='Итоги'!$B$5,O3811&gt;='Итоги'!$D$5),"Да","Нет")</x:f>
        <x:v>Нет</x:v>
      </x:c>
    </x:row>
    <x:row r="3812" ht="60" customHeight="1">
      <x:c r="A3812" s="14" t="str">
        <x:v>Игрушки</x:v>
      </x:c>
      <x:c r="B3812" s="14" t="str">
        <x:v>Игрушки</x:v>
      </x:c>
      <x:c r="C3812" s="14" t="str">
        <x:v>Куклы и аксессуары</x:v>
      </x:c>
      <x:c r="D3812" s="14" t="str">
        <x:v>Одежда, обувь кукольная</x:v>
      </x:c>
      <x:c r="E3812" s="2" t="n">
        <x:v>3</x:v>
      </x:c>
      <x:c r="F3812" s="2" t="n">
        <x:v>0</x:v>
      </x:c>
      <x:c r="G3812" s="12" t="n">
        <x:v>220040.34</x:v>
      </x:c>
      <x:c r="H3812" s="12" t="n">
        <x:v>24439.9948</x:v>
      </x:c>
      <x:c r="I3812" s="13" t="n">
        <x:v>0.0717666666666666</x:v>
      </x:c>
      <x:c r="J3812" s="2" t="n">
        <x:v>2</x:v>
      </x:c>
      <x:c r="K3812" s="2" t="n">
        <x:v>3</x:v>
      </x:c>
      <x:c r="L3812" s="12" t="n">
        <x:v>890.5073</x:v>
      </x:c>
      <x:c r="M3812" s="13" t="n">
        <x:v>0.5158872232246142</x:v>
      </x:c>
      <x:c r="N3812" s="13" t="n">
        <x:f>H3812/G3812</x:f>
        <x:v>0.11107051916025944</x:v>
      </x:c>
      <x:c r="O3812" s="13" t="n">
        <x:f>F3812/E3812</x:f>
        <x:v>0</x:v>
      </x:c>
      <x:c r="P3812" s="2" t="str">
        <x:f>IF(AND(E3812&gt;='Итоги'!$F$5,N3812&lt;='Итоги'!$B$5,O3812&gt;='Итоги'!$D$5),"Да","Нет")</x:f>
        <x:v>Нет</x:v>
      </x:c>
    </x:row>
    <x:row r="3813" ht="60" customHeight="1">
      <x:c r="A3813" s="14" t="str">
        <x:v>Игрушки</x:v>
      </x:c>
      <x:c r="B3813" s="14" t="str">
        <x:v>Игрушки</x:v>
      </x:c>
      <x:c r="C3813" s="14" t="str">
        <x:v>Транспорт и радиоуправляемые игрушки</x:v>
      </x:c>
      <x:c r="D3813" s="14" t="str">
        <x:v>Железная дорога игрушечная</x:v>
      </x:c>
      <x:c r="E3813" s="2" t="n">
        <x:v>46</x:v>
      </x:c>
      <x:c r="F3813" s="2" t="n">
        <x:v>0</x:v>
      </x:c>
      <x:c r="G3813" s="12" t="n">
        <x:v>4891490.5998</x:v>
      </x:c>
      <x:c r="H3813" s="12" t="n">
        <x:v>543408.04387964</x:v>
      </x:c>
      <x:c r="I3813" s="13" t="n">
        <x:v>0.1085260869565217</x:v>
      </x:c>
      <x:c r="J3813" s="2" t="n">
        <x:v>6</x:v>
      </x:c>
      <x:c r="K3813" s="2" t="n">
        <x:v>11</x:v>
      </x:c>
      <x:c r="L3813" s="12" t="n">
        <x:v>2263.3805</x:v>
      </x:c>
      <x:c r="M3813" s="13" t="n">
        <x:v>0.668521227748798</x:v>
      </x:c>
      <x:c r="N3813" s="13" t="n">
        <x:f>H3813/G3813</x:f>
        <x:v>0.11109252543628696</x:v>
      </x:c>
      <x:c r="O3813" s="13" t="n">
        <x:f>F3813/E3813</x:f>
        <x:v>0</x:v>
      </x:c>
      <x:c r="P3813" s="2" t="str">
        <x:f>IF(AND(E3813&gt;='Итоги'!$F$5,N3813&lt;='Итоги'!$B$5,O3813&gt;='Итоги'!$D$5),"Да","Нет")</x:f>
        <x:v>Нет</x:v>
      </x:c>
    </x:row>
    <x:row r="3814" ht="60" customHeight="1">
      <x:c r="A3814" s="14" t="str">
        <x:v>Товары для дома</x:v>
      </x:c>
      <x:c r="B3814" s="14" t="str">
        <x:v>Интерьер и декор</x:v>
      </x:c>
      <x:c r="C3814" s="14" t="str">
        <x:v>Часы, барометр</x:v>
      </x:c>
      <x:c r="D3814" s="14" t="str">
        <x:v>Будильник</x:v>
      </x:c>
      <x:c r="E3814" s="2" t="n">
        <x:v>2</x:v>
      </x:c>
      <x:c r="F3814" s="2" t="n">
        <x:v>0</x:v>
      </x:c>
      <x:c r="G3814" s="12" t="n">
        <x:v>310414.19</x:v>
      </x:c>
      <x:c r="H3814" s="12" t="n">
        <x:v>34526.89798</x:v>
      </x:c>
      <x:c r="I3814" s="13" t="n">
        <x:v>0.10675</x:v>
      </x:c>
      <x:c r="J3814" s="2" t="n">
        <x:v>0</x:v>
      </x:c>
      <x:c r="K3814" s="2" t="n">
        <x:v>1</x:v>
      </x:c>
      <x:c r="L3814" s="12" t="n">
        <x:v>1358.5483</x:v>
      </x:c>
      <x:c r="M3814" s="13" t="n">
        <x:v>1</x:v>
      </x:c>
      <x:c r="N3814" s="13" t="n">
        <x:f>H3814/G3814</x:f>
        <x:v>0.11122847824708014</x:v>
      </x:c>
      <x:c r="O3814" s="13" t="n">
        <x:f>F3814/E3814</x:f>
        <x:v>0</x:v>
      </x:c>
      <x:c r="P3814" s="2" t="str">
        <x:f>IF(AND(E3814&gt;='Итоги'!$F$5,N3814&lt;='Итоги'!$B$5,O3814&gt;='Итоги'!$D$5),"Да","Нет")</x:f>
        <x:v>Нет</x:v>
      </x:c>
    </x:row>
    <x:row r="3815" ht="60" customHeight="1">
      <x:c r="A3815" s="14" t="str">
        <x:v>Товары для детей и спорта</x:v>
      </x:c>
      <x:c r="B3815" s="14" t="str">
        <x:v>Электроника детская</x:v>
      </x:c>
      <x:c r="C3815" s="14" t="str">
        <x:v>Электроника детская</x:v>
      </x:c>
      <x:c r="D3815" s="14" t="str">
        <x:v>Молокоотсос</x:v>
      </x:c>
      <x:c r="E3815" s="2" t="n">
        <x:v>25</x:v>
      </x:c>
      <x:c r="F3815" s="2" t="n">
        <x:v>0</x:v>
      </x:c>
      <x:c r="G3815" s="12" t="n">
        <x:v>3512610.4928</x:v>
      </x:c>
      <x:c r="H3815" s="12" t="n">
        <x:v>390748.10481267</x:v>
      </x:c>
      <x:c r="I3815" s="13" t="n">
        <x:v>0.11162</x:v>
      </x:c>
      <x:c r="J3815" s="2" t="n">
        <x:v>4</x:v>
      </x:c>
      <x:c r="K3815" s="2" t="n">
        <x:v>14</x:v>
      </x:c>
      <x:c r="L3815" s="12" t="n">
        <x:v>1508.6575</x:v>
      </x:c>
      <x:c r="M3815" s="13" t="n">
        <x:v>0.3454528607960548</x:v>
      </x:c>
      <x:c r="N3815" s="13" t="n">
        <x:f>H3815/G3815</x:f>
        <x:v>0.11124151271927499</x:v>
      </x:c>
      <x:c r="O3815" s="13" t="n">
        <x:f>F3815/E3815</x:f>
        <x:v>0</x:v>
      </x:c>
      <x:c r="P3815" s="2" t="str">
        <x:f>IF(AND(E3815&gt;='Итоги'!$F$5,N3815&lt;='Итоги'!$B$5,O3815&gt;='Итоги'!$D$5),"Да","Нет")</x:f>
        <x:v>Нет</x:v>
      </x:c>
    </x:row>
    <x:row r="3816" ht="60" customHeight="1">
      <x:c r="A3816" s="14" t="str">
        <x:v>Товары для красоты и здоровья</x:v>
      </x:c>
      <x:c r="B3816" s="14" t="str">
        <x:v>Косметические аксессуары</x:v>
      </x:c>
      <x:c r="C3816" s="14" t="str">
        <x:v>Парикмахерские принадлежности</x:v>
      </x:c>
      <x:c r="D3816" s="14" t="str">
        <x:v>Расчески, брашинги парикмахерские</x:v>
      </x:c>
      <x:c r="E3816" s="2" t="n">
        <x:v>13</x:v>
      </x:c>
      <x:c r="F3816" s="2" t="n">
        <x:v>0</x:v>
      </x:c>
      <x:c r="G3816" s="12" t="n">
        <x:v>1394126.659</x:v>
      </x:c>
      <x:c r="H3816" s="12" t="n">
        <x:v>155124.61047552</x:v>
      </x:c>
      <x:c r="I3816" s="13" t="n">
        <x:v>0.1122692307692307</x:v>
      </x:c>
      <x:c r="J3816" s="2" t="n">
        <x:v>2</x:v>
      </x:c>
      <x:c r="K3816" s="2" t="n">
        <x:v>8</x:v>
      </x:c>
      <x:c r="L3816" s="12" t="n">
        <x:v>1262.6076</x:v>
      </x:c>
      <x:c r="M3816" s="13" t="n">
        <x:v>0.3319709605380985</x:v>
      </x:c>
      <x:c r="N3816" s="13" t="n">
        <x:f>H3816/G3816</x:f>
        <x:v>0.11127009836164391</x:v>
      </x:c>
      <x:c r="O3816" s="13" t="n">
        <x:f>F3816/E3816</x:f>
        <x:v>0</x:v>
      </x:c>
      <x:c r="P3816" s="2" t="str">
        <x:f>IF(AND(E3816&gt;='Итоги'!$F$5,N3816&lt;='Итоги'!$B$5,O3816&gt;='Итоги'!$D$5),"Да","Нет")</x:f>
        <x:v>Нет</x:v>
      </x:c>
    </x:row>
    <x:row r="3817" ht="60" customHeight="1">
      <x:c r="A3817" s="14" t="str">
        <x:v>Мебель</x:v>
      </x:c>
      <x:c r="B3817" s="14" t="str">
        <x:v>Корпусная мебель и мебель для хранения</x:v>
      </x:c>
      <x:c r="C3817" s="14" t="str">
        <x:v>Рейлы, вешалки</x:v>
      </x:c>
      <x:c r="D3817" s="14" t="str">
        <x:v>Рейлы и напольные вешалки</x:v>
      </x:c>
      <x:c r="E3817" s="2" t="n">
        <x:v>237</x:v>
      </x:c>
      <x:c r="F3817" s="2" t="n">
        <x:v>0</x:v>
      </x:c>
      <x:c r="G3817" s="12" t="n">
        <x:v>43427757.9177</x:v>
      </x:c>
      <x:c r="H3817" s="12" t="n">
        <x:v>4833323.77180666</x:v>
      </x:c>
      <x:c r="I3817" s="13" t="n">
        <x:v>0.1186464135021097</x:v>
      </x:c>
      <x:c r="J3817" s="2" t="n">
        <x:v>16</x:v>
      </x:c>
      <x:c r="K3817" s="2" t="n">
        <x:v>42</x:v>
      </x:c>
      <x:c r="L3817" s="12" t="n">
        <x:v>1469.4762</x:v>
      </x:c>
      <x:c r="M3817" s="13" t="n">
        <x:v>0.6502514332403643</x:v>
      </x:c>
      <x:c r="N3817" s="13" t="n">
        <x:f>H3817/G3817</x:f>
        <x:v>0.11129572429150725</x:v>
      </x:c>
      <x:c r="O3817" s="13" t="n">
        <x:f>F3817/E3817</x:f>
        <x:v>0</x:v>
      </x:c>
      <x:c r="P3817" s="2" t="str">
        <x:f>IF(AND(E3817&gt;='Итоги'!$F$5,N3817&lt;='Итоги'!$B$5,O3817&gt;='Итоги'!$D$5),"Да","Нет")</x:f>
        <x:v>Нет</x:v>
      </x:c>
    </x:row>
    <x:row r="3818" ht="60" customHeight="1">
      <x:c r="A3818" s="14" t="str">
        <x:v>Товары для дома</x:v>
      </x:c>
      <x:c r="B3818" s="14" t="str">
        <x:v>Кухня</x:v>
      </x:c>
      <x:c r="C3818" s="14" t="str">
        <x:v>Столовые приборы</x:v>
      </x:c>
      <x:c r="D3818" s="14" t="str">
        <x:v>Набор десертных вилок, ложек, ножей</x:v>
      </x:c>
      <x:c r="E3818" s="2" t="n">
        <x:v>1</x:v>
      </x:c>
      <x:c r="F3818" s="2" t="n">
        <x:v>0</x:v>
      </x:c>
      <x:c r="G3818" s="12" t="n">
        <x:v>151897</x:v>
      </x:c>
      <x:c r="H3818" s="12" t="n">
        <x:v>16906.1361</x:v>
      </x:c>
      <x:c r="I3818" s="13" t="n">
        <x:v>0.1113</x:v>
      </x:c>
      <x:c r="J3818" s="2" t="n">
        <x:v>0</x:v>
      </x:c>
      <x:c r="K3818" s="2" t="n">
        <x:v>1</x:v>
      </x:c>
      <x:c r="L3818" s="12" t="n">
        <x:v>4899.9032</x:v>
      </x:c>
      <x:c r="M3818" s="13" t="n">
        <x:v>1</x:v>
      </x:c>
      <x:c r="N3818" s="13" t="n">
        <x:f>H3818/G3818</x:f>
        <x:v>0.1113</x:v>
      </x:c>
      <x:c r="O3818" s="13" t="n">
        <x:f>F3818/E3818</x:f>
        <x:v>0</x:v>
      </x:c>
      <x:c r="P3818" s="2" t="str">
        <x:f>IF(AND(E3818&gt;='Итоги'!$F$5,N3818&lt;='Итоги'!$B$5,O3818&gt;='Итоги'!$D$5),"Да","Нет")</x:f>
        <x:v>Нет</x:v>
      </x:c>
    </x:row>
    <x:row r="3819" ht="60" customHeight="1">
      <x:c r="A3819" s="14" t="str">
        <x:v>Товары для животных</x:v>
      </x:c>
      <x:c r="B3819" s="14" t="str">
        <x:v>Гигиена и уход животных</x:v>
      </x:c>
      <x:c r="C3819" s="14" t="str">
        <x:v>Товары для груминга</x:v>
      </x:c>
      <x:c r="D3819" s="14" t="str">
        <x:v>Машинка для стрижки животных и комплектующие</x:v>
      </x:c>
      <x:c r="E3819" s="2" t="n">
        <x:v>81</x:v>
      </x:c>
      <x:c r="F3819" s="2" t="n">
        <x:v>0</x:v>
      </x:c>
      <x:c r="G3819" s="12" t="n">
        <x:v>17586398.9327</x:v>
      </x:c>
      <x:c r="H3819" s="12" t="n">
        <x:v>1958010.20236174</x:v>
      </x:c>
      <x:c r="I3819" s="13" t="n">
        <x:v>0.1140345679012345</x:v>
      </x:c>
      <x:c r="J3819" s="2" t="n">
        <x:v>8</x:v>
      </x:c>
      <x:c r="K3819" s="2" t="n">
        <x:v>41</x:v>
      </x:c>
      <x:c r="L3819" s="12" t="n">
        <x:v>1975.8889</x:v>
      </x:c>
      <x:c r="M3819" s="13" t="n">
        <x:v>0.2237589651559127</x:v>
      </x:c>
      <x:c r="N3819" s="13" t="n">
        <x:f>H3819/G3819</x:f>
        <x:v>0.11133661927349052</x:v>
      </x:c>
      <x:c r="O3819" s="13" t="n">
        <x:f>F3819/E3819</x:f>
        <x:v>0</x:v>
      </x:c>
      <x:c r="P3819" s="2" t="str">
        <x:f>IF(AND(E3819&gt;='Итоги'!$F$5,N3819&lt;='Итоги'!$B$5,O3819&gt;='Итоги'!$D$5),"Да","Нет")</x:f>
        <x:v>Нет</x:v>
      </x:c>
    </x:row>
    <x:row r="3820" ht="60" customHeight="1">
      <x:c r="A3820" s="14" t="str">
        <x:v>Школьные принадлежности и канцелярия</x:v>
      </x:c>
      <x:c r="B3820" s="14" t="str">
        <x:v>Товары для школы, канцелярия, оборудование</x:v>
      </x:c>
      <x:c r="C3820" s="14" t="str">
        <x:v>Папка</x:v>
      </x:c>
      <x:c r="D3820" s="14" t="str">
        <x:v>Папка с прозрачными вкладышами</x:v>
      </x:c>
      <x:c r="E3820" s="2" t="n">
        <x:v>3</x:v>
      </x:c>
      <x:c r="F3820" s="2" t="n">
        <x:v>0</x:v>
      </x:c>
      <x:c r="G3820" s="12" t="n">
        <x:v>259073.7</x:v>
      </x:c>
      <x:c r="H3820" s="12" t="n">
        <x:v>28846.530978000003</x:v>
      </x:c>
      <x:c r="I3820" s="13" t="n">
        <x:v>0.1118</x:v>
      </x:c>
      <x:c r="J3820" s="2" t="n">
        <x:v>0</x:v>
      </x:c>
      <x:c r="K3820" s="2" t="n">
        <x:v>2</x:v>
      </x:c>
      <x:c r="L3820" s="12" t="n">
        <x:v>1139.3016</x:v>
      </x:c>
      <x:c r="M3820" s="13" t="n">
        <x:v>0.6662918698424425</x:v>
      </x:c>
      <x:c r="N3820" s="13" t="n">
        <x:f>H3820/G3820</x:f>
        <x:v>0.11134488362963899</x:v>
      </x:c>
      <x:c r="O3820" s="13" t="n">
        <x:f>F3820/E3820</x:f>
        <x:v>0</x:v>
      </x:c>
      <x:c r="P3820" s="2" t="str">
        <x:f>IF(AND(E3820&gt;='Итоги'!$F$5,N3820&lt;='Итоги'!$B$5,O3820&gt;='Итоги'!$D$5),"Да","Нет")</x:f>
        <x:v>Нет</x:v>
      </x:c>
    </x:row>
    <x:row r="3821" ht="60" customHeight="1">
      <x:c r="A3821" s="14" t="str">
        <x:v>Спорт и отдых</x:v>
      </x:c>
      <x:c r="B3821" s="14" t="str">
        <x:v>Товары для рыбалки</x:v>
      </x:c>
      <x:c r="C3821" s="14" t="str">
        <x:v>Прикормки, насадки, ароматизаторы рыболовные</x:v>
      </x:c>
      <x:c r="D3821" s="14" t="str">
        <x:v>Прикормка рыболовная</x:v>
      </x:c>
      <x:c r="E3821" s="2" t="n">
        <x:v>10</x:v>
      </x:c>
      <x:c r="F3821" s="2" t="n">
        <x:v>0</x:v>
      </x:c>
      <x:c r="G3821" s="12" t="n">
        <x:v>1210260.8122</x:v>
      </x:c>
      <x:c r="H3821" s="12" t="n">
        <x:v>134776.21706178</x:v>
      </x:c>
      <x:c r="I3821" s="13" t="n">
        <x:v>0.10759</x:v>
      </x:c>
      <x:c r="J3821" s="2" t="n">
        <x:v>2</x:v>
      </x:c>
      <x:c r="K3821" s="2" t="n">
        <x:v>5</x:v>
      </x:c>
      <x:c r="L3821" s="12" t="n">
        <x:v>836.2669000000001</x:v>
      </x:c>
      <x:c r="M3821" s="13" t="n">
        <x:v>0.4224006427760959</x:v>
      </x:c>
      <x:c r="N3821" s="13" t="n">
        <x:f>H3821/G3821</x:f>
        <x:v>0.11136129973239828</x:v>
      </x:c>
      <x:c r="O3821" s="13" t="n">
        <x:f>F3821/E3821</x:f>
        <x:v>0</x:v>
      </x:c>
      <x:c r="P3821" s="2" t="str">
        <x:f>IF(AND(E3821&gt;='Итоги'!$F$5,N3821&lt;='Итоги'!$B$5,O3821&gt;='Итоги'!$D$5),"Да","Нет")</x:f>
        <x:v>Нет</x:v>
      </x:c>
    </x:row>
    <x:row r="3822" ht="60" customHeight="1">
      <x:c r="A3822" s="14" t="str">
        <x:v>Аксессуары</x:v>
      </x:c>
      <x:c r="B3822" s="14" t="str">
        <x:v>Бижутерия и часы бижутерные</x:v>
      </x:c>
      <x:c r="C3822" s="14" t="str">
        <x:v>Бижутерия</x:v>
      </x:c>
      <x:c r="D3822" s="14" t="str">
        <x:v>Бижу чокер</x:v>
      </x:c>
      <x:c r="E3822" s="2" t="n">
        <x:v>6</x:v>
      </x:c>
      <x:c r="F3822" s="2" t="n">
        <x:v>0</x:v>
      </x:c>
      <x:c r="G3822" s="12" t="n">
        <x:v>532695.9829</x:v>
      </x:c>
      <x:c r="H3822" s="12" t="n">
        <x:v>59339.98054556</x:v>
      </x:c>
      <x:c r="I3822" s="13" t="n">
        <x:v>0.1009666666666666</x:v>
      </x:c>
      <x:c r="J3822" s="2" t="n">
        <x:v>1</x:v>
      </x:c>
      <x:c r="K3822" s="2" t="n">
        <x:v>4</x:v>
      </x:c>
      <x:c r="L3822" s="12" t="n">
        <x:v>1727.79585</x:v>
      </x:c>
      <x:c r="M3822" s="13" t="n">
        <x:v>0.4331844870384886</x:v>
      </x:c>
      <x:c r="N3822" s="13" t="n">
        <x:f>H3822/G3822</x:f>
        <x:v>0.11139558481840395</x:v>
      </x:c>
      <x:c r="O3822" s="13" t="n">
        <x:f>F3822/E3822</x:f>
        <x:v>0</x:v>
      </x:c>
      <x:c r="P3822" s="2" t="str">
        <x:f>IF(AND(E3822&gt;='Итоги'!$F$5,N3822&lt;='Итоги'!$B$5,O3822&gt;='Итоги'!$D$5),"Да","Нет")</x:f>
        <x:v>Нет</x:v>
      </x:c>
    </x:row>
    <x:row r="3823" ht="60" customHeight="1">
      <x:c r="A3823" s="14" t="str">
        <x:v>Товары для дома</x:v>
      </x:c>
      <x:c r="B3823" s="14" t="str">
        <x:v>Ванная комната</x:v>
      </x:c>
      <x:c r="C3823" s="14" t="str">
        <x:v>Сиденье для унитаза</x:v>
      </x:c>
      <x:c r="D3823" s="14" t="str">
        <x:v>Сиденье для унитаза</x:v>
      </x:c>
      <x:c r="E3823" s="2" t="n">
        <x:v>101</x:v>
      </x:c>
      <x:c r="F3823" s="2" t="n">
        <x:v>0</x:v>
      </x:c>
      <x:c r="G3823" s="12" t="n">
        <x:v>18080232.7833</x:v>
      </x:c>
      <x:c r="H3823" s="12" t="n">
        <x:v>2014420.30783458</x:v>
      </x:c>
      <x:c r="I3823" s="13" t="n">
        <x:v>0.1042910891089109</x:v>
      </x:c>
      <x:c r="J3823" s="2" t="n">
        <x:v>17</x:v>
      </x:c>
      <x:c r="K3823" s="2" t="n">
        <x:v>17</x:v>
      </x:c>
      <x:c r="L3823" s="12" t="n">
        <x:v>2548.5</x:v>
      </x:c>
      <x:c r="M3823" s="13" t="n">
        <x:v>0.7685784401755744</x:v>
      </x:c>
      <x:c r="N3823" s="13" t="n">
        <x:f>H3823/G3823</x:f>
        <x:v>0.11141561792806234</x:v>
      </x:c>
      <x:c r="O3823" s="13" t="n">
        <x:f>F3823/E3823</x:f>
        <x:v>0</x:v>
      </x:c>
      <x:c r="P3823" s="2" t="str">
        <x:f>IF(AND(E3823&gt;='Итоги'!$F$5,N3823&lt;='Итоги'!$B$5,O3823&gt;='Итоги'!$D$5),"Да","Нет")</x:f>
        <x:v>Нет</x:v>
      </x:c>
    </x:row>
    <x:row r="3824" ht="60" customHeight="1">
      <x:c r="A3824" s="14" t="str">
        <x:v>Товары для дома</x:v>
      </x:c>
      <x:c r="B3824" s="14" t="str">
        <x:v>Кухня</x:v>
      </x:c>
      <x:c r="C3824" s="14" t="str">
        <x:v>Питьевое стекло, аксессуар для бара, сосуд для жидкости</x:v>
      </x:c>
      <x:c r="D3824" s="14" t="str">
        <x:v>Шейкер для напитков</x:v>
      </x:c>
      <x:c r="E3824" s="2" t="n">
        <x:v>3</x:v>
      </x:c>
      <x:c r="F3824" s="2" t="n">
        <x:v>0</x:v>
      </x:c>
      <x:c r="G3824" s="12" t="n">
        <x:v>383686.3777</x:v>
      </x:c>
      <x:c r="H3824" s="12" t="n">
        <x:v>42780.27305973</x:v>
      </x:c>
      <x:c r="I3824" s="13" t="n">
        <x:v>0.1210999999999999</x:v>
      </x:c>
      <x:c r="J3824" s="2" t="n">
        <x:v>0</x:v>
      </x:c>
      <x:c r="K3824" s="2" t="n">
        <x:v>2</x:v>
      </x:c>
      <x:c r="L3824" s="12" t="n">
        <x:v>1260.6162</x:v>
      </x:c>
      <x:c r="M3824" s="13" t="n">
        <x:v>0.6067960481047853</x:v>
      </x:c>
      <x:c r="N3824" s="13" t="n">
        <x:f>H3824/G3824</x:f>
        <x:v>0.11149802428789747</x:v>
      </x:c>
      <x:c r="O3824" s="13" t="n">
        <x:f>F3824/E3824</x:f>
        <x:v>0</x:v>
      </x:c>
      <x:c r="P3824" s="2" t="str">
        <x:f>IF(AND(E3824&gt;='Итоги'!$F$5,N3824&lt;='Итоги'!$B$5,O3824&gt;='Итоги'!$D$5),"Да","Нет")</x:f>
        <x:v>Нет</x:v>
      </x:c>
    </x:row>
    <x:row r="3825" ht="60" customHeight="1">
      <x:c r="A3825" s="14" t="str">
        <x:v>Товары для дома</x:v>
      </x:c>
      <x:c r="B3825" s="14" t="str">
        <x:v>Аксессуары для уборки и стирки</x:v>
      </x:c>
      <x:c r="C3825" s="14" t="str">
        <x:v>Аксессуар для уборки</x:v>
      </x:c>
      <x:c r="D3825" s="14" t="str">
        <x:v>Швабра, раздвижная ручка для швабры, флаундер</x:v>
      </x:c>
      <x:c r="E3825" s="2" t="n">
        <x:v>243</x:v>
      </x:c>
      <x:c r="F3825" s="2" t="n">
        <x:v>0</x:v>
      </x:c>
      <x:c r="G3825" s="12" t="n">
        <x:v>43285883.7362</x:v>
      </x:c>
      <x:c r="H3825" s="12" t="n">
        <x:v>4828303.08088363</x:v>
      </x:c>
      <x:c r="I3825" s="13" t="n">
        <x:v>0.1160267489711934</x:v>
      </x:c>
      <x:c r="J3825" s="2" t="n">
        <x:v>34</x:v>
      </x:c>
      <x:c r="K3825" s="2" t="n">
        <x:v>73</x:v>
      </x:c>
      <x:c r="L3825" s="12" t="n">
        <x:v>1335.9836</x:v>
      </x:c>
      <x:c r="M3825" s="13" t="n">
        <x:v>0.5834004834624851</x:v>
      </x:c>
      <x:c r="N3825" s="13" t="n">
        <x:f>H3825/G3825</x:f>
        <x:v>0.11154451900090741</x:v>
      </x:c>
      <x:c r="O3825" s="13" t="n">
        <x:f>F3825/E3825</x:f>
        <x:v>0</x:v>
      </x:c>
      <x:c r="P3825" s="2" t="str">
        <x:f>IF(AND(E3825&gt;='Итоги'!$F$5,N3825&lt;='Итоги'!$B$5,O3825&gt;='Итоги'!$D$5),"Да","Нет")</x:f>
        <x:v>Нет</x:v>
      </x:c>
    </x:row>
    <x:row r="3826" ht="60" customHeight="1">
      <x:c r="A3826" s="14" t="str">
        <x:v>Одежда</x:v>
      </x:c>
      <x:c r="B3826" s="14" t="str">
        <x:v>Белье, домашняя одежда и ЧНИ</x:v>
      </x:c>
      <x:c r="C3826" s="14" t="str">
        <x:v>Носочные изделия мужские</x:v>
      </x:c>
      <x:c r="D3826" s="14" t="str">
        <x:v>Носки мужские</x:v>
      </x:c>
      <x:c r="E3826" s="2" t="n">
        <x:v>30</x:v>
      </x:c>
      <x:c r="F3826" s="2" t="n">
        <x:v>0</x:v>
      </x:c>
      <x:c r="G3826" s="12" t="n">
        <x:v>5370459.5807</x:v>
      </x:c>
      <x:c r="H3826" s="12" t="n">
        <x:v>599308.90174375</x:v>
      </x:c>
      <x:c r="I3826" s="13" t="n">
        <x:v>0.0794833333333333</x:v>
      </x:c>
      <x:c r="J3826" s="2" t="n">
        <x:v>7</x:v>
      </x:c>
      <x:c r="K3826" s="2" t="n">
        <x:v>10</x:v>
      </x:c>
      <x:c r="L3826" s="12" t="n">
        <x:v>818.13345</x:v>
      </x:c>
      <x:c r="M3826" s="13" t="n">
        <x:v>0.7099103905373891</x:v>
      </x:c>
      <x:c r="N3826" s="13" t="n">
        <x:f>H3826/G3826</x:f>
        <x:v>0.111593596923717</x:v>
      </x:c>
      <x:c r="O3826" s="13" t="n">
        <x:f>F3826/E3826</x:f>
        <x:v>0</x:v>
      </x:c>
      <x:c r="P3826" s="2" t="str">
        <x:f>IF(AND(E3826&gt;='Итоги'!$F$5,N3826&lt;='Итоги'!$B$5,O3826&gt;='Итоги'!$D$5),"Да","Нет")</x:f>
        <x:v>Нет</x:v>
      </x:c>
    </x:row>
    <x:row r="3827" ht="60" customHeight="1">
      <x:c r="A3827" s="14" t="str">
        <x:v>Строительство и ремонт (DIY)</x:v>
      </x:c>
      <x:c r="B3827" s="14" t="str">
        <x:v>Сад и огород</x:v>
      </x:c>
      <x:c r="C3827" s="14" t="str">
        <x:v>Загородный отдых</x:v>
      </x:c>
      <x:c r="D3827" s="14" t="str">
        <x:v>Набор для барбекю, пикника</x:v>
      </x:c>
      <x:c r="E3827" s="2" t="n">
        <x:v>58</x:v>
      </x:c>
      <x:c r="F3827" s="2" t="n">
        <x:v>0</x:v>
      </x:c>
      <x:c r="G3827" s="12" t="n">
        <x:v>11939488.5805</x:v>
      </x:c>
      <x:c r="H3827" s="12" t="n">
        <x:v>1333678.9708192</x:v>
      </x:c>
      <x:c r="I3827" s="13" t="n">
        <x:v>0.100803448275862</x:v>
      </x:c>
      <x:c r="J3827" s="2" t="n">
        <x:v>6</x:v>
      </x:c>
      <x:c r="K3827" s="2" t="n">
        <x:v>19</x:v>
      </x:c>
      <x:c r="L3827" s="12" t="n">
        <x:v>3681.42815</x:v>
      </x:c>
      <x:c r="M3827" s="13" t="n">
        <x:v>0.4736359848390745</x:v>
      </x:c>
      <x:c r="N3827" s="13" t="n">
        <x:f>H3827/G3827</x:f>
        <x:v>0.11170319078803863</x:v>
      </x:c>
      <x:c r="O3827" s="13" t="n">
        <x:f>F3827/E3827</x:f>
        <x:v>0</x:v>
      </x:c>
      <x:c r="P3827" s="2" t="str">
        <x:f>IF(AND(E3827&gt;='Итоги'!$F$5,N3827&lt;='Итоги'!$B$5,O3827&gt;='Итоги'!$D$5),"Да","Нет")</x:f>
        <x:v>Нет</x:v>
      </x:c>
    </x:row>
    <x:row r="3828" ht="60" customHeight="1">
      <x:c r="A3828" s="14" t="str">
        <x:v>Товары для дома</x:v>
      </x:c>
      <x:c r="B3828" s="14" t="str">
        <x:v>Домашний текстиль</x:v>
      </x:c>
      <x:c r="C3828" s="14" t="str">
        <x:v>Шторы</x:v>
      </x:c>
      <x:c r="D3828" s="14" t="str">
        <x:v>Шторы, тюль, жалюзи, рулонка на заказ</x:v>
      </x:c>
      <x:c r="E3828" s="2" t="n">
        <x:v>8</x:v>
      </x:c>
      <x:c r="F3828" s="2" t="n">
        <x:v>0</x:v>
      </x:c>
      <x:c r="G3828" s="12" t="n">
        <x:v>816289.5231</x:v>
      </x:c>
      <x:c r="H3828" s="12" t="n">
        <x:v>91212.58417523</x:v>
      </x:c>
      <x:c r="I3828" s="13" t="n">
        <x:v>0.096</x:v>
      </x:c>
      <x:c r="J3828" s="2" t="n">
        <x:v>3</x:v>
      </x:c>
      <x:c r="K3828" s="2" t="n">
        <x:v>4</x:v>
      </x:c>
      <x:c r="L3828" s="12" t="n">
        <x:v>1395.296</x:v>
      </x:c>
      <x:c r="M3828" s="13" t="n">
        <x:v>0.6590189361454025</x:v>
      </x:c>
      <x:c r="N3828" s="13" t="n">
        <x:f>H3828/G3828</x:f>
        <x:v>0.11174048128026257</x:v>
      </x:c>
      <x:c r="O3828" s="13" t="n">
        <x:f>F3828/E3828</x:f>
        <x:v>0</x:v>
      </x:c>
      <x:c r="P3828" s="2" t="str">
        <x:f>IF(AND(E3828&gt;='Итоги'!$F$5,N3828&lt;='Итоги'!$B$5,O3828&gt;='Итоги'!$D$5),"Да","Нет")</x:f>
        <x:v>Нет</x:v>
      </x:c>
    </x:row>
    <x:row r="3829" ht="60" customHeight="1">
      <x:c r="A3829" s="14" t="str">
        <x:v>Товары для дома</x:v>
      </x:c>
      <x:c r="B3829" s="14" t="str">
        <x:v>Домашний текстиль</x:v>
      </x:c>
      <x:c r="C3829" s="14" t="str">
        <x:v>Постельное белье</x:v>
      </x:c>
      <x:c r="D3829" s="14" t="str">
        <x:v>Наволочка для декоративной подушки</x:v>
      </x:c>
      <x:c r="E3829" s="2" t="n">
        <x:v>4</x:v>
      </x:c>
      <x:c r="F3829" s="2" t="n">
        <x:v>0</x:v>
      </x:c>
      <x:c r="G3829" s="12" t="n">
        <x:v>307325.5413</x:v>
      </x:c>
      <x:c r="H3829" s="12" t="n">
        <x:v>34349.2272194</x:v>
      </x:c>
      <x:c r="I3829" s="13" t="n">
        <x:v>0.114925</x:v>
      </x:c>
      <x:c r="J3829" s="2" t="n">
        <x:v>0</x:v>
      </x:c>
      <x:c r="K3829" s="2" t="n">
        <x:v>3</x:v>
      </x:c>
      <x:c r="L3829" s="12" t="n">
        <x:v>1139.4314</x:v>
      </x:c>
      <x:c r="M3829" s="13" t="n">
        <x:v>0.5794974717905103</x:v>
      </x:c>
      <x:c r="N3829" s="13" t="n">
        <x:f>H3829/G3829</x:f>
        <x:v>0.11176821514444041</x:v>
      </x:c>
      <x:c r="O3829" s="13" t="n">
        <x:f>F3829/E3829</x:f>
        <x:v>0</x:v>
      </x:c>
      <x:c r="P3829" s="2" t="str">
        <x:f>IF(AND(E3829&gt;='Итоги'!$F$5,N3829&lt;='Итоги'!$B$5,O3829&gt;='Итоги'!$D$5),"Да","Нет")</x:f>
        <x:v>Нет</x:v>
      </x:c>
    </x:row>
    <x:row r="3830" ht="60" customHeight="1">
      <x:c r="A3830" s="14" t="str">
        <x:v>Товары для детей и спорта</x:v>
      </x:c>
      <x:c r="B3830" s="14" t="str">
        <x:v>Текстиль детский</x:v>
      </x:c>
      <x:c r="C3830" s="14" t="str">
        <x:v>Постельное белье для новорожденных и малышей</x:v>
      </x:c>
      <x:c r="D3830" s="14" t="str">
        <x:v>Комплект постельного белья для новорожденных и малышей</x:v>
      </x:c>
      <x:c r="E3830" s="2" t="n">
        <x:v>40</x:v>
      </x:c>
      <x:c r="F3830" s="2" t="n">
        <x:v>0</x:v>
      </x:c>
      <x:c r="G3830" s="12" t="n">
        <x:v>5578078.9832</x:v>
      </x:c>
      <x:c r="H3830" s="12" t="n">
        <x:v>623582.71778472</x:v>
      </x:c>
      <x:c r="I3830" s="13" t="n">
        <x:v>0.1052249999999999</x:v>
      </x:c>
      <x:c r="J3830" s="2" t="n">
        <x:v>5</x:v>
      </x:c>
      <x:c r="K3830" s="2" t="n">
        <x:v>3</x:v>
      </x:c>
      <x:c r="L3830" s="12" t="n">
        <x:v>1098.5212</x:v>
      </x:c>
      <x:c r="M3830" s="13" t="n">
        <x:v>0.976584266663598</x:v>
      </x:c>
      <x:c r="N3830" s="13" t="n">
        <x:f>H3830/G3830</x:f>
        <x:v>0.1117916615492215</x:v>
      </x:c>
      <x:c r="O3830" s="13" t="n">
        <x:f>F3830/E3830</x:f>
        <x:v>0</x:v>
      </x:c>
      <x:c r="P3830" s="2" t="str">
        <x:f>IF(AND(E3830&gt;='Итоги'!$F$5,N3830&lt;='Итоги'!$B$5,O3830&gt;='Итоги'!$D$5),"Да","Нет")</x:f>
        <x:v>Нет</x:v>
      </x:c>
    </x:row>
    <x:row r="3831" ht="60" customHeight="1">
      <x:c r="A3831" s="14" t="str">
        <x:v>Товары для дома</x:v>
      </x:c>
      <x:c r="B3831" s="14" t="str">
        <x:v>Кухня</x:v>
      </x:c>
      <x:c r="C3831" s="14" t="str">
        <x:v>Кухонная утварь и принадлежности</x:v>
      </x:c>
      <x:c r="D3831" s="14" t="str">
        <x:v>Форма для леденцов, конфет и шоколада</x:v>
      </x:c>
      <x:c r="E3831" s="2" t="n">
        <x:v>3</x:v>
      </x:c>
      <x:c r="F3831" s="2" t="n">
        <x:v>0</x:v>
      </x:c>
      <x:c r="G3831" s="12" t="n">
        <x:v>378625.8757</x:v>
      </x:c>
      <x:c r="H3831" s="12" t="n">
        <x:v>42328.719636500005</x:v>
      </x:c>
      <x:c r="I3831" s="13" t="n">
        <x:v>0.0712333333333333</x:v>
      </x:c>
      <x:c r="J3831" s="2" t="n">
        <x:v>1</x:v>
      </x:c>
      <x:c r="K3831" s="2" t="n">
        <x:v>3</x:v>
      </x:c>
      <x:c r="L3831" s="12" t="n">
        <x:v>942.7326</x:v>
      </x:c>
      <x:c r="M3831" s="13" t="n">
        <x:v>0.5490818466002692</x:v>
      </x:c>
      <x:c r="N3831" s="13" t="n">
        <x:f>H3831/G3831</x:f>
        <x:v>0.11179563350825683</x:v>
      </x:c>
      <x:c r="O3831" s="13" t="n">
        <x:f>F3831/E3831</x:f>
        <x:v>0</x:v>
      </x:c>
      <x:c r="P3831" s="2" t="str">
        <x:f>IF(AND(E3831&gt;='Итоги'!$F$5,N3831&lt;='Итоги'!$B$5,O3831&gt;='Итоги'!$D$5),"Да","Нет")</x:f>
        <x:v>Нет</x:v>
      </x:c>
    </x:row>
    <x:row r="3832" ht="60" customHeight="1">
      <x:c r="A3832" s="14" t="str">
        <x:v>Игрушки</x:v>
      </x:c>
      <x:c r="B3832" s="14" t="str">
        <x:v>Игрушки</x:v>
      </x:c>
      <x:c r="C3832" s="14" t="str">
        <x:v>Игрушки для самых маленьких</x:v>
      </x:c>
      <x:c r="D3832" s="14" t="str">
        <x:v>Развивающие игрушки</x:v>
      </x:c>
      <x:c r="E3832" s="2" t="n">
        <x:v>94</x:v>
      </x:c>
      <x:c r="F3832" s="2" t="n">
        <x:v>0</x:v>
      </x:c>
      <x:c r="G3832" s="12" t="n">
        <x:v>10807223.3839</x:v>
      </x:c>
      <x:c r="H3832" s="12" t="n">
        <x:v>1209025.59239849</x:v>
      </x:c>
      <x:c r="I3832" s="13" t="n">
        <x:v>0.1094127659574468</x:v>
      </x:c>
      <x:c r="J3832" s="2" t="n">
        <x:v>18</x:v>
      </x:c>
      <x:c r="K3832" s="2" t="n">
        <x:v>50</x:v>
      </x:c>
      <x:c r="L3832" s="12" t="n">
        <x:v>1416.8335000000002</x:v>
      </x:c>
      <x:c r="M3832" s="13" t="n">
        <x:v>0.1933117789544648</x:v>
      </x:c>
      <x:c r="N3832" s="13" t="n">
        <x:f>H3832/G3832</x:f>
        <x:v>0.11187199056138963</x:v>
      </x:c>
      <x:c r="O3832" s="13" t="n">
        <x:f>F3832/E3832</x:f>
        <x:v>0</x:v>
      </x:c>
      <x:c r="P3832" s="2" t="str">
        <x:f>IF(AND(E3832&gt;='Итоги'!$F$5,N3832&lt;='Итоги'!$B$5,O3832&gt;='Итоги'!$D$5),"Да","Нет")</x:f>
        <x:v>Нет</x:v>
      </x:c>
    </x:row>
    <x:row r="3833" ht="60" customHeight="1">
      <x:c r="A3833" s="14" t="str">
        <x:v>Товары для дома</x:v>
      </x:c>
      <x:c r="B3833" s="14" t="str">
        <x:v>Домашний текстиль</x:v>
      </x:c>
      <x:c r="C3833" s="14" t="str">
        <x:v>Столовый текстиль</x:v>
      </x:c>
      <x:c r="D3833" s="14" t="str">
        <x:v>Скатерть прямоугольная, квадратная</x:v>
      </x:c>
      <x:c r="E3833" s="2" t="n">
        <x:v>22</x:v>
      </x:c>
      <x:c r="F3833" s="2" t="n">
        <x:v>0</x:v>
      </x:c>
      <x:c r="G3833" s="12" t="n">
        <x:v>2392413.533</x:v>
      </x:c>
      <x:c r="H3833" s="12" t="n">
        <x:v>267661.08688394</x:v>
      </x:c>
      <x:c r="I3833" s="13" t="n">
        <x:v>0.10375</x:v>
      </x:c>
      <x:c r="J3833" s="2" t="n">
        <x:v>2</x:v>
      </x:c>
      <x:c r="K3833" s="2" t="n">
        <x:v>9</x:v>
      </x:c>
      <x:c r="L3833" s="12" t="n">
        <x:v>1383.84955</x:v>
      </x:c>
      <x:c r="M3833" s="13" t="n">
        <x:v>0.3619541179045821</x:v>
      </x:c>
      <x:c r="N3833" s="13" t="n">
        <x:f>H3833/G3833</x:f>
        <x:v>0.11187910584517664</x:v>
      </x:c>
      <x:c r="O3833" s="13" t="n">
        <x:f>F3833/E3833</x:f>
        <x:v>0</x:v>
      </x:c>
      <x:c r="P3833" s="2" t="str">
        <x:f>IF(AND(E3833&gt;='Итоги'!$F$5,N3833&lt;='Итоги'!$B$5,O3833&gt;='Итоги'!$D$5),"Да","Нет")</x:f>
        <x:v>Нет</x:v>
      </x:c>
    </x:row>
    <x:row r="3834" ht="60" customHeight="1">
      <x:c r="A3834" s="14" t="str">
        <x:v>Товары для дома</x:v>
      </x:c>
      <x:c r="B3834" s="14" t="str">
        <x:v>Кухня</x:v>
      </x:c>
      <x:c r="C3834" s="14" t="str">
        <x:v>Столовая посуда</x:v>
      </x:c>
      <x:c r="D3834" s="14" t="str">
        <x:v>Поднос</x:v>
      </x:c>
      <x:c r="E3834" s="2" t="n">
        <x:v>46</x:v>
      </x:c>
      <x:c r="F3834" s="2" t="n">
        <x:v>0</x:v>
      </x:c>
      <x:c r="G3834" s="12" t="n">
        <x:v>5603214.3075</x:v>
      </x:c>
      <x:c r="H3834" s="12" t="n">
        <x:v>627315.22696529</x:v>
      </x:c>
      <x:c r="I3834" s="13" t="n">
        <x:v>0.1136130434782608</x:v>
      </x:c>
      <x:c r="J3834" s="2" t="n">
        <x:v>4</x:v>
      </x:c>
      <x:c r="K3834" s="2" t="n">
        <x:v>29</x:v>
      </x:c>
      <x:c r="L3834" s="12" t="n">
        <x:v>1107.18275</x:v>
      </x:c>
      <x:c r="M3834" s="13" t="n">
        <x:v>0.3203860323880714</x:v>
      </x:c>
      <x:c r="N3834" s="13" t="n">
        <x:f>H3834/G3834</x:f>
        <x:v>0.11195631516817368</x:v>
      </x:c>
      <x:c r="O3834" s="13" t="n">
        <x:f>F3834/E3834</x:f>
        <x:v>0</x:v>
      </x:c>
      <x:c r="P3834" s="2" t="str">
        <x:f>IF(AND(E3834&gt;='Итоги'!$F$5,N3834&lt;='Итоги'!$B$5,O3834&gt;='Итоги'!$D$5),"Да","Нет")</x:f>
        <x:v>Нет</x:v>
      </x:c>
    </x:row>
    <x:row r="3835" ht="60" customHeight="1">
      <x:c r="A3835" s="14" t="str">
        <x:v>Аксессуары для электроники</x:v>
      </x:c>
      <x:c r="B3835" s="14" t="str">
        <x:v>Электропитание Access</x:v>
      </x:c>
      <x:c r="C3835" s="14" t="str">
        <x:v>Кабели и переходники Access</x:v>
      </x:c>
      <x:c r="D3835" s="14" t="str">
        <x:v>Видео кабели и переходники</x:v>
      </x:c>
      <x:c r="E3835" s="2" t="n">
        <x:v>59</x:v>
      </x:c>
      <x:c r="F3835" s="2" t="n">
        <x:v>0</x:v>
      </x:c>
      <x:c r="G3835" s="12" t="n">
        <x:v>6965248.34</x:v>
      </x:c>
      <x:c r="H3835" s="12" t="n">
        <x:v>780080.582217</x:v>
      </x:c>
      <x:c r="I3835" s="13" t="n">
        <x:v>0.092993220338983</x:v>
      </x:c>
      <x:c r="J3835" s="2" t="n">
        <x:v>9</x:v>
      </x:c>
      <x:c r="K3835" s="2" t="n">
        <x:v>16</x:v>
      </x:c>
      <x:c r="L3835" s="12" t="n">
        <x:v>1193.8543</x:v>
      </x:c>
      <x:c r="M3835" s="13" t="n">
        <x:v>0.6520296747954862</x:v>
      </x:c>
      <x:c r="N3835" s="13" t="n">
        <x:f>H3835/G3835</x:f>
        <x:v>0.11199609032418217</x:v>
      </x:c>
      <x:c r="O3835" s="13" t="n">
        <x:f>F3835/E3835</x:f>
        <x:v>0</x:v>
      </x:c>
      <x:c r="P3835" s="2" t="str">
        <x:f>IF(AND(E3835&gt;='Итоги'!$F$5,N3835&lt;='Итоги'!$B$5,O3835&gt;='Итоги'!$D$5),"Да","Нет")</x:f>
        <x:v>Нет</x:v>
      </x:c>
    </x:row>
    <x:row r="3836" ht="60" customHeight="1">
      <x:c r="A3836" s="14" t="str">
        <x:v>Товары для животных</x:v>
      </x:c>
      <x:c r="B3836" s="14" t="str">
        <x:v>Товары для прогулки и дрессировки животных</x:v>
      </x:c>
      <x:c r="C3836" s="14" t="str">
        <x:v>Аксессуары для прогулки и дрессировки животных</x:v>
      </x:c>
      <x:c r="D3836" s="14" t="str">
        <x:v>Звонок для животных</x:v>
      </x:c>
      <x:c r="E3836" s="2" t="n">
        <x:v>1</x:v>
      </x:c>
      <x:c r="F3836" s="2" t="n">
        <x:v>0</x:v>
      </x:c>
      <x:c r="G3836" s="12" t="n">
        <x:v>85409</x:v>
      </x:c>
      <x:c r="H3836" s="12" t="n">
        <x:v>9565.808</x:v>
      </x:c>
      <x:c r="I3836" s="13" t="n">
        <x:v>0.112</x:v>
      </x:c>
      <x:c r="J3836" s="2" t="n">
        <x:v>0</x:v>
      </x:c>
      <x:c r="K3836" s="2" t="n">
        <x:v>1</x:v>
      </x:c>
      <x:c r="L3836" s="12" t="n">
        <x:v>1054.4321</x:v>
      </x:c>
      <x:c r="M3836" s="13" t="n">
        <x:v>1</x:v>
      </x:c>
      <x:c r="N3836" s="13" t="n">
        <x:f>H3836/G3836</x:f>
        <x:v>0.11200000000000002</x:v>
      </x:c>
      <x:c r="O3836" s="13" t="n">
        <x:f>F3836/E3836</x:f>
        <x:v>0</x:v>
      </x:c>
      <x:c r="P3836" s="2" t="str">
        <x:f>IF(AND(E3836&gt;='Итоги'!$F$5,N3836&lt;='Итоги'!$B$5,O3836&gt;='Итоги'!$D$5),"Да","Нет")</x:f>
        <x:v>Нет</x:v>
      </x:c>
    </x:row>
    <x:row r="3837" ht="60" customHeight="1">
      <x:c r="A3837" s="14" t="str">
        <x:v>Мелкая бытовая техника</x:v>
      </x:c>
      <x:c r="B3837" s="14" t="str">
        <x:v>Мелкая бытовая техника SDA</x:v>
      </x:c>
      <x:c r="C3837" s="14" t="str">
        <x:v>Электронные товары для красоты и здоровья SDA</x:v>
      </x:c>
      <x:c r="D3837" s="14" t="str">
        <x:v>Щипцы для волос электрические</x:v>
      </x:c>
      <x:c r="E3837" s="2" t="n">
        <x:v>106</x:v>
      </x:c>
      <x:c r="F3837" s="2" t="n">
        <x:v>0</x:v>
      </x:c>
      <x:c r="G3837" s="12" t="n">
        <x:v>15194355.7232</x:v>
      </x:c>
      <x:c r="H3837" s="12" t="n">
        <x:v>1702078.54888583</x:v>
      </x:c>
      <x:c r="I3837" s="13" t="n">
        <x:v>0.1191943396226415</x:v>
      </x:c>
      <x:c r="J3837" s="2" t="n">
        <x:v>18</x:v>
      </x:c>
      <x:c r="K3837" s="2" t="n">
        <x:v>35</x:v>
      </x:c>
      <x:c r="L3837" s="12" t="n">
        <x:v>1265.9777</x:v>
      </x:c>
      <x:c r="M3837" s="13" t="n">
        <x:v>0.479739330037538</x:v>
      </x:c>
      <x:c r="N3837" s="13" t="n">
        <x:f>H3837/G3837</x:f>
        <x:v>0.11202044890175603</x:v>
      </x:c>
      <x:c r="O3837" s="13" t="n">
        <x:f>F3837/E3837</x:f>
        <x:v>0</x:v>
      </x:c>
      <x:c r="P3837" s="2" t="str">
        <x:f>IF(AND(E3837&gt;='Итоги'!$F$5,N3837&lt;='Итоги'!$B$5,O3837&gt;='Итоги'!$D$5),"Да","Нет")</x:f>
        <x:v>Нет</x:v>
      </x:c>
    </x:row>
    <x:row r="3838" ht="60" customHeight="1">
      <x:c r="A3838" s="14" t="str">
        <x:v>Товары для животных</x:v>
      </x:c>
      <x:c r="B3838" s="14" t="str">
        <x:v>Гигиена и уход животных</x:v>
      </x:c>
      <x:c r="C3838" s="14" t="str">
        <x:v>Расческа, щетка для животных</x:v>
      </x:c>
      <x:c r="D3838" s="14" t="str">
        <x:v>Щетка для животных</x:v>
      </x:c>
      <x:c r="E3838" s="2" t="n">
        <x:v>3</x:v>
      </x:c>
      <x:c r="F3838" s="2" t="n">
        <x:v>0</x:v>
      </x:c>
      <x:c r="G3838" s="12" t="n">
        <x:v>289099.9741</x:v>
      </x:c>
      <x:c r="H3838" s="12" t="n">
        <x:v>32436.68862119</x:v>
      </x:c>
      <x:c r="I3838" s="13" t="n">
        <x:v>0.1112333333333333</x:v>
      </x:c>
      <x:c r="J3838" s="2" t="n">
        <x:v>0</x:v>
      </x:c>
      <x:c r="K3838" s="2" t="n">
        <x:v>3</x:v>
      </x:c>
      <x:c r="L3838" s="12" t="n">
        <x:v>973.9452</x:v>
      </x:c>
      <x:c r="M3838" s="13" t="n">
        <x:v>0.4330542556766006</x:v>
      </x:c>
      <x:c r="N3838" s="13" t="n">
        <x:f>H3838/G3838</x:f>
        <x:v>0.11219886380885705</x:v>
      </x:c>
      <x:c r="O3838" s="13" t="n">
        <x:f>F3838/E3838</x:f>
        <x:v>0</x:v>
      </x:c>
      <x:c r="P3838" s="2" t="str">
        <x:f>IF(AND(E3838&gt;='Итоги'!$F$5,N3838&lt;='Итоги'!$B$5,O3838&gt;='Итоги'!$D$5),"Да","Нет")</x:f>
        <x:v>Нет</x:v>
      </x:c>
    </x:row>
    <x:row r="3839" ht="60" customHeight="1">
      <x:c r="A3839" s="14" t="str">
        <x:v>Мелкая бытовая техника</x:v>
      </x:c>
      <x:c r="B3839" s="14" t="str">
        <x:v>Мелкая бытовая техника SDA</x:v>
      </x:c>
      <x:c r="C3839" s="14" t="str">
        <x:v>Электронная техника для дома SDA</x:v>
      </x:c>
      <x:c r="D3839" s="14" t="str">
        <x:v>Стиральная машина компактная</x:v>
      </x:c>
      <x:c r="E3839" s="2" t="n">
        <x:v>63</x:v>
      </x:c>
      <x:c r="F3839" s="2" t="n">
        <x:v>0</x:v>
      </x:c>
      <x:c r="G3839" s="12" t="n">
        <x:v>11955998.8563</x:v>
      </x:c>
      <x:c r="H3839" s="12" t="n">
        <x:v>1341628.39169747</x:v>
      </x:c>
      <x:c r="I3839" s="13" t="n">
        <x:v>0.1224698412698412</x:v>
      </x:c>
      <x:c r="J3839" s="2" t="n">
        <x:v>4</x:v>
      </x:c>
      <x:c r="K3839" s="2" t="n">
        <x:v>27</x:v>
      </x:c>
      <x:c r="L3839" s="12" t="n">
        <x:v>2269.0256</x:v>
      </x:c>
      <x:c r="M3839" s="13" t="n">
        <x:v>0.2612769035314816</x:v>
      </x:c>
      <x:c r="N3839" s="13" t="n">
        <x:f>H3839/G3839</x:f>
        <x:v>0.11221382737005892</x:v>
      </x:c>
      <x:c r="O3839" s="13" t="n">
        <x:f>F3839/E3839</x:f>
        <x:v>0</x:v>
      </x:c>
      <x:c r="P3839" s="2" t="str">
        <x:f>IF(AND(E3839&gt;='Итоги'!$F$5,N3839&lt;='Итоги'!$B$5,O3839&gt;='Итоги'!$D$5),"Да","Нет")</x:f>
        <x:v>Нет</x:v>
      </x:c>
    </x:row>
    <x:row r="3840" ht="60" customHeight="1">
      <x:c r="A3840" s="14" t="str">
        <x:v>Хобби и творчество</x:v>
      </x:c>
      <x:c r="B3840" s="14" t="str">
        <x:v>Детское творчество и хобби</x:v>
      </x:c>
      <x:c r="C3840" s="14" t="str">
        <x:v>Хобби для развития и обучения</x:v>
      </x:c>
      <x:c r="D3840" s="14" t="str">
        <x:v>Анатомическая модель</x:v>
      </x:c>
      <x:c r="E3840" s="2" t="n">
        <x:v>2</x:v>
      </x:c>
      <x:c r="F3840" s="2" t="n">
        <x:v>0</x:v>
      </x:c>
      <x:c r="G3840" s="12" t="n">
        <x:v>197187.1485</x:v>
      </x:c>
      <x:c r="H3840" s="12" t="n">
        <x:v>22165.069305750003</x:v>
      </x:c>
      <x:c r="I3840" s="13" t="n">
        <x:v>0.1104</x:v>
      </x:c>
      <x:c r="J3840" s="2" t="n">
        <x:v>0</x:v>
      </x:c>
      <x:c r="K3840" s="2" t="n">
        <x:v>2</x:v>
      </x:c>
      <x:c r="L3840" s="12" t="n">
        <x:v>2334.0359</x:v>
      </x:c>
      <x:c r="M3840" s="13" t="n">
        <x:v>0.5324637066801541</x:v>
      </x:c>
      <x:c r="N3840" s="13" t="n">
        <x:f>H3840/G3840</x:f>
        <x:v>0.11240625707283354</x:v>
      </x:c>
      <x:c r="O3840" s="13" t="n">
        <x:f>F3840/E3840</x:f>
        <x:v>0</x:v>
      </x:c>
      <x:c r="P3840" s="2" t="str">
        <x:f>IF(AND(E3840&gt;='Итоги'!$F$5,N3840&lt;='Итоги'!$B$5,O3840&gt;='Итоги'!$D$5),"Да","Нет")</x:f>
        <x:v>Нет</x:v>
      </x:c>
    </x:row>
    <x:row r="3841" ht="60" customHeight="1">
      <x:c r="A3841" s="14" t="str">
        <x:v>Строительство и ремонт (DIY)</x:v>
      </x:c>
      <x:c r="B3841" s="14" t="str">
        <x:v>Освещение</x:v>
      </x:c>
      <x:c r="C3841" s="14" t="str">
        <x:v>Лампочка</x:v>
      </x:c>
      <x:c r="D3841" s="14" t="str">
        <x:v>Светодиодная лента</x:v>
      </x:c>
      <x:c r="E3841" s="2" t="n">
        <x:v>105</x:v>
      </x:c>
      <x:c r="F3841" s="2" t="n">
        <x:v>0</x:v>
      </x:c>
      <x:c r="G3841" s="12" t="n">
        <x:v>18736985.8556</x:v>
      </x:c>
      <x:c r="H3841" s="12" t="n">
        <x:v>2110732.50861366</x:v>
      </x:c>
      <x:c r="I3841" s="13" t="n">
        <x:v>0.1027914285714285</x:v>
      </x:c>
      <x:c r="J3841" s="2" t="n">
        <x:v>10</x:v>
      </x:c>
      <x:c r="K3841" s="2" t="n">
        <x:v>33</x:v>
      </x:c>
      <x:c r="L3841" s="12" t="n">
        <x:v>1663.2076</x:v>
      </x:c>
      <x:c r="M3841" s="13" t="n">
        <x:v>0.4316697808672706</x:v>
      </x:c>
      <x:c r="N3841" s="13" t="n">
        <x:f>H3841/G3841</x:f>
        <x:v>0.1126505898483569</x:v>
      </x:c>
      <x:c r="O3841" s="13" t="n">
        <x:f>F3841/E3841</x:f>
        <x:v>0</x:v>
      </x:c>
      <x:c r="P3841" s="2" t="str">
        <x:f>IF(AND(E3841&gt;='Итоги'!$F$5,N3841&lt;='Итоги'!$B$5,O3841&gt;='Итоги'!$D$5),"Да","Нет")</x:f>
        <x:v>Нет</x:v>
      </x:c>
    </x:row>
    <x:row r="3842" ht="60" customHeight="1">
      <x:c r="A3842" s="14" t="str">
        <x:v>Спорт и отдых</x:v>
      </x:c>
      <x:c r="B3842" s="14" t="str">
        <x:v>Товары для рыбалки</x:v>
      </x:c>
      <x:c r="C3842" s="14" t="str">
        <x:v>Аксесcуары для рыбалки</x:v>
      </x:c>
      <x:c r="D3842" s="14" t="str">
        <x:v>Аксессуары для зимней рыбалки</x:v>
      </x:c>
      <x:c r="E3842" s="2" t="n">
        <x:v>24</x:v>
      </x:c>
      <x:c r="F3842" s="2" t="n">
        <x:v>0</x:v>
      </x:c>
      <x:c r="G3842" s="12" t="n">
        <x:v>4059474.9623</x:v>
      </x:c>
      <x:c r="H3842" s="12" t="n">
        <x:v>457344.71000356</x:v>
      </x:c>
      <x:c r="I3842" s="13" t="n">
        <x:v>0.0969916666666666</x:v>
      </x:c>
      <x:c r="J3842" s="2" t="n">
        <x:v>5</x:v>
      </x:c>
      <x:c r="K3842" s="2" t="n">
        <x:v>8</x:v>
      </x:c>
      <x:c r="L3842" s="12" t="n">
        <x:v>1865.93305</x:v>
      </x:c>
      <x:c r="M3842" s="13" t="n">
        <x:v>0.5209287129096773</x:v>
      </x:c>
      <x:c r="N3842" s="13" t="n">
        <x:f>H3842/G3842</x:f>
        <x:v>0.11266104958175173</x:v>
      </x:c>
      <x:c r="O3842" s="13" t="n">
        <x:f>F3842/E3842</x:f>
        <x:v>0</x:v>
      </x:c>
      <x:c r="P3842" s="2" t="str">
        <x:f>IF(AND(E3842&gt;='Итоги'!$F$5,N3842&lt;='Итоги'!$B$5,O3842&gt;='Итоги'!$D$5),"Да","Нет")</x:f>
        <x:v>Нет</x:v>
      </x:c>
    </x:row>
    <x:row r="3843" ht="60" customHeight="1">
      <x:c r="A3843" s="14" t="str">
        <x:v>Детская одежда</x:v>
      </x:c>
      <x:c r="B3843" s="14" t="str">
        <x:v>Одежда для новорожденных</x:v>
      </x:c>
      <x:c r="C3843" s="14" t="str">
        <x:v>Верхняя одежда для новорожденных</x:v>
      </x:c>
      <x:c r="D3843" s="14" t="str">
        <x:v>Конверт прогулочный</x:v>
      </x:c>
      <x:c r="E3843" s="2" t="n">
        <x:v>10</x:v>
      </x:c>
      <x:c r="F3843" s="2" t="n">
        <x:v>0</x:v>
      </x:c>
      <x:c r="G3843" s="12" t="n">
        <x:v>901867.5829</x:v>
      </x:c>
      <x:c r="H3843" s="12" t="n">
        <x:v>101697.04717</x:v>
      </x:c>
      <x:c r="I3843" s="13" t="n">
        <x:v>0.10105</x:v>
      </x:c>
      <x:c r="J3843" s="2" t="n">
        <x:v>1</x:v>
      </x:c>
      <x:c r="K3843" s="2" t="n">
        <x:v>5</x:v>
      </x:c>
      <x:c r="L3843" s="12" t="n">
        <x:v>2974.7229</x:v>
      </x:c>
      <x:c r="M3843" s="13" t="n">
        <x:v>0.6319164484961775</x:v>
      </x:c>
      <x:c r="N3843" s="13" t="n">
        <x:f>H3843/G3843</x:f>
        <x:v>0.11276272603455609</x:v>
      </x:c>
      <x:c r="O3843" s="13" t="n">
        <x:f>F3843/E3843</x:f>
        <x:v>0</x:v>
      </x:c>
      <x:c r="P3843" s="2" t="str">
        <x:f>IF(AND(E3843&gt;='Итоги'!$F$5,N3843&lt;='Итоги'!$B$5,O3843&gt;='Итоги'!$D$5),"Да","Нет")</x:f>
        <x:v>Нет</x:v>
      </x:c>
    </x:row>
    <x:row r="3844" ht="60" customHeight="1">
      <x:c r="A3844" s="14" t="str">
        <x:v>Товары для красоты и здоровья</x:v>
      </x:c>
      <x:c r="B3844" s="14" t="str">
        <x:v>Косметические аксессуары</x:v>
      </x:c>
      <x:c r="C3844" s="14" t="str">
        <x:v>Аксессуары для волос</x:v>
      </x:c>
      <x:c r="D3844" s="14" t="str">
        <x:v>Расческа, щетка для волос</x:v>
      </x:c>
      <x:c r="E3844" s="2" t="n">
        <x:v>39</x:v>
      </x:c>
      <x:c r="F3844" s="2" t="n">
        <x:v>0</x:v>
      </x:c>
      <x:c r="G3844" s="12" t="n">
        <x:v>5505210.623</x:v>
      </x:c>
      <x:c r="H3844" s="12" t="n">
        <x:v>620843.16292053</x:v>
      </x:c>
      <x:c r="I3844" s="13" t="n">
        <x:v>0.0994692307692307</x:v>
      </x:c>
      <x:c r="J3844" s="2" t="n">
        <x:v>9</x:v>
      </x:c>
      <x:c r="K3844" s="2" t="n">
        <x:v>9</x:v>
      </x:c>
      <x:c r="L3844" s="12" t="n">
        <x:v>1224.8061</x:v>
      </x:c>
      <x:c r="M3844" s="13" t="n">
        <x:v>0.6717057474514723</x:v>
      </x:c>
      <x:c r="N3844" s="13" t="n">
        <x:f>H3844/G3844</x:f>
        <x:v>0.11277373481892483</x:v>
      </x:c>
      <x:c r="O3844" s="13" t="n">
        <x:f>F3844/E3844</x:f>
        <x:v>0</x:v>
      </x:c>
      <x:c r="P3844" s="2" t="str">
        <x:f>IF(AND(E3844&gt;='Итоги'!$F$5,N3844&lt;='Итоги'!$B$5,O3844&gt;='Итоги'!$D$5),"Да","Нет")</x:f>
        <x:v>Нет</x:v>
      </x:c>
    </x:row>
    <x:row r="3845" ht="60" customHeight="1">
      <x:c r="A3845" s="14" t="str">
        <x:v>Товары для красоты и здоровья</x:v>
      </x:c>
      <x:c r="B3845" s="14" t="str">
        <x:v>Косметические средства для детей и беременных</x:v>
      </x:c>
      <x:c r="C3845" s="14" t="str">
        <x:v>Детские косметические аксессуары</x:v>
      </x:c>
      <x:c r="D3845" s="14" t="str">
        <x:v>Маникюрные инструменты для детей</x:v>
      </x:c>
      <x:c r="E3845" s="2" t="n">
        <x:v>1</x:v>
      </x:c>
      <x:c r="F3845" s="2" t="n">
        <x:v>0</x:v>
      </x:c>
      <x:c r="G3845" s="12" t="n">
        <x:v>70368.2978</x:v>
      </x:c>
      <x:c r="H3845" s="12" t="n">
        <x:v>7937.54399184</x:v>
      </x:c>
      <x:c r="I3845" s="13" t="n">
        <x:v>0.1128</x:v>
      </x:c>
      <x:c r="J3845" s="2" t="n">
        <x:v>0</x:v>
      </x:c>
      <x:c r="K3845" s="2" t="n">
        <x:v>1</x:v>
      </x:c>
      <x:c r="L3845" s="12" t="n">
        <x:v>1172.805</x:v>
      </x:c>
      <x:c r="M3845" s="13" t="n">
        <x:v>1</x:v>
      </x:c>
      <x:c r="N3845" s="13" t="n">
        <x:f>H3845/G3845</x:f>
        <x:v>0.1128</x:v>
      </x:c>
      <x:c r="O3845" s="13" t="n">
        <x:f>F3845/E3845</x:f>
        <x:v>0</x:v>
      </x:c>
      <x:c r="P3845" s="2" t="str">
        <x:f>IF(AND(E3845&gt;='Итоги'!$F$5,N3845&lt;='Итоги'!$B$5,O3845&gt;='Итоги'!$D$5),"Да","Нет")</x:f>
        <x:v>Нет</x:v>
      </x:c>
    </x:row>
    <x:row r="3846" ht="60" customHeight="1">
      <x:c r="A3846" s="14" t="str">
        <x:v>Одежда</x:v>
      </x:c>
      <x:c r="B3846" s="14" t="str">
        <x:v>Основная одежда мужская</x:v>
      </x:c>
      <x:c r="C3846" s="14" t="str">
        <x:v>Основная одежда мужская верха</x:v>
      </x:c>
      <x:c r="D3846" s="14" t="str">
        <x:v>Свитер мужской</x:v>
      </x:c>
      <x:c r="E3846" s="2" t="n">
        <x:v>8</x:v>
      </x:c>
      <x:c r="F3846" s="2" t="n">
        <x:v>0</x:v>
      </x:c>
      <x:c r="G3846" s="12" t="n">
        <x:v>78119.25</x:v>
      </x:c>
      <x:c r="H3846" s="12" t="n">
        <x:v>8821.7671</x:v>
      </x:c>
      <x:c r="I3846" s="13" t="n">
        <x:v>0.0630874999999999</x:v>
      </x:c>
      <x:c r="J3846" s="2" t="n">
        <x:v>5</x:v>
      </x:c>
      <x:c r="K3846" s="2" t="n">
        <x:v>3</x:v>
      </x:c>
      <x:c r="L3846" s="12" t="n">
        <x:v>2952.33335</x:v>
      </x:c>
      <x:c r="M3846" s="13" t="n">
        <x:v>0.8052688677886692</x:v>
      </x:c>
      <x:c r="N3846" s="13" t="n">
        <x:f>H3846/G3846</x:f>
        <x:v>0.11292693030207022</x:v>
      </x:c>
      <x:c r="O3846" s="13" t="n">
        <x:f>F3846/E3846</x:f>
        <x:v>0</x:v>
      </x:c>
      <x:c r="P3846" s="2" t="str">
        <x:f>IF(AND(E3846&gt;='Итоги'!$F$5,N3846&lt;='Итоги'!$B$5,O3846&gt;='Итоги'!$D$5),"Да","Нет")</x:f>
        <x:v>Нет</x:v>
      </x:c>
    </x:row>
    <x:row r="3847" ht="60" customHeight="1">
      <x:c r="A3847" s="14" t="str">
        <x:v>Строительство и ремонт (DIY)</x:v>
      </x:c>
      <x:c r="B3847" s="14" t="str">
        <x:v>Ремонт и строительство</x:v>
      </x:c>
      <x:c r="C3847" s="14" t="str">
        <x:v>Столярные изделия</x:v>
      </x:c>
      <x:c r="D3847" s="14" t="str">
        <x:v>Древесно-плитные материалы</x:v>
      </x:c>
      <x:c r="E3847" s="2" t="n">
        <x:v>5</x:v>
      </x:c>
      <x:c r="F3847" s="2" t="n">
        <x:v>0</x:v>
      </x:c>
      <x:c r="G3847" s="12" t="n">
        <x:v>962308.08</x:v>
      </x:c>
      <x:c r="H3847" s="12" t="n">
        <x:v>108779.660118</x:v>
      </x:c>
      <x:c r="I3847" s="13" t="n">
        <x:v>0.06712</x:v>
      </x:c>
      <x:c r="J3847" s="2" t="n">
        <x:v>2</x:v>
      </x:c>
      <x:c r="K3847" s="2" t="n">
        <x:v>5</x:v>
      </x:c>
      <x:c r="L3847" s="12" t="n">
        <x:v>1726.9764</x:v>
      </x:c>
      <x:c r="M3847" s="13" t="n">
        <x:v>0.3427722439990319</x:v>
      </x:c>
      <x:c r="N3847" s="13" t="n">
        <x:f>H3847/G3847</x:f>
        <x:v>0.11304036864992342</x:v>
      </x:c>
      <x:c r="O3847" s="13" t="n">
        <x:f>F3847/E3847</x:f>
        <x:v>0</x:v>
      </x:c>
      <x:c r="P3847" s="2" t="str">
        <x:f>IF(AND(E3847&gt;='Итоги'!$F$5,N3847&lt;='Итоги'!$B$5,O3847&gt;='Итоги'!$D$5),"Да","Нет")</x:f>
        <x:v>Нет</x:v>
      </x:c>
    </x:row>
    <x:row r="3848" ht="60" customHeight="1">
      <x:c r="A3848" s="14" t="str">
        <x:v>Хобби и творчество</x:v>
      </x:c>
      <x:c r="B3848" s="14" t="str">
        <x:v>Взрослое творчество и хобби</x:v>
      </x:c>
      <x:c r="C3848" s="14" t="str">
        <x:v>Мыловарение, свечеварение</x:v>
      </x:c>
      <x:c r="D3848" s="14" t="str">
        <x:v>Материалы для мыловарения</x:v>
      </x:c>
      <x:c r="E3848" s="2" t="n">
        <x:v>19</x:v>
      </x:c>
      <x:c r="F3848" s="2" t="n">
        <x:v>0</x:v>
      </x:c>
      <x:c r="G3848" s="12" t="n">
        <x:v>1316589.6271</x:v>
      </x:c>
      <x:c r="H3848" s="12" t="n">
        <x:v>148836.00924894</x:v>
      </x:c>
      <x:c r="I3848" s="13" t="n">
        <x:v>0.0979263157894736</x:v>
      </x:c>
      <x:c r="J3848" s="2" t="n">
        <x:v>3</x:v>
      </x:c>
      <x:c r="K3848" s="2" t="n">
        <x:v>8</x:v>
      </x:c>
      <x:c r="L3848" s="12" t="n">
        <x:v>2712.4737</x:v>
      </x:c>
      <x:c r="M3848" s="13" t="n">
        <x:v>0.2431236169656436</x:v>
      </x:c>
      <x:c r="N3848" s="13" t="n">
        <x:f>H3848/G3848</x:f>
        <x:v>0.113046621502537</x:v>
      </x:c>
      <x:c r="O3848" s="13" t="n">
        <x:f>F3848/E3848</x:f>
        <x:v>0</x:v>
      </x:c>
      <x:c r="P3848" s="2" t="str">
        <x:f>IF(AND(E3848&gt;='Итоги'!$F$5,N3848&lt;='Итоги'!$B$5,O3848&gt;='Итоги'!$D$5),"Да","Нет")</x:f>
        <x:v>Нет</x:v>
      </x:c>
    </x:row>
    <x:row r="3849" ht="60" customHeight="1">
      <x:c r="A3849" s="14" t="str">
        <x:v>Игрушки</x:v>
      </x:c>
      <x:c r="B3849" s="14" t="str">
        <x:v>Игрушки</x:v>
      </x:c>
      <x:c r="C3849" s="14" t="str">
        <x:v>Транспорт и радиоуправляемые игрушки</x:v>
      </x:c>
      <x:c r="D3849" s="14" t="str">
        <x:v>Трек, гараж игрушечные</x:v>
      </x:c>
      <x:c r="E3849" s="2" t="n">
        <x:v>55</x:v>
      </x:c>
      <x:c r="F3849" s="2" t="n">
        <x:v>0</x:v>
      </x:c>
      <x:c r="G3849" s="12" t="n">
        <x:v>5809175.384</x:v>
      </x:c>
      <x:c r="H3849" s="12" t="n">
        <x:v>656741.21672962</x:v>
      </x:c>
      <x:c r="I3849" s="13" t="n">
        <x:v>0.1092927272727272</x:v>
      </x:c>
      <x:c r="J3849" s="2" t="n">
        <x:v>4</x:v>
      </x:c>
      <x:c r="K3849" s="2" t="n">
        <x:v>22</x:v>
      </x:c>
      <x:c r="L3849" s="12" t="n">
        <x:v>1867.2786</x:v>
      </x:c>
      <x:c r="M3849" s="13" t="n">
        <x:v>0.4115987167448205</x:v>
      </x:c>
      <x:c r="N3849" s="13" t="n">
        <x:f>H3849/G3849</x:f>
        <x:v>0.11305239957782277</x:v>
      </x:c>
      <x:c r="O3849" s="13" t="n">
        <x:f>F3849/E3849</x:f>
        <x:v>0</x:v>
      </x:c>
      <x:c r="P3849" s="2" t="str">
        <x:f>IF(AND(E3849&gt;='Итоги'!$F$5,N3849&lt;='Итоги'!$B$5,O3849&gt;='Итоги'!$D$5),"Да","Нет")</x:f>
        <x:v>Нет</x:v>
      </x:c>
    </x:row>
    <x:row r="3850" ht="60" customHeight="1">
      <x:c r="A3850" s="14" t="str">
        <x:v>Аудио и видеотехника</x:v>
      </x:c>
      <x:c r="B3850" s="14" t="str">
        <x:v>Система безопасности TV&amp;Audio</x:v>
      </x:c>
      <x:c r="C3850" s="14" t="str">
        <x:v>Умный дом TV&amp;Audio</x:v>
      </x:c>
      <x:c r="D3850" s="14" t="str">
        <x:v>Умный сетевой фильтр для умного дома</x:v>
      </x:c>
      <x:c r="E3850" s="2" t="n">
        <x:v>2</x:v>
      </x:c>
      <x:c r="F3850" s="2" t="n">
        <x:v>0</x:v>
      </x:c>
      <x:c r="G3850" s="12" t="n">
        <x:v>199075</x:v>
      </x:c>
      <x:c r="H3850" s="12" t="n">
        <x:v>22519.5616</x:v>
      </x:c>
      <x:c r="I3850" s="13" t="n">
        <x:v>0.0656</x:v>
      </x:c>
      <x:c r="J3850" s="2" t="n">
        <x:v>1</x:v>
      </x:c>
      <x:c r="K3850" s="2" t="n">
        <x:v>2</x:v>
      </x:c>
      <x:c r="L3850" s="12" t="n">
        <x:v>1763.9061000000002</x:v>
      </x:c>
      <x:c r="M3850" s="13" t="n">
        <x:v>0.8622026874293608</x:v>
      </x:c>
      <x:c r="N3850" s="13" t="n">
        <x:f>H3850/G3850</x:f>
        <x:v>0.11312099259073215</x:v>
      </x:c>
      <x:c r="O3850" s="13" t="n">
        <x:f>F3850/E3850</x:f>
        <x:v>0</x:v>
      </x:c>
      <x:c r="P3850" s="2" t="str">
        <x:f>IF(AND(E3850&gt;='Итоги'!$F$5,N3850&lt;='Итоги'!$B$5,O3850&gt;='Итоги'!$D$5),"Да","Нет")</x:f>
        <x:v>Нет</x:v>
      </x:c>
    </x:row>
    <x:row r="3851" ht="60" customHeight="1">
      <x:c r="A3851" s="14" t="str">
        <x:v>Товары для детей и спорта</x:v>
      </x:c>
      <x:c r="B3851" s="14" t="str">
        <x:v>КГТ и аксессуары для детей</x:v>
      </x:c>
      <x:c r="C3851" s="14" t="str">
        <x:v>Детская мебель и аксессуары в дом</x:v>
      </x:c>
      <x:c r="D3851" s="14" t="str">
        <x:v>Блокировка для мебели</x:v>
      </x:c>
      <x:c r="E3851" s="2" t="n">
        <x:v>9</x:v>
      </x:c>
      <x:c r="F3851" s="2" t="n">
        <x:v>0</x:v>
      </x:c>
      <x:c r="G3851" s="12" t="n">
        <x:v>1243340.7363</x:v>
      </x:c>
      <x:c r="H3851" s="12" t="n">
        <x:v>140657.73968936998</x:v>
      </x:c>
      <x:c r="I3851" s="13" t="n">
        <x:v>0.1096666666666666</x:v>
      </x:c>
      <x:c r="J3851" s="2" t="n">
        <x:v>1</x:v>
      </x:c>
      <x:c r="K3851" s="2" t="n">
        <x:v>3</x:v>
      </x:c>
      <x:c r="L3851" s="12" t="n">
        <x:v>1378.1391</x:v>
      </x:c>
      <x:c r="M3851" s="13" t="n">
        <x:v>0.8324515269885475</x:v>
      </x:c>
      <x:c r="N3851" s="13" t="n">
        <x:f>H3851/G3851</x:f>
        <x:v>0.11312887576413432</x:v>
      </x:c>
      <x:c r="O3851" s="13" t="n">
        <x:f>F3851/E3851</x:f>
        <x:v>0</x:v>
      </x:c>
      <x:c r="P3851" s="2" t="str">
        <x:f>IF(AND(E3851&gt;='Итоги'!$F$5,N3851&lt;='Итоги'!$B$5,O3851&gt;='Итоги'!$D$5),"Да","Нет")</x:f>
        <x:v>Нет</x:v>
      </x:c>
    </x:row>
    <x:row r="3852" ht="60" customHeight="1">
      <x:c r="A3852" s="14" t="str">
        <x:v>Аптека</x:v>
      </x:c>
      <x:c r="B3852" s="14" t="str">
        <x:v>Спортивное питание</x:v>
      </x:c>
      <x:c r="C3852" s="14" t="str">
        <x:v>Специальные препараты для спортивного питания</x:v>
      </x:c>
      <x:c r="D3852" s="14" t="str">
        <x:v>Средства повышающие тестостерон</x:v>
      </x:c>
      <x:c r="E3852" s="2" t="n">
        <x:v>73</x:v>
      </x:c>
      <x:c r="F3852" s="2" t="n">
        <x:v>0</x:v>
      </x:c>
      <x:c r="G3852" s="12" t="n">
        <x:v>13692567.2065</x:v>
      </x:c>
      <x:c r="H3852" s="12" t="n">
        <x:v>1551447.08340292</x:v>
      </x:c>
      <x:c r="I3852" s="13" t="n">
        <x:v>0.105417808219178</x:v>
      </x:c>
      <x:c r="J3852" s="2" t="n">
        <x:v>14</x:v>
      </x:c>
      <x:c r="K3852" s="2" t="n">
        <x:v>16</x:v>
      </x:c>
      <x:c r="L3852" s="12" t="n">
        <x:v>1855.1205</x:v>
      </x:c>
      <x:c r="M3852" s="13" t="n">
        <x:v>0.6579725042228152</x:v>
      </x:c>
      <x:c r="N3852" s="13" t="n">
        <x:f>H3852/G3852</x:f>
        <x:v>0.11330578554081754</x:v>
      </x:c>
      <x:c r="O3852" s="13" t="n">
        <x:f>F3852/E3852</x:f>
        <x:v>0</x:v>
      </x:c>
      <x:c r="P3852" s="2" t="str">
        <x:f>IF(AND(E3852&gt;='Итоги'!$F$5,N3852&lt;='Итоги'!$B$5,O3852&gt;='Итоги'!$D$5),"Да","Нет")</x:f>
        <x:v>Нет</x:v>
      </x:c>
    </x:row>
    <x:row r="3853" ht="60" customHeight="1">
      <x:c r="A3853" s="14" t="str">
        <x:v>Школьные принадлежности и канцелярия</x:v>
      </x:c>
      <x:c r="B3853" s="14" t="str">
        <x:v>Товары для школы, канцелярия, оборудование</x:v>
      </x:c>
      <x:c r="C3853" s="14" t="str">
        <x:v>Офисные принадлежности</x:v>
      </x:c>
      <x:c r="D3853" s="14" t="str">
        <x:v>Лоток для бумаги</x:v>
      </x:c>
      <x:c r="E3853" s="2" t="n">
        <x:v>14</x:v>
      </x:c>
      <x:c r="F3853" s="2" t="n">
        <x:v>0</x:v>
      </x:c>
      <x:c r="G3853" s="12" t="n">
        <x:v>1504019.8339</x:v>
      </x:c>
      <x:c r="H3853" s="12" t="n">
        <x:v>170435.71211576</x:v>
      </x:c>
      <x:c r="I3853" s="13" t="n">
        <x:v>0.1292</x:v>
      </x:c>
      <x:c r="J3853" s="2" t="n">
        <x:v>0</x:v>
      </x:c>
      <x:c r="K3853" s="2" t="n">
        <x:v>3</x:v>
      </x:c>
      <x:c r="L3853" s="12" t="n">
        <x:v>966.1701</x:v>
      </x:c>
      <x:c r="M3853" s="13" t="n">
        <x:v>0.9237075220594272</x:v>
      </x:c>
      <x:c r="N3853" s="13" t="n">
        <x:f>H3853/G3853</x:f>
        <x:v>0.1133201226966612</x:v>
      </x:c>
      <x:c r="O3853" s="13" t="n">
        <x:f>F3853/E3853</x:f>
        <x:v>0</x:v>
      </x:c>
      <x:c r="P3853" s="2" t="str">
        <x:f>IF(AND(E3853&gt;='Итоги'!$F$5,N3853&lt;='Итоги'!$B$5,O3853&gt;='Итоги'!$D$5),"Да","Нет")</x:f>
        <x:v>Нет</x:v>
      </x:c>
    </x:row>
    <x:row r="3854" ht="60" customHeight="1">
      <x:c r="A3854" s="14" t="str">
        <x:v>Аксессуары для электроники</x:v>
      </x:c>
      <x:c r="B3854" s="14" t="str">
        <x:v>Аксессуары для МБТ (кухня) Access</x:v>
      </x:c>
      <x:c r="C3854" s="14" t="str">
        <x:v>Аксессуары для вакуумного упаковщика Access</x:v>
      </x:c>
      <x:c r="D3854" s="14" t="str">
        <x:v>Аксессуары для вакуумного упаковщика</x:v>
      </x:c>
      <x:c r="E3854" s="2" t="n">
        <x:v>33</x:v>
      </x:c>
      <x:c r="F3854" s="2" t="n">
        <x:v>0</x:v>
      </x:c>
      <x:c r="G3854" s="12" t="n">
        <x:v>4238555.3637</x:v>
      </x:c>
      <x:c r="H3854" s="12" t="n">
        <x:v>480329.19875696</x:v>
      </x:c>
      <x:c r="I3854" s="13" t="n">
        <x:v>0.1088969696969697</x:v>
      </x:c>
      <x:c r="J3854" s="2" t="n">
        <x:v>4</x:v>
      </x:c>
      <x:c r="K3854" s="2" t="n">
        <x:v>9</x:v>
      </x:c>
      <x:c r="L3854" s="12" t="n">
        <x:v>919.5424</x:v>
      </x:c>
      <x:c r="M3854" s="13" t="n">
        <x:v>0.3765453304842012</x:v>
      </x:c>
      <x:c r="N3854" s="13" t="n">
        <x:f>H3854/G3854</x:f>
        <x:v>0.1133237996300848</x:v>
      </x:c>
      <x:c r="O3854" s="13" t="n">
        <x:f>F3854/E3854</x:f>
        <x:v>0</x:v>
      </x:c>
      <x:c r="P3854" s="2" t="str">
        <x:f>IF(AND(E3854&gt;='Итоги'!$F$5,N3854&lt;='Итоги'!$B$5,O3854&gt;='Итоги'!$D$5),"Да","Нет")</x:f>
        <x:v>Нет</x:v>
      </x:c>
    </x:row>
    <x:row r="3855" ht="60" customHeight="1">
      <x:c r="A3855" s="14" t="str">
        <x:v>Спорт и отдых</x:v>
      </x:c>
      <x:c r="B3855" s="14" t="str">
        <x:v>Колесный транспорт</x:v>
      </x:c>
      <x:c r="C3855" s="14" t="str">
        <x:v>Велоаксессуары</x:v>
      </x:c>
      <x:c r="D3855" s="14" t="str">
        <x:v>Грипсы/обмотка</x:v>
      </x:c>
      <x:c r="E3855" s="2" t="n">
        <x:v>2</x:v>
      </x:c>
      <x:c r="F3855" s="2" t="n">
        <x:v>0</x:v>
      </x:c>
      <x:c r="G3855" s="12" t="n">
        <x:v>215888.5542</x:v>
      </x:c>
      <x:c r="H3855" s="12" t="n">
        <x:v>24480.63337148</x:v>
      </x:c>
      <x:c r="I3855" s="13" t="n">
        <x:v>0.1139</x:v>
      </x:c>
      <x:c r="J3855" s="2" t="n">
        <x:v>0</x:v>
      </x:c>
      <x:c r="K3855" s="2" t="n">
        <x:v>1</x:v>
      </x:c>
      <x:c r="L3855" s="12" t="n">
        <x:v>3125.3107</x:v>
      </x:c>
      <x:c r="M3855" s="13" t="n">
        <x:v>1</x:v>
      </x:c>
      <x:c r="N3855" s="13" t="n">
        <x:f>H3855/G3855</x:f>
        <x:v>0.11339477195628</x:v>
      </x:c>
      <x:c r="O3855" s="13" t="n">
        <x:f>F3855/E3855</x:f>
        <x:v>0</x:v>
      </x:c>
      <x:c r="P3855" s="2" t="str">
        <x:f>IF(AND(E3855&gt;='Итоги'!$F$5,N3855&lt;='Итоги'!$B$5,O3855&gt;='Итоги'!$D$5),"Да","Нет")</x:f>
        <x:v>Нет</x:v>
      </x:c>
    </x:row>
    <x:row r="3856" ht="60" customHeight="1">
      <x:c r="A3856" s="14" t="str">
        <x:v>Аксессуары</x:v>
      </x:c>
      <x:c r="B3856" s="14" t="str">
        <x:v>Галантерея</x:v>
      </x:c>
      <x:c r="C3856" s="14" t="str">
        <x:v>Галантерея женская</x:v>
      </x:c>
      <x:c r="D3856" s="14" t="str">
        <x:v>Женская Ключница</x:v>
      </x:c>
      <x:c r="E3856" s="2" t="n">
        <x:v>1</x:v>
      </x:c>
      <x:c r="F3856" s="2" t="n">
        <x:v>0</x:v>
      </x:c>
      <x:c r="G3856" s="12" t="n">
        <x:v>88541.0617</x:v>
      </x:c>
      <x:c r="H3856" s="12" t="n">
        <x:v>10040.55639678</x:v>
      </x:c>
      <x:c r="I3856" s="13" t="n">
        <x:v>0.1134</x:v>
      </x:c>
      <x:c r="J3856" s="2" t="n">
        <x:v>0</x:v>
      </x:c>
      <x:c r="K3856" s="2" t="n">
        <x:v>1</x:v>
      </x:c>
      <x:c r="L3856" s="12" t="n">
        <x:v>737.8422</x:v>
      </x:c>
      <x:c r="M3856" s="13" t="n">
        <x:v>1</x:v>
      </x:c>
      <x:c r="N3856" s="13" t="n">
        <x:f>H3856/G3856</x:f>
        <x:v>0.1134</x:v>
      </x:c>
      <x:c r="O3856" s="13" t="n">
        <x:f>F3856/E3856</x:f>
        <x:v>0</x:v>
      </x:c>
      <x:c r="P3856" s="2" t="str">
        <x:f>IF(AND(E3856&gt;='Итоги'!$F$5,N3856&lt;='Итоги'!$B$5,O3856&gt;='Итоги'!$D$5),"Да","Нет")</x:f>
        <x:v>Нет</x:v>
      </x:c>
    </x:row>
    <x:row r="3857" ht="60" customHeight="1">
      <x:c r="A3857" s="14" t="str">
        <x:v>Аксессуары</x:v>
      </x:c>
      <x:c r="B3857" s="14" t="str">
        <x:v>Чемоданы, дорожные сумки</x:v>
      </x:c>
      <x:c r="C3857" s="14" t="str">
        <x:v>Дорожные сумки, тележки</x:v>
      </x:c>
      <x:c r="D3857" s="14" t="str">
        <x:v>Сумка дорожная для путешествий</x:v>
      </x:c>
      <x:c r="E3857" s="2" t="n">
        <x:v>176</x:v>
      </x:c>
      <x:c r="F3857" s="2" t="n">
        <x:v>0</x:v>
      </x:c>
      <x:c r="G3857" s="12" t="n">
        <x:v>22062264.999</x:v>
      </x:c>
      <x:c r="H3857" s="12" t="n">
        <x:v>2503467.72307431</x:v>
      </x:c>
      <x:c r="I3857" s="13" t="n">
        <x:v>0.1063403409090909</x:v>
      </x:c>
      <x:c r="J3857" s="2" t="n">
        <x:v>26</x:v>
      </x:c>
      <x:c r="K3857" s="2" t="n">
        <x:v>55</x:v>
      </x:c>
      <x:c r="L3857" s="12" t="n">
        <x:v>1425.74105</x:v>
      </x:c>
      <x:c r="M3857" s="13" t="n">
        <x:v>0.3543654105212844</x:v>
      </x:c>
      <x:c r="N3857" s="13" t="n">
        <x:f>H3857/G3857</x:f>
        <x:v>0.11347283350951422</x:v>
      </x:c>
      <x:c r="O3857" s="13" t="n">
        <x:f>F3857/E3857</x:f>
        <x:v>0</x:v>
      </x:c>
      <x:c r="P3857" s="2" t="str">
        <x:f>IF(AND(E3857&gt;='Итоги'!$F$5,N3857&lt;='Итоги'!$B$5,O3857&gt;='Итоги'!$D$5),"Да","Нет")</x:f>
        <x:v>Нет</x:v>
      </x:c>
    </x:row>
    <x:row r="3858" ht="60" customHeight="1">
      <x:c r="A3858" s="14" t="str">
        <x:v>Детская одежда</x:v>
      </x:c>
      <x:c r="B3858" s="14" t="str">
        <x:v>Детская одежда</x:v>
      </x:c>
      <x:c r="C3858" s="14" t="str">
        <x:v>Головные уборы, перчатки, шарфы для девочки</x:v>
      </x:c>
      <x:c r="D3858" s="14" t="str">
        <x:v>Косынка, платок для девочки</x:v>
      </x:c>
      <x:c r="E3858" s="2" t="n">
        <x:v>1</x:v>
      </x:c>
      <x:c r="F3858" s="2" t="n">
        <x:v>0</x:v>
      </x:c>
      <x:c r="G3858" s="12" t="n">
        <x:v>119433.04</x:v>
      </x:c>
      <x:c r="H3858" s="12" t="n">
        <x:v>13555.65004</x:v>
      </x:c>
      <x:c r="I3858" s="13" t="n">
        <x:v>0.1135</x:v>
      </x:c>
      <x:c r="J3858" s="2" t="n">
        <x:v>0</x:v>
      </x:c>
      <x:c r="K3858" s="2" t="n">
        <x:v>1</x:v>
      </x:c>
      <x:c r="L3858" s="12" t="n">
        <x:v>706.7044</x:v>
      </x:c>
      <x:c r="M3858" s="13" t="n">
        <x:v>1</x:v>
      </x:c>
      <x:c r="N3858" s="13" t="n">
        <x:f>H3858/G3858</x:f>
        <x:v>0.1135</x:v>
      </x:c>
      <x:c r="O3858" s="13" t="n">
        <x:f>F3858/E3858</x:f>
        <x:v>0</x:v>
      </x:c>
      <x:c r="P3858" s="2" t="str">
        <x:f>IF(AND(E3858&gt;='Итоги'!$F$5,N3858&lt;='Итоги'!$B$5,O3858&gt;='Итоги'!$D$5),"Да","Нет")</x:f>
        <x:v>Нет</x:v>
      </x:c>
    </x:row>
    <x:row r="3859" ht="60" customHeight="1">
      <x:c r="A3859" s="14" t="str">
        <x:v>Спорт и отдых</x:v>
      </x:c>
      <x:c r="B3859" s="14" t="str">
        <x:v>Туризм</x:v>
      </x:c>
      <x:c r="C3859" s="14" t="str">
        <x:v>Рюкзак, сумка туристические</x:v>
      </x:c>
      <x:c r="D3859" s="14" t="str">
        <x:v>Подсумок, аптечка тактические</x:v>
      </x:c>
      <x:c r="E3859" s="2" t="n">
        <x:v>15</x:v>
      </x:c>
      <x:c r="F3859" s="2" t="n">
        <x:v>0</x:v>
      </x:c>
      <x:c r="G3859" s="12" t="n">
        <x:v>1834135.3006</x:v>
      </x:c>
      <x:c r="H3859" s="12" t="n">
        <x:v>208333.99198537</x:v>
      </x:c>
      <x:c r="I3859" s="13" t="n">
        <x:v>0.1161533333333333</x:v>
      </x:c>
      <x:c r="J3859" s="2" t="n">
        <x:v>6</x:v>
      </x:c>
      <x:c r="K3859" s="2" t="n">
        <x:v>9</x:v>
      </x:c>
      <x:c r="L3859" s="12" t="n">
        <x:v>2473.7292</x:v>
      </x:c>
      <x:c r="M3859" s="13" t="n">
        <x:v>0.22512642140682</x:v>
      </x:c>
      <x:c r="N3859" s="13" t="n">
        <x:f>H3859/G3859</x:f>
        <x:v>0.11358703576405611</x:v>
      </x:c>
      <x:c r="O3859" s="13" t="n">
        <x:f>F3859/E3859</x:f>
        <x:v>0</x:v>
      </x:c>
      <x:c r="P3859" s="2" t="str">
        <x:f>IF(AND(E3859&gt;='Итоги'!$F$5,N3859&lt;='Итоги'!$B$5,O3859&gt;='Итоги'!$D$5),"Да","Нет")</x:f>
        <x:v>Нет</x:v>
      </x:c>
    </x:row>
    <x:row r="3860" ht="60" customHeight="1">
      <x:c r="A3860" s="14" t="str">
        <x:v>Автотовары</x:v>
      </x:c>
      <x:c r="B3860" s="14" t="str">
        <x:v>Электронные устройства для авто</x:v>
      </x:c>
      <x:c r="C3860" s="14" t="str">
        <x:v>Автоакустика</x:v>
      </x:c>
      <x:c r="D3860" s="14" t="str">
        <x:v>Авто акустические кабели</x:v>
      </x:c>
      <x:c r="E3860" s="2" t="n">
        <x:v>13</x:v>
      </x:c>
      <x:c r="F3860" s="2" t="n">
        <x:v>0</x:v>
      </x:c>
      <x:c r="G3860" s="12" t="n">
        <x:v>1701481.8922</x:v>
      </x:c>
      <x:c r="H3860" s="12" t="n">
        <x:v>193452.10316572</x:v>
      </x:c>
      <x:c r="I3860" s="13" t="n">
        <x:v>0.0832076923076923</x:v>
      </x:c>
      <x:c r="J3860" s="2" t="n">
        <x:v>3</x:v>
      </x:c>
      <x:c r="K3860" s="2" t="n">
        <x:v>5</x:v>
      </x:c>
      <x:c r="L3860" s="12" t="n">
        <x:v>1576.25</x:v>
      </x:c>
      <x:c r="M3860" s="13" t="n">
        <x:v>0.5996606926452485</x:v>
      </x:c>
      <x:c r="N3860" s="13" t="n">
        <x:f>H3860/G3860</x:f>
        <x:v>0.11369624563890497</x:v>
      </x:c>
      <x:c r="O3860" s="13" t="n">
        <x:f>F3860/E3860</x:f>
        <x:v>0</x:v>
      </x:c>
      <x:c r="P3860" s="2" t="str">
        <x:f>IF(AND(E3860&gt;='Итоги'!$F$5,N3860&lt;='Итоги'!$B$5,O3860&gt;='Итоги'!$D$5),"Да","Нет")</x:f>
        <x:v>Нет</x:v>
      </x:c>
    </x:row>
    <x:row r="3861" ht="60" customHeight="1">
      <x:c r="A3861" s="14" t="str">
        <x:v>Спорт и отдых</x:v>
      </x:c>
      <x:c r="B3861" s="14" t="str">
        <x:v>Колесный транспорт</x:v>
      </x:c>
      <x:c r="C3861" s="14" t="str">
        <x:v>Велоаксессуары</x:v>
      </x:c>
      <x:c r="D3861" s="14" t="str">
        <x:v>Звонок велосипедный</x:v>
      </x:c>
      <x:c r="E3861" s="2" t="n">
        <x:v>3</x:v>
      </x:c>
      <x:c r="F3861" s="2" t="n">
        <x:v>0</x:v>
      </x:c>
      <x:c r="G3861" s="12" t="n">
        <x:v>78462</x:v>
      </x:c>
      <x:c r="H3861" s="12" t="n">
        <x:v>8922.6819</x:v>
      </x:c>
      <x:c r="I3861" s="13" t="n">
        <x:v>0.0732999999999999</x:v>
      </x:c>
      <x:c r="J3861" s="2" t="n">
        <x:v>0</x:v>
      </x:c>
      <x:c r="K3861" s="2" t="n">
        <x:v>2</x:v>
      </x:c>
      <x:c r="L3861" s="12" t="n">
        <x:v>1474</x:v>
      </x:c>
      <x:c r="M3861" s="13" t="n">
        <x:v>0.8758252402436848</x:v>
      </x:c>
      <x:c r="N3861" s="13" t="n">
        <x:f>H3861/G3861</x:f>
        <x:v>0.11371978664831382</x:v>
      </x:c>
      <x:c r="O3861" s="13" t="n">
        <x:f>F3861/E3861</x:f>
        <x:v>0</x:v>
      </x:c>
      <x:c r="P3861" s="2" t="str">
        <x:f>IF(AND(E3861&gt;='Итоги'!$F$5,N3861&lt;='Итоги'!$B$5,O3861&gt;='Итоги'!$D$5),"Да","Нет")</x:f>
        <x:v>Нет</x:v>
      </x:c>
    </x:row>
    <x:row r="3862" ht="60" customHeight="1">
      <x:c r="A3862" s="14" t="str">
        <x:v>Товары для животных</x:v>
      </x:c>
      <x:c r="B3862" s="14" t="str">
        <x:v>Фермерское хозяйство - Оборудование для птицеводства и животноводства</x:v>
      </x:c>
      <x:c r="C3862" s="14" t="str">
        <x:v>Инкубаторы</x:v>
      </x:c>
      <x:c r="D3862" s="14" t="str">
        <x:v>Инкубатор</x:v>
      </x:c>
      <x:c r="E3862" s="2" t="n">
        <x:v>16</x:v>
      </x:c>
      <x:c r="F3862" s="2" t="n">
        <x:v>0</x:v>
      </x:c>
      <x:c r="G3862" s="12" t="n">
        <x:v>3880848.4566</x:v>
      </x:c>
      <x:c r="H3862" s="12" t="n">
        <x:v>441332.6889766</x:v>
      </x:c>
      <x:c r="I3862" s="13" t="n">
        <x:v>0.11325</x:v>
      </x:c>
      <x:c r="J3862" s="2" t="n">
        <x:v>3</x:v>
      </x:c>
      <x:c r="K3862" s="2" t="n">
        <x:v>6</x:v>
      </x:c>
      <x:c r="L3862" s="12" t="n">
        <x:v>5343.77865</x:v>
      </x:c>
      <x:c r="M3862" s="13" t="n">
        <x:v>0.6705633855849953</x:v>
      </x:c>
      <x:c r="N3862" s="13" t="n">
        <x:f>H3862/G3862</x:f>
        <x:v>0.11372067059873044</x:v>
      </x:c>
      <x:c r="O3862" s="13" t="n">
        <x:f>F3862/E3862</x:f>
        <x:v>0</x:v>
      </x:c>
      <x:c r="P3862" s="2" t="str">
        <x:f>IF(AND(E3862&gt;='Итоги'!$F$5,N3862&lt;='Итоги'!$B$5,O3862&gt;='Итоги'!$D$5),"Да","Нет")</x:f>
        <x:v>Нет</x:v>
      </x:c>
    </x:row>
    <x:row r="3863" ht="60" customHeight="1">
      <x:c r="A3863" s="14" t="str">
        <x:v>Игрушки</x:v>
      </x:c>
      <x:c r="B3863" s="14" t="str">
        <x:v>Игрушки</x:v>
      </x:c>
      <x:c r="C3863" s="14" t="str">
        <x:v>Транспорт и радиоуправляемые игрушки</x:v>
      </x:c>
      <x:c r="D3863" s="14" t="str">
        <x:v>Машинки и масштабные модели</x:v>
      </x:c>
      <x:c r="E3863" s="2" t="n">
        <x:v>115</x:v>
      </x:c>
      <x:c r="F3863" s="2" t="n">
        <x:v>0</x:v>
      </x:c>
      <x:c r="G3863" s="12" t="n">
        <x:v>10795284.7151</x:v>
      </x:c>
      <x:c r="H3863" s="12" t="n">
        <x:v>1228425.43642396</x:v>
      </x:c>
      <x:c r="I3863" s="13" t="n">
        <x:v>0.1084947826086956</x:v>
      </x:c>
      <x:c r="J3863" s="2" t="n">
        <x:v>17</x:v>
      </x:c>
      <x:c r="K3863" s="2" t="n">
        <x:v>39</x:v>
      </x:c>
      <x:c r="L3863" s="12" t="n">
        <x:v>1410.3125</x:v>
      </x:c>
      <x:c r="M3863" s="13" t="n">
        <x:v>0.480671582801504</x:v>
      </x:c>
      <x:c r="N3863" s="13" t="n">
        <x:f>H3863/G3863</x:f>
        <x:v>0.11379277794365988</x:v>
      </x:c>
      <x:c r="O3863" s="13" t="n">
        <x:f>F3863/E3863</x:f>
        <x:v>0</x:v>
      </x:c>
      <x:c r="P3863" s="2" t="str">
        <x:f>IF(AND(E3863&gt;='Итоги'!$F$5,N3863&lt;='Итоги'!$B$5,O3863&gt;='Итоги'!$D$5),"Да","Нет")</x:f>
        <x:v>Нет</x:v>
      </x:c>
    </x:row>
    <x:row r="3864" ht="60" customHeight="1">
      <x:c r="A3864" s="14" t="str">
        <x:v>Строительство и ремонт (DIY)</x:v>
      </x:c>
      <x:c r="B3864" s="14" t="str">
        <x:v>Сад и огород</x:v>
      </x:c>
      <x:c r="C3864" s="14" t="str">
        <x:v>Садовая химия</x:v>
      </x:c>
      <x:c r="D3864" s="14" t="str">
        <x:v>Садовая химия для водоемов</x:v>
      </x:c>
      <x:c r="E3864" s="2" t="n">
        <x:v>10</x:v>
      </x:c>
      <x:c r="F3864" s="2" t="n">
        <x:v>0</x:v>
      </x:c>
      <x:c r="G3864" s="12" t="n">
        <x:v>1370706.77</x:v>
      </x:c>
      <x:c r="H3864" s="12" t="n">
        <x:v>155986.961089</x:v>
      </x:c>
      <x:c r="I3864" s="13" t="n">
        <x:v>0.12212</x:v>
      </x:c>
      <x:c r="J3864" s="2" t="n">
        <x:v>2</x:v>
      </x:c>
      <x:c r="K3864" s="2" t="n">
        <x:v>5</x:v>
      </x:c>
      <x:c r="L3864" s="12" t="n">
        <x:v>1826.25935</x:v>
      </x:c>
      <x:c r="M3864" s="13" t="n">
        <x:v>0.4536358786642602</x:v>
      </x:c>
      <x:c r="N3864" s="13" t="n">
        <x:f>H3864/G3864</x:f>
        <x:v>0.11380038714553076</x:v>
      </x:c>
      <x:c r="O3864" s="13" t="n">
        <x:f>F3864/E3864</x:f>
        <x:v>0</x:v>
      </x:c>
      <x:c r="P3864" s="2" t="str">
        <x:f>IF(AND(E3864&gt;='Итоги'!$F$5,N3864&lt;='Итоги'!$B$5,O3864&gt;='Итоги'!$D$5),"Да","Нет")</x:f>
        <x:v>Нет</x:v>
      </x:c>
    </x:row>
    <x:row r="3865" ht="60" customHeight="1">
      <x:c r="A3865" s="14" t="str">
        <x:v>Товары для дома</x:v>
      </x:c>
      <x:c r="B3865" s="14" t="str">
        <x:v>Кухня</x:v>
      </x:c>
      <x:c r="C3865" s="14" t="str">
        <x:v>Питьевое стекло, аксессуар для бара, сосуд для жидкости</x:v>
      </x:c>
      <x:c r="D3865" s="14" t="str">
        <x:v>Стопка, рюмка</x:v>
      </x:c>
      <x:c r="E3865" s="2" t="n">
        <x:v>33</x:v>
      </x:c>
      <x:c r="F3865" s="2" t="n">
        <x:v>0</x:v>
      </x:c>
      <x:c r="G3865" s="12" t="n">
        <x:v>5256998.3923</x:v>
      </x:c>
      <x:c r="H3865" s="12" t="n">
        <x:v>598580.98380533</x:v>
      </x:c>
      <x:c r="I3865" s="13" t="n">
        <x:v>0.1139181818181818</x:v>
      </x:c>
      <x:c r="J3865" s="2" t="n">
        <x:v>3</x:v>
      </x:c>
      <x:c r="K3865" s="2" t="n">
        <x:v>13</x:v>
      </x:c>
      <x:c r="L3865" s="12" t="n">
        <x:v>1389.88</x:v>
      </x:c>
      <x:c r="M3865" s="13" t="n">
        <x:v>0.2437600324316157</x:v>
      </x:c>
      <x:c r="N3865" s="13" t="n">
        <x:f>H3865/G3865</x:f>
        <x:v>0.11386364216547602</x:v>
      </x:c>
      <x:c r="O3865" s="13" t="n">
        <x:f>F3865/E3865</x:f>
        <x:v>0</x:v>
      </x:c>
      <x:c r="P3865" s="2" t="str">
        <x:f>IF(AND(E3865&gt;='Итоги'!$F$5,N3865&lt;='Итоги'!$B$5,O3865&gt;='Итоги'!$D$5),"Да","Нет")</x:f>
        <x:v>Нет</x:v>
      </x:c>
    </x:row>
    <x:row r="3866" ht="60" customHeight="1">
      <x:c r="A3866" s="14" t="str">
        <x:v>Товары для дома</x:v>
      </x:c>
      <x:c r="B3866" s="14" t="str">
        <x:v>Кухня</x:v>
      </x:c>
      <x:c r="C3866" s="14" t="str">
        <x:v>Питьевое стекло, аксессуар для бара, сосуд для жидкости</x:v>
      </x:c>
      <x:c r="D3866" s="14" t="str">
        <x:v>Барные аксессуары</x:v>
      </x:c>
      <x:c r="E3866" s="2" t="n">
        <x:v>31</x:v>
      </x:c>
      <x:c r="F3866" s="2" t="n">
        <x:v>0</x:v>
      </x:c>
      <x:c r="G3866" s="12" t="n">
        <x:v>4475018.4528</x:v>
      </x:c>
      <x:c r="H3866" s="12" t="n">
        <x:v>509666.62542152</x:v>
      </x:c>
      <x:c r="I3866" s="13" t="n">
        <x:v>0.1132645161290322</x:v>
      </x:c>
      <x:c r="J3866" s="2" t="n">
        <x:v>6</x:v>
      </x:c>
      <x:c r="K3866" s="2" t="n">
        <x:v>17</x:v>
      </x:c>
      <x:c r="L3866" s="12" t="n">
        <x:v>1796.1228</x:v>
      </x:c>
      <x:c r="M3866" s="13" t="n">
        <x:v>0.3131282812751846</x:v>
      </x:c>
      <x:c r="N3866" s="13" t="n">
        <x:f>H3866/G3866</x:f>
        <x:v>0.11389151369926168</x:v>
      </x:c>
      <x:c r="O3866" s="13" t="n">
        <x:f>F3866/E3866</x:f>
        <x:v>0</x:v>
      </x:c>
      <x:c r="P3866" s="2" t="str">
        <x:f>IF(AND(E3866&gt;='Итоги'!$F$5,N3866&lt;='Итоги'!$B$5,O3866&gt;='Итоги'!$D$5),"Да","Нет")</x:f>
        <x:v>Нет</x:v>
      </x:c>
    </x:row>
    <x:row r="3867" ht="60" customHeight="1">
      <x:c r="A3867" s="14" t="str">
        <x:v>Книги</x:v>
      </x:c>
      <x:c r="B3867" s="14" t="str">
        <x:v>Печатные книги: Книги детям и родителям</x:v>
      </x:c>
      <x:c r="C3867" s="14" t="str">
        <x:v>Развитие ребенка</x:v>
      </x:c>
      <x:c r="D3867" s="14" t="str">
        <x:v>Печатная книга: Развитие ребенка</x:v>
      </x:c>
      <x:c r="E3867" s="2" t="n">
        <x:v>10</x:v>
      </x:c>
      <x:c r="F3867" s="2" t="n">
        <x:v>0</x:v>
      </x:c>
      <x:c r="G3867" s="12" t="n">
        <x:v>847367.334</x:v>
      </x:c>
      <x:c r="H3867" s="12" t="n">
        <x:v>96527.04628827</x:v>
      </x:c>
      <x:c r="I3867" s="13" t="n">
        <x:v>0.11611</x:v>
      </x:c>
      <x:c r="J3867" s="2" t="n">
        <x:v>0</x:v>
      </x:c>
      <x:c r="K3867" s="2" t="n">
        <x:v>2</x:v>
      </x:c>
      <x:c r="L3867" s="12" t="n">
        <x:v>1285.6558</x:v>
      </x:c>
      <x:c r="M3867" s="13" t="n">
        <x:v>0.8917520898911593</x:v>
      </x:c>
      <x:c r="N3867" s="13" t="n">
        <x:f>H3867/G3867</x:f>
        <x:v>0.11391405169304059</x:v>
      </x:c>
      <x:c r="O3867" s="13" t="n">
        <x:f>F3867/E3867</x:f>
        <x:v>0</x:v>
      </x:c>
      <x:c r="P3867" s="2" t="str">
        <x:f>IF(AND(E3867&gt;='Итоги'!$F$5,N3867&lt;='Итоги'!$B$5,O3867&gt;='Итоги'!$D$5),"Да","Нет")</x:f>
        <x:v>Нет</x:v>
      </x:c>
    </x:row>
    <x:row r="3868" ht="60" customHeight="1">
      <x:c r="A3868" s="14" t="str">
        <x:v>Товары для дома</x:v>
      </x:c>
      <x:c r="B3868" s="14" t="str">
        <x:v>Кухня</x:v>
      </x:c>
      <x:c r="C3868" s="14" t="str">
        <x:v>Кухонная утварь и принадлежности</x:v>
      </x:c>
      <x:c r="D3868" s="14" t="str">
        <x:v>Кухонная подставка для бутылок</x:v>
      </x:c>
      <x:c r="E3868" s="2" t="n">
        <x:v>13</x:v>
      </x:c>
      <x:c r="F3868" s="2" t="n">
        <x:v>0</x:v>
      </x:c>
      <x:c r="G3868" s="12" t="n">
        <x:v>1773772.6573</x:v>
      </x:c>
      <x:c r="H3868" s="12" t="n">
        <x:v>202100.7855269</x:v>
      </x:c>
      <x:c r="I3868" s="13" t="n">
        <x:v>0.1136923076923076</x:v>
      </x:c>
      <x:c r="J3868" s="2" t="n">
        <x:v>2</x:v>
      </x:c>
      <x:c r="K3868" s="2" t="n">
        <x:v>9</x:v>
      </x:c>
      <x:c r="L3868" s="12" t="n">
        <x:v>1323.0735</x:v>
      </x:c>
      <x:c r="M3868" s="13" t="n">
        <x:v>0.2308250162809633</x:v>
      </x:c>
      <x:c r="N3868" s="13" t="n">
        <x:f>H3868/G3868</x:f>
        <x:v>0.11393838139016847</x:v>
      </x:c>
      <x:c r="O3868" s="13" t="n">
        <x:f>F3868/E3868</x:f>
        <x:v>0</x:v>
      </x:c>
      <x:c r="P3868" s="2" t="str">
        <x:f>IF(AND(E3868&gt;='Итоги'!$F$5,N3868&lt;='Итоги'!$B$5,O3868&gt;='Итоги'!$D$5),"Да","Нет")</x:f>
        <x:v>Нет</x:v>
      </x:c>
    </x:row>
    <x:row r="3869" ht="60" customHeight="1">
      <x:c r="A3869" s="14" t="str">
        <x:v>Игрушки</x:v>
      </x:c>
      <x:c r="B3869" s="14" t="str">
        <x:v>Игрушки</x:v>
      </x:c>
      <x:c r="C3869" s="14" t="str">
        <x:v>Игрушечное оружие</x:v>
      </x:c>
      <x:c r="D3869" s="14" t="str">
        <x:v>Меч, кинжал игрушечные</x:v>
      </x:c>
      <x:c r="E3869" s="2" t="n">
        <x:v>16</x:v>
      </x:c>
      <x:c r="F3869" s="2" t="n">
        <x:v>0</x:v>
      </x:c>
      <x:c r="G3869" s="12" t="n">
        <x:v>1512021.2201</x:v>
      </x:c>
      <x:c r="H3869" s="12" t="n">
        <x:v>172466.43235062002</x:v>
      </x:c>
      <x:c r="I3869" s="13" t="n">
        <x:v>0.09845625</x:v>
      </x:c>
      <x:c r="J3869" s="2" t="n">
        <x:v>1</x:v>
      </x:c>
      <x:c r="K3869" s="2" t="n">
        <x:v>5</x:v>
      </x:c>
      <x:c r="L3869" s="12" t="n">
        <x:v>1598.01855</x:v>
      </x:c>
      <x:c r="M3869" s="13" t="n">
        <x:v>0.6943822785969642</x:v>
      </x:c>
      <x:c r="N3869" s="13" t="n">
        <x:f>H3869/G3869</x:f>
        <x:v>0.11406349994163023</x:v>
      </x:c>
      <x:c r="O3869" s="13" t="n">
        <x:f>F3869/E3869</x:f>
        <x:v>0</x:v>
      </x:c>
      <x:c r="P3869" s="2" t="str">
        <x:f>IF(AND(E3869&gt;='Итоги'!$F$5,N3869&lt;='Итоги'!$B$5,O3869&gt;='Итоги'!$D$5),"Да","Нет")</x:f>
        <x:v>Нет</x:v>
      </x:c>
    </x:row>
    <x:row r="3870" ht="60" customHeight="1">
      <x:c r="A3870" s="14" t="str">
        <x:v>Товары для красоты и здоровья</x:v>
      </x:c>
      <x:c r="B3870" s="14" t="str">
        <x:v>Косметические аксессуары</x:v>
      </x:c>
      <x:c r="C3870" s="14" t="str">
        <x:v>Аксессуары для маникюра и педикюра</x:v>
      </x:c>
      <x:c r="D3870" s="14" t="str">
        <x:v>Набор инструментов для маникюра/педикюра</x:v>
      </x:c>
      <x:c r="E3870" s="2" t="n">
        <x:v>65</x:v>
      </x:c>
      <x:c r="F3870" s="2" t="n">
        <x:v>0</x:v>
      </x:c>
      <x:c r="G3870" s="12" t="n">
        <x:v>9650391.9808</x:v>
      </x:c>
      <x:c r="H3870" s="12" t="n">
        <x:v>1101095.21840209</x:v>
      </x:c>
      <x:c r="I3870" s="13" t="n">
        <x:v>0.1079015384615384</x:v>
      </x:c>
      <x:c r="J3870" s="2" t="n">
        <x:v>10</x:v>
      </x:c>
      <x:c r="K3870" s="2" t="n">
        <x:v>23</x:v>
      </x:c>
      <x:c r="L3870" s="12" t="n">
        <x:v>2076.1677</x:v>
      </x:c>
      <x:c r="M3870" s="13" t="n">
        <x:v>0.2687838255441488</x:v>
      </x:c>
      <x:c r="N3870" s="13" t="n">
        <x:f>H3870/G3870</x:f>
        <x:v>0.11409849678570376</x:v>
      </x:c>
      <x:c r="O3870" s="13" t="n">
        <x:f>F3870/E3870</x:f>
        <x:v>0</x:v>
      </x:c>
      <x:c r="P3870" s="2" t="str">
        <x:f>IF(AND(E3870&gt;='Итоги'!$F$5,N3870&lt;='Итоги'!$B$5,O3870&gt;='Итоги'!$D$5),"Да","Нет")</x:f>
        <x:v>Нет</x:v>
      </x:c>
    </x:row>
    <x:row r="3871" ht="60" customHeight="1">
      <x:c r="A3871" s="14" t="str">
        <x:v>Строительство и ремонт (DIY)</x:v>
      </x:c>
      <x:c r="B3871" s="14" t="str">
        <x:v>Ремонт и строительство</x:v>
      </x:c>
      <x:c r="C3871" s="14" t="str">
        <x:v>Электротовары</x:v>
      </x:c>
      <x:c r="D3871" s="14" t="str">
        <x:v>Протяжка для провода/кабеля</x:v>
      </x:c>
      <x:c r="E3871" s="2" t="n">
        <x:v>2</x:v>
      </x:c>
      <x:c r="F3871" s="2" t="n">
        <x:v>0</x:v>
      </x:c>
      <x:c r="G3871" s="12" t="n">
        <x:v>314042.3933</x:v>
      </x:c>
      <x:c r="H3871" s="12" t="n">
        <x:v>35848.19512957</x:v>
      </x:c>
      <x:c r="I3871" s="13" t="n">
        <x:v>0.1174</x:v>
      </x:c>
      <x:c r="J3871" s="2" t="n">
        <x:v>0</x:v>
      </x:c>
      <x:c r="K3871" s="2" t="n">
        <x:v>1</x:v>
      </x:c>
      <x:c r="L3871" s="12" t="n">
        <x:v>1243.3592</x:v>
      </x:c>
      <x:c r="M3871" s="13" t="n">
        <x:v>1</x:v>
      </x:c>
      <x:c r="N3871" s="13" t="n">
        <x:f>H3871/G3871</x:f>
        <x:v>0.1141508149675982</x:v>
      </x:c>
      <x:c r="O3871" s="13" t="n">
        <x:f>F3871/E3871</x:f>
        <x:v>0</x:v>
      </x:c>
      <x:c r="P3871" s="2" t="str">
        <x:f>IF(AND(E3871&gt;='Итоги'!$F$5,N3871&lt;='Итоги'!$B$5,O3871&gt;='Итоги'!$D$5),"Да","Нет")</x:f>
        <x:v>Нет</x:v>
      </x:c>
    </x:row>
    <x:row r="3872" ht="60" customHeight="1">
      <x:c r="A3872" s="14" t="str">
        <x:v>Товары для красоты и здоровья</x:v>
      </x:c>
      <x:c r="B3872" s="14" t="str">
        <x:v>Косметика для ухода за кожей</x:v>
      </x:c>
      <x:c r="C3872" s="14" t="str">
        <x:v>Тело</x:v>
      </x:c>
      <x:c r="D3872" s="14" t="str">
        <x:v>Масло для тела</x:v>
      </x:c>
      <x:c r="E3872" s="2" t="n">
        <x:v>35</x:v>
      </x:c>
      <x:c r="F3872" s="2" t="n">
        <x:v>0</x:v>
      </x:c>
      <x:c r="G3872" s="12" t="n">
        <x:v>5121766.1643</x:v>
      </x:c>
      <x:c r="H3872" s="12" t="n">
        <x:v>584872.0323845301</x:v>
      </x:c>
      <x:c r="I3872" s="13" t="n">
        <x:v>0.1126142857142857</x:v>
      </x:c>
      <x:c r="J3872" s="2" t="n">
        <x:v>9</x:v>
      </x:c>
      <x:c r="K3872" s="2" t="n">
        <x:v>16</x:v>
      </x:c>
      <x:c r="L3872" s="12" t="n">
        <x:v>1359.0737</x:v>
      </x:c>
      <x:c r="M3872" s="13" t="n">
        <x:v>0.2611005583232772</x:v>
      </x:c>
      <x:c r="N3872" s="13" t="n">
        <x:f>H3872/G3872</x:f>
        <x:v>0.11419342734958018</x:v>
      </x:c>
      <x:c r="O3872" s="13" t="n">
        <x:f>F3872/E3872</x:f>
        <x:v>0</x:v>
      </x:c>
      <x:c r="P3872" s="2" t="str">
        <x:f>IF(AND(E3872&gt;='Итоги'!$F$5,N3872&lt;='Итоги'!$B$5,O3872&gt;='Итоги'!$D$5),"Да","Нет")</x:f>
        <x:v>Нет</x:v>
      </x:c>
    </x:row>
    <x:row r="3873" ht="60" customHeight="1">
      <x:c r="A3873" s="14" t="str">
        <x:v>Аксессуары</x:v>
      </x:c>
      <x:c r="B3873" s="14" t="str">
        <x:v>Сумки и рюкзаки</x:v>
      </x:c>
      <x:c r="C3873" s="14" t="str">
        <x:v>Сумка женская</x:v>
      </x:c>
      <x:c r="D3873" s="14" t="str">
        <x:v>Женский Саквояж дорожный</x:v>
      </x:c>
      <x:c r="E3873" s="2" t="n">
        <x:v>2</x:v>
      </x:c>
      <x:c r="F3873" s="2" t="n">
        <x:v>0</x:v>
      </x:c>
      <x:c r="G3873" s="12" t="n">
        <x:v>186405.928</x:v>
      </x:c>
      <x:c r="H3873" s="12" t="n">
        <x:v>21293.7439144</x:v>
      </x:c>
      <x:c r="I3873" s="13" t="n">
        <x:v>0.1149999999999999</x:v>
      </x:c>
      <x:c r="J3873" s="2" t="n">
        <x:v>0</x:v>
      </x:c>
      <x:c r="K3873" s="2" t="n">
        <x:v>1</x:v>
      </x:c>
      <x:c r="L3873" s="12" t="n">
        <x:v>2470.5652</x:v>
      </x:c>
      <x:c r="M3873" s="13" t="n">
        <x:v>1</x:v>
      </x:c>
      <x:c r="N3873" s="13" t="n">
        <x:f>H3873/G3873</x:f>
        <x:v>0.11423319066548142</x:v>
      </x:c>
      <x:c r="O3873" s="13" t="n">
        <x:f>F3873/E3873</x:f>
        <x:v>0</x:v>
      </x:c>
      <x:c r="P3873" s="2" t="str">
        <x:f>IF(AND(E3873&gt;='Итоги'!$F$5,N3873&lt;='Итоги'!$B$5,O3873&gt;='Итоги'!$D$5),"Да","Нет")</x:f>
        <x:v>Нет</x:v>
      </x:c>
    </x:row>
    <x:row r="3874" ht="60" customHeight="1">
      <x:c r="A3874" s="14" t="str">
        <x:v>Автотовары</x:v>
      </x:c>
      <x:c r="B3874" s="14" t="str">
        <x:v>Дополнительное оборудование для авто и мото техники</x:v>
      </x:c>
      <x:c r="C3874" s="14" t="str">
        <x:v>Оборудование для дооснащения авто</x:v>
      </x:c>
      <x:c r="D3874" s="14" t="str">
        <x:v>Коврики автомобильные</x:v>
      </x:c>
      <x:c r="E3874" s="2" t="n">
        <x:v>115</x:v>
      </x:c>
      <x:c r="F3874" s="2" t="n">
        <x:v>0</x:v>
      </x:c>
      <x:c r="G3874" s="12" t="n">
        <x:v>15513517.9687</x:v>
      </x:c>
      <x:c r="H3874" s="12" t="n">
        <x:v>1772580.061723</x:v>
      </x:c>
      <x:c r="I3874" s="13" t="n">
        <x:v>0.1109286956521739</x:v>
      </x:c>
      <x:c r="J3874" s="2" t="n">
        <x:v>11</x:v>
      </x:c>
      <x:c r="K3874" s="2" t="n">
        <x:v>16</x:v>
      </x:c>
      <x:c r="L3874" s="12" t="n">
        <x:v>2928.0925</x:v>
      </x:c>
      <x:c r="M3874" s="13" t="n">
        <x:v>0.562330978376469</x:v>
      </x:c>
      <x:c r="N3874" s="13" t="n">
        <x:f>H3874/G3874</x:f>
        <x:v>0.11426035444051756</x:v>
      </x:c>
      <x:c r="O3874" s="13" t="n">
        <x:f>F3874/E3874</x:f>
        <x:v>0</x:v>
      </x:c>
      <x:c r="P3874" s="2" t="str">
        <x:f>IF(AND(E3874&gt;='Итоги'!$F$5,N3874&lt;='Итоги'!$B$5,O3874&gt;='Итоги'!$D$5),"Да","Нет")</x:f>
        <x:v>Нет</x:v>
      </x:c>
    </x:row>
    <x:row r="3875" ht="60" customHeight="1">
      <x:c r="A3875" s="14" t="str">
        <x:v>Одежда</x:v>
      </x:c>
      <x:c r="B3875" s="14" t="str">
        <x:v>Белье, домашняя одежда и ЧНИ</x:v>
      </x:c>
      <x:c r="C3875" s="14" t="str">
        <x:v>Белье женское</x:v>
      </x:c>
      <x:c r="D3875" s="14" t="str">
        <x:v>Комплект женского белья</x:v>
      </x:c>
      <x:c r="E3875" s="2" t="n">
        <x:v>171</x:v>
      </x:c>
      <x:c r="F3875" s="2" t="n">
        <x:v>0</x:v>
      </x:c>
      <x:c r="G3875" s="12" t="n">
        <x:v>21226242.3244</x:v>
      </x:c>
      <x:c r="H3875" s="12" t="n">
        <x:v>2426706.58670622</x:v>
      </x:c>
      <x:c r="I3875" s="13" t="n">
        <x:v>0.1045362573099415</x:v>
      </x:c>
      <x:c r="J3875" s="2" t="n">
        <x:v>42</x:v>
      </x:c>
      <x:c r="K3875" s="2" t="n">
        <x:v>30</x:v>
      </x:c>
      <x:c r="L3875" s="12" t="n">
        <x:v>1048.7642</x:v>
      </x:c>
      <x:c r="M3875" s="13" t="n">
        <x:v>0.6061453913682145</x:v>
      </x:c>
      <x:c r="N3875" s="13" t="n">
        <x:f>H3875/G3875</x:f>
        <x:v>0.11432577418173877</x:v>
      </x:c>
      <x:c r="O3875" s="13" t="n">
        <x:f>F3875/E3875</x:f>
        <x:v>0</x:v>
      </x:c>
      <x:c r="P3875" s="2" t="str">
        <x:f>IF(AND(E3875&gt;='Итоги'!$F$5,N3875&lt;='Итоги'!$B$5,O3875&gt;='Итоги'!$D$5),"Да","Нет")</x:f>
        <x:v>Нет</x:v>
      </x:c>
    </x:row>
    <x:row r="3876" ht="60" customHeight="1">
      <x:c r="A3876" s="14" t="str">
        <x:v>Аптека</x:v>
      </x:c>
      <x:c r="B3876" s="14" t="str">
        <x:v>Спортивное питание</x:v>
      </x:c>
      <x:c r="C3876" s="14" t="str">
        <x:v>Протеины (высокобелковые смеси)</x:v>
      </x:c>
      <x:c r="D3876" s="14" t="str">
        <x:v>Гидролизованный протеин</x:v>
      </x:c>
      <x:c r="E3876" s="2" t="n">
        <x:v>9</x:v>
      </x:c>
      <x:c r="F3876" s="2" t="n">
        <x:v>0</x:v>
      </x:c>
      <x:c r="G3876" s="12" t="n">
        <x:v>1181635.7177</x:v>
      </x:c>
      <x:c r="H3876" s="12" t="n">
        <x:v>135094.46152106998</x:v>
      </x:c>
      <x:c r="I3876" s="13" t="n">
        <x:v>0.1178888888888888</x:v>
      </x:c>
      <x:c r="J3876" s="2" t="n">
        <x:v>0</x:v>
      </x:c>
      <x:c r="K3876" s="2" t="n">
        <x:v>2</x:v>
      </x:c>
      <x:c r="L3876" s="12" t="n">
        <x:v>5848.9286</x:v>
      </x:c>
      <x:c r="M3876" s="13" t="n">
        <x:v>0.861478757583091</x:v>
      </x:c>
      <x:c r="N3876" s="13" t="n">
        <x:f>H3876/G3876</x:f>
        <x:v>0.11432834967448784</x:v>
      </x:c>
      <x:c r="O3876" s="13" t="n">
        <x:f>F3876/E3876</x:f>
        <x:v>0</x:v>
      </x:c>
      <x:c r="P3876" s="2" t="str">
        <x:f>IF(AND(E3876&gt;='Итоги'!$F$5,N3876&lt;='Итоги'!$B$5,O3876&gt;='Итоги'!$D$5),"Да","Нет")</x:f>
        <x:v>Нет</x:v>
      </x:c>
    </x:row>
    <x:row r="3877" ht="60" customHeight="1">
      <x:c r="A3877" s="14" t="str">
        <x:v>Строительство и ремонт (DIY)</x:v>
      </x:c>
      <x:c r="B3877" s="14" t="str">
        <x:v>Сантехника</x:v>
      </x:c>
      <x:c r="C3877" s="14" t="str">
        <x:v>Аксессуары для сантехники</x:v>
      </x:c>
      <x:c r="D3877" s="14" t="str">
        <x:v>Фитинг для водопроводной трубы</x:v>
      </x:c>
      <x:c r="E3877" s="2" t="n">
        <x:v>12</x:v>
      </x:c>
      <x:c r="F3877" s="2" t="n">
        <x:v>0</x:v>
      </x:c>
      <x:c r="G3877" s="12" t="n">
        <x:v>1578052.551</x:v>
      </x:c>
      <x:c r="H3877" s="12" t="n">
        <x:v>180512.85086706</x:v>
      </x:c>
      <x:c r="I3877" s="13" t="n">
        <x:v>0.1034833333333333</x:v>
      </x:c>
      <x:c r="J3877" s="2" t="n">
        <x:v>2</x:v>
      </x:c>
      <x:c r="K3877" s="2" t="n">
        <x:v>6</x:v>
      </x:c>
      <x:c r="L3877" s="12" t="n">
        <x:v>1064.7437</x:v>
      </x:c>
      <x:c r="M3877" s="13" t="n">
        <x:v>0.3274088123824464</x:v>
      </x:c>
      <x:c r="N3877" s="13" t="n">
        <x:f>H3877/G3877</x:f>
        <x:v>0.11438963217838999</x:v>
      </x:c>
      <x:c r="O3877" s="13" t="n">
        <x:f>F3877/E3877</x:f>
        <x:v>0</x:v>
      </x:c>
      <x:c r="P3877" s="2" t="str">
        <x:f>IF(AND(E3877&gt;='Итоги'!$F$5,N3877&lt;='Итоги'!$B$5,O3877&gt;='Итоги'!$D$5),"Да","Нет")</x:f>
        <x:v>Нет</x:v>
      </x:c>
    </x:row>
    <x:row r="3878" ht="60" customHeight="1">
      <x:c r="A3878" s="14" t="str">
        <x:v>Детская одежда</x:v>
      </x:c>
      <x:c r="B3878" s="14" t="str">
        <x:v>Детская одежда</x:v>
      </x:c>
      <x:c r="C3878" s="14" t="str">
        <x:v>Верхняя одежда для мальчика</x:v>
      </x:c>
      <x:c r="D3878" s="14" t="str">
        <x:v>Бомбер для мальчика</x:v>
      </x:c>
      <x:c r="E3878" s="2" t="n">
        <x:v>26</x:v>
      </x:c>
      <x:c r="F3878" s="2" t="n">
        <x:v>0</x:v>
      </x:c>
      <x:c r="G3878" s="12" t="n">
        <x:v>1004813.2346</x:v>
      </x:c>
      <x:c r="H3878" s="12" t="n">
        <x:v>115024.77000773</x:v>
      </x:c>
      <x:c r="I3878" s="13" t="n">
        <x:v>0.0673576923076923</x:v>
      </x:c>
      <x:c r="J3878" s="2" t="n">
        <x:v>11</x:v>
      </x:c>
      <x:c r="K3878" s="2" t="n">
        <x:v>8</x:v>
      </x:c>
      <x:c r="L3878" s="12" t="n">
        <x:v>1454.227</x:v>
      </x:c>
      <x:c r="M3878" s="13" t="n">
        <x:v>0.4620898278522734</x:v>
      </x:c>
      <x:c r="N3878" s="13" t="n">
        <x:f>H3878/G3878</x:f>
        <x:v>0.11447378084497416</x:v>
      </x:c>
      <x:c r="O3878" s="13" t="n">
        <x:f>F3878/E3878</x:f>
        <x:v>0</x:v>
      </x:c>
      <x:c r="P3878" s="2" t="str">
        <x:f>IF(AND(E3878&gt;='Итоги'!$F$5,N3878&lt;='Итоги'!$B$5,O3878&gt;='Итоги'!$D$5),"Да","Нет")</x:f>
        <x:v>Нет</x:v>
      </x:c>
    </x:row>
    <x:row r="3879" ht="60" customHeight="1">
      <x:c r="A3879" s="14" t="str">
        <x:v>Аксессуары</x:v>
      </x:c>
      <x:c r="B3879" s="14" t="str">
        <x:v>Сумки и рюкзаки</x:v>
      </x:c>
      <x:c r="C3879" s="14" t="str">
        <x:v>Спортивные сумки</x:v>
      </x:c>
      <x:c r="D3879" s="14" t="str">
        <x:v>Сумка спортивная</x:v>
      </x:c>
      <x:c r="E3879" s="2" t="n">
        <x:v>227</x:v>
      </x:c>
      <x:c r="F3879" s="2" t="n">
        <x:v>0</x:v>
      </x:c>
      <x:c r="G3879" s="12" t="n">
        <x:v>30672324.0793</x:v>
      </x:c>
      <x:c r="H3879" s="12" t="n">
        <x:v>3513761.00605223</x:v>
      </x:c>
      <x:c r="I3879" s="13" t="n">
        <x:v>0.1059140969162995</x:v>
      </x:c>
      <x:c r="J3879" s="2" t="n">
        <x:v>73</x:v>
      </x:c>
      <x:c r="K3879" s="2" t="n">
        <x:v>82</x:v>
      </x:c>
      <x:c r="L3879" s="12" t="n">
        <x:v>1623.2629</x:v>
      </x:c>
      <x:c r="M3879" s="13" t="n">
        <x:v>0.2264232969612812</x:v>
      </x:c>
      <x:c r="N3879" s="13" t="n">
        <x:f>H3879/G3879</x:f>
        <x:v>0.11455802947855462</x:v>
      </x:c>
      <x:c r="O3879" s="13" t="n">
        <x:f>F3879/E3879</x:f>
        <x:v>0</x:v>
      </x:c>
      <x:c r="P3879" s="2" t="str">
        <x:f>IF(AND(E3879&gt;='Итоги'!$F$5,N3879&lt;='Итоги'!$B$5,O3879&gt;='Итоги'!$D$5),"Да","Нет")</x:f>
        <x:v>Нет</x:v>
      </x:c>
    </x:row>
    <x:row r="3880" ht="60" customHeight="1">
      <x:c r="A3880" s="14" t="str">
        <x:v>Спорт и отдых</x:v>
      </x:c>
      <x:c r="B3880" s="14" t="str">
        <x:v>Товары для охоты</x:v>
      </x:c>
      <x:c r="C3880" s="14" t="str">
        <x:v>Сумка, чехол, кейс для охоты</x:v>
      </x:c>
      <x:c r="D3880" s="14" t="str">
        <x:v>Чехол охотничий</x:v>
      </x:c>
      <x:c r="E3880" s="2" t="n">
        <x:v>7</x:v>
      </x:c>
      <x:c r="F3880" s="2" t="n">
        <x:v>0</x:v>
      </x:c>
      <x:c r="G3880" s="12" t="n">
        <x:v>1039811.095</x:v>
      </x:c>
      <x:c r="H3880" s="12" t="n">
        <x:v>119160.67691316</x:v>
      </x:c>
      <x:c r="I3880" s="13" t="n">
        <x:v>0.1194428571428571</x:v>
      </x:c>
      <x:c r="J3880" s="2" t="n">
        <x:v>0</x:v>
      </x:c>
      <x:c r="K3880" s="2" t="n">
        <x:v>3</x:v>
      </x:c>
      <x:c r="L3880" s="12" t="n">
        <x:v>1995.3378</x:v>
      </x:c>
      <x:c r="M3880" s="13" t="n">
        <x:v>0.5357150539925716</x:v>
      </x:c>
      <x:c r="N3880" s="13" t="n">
        <x:f>H3880/G3880</x:f>
        <x:v>0.1145983895403232</x:v>
      </x:c>
      <x:c r="O3880" s="13" t="n">
        <x:f>F3880/E3880</x:f>
        <x:v>0</x:v>
      </x:c>
      <x:c r="P3880" s="2" t="str">
        <x:f>IF(AND(E3880&gt;='Итоги'!$F$5,N3880&lt;='Итоги'!$B$5,O3880&gt;='Итоги'!$D$5),"Да","Нет")</x:f>
        <x:v>Нет</x:v>
      </x:c>
    </x:row>
    <x:row r="3881" ht="60" customHeight="1">
      <x:c r="A3881" s="14" t="str">
        <x:v>Бытовая химия и гигиена рта</x:v>
      </x:c>
      <x:c r="B3881" s="14" t="str">
        <x:v>Бытовая химия</x:v>
      </x:c>
      <x:c r="C3881" s="14" t="str">
        <x:v>Товары для защиты от насекомых и грызунов</x:v>
      </x:c>
      <x:c r="D3881" s="14" t="str">
        <x:v>Средство от моли</x:v>
      </x:c>
      <x:c r="E3881" s="2" t="n">
        <x:v>1</x:v>
      </x:c>
      <x:c r="F3881" s="2" t="n">
        <x:v>0</x:v>
      </x:c>
      <x:c r="G3881" s="12" t="n">
        <x:v>133850</x:v>
      </x:c>
      <x:c r="H3881" s="12" t="n">
        <x:v>15339.21</x:v>
      </x:c>
      <x:c r="I3881" s="13" t="n">
        <x:v>0.1146</x:v>
      </x:c>
      <x:c r="J3881" s="2" t="n">
        <x:v>0</x:v>
      </x:c>
      <x:c r="K3881" s="2" t="n">
        <x:v>1</x:v>
      </x:c>
      <x:c r="L3881" s="12" t="n">
        <x:v>1153.8793</x:v>
      </x:c>
      <x:c r="M3881" s="13" t="n">
        <x:v>1</x:v>
      </x:c>
      <x:c r="N3881" s="13" t="n">
        <x:f>H3881/G3881</x:f>
        <x:v>0.1146</x:v>
      </x:c>
      <x:c r="O3881" s="13" t="n">
        <x:f>F3881/E3881</x:f>
        <x:v>0</x:v>
      </x:c>
      <x:c r="P3881" s="2" t="str">
        <x:f>IF(AND(E3881&gt;='Итоги'!$F$5,N3881&lt;='Итоги'!$B$5,O3881&gt;='Итоги'!$D$5),"Да","Нет")</x:f>
        <x:v>Нет</x:v>
      </x:c>
    </x:row>
    <x:row r="3882" ht="60" customHeight="1">
      <x:c r="A3882" s="14" t="str">
        <x:v>Ноутбуки и компьютеры</x:v>
      </x:c>
      <x:c r="B3882" s="14" t="str">
        <x:v>Компьютерная офисная техника Lap&amp;Comp</x:v>
      </x:c>
      <x:c r="C3882" s="14" t="str">
        <x:v>Кассовое и складское оборудование Lap&amp;Comp</x:v>
      </x:c>
      <x:c r="D3882" s="14" t="str">
        <x:v>Денежный ящик для кассы</x:v>
      </x:c>
      <x:c r="E3882" s="2" t="n">
        <x:v>19</x:v>
      </x:c>
      <x:c r="F3882" s="2" t="n">
        <x:v>0</x:v>
      </x:c>
      <x:c r="G3882" s="12" t="n">
        <x:v>3286756.844</x:v>
      </x:c>
      <x:c r="H3882" s="12" t="n">
        <x:v>377307.99175132</x:v>
      </x:c>
      <x:c r="I3882" s="13" t="n">
        <x:v>0.1089631578947368</x:v>
      </x:c>
      <x:c r="J3882" s="2" t="n">
        <x:v>3</x:v>
      </x:c>
      <x:c r="K3882" s="2" t="n">
        <x:v>6</x:v>
      </x:c>
      <x:c r="L3882" s="12" t="n">
        <x:v>2369.9746</x:v>
      </x:c>
      <x:c r="M3882" s="13" t="n">
        <x:v>0.4350227684199202</x:v>
      </x:c>
      <x:c r="N3882" s="13" t="n">
        <x:f>H3882/G3882</x:f>
        <x:v>0.11479644210374086</x:v>
      </x:c>
      <x:c r="O3882" s="13" t="n">
        <x:f>F3882/E3882</x:f>
        <x:v>0</x:v>
      </x:c>
      <x:c r="P3882" s="2" t="str">
        <x:f>IF(AND(E3882&gt;='Итоги'!$F$5,N3882&lt;='Итоги'!$B$5,O3882&gt;='Итоги'!$D$5),"Да","Нет")</x:f>
        <x:v>Нет</x:v>
      </x:c>
    </x:row>
    <x:row r="3883" ht="60" customHeight="1">
      <x:c r="A3883" s="14" t="str">
        <x:v>Бытовая химия и гигиена рта</x:v>
      </x:c>
      <x:c r="B3883" s="14" t="str">
        <x:v>Гигиена рта</x:v>
      </x:c>
      <x:c r="C3883" s="14" t="str">
        <x:v>Гигиена рта</x:v>
      </x:c>
      <x:c r="D3883" s="14" t="str">
        <x:v>Очищающая пенка для полости рта</x:v>
      </x:c>
      <x:c r="E3883" s="2" t="n">
        <x:v>1</x:v>
      </x:c>
      <x:c r="F3883" s="2" t="n">
        <x:v>0</x:v>
      </x:c>
      <x:c r="G3883" s="12" t="n">
        <x:v>492438.2649</x:v>
      </x:c>
      <x:c r="H3883" s="12" t="n">
        <x:v>56581.15663701</x:v>
      </x:c>
      <x:c r="I3883" s="13" t="n">
        <x:v>0.1149</x:v>
      </x:c>
      <x:c r="J3883" s="2" t="n">
        <x:v>0</x:v>
      </x:c>
      <x:c r="K3883" s="2" t="n">
        <x:v>1</x:v>
      </x:c>
      <x:c r="L3883" s="12" t="n">
        <x:v>1313.1687</x:v>
      </x:c>
      <x:c r="M3883" s="13" t="n">
        <x:v>1</x:v>
      </x:c>
      <x:c r="N3883" s="13" t="n">
        <x:f>H3883/G3883</x:f>
        <x:v>0.11489999999999999</x:v>
      </x:c>
      <x:c r="O3883" s="13" t="n">
        <x:f>F3883/E3883</x:f>
        <x:v>0</x:v>
      </x:c>
      <x:c r="P3883" s="2" t="str">
        <x:f>IF(AND(E3883&gt;='Итоги'!$F$5,N3883&lt;='Итоги'!$B$5,O3883&gt;='Итоги'!$D$5),"Да","Нет")</x:f>
        <x:v>Нет</x:v>
      </x:c>
    </x:row>
    <x:row r="3884" ht="60" customHeight="1">
      <x:c r="A3884" s="14" t="str">
        <x:v>Товары для животных</x:v>
      </x:c>
      <x:c r="B3884" s="14" t="str">
        <x:v>Спальное место животного</x:v>
      </x:c>
      <x:c r="C3884" s="14" t="str">
        <x:v>Домик, игровой комплекс для животных</x:v>
      </x:c>
      <x:c r="D3884" s="14" t="str">
        <x:v>Лестница для животных</x:v>
      </x:c>
      <x:c r="E3884" s="2" t="n">
        <x:v>11</x:v>
      </x:c>
      <x:c r="F3884" s="2" t="n">
        <x:v>0</x:v>
      </x:c>
      <x:c r="G3884" s="12" t="n">
        <x:v>1137559.4005</x:v>
      </x:c>
      <x:c r="H3884" s="12" t="n">
        <x:v>130739.480013</x:v>
      </x:c>
      <x:c r="I3884" s="13" t="n">
        <x:v>0.1022272727272727</x:v>
      </x:c>
      <x:c r="J3884" s="2" t="n">
        <x:v>2</x:v>
      </x:c>
      <x:c r="K3884" s="2" t="n">
        <x:v>6</x:v>
      </x:c>
      <x:c r="L3884" s="12" t="n">
        <x:v>1813.0599</x:v>
      </x:c>
      <x:c r="M3884" s="13" t="n">
        <x:v>0.4484536102253413</x:v>
      </x:c>
      <x:c r="N3884" s="13" t="n">
        <x:f>H3884/G3884</x:f>
        <x:v>0.11492980494516163</x:v>
      </x:c>
      <x:c r="O3884" s="13" t="n">
        <x:f>F3884/E3884</x:f>
        <x:v>0</x:v>
      </x:c>
      <x:c r="P3884" s="2" t="str">
        <x:f>IF(AND(E3884&gt;='Итоги'!$F$5,N3884&lt;='Итоги'!$B$5,O3884&gt;='Итоги'!$D$5),"Да","Нет")</x:f>
        <x:v>Нет</x:v>
      </x:c>
    </x:row>
    <x:row r="3885" ht="60" customHeight="1">
      <x:c r="A3885" s="14" t="str">
        <x:v>Хобби и творчество</x:v>
      </x:c>
      <x:c r="B3885" s="14" t="str">
        <x:v>Детское творчество и хобби</x:v>
      </x:c>
      <x:c r="C3885" s="14" t="str">
        <x:v>Хобби для развития и обучения</x:v>
      </x:c>
      <x:c r="D3885" s="14" t="str">
        <x:v>Набор для исследований, экспериментов</x:v>
      </x:c>
      <x:c r="E3885" s="2" t="n">
        <x:v>19</x:v>
      </x:c>
      <x:c r="F3885" s="2" t="n">
        <x:v>0</x:v>
      </x:c>
      <x:c r="G3885" s="12" t="n">
        <x:v>1939799.7503</x:v>
      </x:c>
      <x:c r="H3885" s="12" t="n">
        <x:v>223248.72087903</x:v>
      </x:c>
      <x:c r="I3885" s="13" t="n">
        <x:v>0.1172684210526315</x:v>
      </x:c>
      <x:c r="J3885" s="2" t="n">
        <x:v>1</x:v>
      </x:c>
      <x:c r="K3885" s="2" t="n">
        <x:v>11</x:v>
      </x:c>
      <x:c r="L3885" s="12" t="n">
        <x:v>1274.0219</x:v>
      </x:c>
      <x:c r="M3885" s="13" t="n">
        <x:v>0.4474451119842481</x:v>
      </x:c>
      <x:c r="N3885" s="13" t="n">
        <x:f>H3885/G3885</x:f>
        <x:v>0.1150885398580464</x:v>
      </x:c>
      <x:c r="O3885" s="13" t="n">
        <x:f>F3885/E3885</x:f>
        <x:v>0</x:v>
      </x:c>
      <x:c r="P3885" s="2" t="str">
        <x:f>IF(AND(E3885&gt;='Итоги'!$F$5,N3885&lt;='Итоги'!$B$5,O3885&gt;='Итоги'!$D$5),"Да","Нет")</x:f>
        <x:v>Нет</x:v>
      </x:c>
    </x:row>
    <x:row r="3886" ht="60" customHeight="1">
      <x:c r="A3886" s="14" t="str">
        <x:v>Аксессуары</x:v>
      </x:c>
      <x:c r="B3886" s="14" t="str">
        <x:v>Ювелирные изделия</x:v>
      </x:c>
      <x:c r="C3886" s="14" t="str">
        <x:v>Браслет ювелирный</x:v>
      </x:c>
      <x:c r="D3886" s="14" t="str">
        <x:v>Серебро браслет анклет (на ногу)</x:v>
      </x:c>
      <x:c r="E3886" s="2" t="n">
        <x:v>4</x:v>
      </x:c>
      <x:c r="F3886" s="2" t="n">
        <x:v>0</x:v>
      </x:c>
      <x:c r="G3886" s="12" t="n">
        <x:v>375716.11</x:v>
      </x:c>
      <x:c r="H3886" s="12" t="n">
        <x:v>43245.524736</x:v>
      </x:c>
      <x:c r="I3886" s="13" t="n">
        <x:v>0.10455</x:v>
      </x:c>
      <x:c r="J3886" s="2" t="n">
        <x:v>1</x:v>
      </x:c>
      <x:c r="K3886" s="2" t="n">
        <x:v>2</x:v>
      </x:c>
      <x:c r="L3886" s="12" t="n">
        <x:v>1355.99585</x:v>
      </x:c>
      <x:c r="M3886" s="13" t="n">
        <x:v>0.8947849215196015</x:v>
      </x:c>
      <x:c r="N3886" s="13" t="n">
        <x:f>H3886/G3886</x:f>
        <x:v>0.1151015982146733</x:v>
      </x:c>
      <x:c r="O3886" s="13" t="n">
        <x:f>F3886/E3886</x:f>
        <x:v>0</x:v>
      </x:c>
      <x:c r="P3886" s="2" t="str">
        <x:f>IF(AND(E3886&gt;='Итоги'!$F$5,N3886&lt;='Итоги'!$B$5,O3886&gt;='Итоги'!$D$5),"Да","Нет")</x:f>
        <x:v>Нет</x:v>
      </x:c>
    </x:row>
    <x:row r="3887" ht="60" customHeight="1">
      <x:c r="A3887" s="14" t="str">
        <x:v>Товары для дома</x:v>
      </x:c>
      <x:c r="B3887" s="14" t="str">
        <x:v>Интерьер и декор</x:v>
      </x:c>
      <x:c r="C3887" s="14" t="str">
        <x:v>Шкатулка, копилка</x:v>
      </x:c>
      <x:c r="D3887" s="14" t="str">
        <x:v>Шкатулка для украшений</x:v>
      </x:c>
      <x:c r="E3887" s="2" t="n">
        <x:v>41</x:v>
      </x:c>
      <x:c r="F3887" s="2" t="n">
        <x:v>0</x:v>
      </x:c>
      <x:c r="G3887" s="12" t="n">
        <x:v>5242080.2034</x:v>
      </x:c>
      <x:c r="H3887" s="12" t="n">
        <x:v>604112.8327925999</x:v>
      </x:c>
      <x:c r="I3887" s="13" t="n">
        <x:v>0.1193853658536585</x:v>
      </x:c>
      <x:c r="J3887" s="2" t="n">
        <x:v>8</x:v>
      </x:c>
      <x:c r="K3887" s="2" t="n">
        <x:v>9</x:v>
      </x:c>
      <x:c r="L3887" s="12" t="n">
        <x:v>1398.1429</x:v>
      </x:c>
      <x:c r="M3887" s="13" t="n">
        <x:v>0.7683529626440282</x:v>
      </x:c>
      <x:c r="N3887" s="13" t="n">
        <x:f>H3887/G3887</x:f>
        <x:v>0.11524295877822965</x:v>
      </x:c>
      <x:c r="O3887" s="13" t="n">
        <x:f>F3887/E3887</x:f>
        <x:v>0</x:v>
      </x:c>
      <x:c r="P3887" s="2" t="str">
        <x:f>IF(AND(E3887&gt;='Итоги'!$F$5,N3887&lt;='Итоги'!$B$5,O3887&gt;='Итоги'!$D$5),"Да","Нет")</x:f>
        <x:v>Нет</x:v>
      </x:c>
    </x:row>
    <x:row r="3888" ht="60" customHeight="1">
      <x:c r="A3888" s="14" t="str">
        <x:v>Аксессуары</x:v>
      </x:c>
      <x:c r="B3888" s="14" t="str">
        <x:v>Аксессуары</x:v>
      </x:c>
      <x:c r="C3888" s="14" t="str">
        <x:v>Аксессуары и уход для обуви</x:v>
      </x:c>
      <x:c r="D3888" s="14" t="str">
        <x:v>Дезодорант для обуви</x:v>
      </x:c>
      <x:c r="E3888" s="2" t="n">
        <x:v>1</x:v>
      </x:c>
      <x:c r="F3888" s="2" t="n">
        <x:v>0</x:v>
      </x:c>
      <x:c r="G3888" s="12" t="n">
        <x:v>116554.6456</x:v>
      </x:c>
      <x:c r="H3888" s="12" t="n">
        <x:v>13438.75063768</x:v>
      </x:c>
      <x:c r="I3888" s="13" t="n">
        <x:v>0.1153</x:v>
      </x:c>
      <x:c r="J3888" s="2" t="n">
        <x:v>0</x:v>
      </x:c>
      <x:c r="K3888" s="2" t="n">
        <x:v>1</x:v>
      </x:c>
      <x:c r="L3888" s="12" t="n">
        <x:v>996.1936</x:v>
      </x:c>
      <x:c r="M3888" s="13" t="n">
        <x:v>1</x:v>
      </x:c>
      <x:c r="N3888" s="13" t="n">
        <x:f>H3888/G3888</x:f>
        <x:v>0.11529999999999999</x:v>
      </x:c>
      <x:c r="O3888" s="13" t="n">
        <x:f>F3888/E3888</x:f>
        <x:v>0</x:v>
      </x:c>
      <x:c r="P3888" s="2" t="str">
        <x:f>IF(AND(E3888&gt;='Итоги'!$F$5,N3888&lt;='Итоги'!$B$5,O3888&gt;='Итоги'!$D$5),"Да","Нет")</x:f>
        <x:v>Нет</x:v>
      </x:c>
    </x:row>
    <x:row r="3889" ht="60" customHeight="1">
      <x:c r="A3889" s="14" t="str">
        <x:v>Спорт и отдых</x:v>
      </x:c>
      <x:c r="B3889" s="14" t="str">
        <x:v>Тренажеры и фитнес</x:v>
      </x:c>
      <x:c r="C3889" s="14" t="str">
        <x:v>Спортивная защита универсальная</x:v>
      </x:c>
      <x:c r="D3889" s="14" t="str">
        <x:v>Спортивный компрессионный аксессуар</x:v>
      </x:c>
      <x:c r="E3889" s="2" t="n">
        <x:v>4</x:v>
      </x:c>
      <x:c r="F3889" s="2" t="n">
        <x:v>0</x:v>
      </x:c>
      <x:c r="G3889" s="12" t="n">
        <x:v>447809.11</x:v>
      </x:c>
      <x:c r="H3889" s="12" t="n">
        <x:v>51649.148059</x:v>
      </x:c>
      <x:c r="I3889" s="13" t="n">
        <x:v>0.1162</x:v>
      </x:c>
      <x:c r="J3889" s="2" t="n">
        <x:v>0</x:v>
      </x:c>
      <x:c r="K3889" s="2" t="n">
        <x:v>1</x:v>
      </x:c>
      <x:c r="L3889" s="12" t="n">
        <x:v>808.4929999999999</x:v>
      </x:c>
      <x:c r="M3889" s="13" t="n">
        <x:v>1</x:v>
      </x:c>
      <x:c r="N3889" s="13" t="n">
        <x:f>H3889/G3889</x:f>
        <x:v>0.11533742147184098</x:v>
      </x:c>
      <x:c r="O3889" s="13" t="n">
        <x:f>F3889/E3889</x:f>
        <x:v>0</x:v>
      </x:c>
      <x:c r="P3889" s="2" t="str">
        <x:f>IF(AND(E3889&gt;='Итоги'!$F$5,N3889&lt;='Итоги'!$B$5,O3889&gt;='Итоги'!$D$5),"Да","Нет")</x:f>
        <x:v>Нет</x:v>
      </x:c>
    </x:row>
    <x:row r="3890" ht="60" customHeight="1">
      <x:c r="A3890" s="14" t="str">
        <x:v>Мебель</x:v>
      </x:c>
      <x:c r="B3890" s="14" t="str">
        <x:v>Корпусная мебель и мебель для хранения</x:v>
      </x:c>
      <x:c r="C3890" s="14" t="str">
        <x:v>Комплект мебели</x:v>
      </x:c>
      <x:c r="D3890" s="14" t="str">
        <x:v>Комплект мебели</x:v>
      </x:c>
      <x:c r="E3890" s="2" t="n">
        <x:v>3</x:v>
      </x:c>
      <x:c r="F3890" s="2" t="n">
        <x:v>0</x:v>
      </x:c>
      <x:c r="G3890" s="12" t="n">
        <x:v>313405</x:v>
      </x:c>
      <x:c r="H3890" s="12" t="n">
        <x:v>36165.1045</x:v>
      </x:c>
      <x:c r="I3890" s="13" t="n">
        <x:v>0.1132666666666666</x:v>
      </x:c>
      <x:c r="J3890" s="2" t="n">
        <x:v>1</x:v>
      </x:c>
      <x:c r="K3890" s="2" t="n">
        <x:v>3</x:v>
      </x:c>
      <x:c r="L3890" s="12" t="n">
        <x:v>8418.4545</x:v>
      </x:c>
      <x:c r="M3890" s="13" t="n">
        <x:v>0.381487213031062</x:v>
      </x:c>
      <x:c r="N3890" s="13" t="n">
        <x:f>H3890/G3890</x:f>
        <x:v>0.11539415293310573</x:v>
      </x:c>
      <x:c r="O3890" s="13" t="n">
        <x:f>F3890/E3890</x:f>
        <x:v>0</x:v>
      </x:c>
      <x:c r="P3890" s="2" t="str">
        <x:f>IF(AND(E3890&gt;='Итоги'!$F$5,N3890&lt;='Итоги'!$B$5,O3890&gt;='Итоги'!$D$5),"Да","Нет")</x:f>
        <x:v>Нет</x:v>
      </x:c>
    </x:row>
    <x:row r="3891" ht="60" customHeight="1">
      <x:c r="A3891" s="14" t="str">
        <x:v>Игрушки</x:v>
      </x:c>
      <x:c r="B3891" s="14" t="str">
        <x:v>Игрушки</x:v>
      </x:c>
      <x:c r="C3891" s="14" t="str">
        <x:v>Игрушечное оружие</x:v>
      </x:c>
      <x:c r="D3891" s="14" t="str">
        <x:v>Оружие игрушечное разное</x:v>
      </x:c>
      <x:c r="E3891" s="2" t="n">
        <x:v>94</x:v>
      </x:c>
      <x:c r="F3891" s="2" t="n">
        <x:v>0</x:v>
      </x:c>
      <x:c r="G3891" s="12" t="n">
        <x:v>11110169.8923</x:v>
      </x:c>
      <x:c r="H3891" s="12" t="n">
        <x:v>1282376.36821826</x:v>
      </x:c>
      <x:c r="I3891" s="13" t="n">
        <x:v>0.1117053191489361</x:v>
      </x:c>
      <x:c r="J3891" s="2" t="n">
        <x:v>15</x:v>
      </x:c>
      <x:c r="K3891" s="2" t="n">
        <x:v>38</x:v>
      </x:c>
      <x:c r="L3891" s="12" t="n">
        <x:v>1623.10365</x:v>
      </x:c>
      <x:c r="M3891" s="13" t="n">
        <x:v>0.3682945754804225</x:v>
      </x:c>
      <x:c r="N3891" s="13" t="n">
        <x:f>H3891/G3891</x:f>
        <x:v>0.11542365064165418</x:v>
      </x:c>
      <x:c r="O3891" s="13" t="n">
        <x:f>F3891/E3891</x:f>
        <x:v>0</x:v>
      </x:c>
      <x:c r="P3891" s="2" t="str">
        <x:f>IF(AND(E3891&gt;='Итоги'!$F$5,N3891&lt;='Итоги'!$B$5,O3891&gt;='Итоги'!$D$5),"Да","Нет")</x:f>
        <x:v>Нет</x:v>
      </x:c>
    </x:row>
    <x:row r="3892" ht="60" customHeight="1">
      <x:c r="A3892" s="14" t="str">
        <x:v>Товары для детей и спорта</x:v>
      </x:c>
      <x:c r="B3892" s="14" t="str">
        <x:v>Спорт детский</x:v>
      </x:c>
      <x:c r="C3892" s="14" t="str">
        <x:v>Игровой комплекс для детей</x:v>
      </x:c>
      <x:c r="D3892" s="14" t="str">
        <x:v>Спорткомплекс, батут надувные детские</x:v>
      </x:c>
      <x:c r="E3892" s="2" t="n">
        <x:v>2</x:v>
      </x:c>
      <x:c r="F3892" s="2" t="n">
        <x:v>0</x:v>
      </x:c>
      <x:c r="G3892" s="12" t="n">
        <x:v>12472</x:v>
      </x:c>
      <x:c r="H3892" s="12" t="n">
        <x:v>1439.883</x:v>
      </x:c>
      <x:c r="I3892" s="13" t="n">
        <x:v>0.11475</x:v>
      </x:c>
      <x:c r="J3892" s="2" t="n">
        <x:v>1</x:v>
      </x:c>
      <x:c r="K3892" s="2" t="n">
        <x:v>2</x:v>
      </x:c>
      <x:c r="L3892" s="12" t="n">
        <x:v>6236</x:v>
      </x:c>
      <x:c r="M3892" s="13" t="n">
        <x:v>0.5030468248877485</x:v>
      </x:c>
      <x:c r="N3892" s="13" t="n">
        <x:f>H3892/G3892</x:f>
        <x:v>0.1154492463117383</x:v>
      </x:c>
      <x:c r="O3892" s="13" t="n">
        <x:f>F3892/E3892</x:f>
        <x:v>0</x:v>
      </x:c>
      <x:c r="P3892" s="2" t="str">
        <x:f>IF(AND(E3892&gt;='Итоги'!$F$5,N3892&lt;='Итоги'!$B$5,O3892&gt;='Итоги'!$D$5),"Да","Нет")</x:f>
        <x:v>Нет</x:v>
      </x:c>
    </x:row>
    <x:row r="3893" ht="60" customHeight="1">
      <x:c r="A3893" s="14" t="str">
        <x:v>Аксессуары для электроники</x:v>
      </x:c>
      <x:c r="B3893" s="14" t="str">
        <x:v>Бытовая техника Access</x:v>
      </x:c>
      <x:c r="C3893" s="14" t="str">
        <x:v>Запчасти для бытовой техники Access</x:v>
      </x:c>
      <x:c r="D3893" s="14" t="str">
        <x:v>Запчасти для посудомоечной машины</x:v>
      </x:c>
      <x:c r="E3893" s="2" t="n">
        <x:v>15</x:v>
      </x:c>
      <x:c r="F3893" s="2" t="n">
        <x:v>0</x:v>
      </x:c>
      <x:c r="G3893" s="12" t="n">
        <x:v>1526688.5435</x:v>
      </x:c>
      <x:c r="H3893" s="12" t="n">
        <x:v>176276.37930146998</x:v>
      </x:c>
      <x:c r="I3893" s="13" t="n">
        <x:v>0.09454</x:v>
      </x:c>
      <x:c r="J3893" s="2" t="n">
        <x:v>5</x:v>
      </x:c>
      <x:c r="K3893" s="2" t="n">
        <x:v>9</x:v>
      </x:c>
      <x:c r="L3893" s="12" t="n">
        <x:v>2038.5172</x:v>
      </x:c>
      <x:c r="M3893" s="13" t="n">
        <x:v>0.3295921635374478</x:v>
      </x:c>
      <x:c r="N3893" s="13" t="n">
        <x:f>H3893/G3893</x:f>
        <x:v>0.11546322270641313</x:v>
      </x:c>
      <x:c r="O3893" s="13" t="n">
        <x:f>F3893/E3893</x:f>
        <x:v>0</x:v>
      </x:c>
      <x:c r="P3893" s="2" t="str">
        <x:f>IF(AND(E3893&gt;='Итоги'!$F$5,N3893&lt;='Итоги'!$B$5,O3893&gt;='Итоги'!$D$5),"Да","Нет")</x:f>
        <x:v>Нет</x:v>
      </x:c>
    </x:row>
    <x:row r="3894" ht="60" customHeight="1">
      <x:c r="A3894" s="14" t="str">
        <x:v>Одежда</x:v>
      </x:c>
      <x:c r="B3894" s="14" t="str">
        <x:v>Белье, домашняя одежда и ЧНИ</x:v>
      </x:c>
      <x:c r="C3894" s="14" t="str">
        <x:v>Носочные изделия мужские</x:v>
      </x:c>
      <x:c r="D3894" s="14" t="str">
        <x:v>Комплект носков мужских</x:v>
      </x:c>
      <x:c r="E3894" s="2" t="n">
        <x:v>25</x:v>
      </x:c>
      <x:c r="F3894" s="2" t="n">
        <x:v>0</x:v>
      </x:c>
      <x:c r="G3894" s="12" t="n">
        <x:v>3273389.7849</x:v>
      </x:c>
      <x:c r="H3894" s="12" t="n">
        <x:v>377983.33803485</x:v>
      </x:c>
      <x:c r="I3894" s="13" t="n">
        <x:v>0.113912</x:v>
      </x:c>
      <x:c r="J3894" s="2" t="n">
        <x:v>1</x:v>
      </x:c>
      <x:c r="K3894" s="2" t="n">
        <x:v>6</x:v>
      </x:c>
      <x:c r="L3894" s="12" t="n">
        <x:v>1070.5206</x:v>
      </x:c>
      <x:c r="M3894" s="13" t="n">
        <x:v>0.7560876006019579</x:v>
      </x:c>
      <x:c r="N3894" s="13" t="n">
        <x:f>H3894/G3894</x:f>
        <x:v>0.1154715334478253</x:v>
      </x:c>
      <x:c r="O3894" s="13" t="n">
        <x:f>F3894/E3894</x:f>
        <x:v>0</x:v>
      </x:c>
      <x:c r="P3894" s="2" t="str">
        <x:f>IF(AND(E3894&gt;='Итоги'!$F$5,N3894&lt;='Итоги'!$B$5,O3894&gt;='Итоги'!$D$5),"Да","Нет")</x:f>
        <x:v>Нет</x:v>
      </x:c>
    </x:row>
    <x:row r="3895" ht="60" customHeight="1">
      <x:c r="A3895" s="14" t="str">
        <x:v>Товары для красоты и здоровья</x:v>
      </x:c>
      <x:c r="B3895" s="14" t="str">
        <x:v>Косметические аксессуары</x:v>
      </x:c>
      <x:c r="C3895" s="14" t="str">
        <x:v>Парикмахерские принадлежности</x:v>
      </x:c>
      <x:c r="D3895" s="14" t="str">
        <x:v>Шапочки, пеньюары, пелерины для парикмахерских</x:v>
      </x:c>
      <x:c r="E3895" s="2" t="n">
        <x:v>1</x:v>
      </x:c>
      <x:c r="F3895" s="2" t="n">
        <x:v>0</x:v>
      </x:c>
      <x:c r="G3895" s="12" t="n">
        <x:v>128180.9716</x:v>
      </x:c>
      <x:c r="H3895" s="12" t="n">
        <x:v>14804.902219800002</x:v>
      </x:c>
      <x:c r="I3895" s="13" t="n">
        <x:v>0.1155</x:v>
      </x:c>
      <x:c r="J3895" s="2" t="n">
        <x:v>0</x:v>
      </x:c>
      <x:c r="K3895" s="2" t="n">
        <x:v>1</x:v>
      </x:c>
      <x:c r="L3895" s="12" t="n">
        <x:v>3884.2719</x:v>
      </x:c>
      <x:c r="M3895" s="13" t="n">
        <x:v>1</x:v>
      </x:c>
      <x:c r="N3895" s="13" t="n">
        <x:f>H3895/G3895</x:f>
        <x:v>0.1155</x:v>
      </x:c>
      <x:c r="O3895" s="13" t="n">
        <x:f>F3895/E3895</x:f>
        <x:v>0</x:v>
      </x:c>
      <x:c r="P3895" s="2" t="str">
        <x:f>IF(AND(E3895&gt;='Итоги'!$F$5,N3895&lt;='Итоги'!$B$5,O3895&gt;='Итоги'!$D$5),"Да","Нет")</x:f>
        <x:v>Нет</x:v>
      </x:c>
    </x:row>
    <x:row r="3896" ht="60" customHeight="1">
      <x:c r="A3896" s="14" t="str">
        <x:v>Товары для дома</x:v>
      </x:c>
      <x:c r="B3896" s="14" t="str">
        <x:v>Интерьер и декор</x:v>
      </x:c>
      <x:c r="C3896" s="14" t="str">
        <x:v>Украшение интерьера</x:v>
      </x:c>
      <x:c r="D3896" s="14" t="str">
        <x:v>Подставка интерьерная</x:v>
      </x:c>
      <x:c r="E3896" s="2" t="n">
        <x:v>3</x:v>
      </x:c>
      <x:c r="F3896" s="2" t="n">
        <x:v>0</x:v>
      </x:c>
      <x:c r="G3896" s="12" t="n">
        <x:v>344829.33640000003</x:v>
      </x:c>
      <x:c r="H3896" s="12" t="n">
        <x:v>39852.62555798</x:v>
      </x:c>
      <x:c r="I3896" s="13" t="n">
        <x:v>0.0999999999999999</x:v>
      </x:c>
      <x:c r="J3896" s="2" t="n">
        <x:v>0</x:v>
      </x:c>
      <x:c r="K3896" s="2" t="n">
        <x:v>3</x:v>
      </x:c>
      <x:c r="L3896" s="12" t="n">
        <x:v>2321.2317</x:v>
      </x:c>
      <x:c r="M3896" s="13" t="n">
        <x:v>0.5519860983614385</x:v>
      </x:c>
      <x:c r="N3896" s="13" t="n">
        <x:f>H3896/G3896</x:f>
        <x:v>0.11557202752538195</x:v>
      </x:c>
      <x:c r="O3896" s="13" t="n">
        <x:f>F3896/E3896</x:f>
        <x:v>0</x:v>
      </x:c>
      <x:c r="P3896" s="2" t="str">
        <x:f>IF(AND(E3896&gt;='Итоги'!$F$5,N3896&lt;='Итоги'!$B$5,O3896&gt;='Итоги'!$D$5),"Да","Нет")</x:f>
        <x:v>Нет</x:v>
      </x:c>
    </x:row>
    <x:row r="3897" ht="60" customHeight="1">
      <x:c r="A3897" s="14" t="str">
        <x:v>Мелкая бытовая техника</x:v>
      </x:c>
      <x:c r="B3897" s="14" t="str">
        <x:v>SDA Климатическая техника</x:v>
      </x:c>
      <x:c r="C3897" s="14" t="str">
        <x:v>Климатическая техника SDA</x:v>
      </x:c>
      <x:c r="D3897" s="14" t="str">
        <x:v>Ионизатор воздуха</x:v>
      </x:c>
      <x:c r="E3897" s="2" t="n">
        <x:v>40</x:v>
      </x:c>
      <x:c r="F3897" s="2" t="n">
        <x:v>0</x:v>
      </x:c>
      <x:c r="G3897" s="12" t="n">
        <x:v>6021177.2037</x:v>
      </x:c>
      <x:c r="H3897" s="12" t="n">
        <x:v>696236.55328817</x:v>
      </x:c>
      <x:c r="I3897" s="13" t="n">
        <x:v>0.12889</x:v>
      </x:c>
      <x:c r="J3897" s="2" t="n">
        <x:v>1</x:v>
      </x:c>
      <x:c r="K3897" s="2" t="n">
        <x:v>30</x:v>
      </x:c>
      <x:c r="L3897" s="12" t="n">
        <x:v>1822.10025</x:v>
      </x:c>
      <x:c r="M3897" s="13" t="n">
        <x:v>0.160187883941915</x:v>
      </x:c>
      <x:c r="N3897" s="13" t="n">
        <x:f>H3897/G3897</x:f>
        <x:v>0.11563130094565796</x:v>
      </x:c>
      <x:c r="O3897" s="13" t="n">
        <x:f>F3897/E3897</x:f>
        <x:v>0</x:v>
      </x:c>
      <x:c r="P3897" s="2" t="str">
        <x:f>IF(AND(E3897&gt;='Итоги'!$F$5,N3897&lt;='Итоги'!$B$5,O3897&gt;='Итоги'!$D$5),"Да","Нет")</x:f>
        <x:v>Нет</x:v>
      </x:c>
    </x:row>
    <x:row r="3898" ht="60" customHeight="1">
      <x:c r="A3898" s="14" t="str">
        <x:v>Одежда</x:v>
      </x:c>
      <x:c r="B3898" s="14" t="str">
        <x:v>Спецодежда и одежда для мероприятий</x:v>
      </x:c>
      <x:c r="C3898" s="14" t="str">
        <x:v>Спецодежда женская</x:v>
      </x:c>
      <x:c r="D3898" s="14" t="str">
        <x:v>Рабочий фартук женский</x:v>
      </x:c>
      <x:c r="E3898" s="2" t="n">
        <x:v>7</x:v>
      </x:c>
      <x:c r="F3898" s="2" t="n">
        <x:v>0</x:v>
      </x:c>
      <x:c r="G3898" s="12" t="n">
        <x:v>897867.5403999999</x:v>
      </x:c>
      <x:c r="H3898" s="12" t="n">
        <x:v>103826.99577178</x:v>
      </x:c>
      <x:c r="I3898" s="13" t="n">
        <x:v>0.1228714285714285</x:v>
      </x:c>
      <x:c r="J3898" s="2" t="n">
        <x:v>0</x:v>
      </x:c>
      <x:c r="K3898" s="2" t="n">
        <x:v>6</x:v>
      </x:c>
      <x:c r="L3898" s="12" t="n">
        <x:v>1005.2785</x:v>
      </x:c>
      <x:c r="M3898" s="13" t="n">
        <x:v>0.2360005170758259</x:v>
      </x:c>
      <x:c r="N3898" s="13" t="n">
        <x:f>H3898/G3898</x:f>
        <x:v>0.11563731964909331</x:v>
      </x:c>
      <x:c r="O3898" s="13" t="n">
        <x:f>F3898/E3898</x:f>
        <x:v>0</x:v>
      </x:c>
      <x:c r="P3898" s="2" t="str">
        <x:f>IF(AND(E3898&gt;='Итоги'!$F$5,N3898&lt;='Итоги'!$B$5,O3898&gt;='Итоги'!$D$5),"Да","Нет")</x:f>
        <x:v>Нет</x:v>
      </x:c>
    </x:row>
    <x:row r="3899" ht="60" customHeight="1">
      <x:c r="A3899" s="14" t="str">
        <x:v>Спорт и отдых</x:v>
      </x:c>
      <x:c r="B3899" s="14" t="str">
        <x:v>Тренажеры и фитнес</x:v>
      </x:c>
      <x:c r="C3899" s="14" t="str">
        <x:v>Мини тренажеры</x:v>
      </x:c>
      <x:c r="D3899" s="14" t="str">
        <x:v>Мини тренажер</x:v>
      </x:c>
      <x:c r="E3899" s="2" t="n">
        <x:v>16</x:v>
      </x:c>
      <x:c r="F3899" s="2" t="n">
        <x:v>0</x:v>
      </x:c>
      <x:c r="G3899" s="12" t="n">
        <x:v>1896042.2047</x:v>
      </x:c>
      <x:c r="H3899" s="12" t="n">
        <x:v>219266.51952058</x:v>
      </x:c>
      <x:c r="I3899" s="13" t="n">
        <x:v>0.1202749999999999</x:v>
      </x:c>
      <x:c r="J3899" s="2" t="n">
        <x:v>1</x:v>
      </x:c>
      <x:c r="K3899" s="2" t="n">
        <x:v>12</x:v>
      </x:c>
      <x:c r="L3899" s="12" t="n">
        <x:v>1902.7262</x:v>
      </x:c>
      <x:c r="M3899" s="13" t="n">
        <x:v>0.3793120823562013</x:v>
      </x:c>
      <x:c r="N3899" s="13" t="n">
        <x:f>H3899/G3899</x:f>
        <x:v>0.11564432425451907</x:v>
      </x:c>
      <x:c r="O3899" s="13" t="n">
        <x:f>F3899/E3899</x:f>
        <x:v>0</x:v>
      </x:c>
      <x:c r="P3899" s="2" t="str">
        <x:f>IF(AND(E3899&gt;='Итоги'!$F$5,N3899&lt;='Итоги'!$B$5,O3899&gt;='Итоги'!$D$5),"Да","Нет")</x:f>
        <x:v>Нет</x:v>
      </x:c>
    </x:row>
    <x:row r="3900" ht="60" customHeight="1">
      <x:c r="A3900" s="14" t="str">
        <x:v>Школьные принадлежности и канцелярия</x:v>
      </x:c>
      <x:c r="B3900" s="14" t="str">
        <x:v>Товары для школы, канцелярия, оборудование</x:v>
      </x:c>
      <x:c r="C3900" s="14" t="str">
        <x:v>Письменные принадлежности</x:v>
      </x:c>
      <x:c r="D3900" s="14" t="str">
        <x:v>Набор карандашей чернографитных</x:v>
      </x:c>
      <x:c r="E3900" s="2" t="n">
        <x:v>3</x:v>
      </x:c>
      <x:c r="F3900" s="2" t="n">
        <x:v>0</x:v>
      </x:c>
      <x:c r="G3900" s="12" t="n">
        <x:v>299860.527</x:v>
      </x:c>
      <x:c r="H3900" s="12" t="n">
        <x:v>34680.8932198</x:v>
      </x:c>
      <x:c r="I3900" s="13" t="n">
        <x:v>0.1196</x:v>
      </x:c>
      <x:c r="J3900" s="2" t="n">
        <x:v>0</x:v>
      </x:c>
      <x:c r="K3900" s="2" t="n">
        <x:v>1</x:v>
      </x:c>
      <x:c r="L3900" s="12" t="n">
        <x:v>824.4619</x:v>
      </x:c>
      <x:c r="M3900" s="13" t="n">
        <x:v>1</x:v>
      </x:c>
      <x:c r="N3900" s="13" t="n">
        <x:f>H3900/G3900</x:f>
        <x:v>0.11565674737775672</x:v>
      </x:c>
      <x:c r="O3900" s="13" t="n">
        <x:f>F3900/E3900</x:f>
        <x:v>0</x:v>
      </x:c>
      <x:c r="P3900" s="2" t="str">
        <x:f>IF(AND(E3900&gt;='Итоги'!$F$5,N3900&lt;='Итоги'!$B$5,O3900&gt;='Итоги'!$D$5),"Да","Нет")</x:f>
        <x:v>Нет</x:v>
      </x:c>
    </x:row>
    <x:row r="3901" ht="60" customHeight="1">
      <x:c r="A3901" s="14" t="str">
        <x:v>Товары для дома</x:v>
      </x:c>
      <x:c r="B3901" s="14" t="str">
        <x:v>Интерьер и декор</x:v>
      </x:c>
      <x:c r="C3901" s="14" t="str">
        <x:v>Домашние растения</x:v>
      </x:c>
      <x:c r="D3901" s="14" t="str">
        <x:v>Дренаж, гранулят для домашних растений</x:v>
      </x:c>
      <x:c r="E3901" s="2" t="n">
        <x:v>5</x:v>
      </x:c>
      <x:c r="F3901" s="2" t="n">
        <x:v>0</x:v>
      </x:c>
      <x:c r="G3901" s="12" t="n">
        <x:v>787940.1381</x:v>
      </x:c>
      <x:c r="H3901" s="12" t="n">
        <x:v>91131.92885682</x:v>
      </x:c>
      <x:c r="I3901" s="13" t="n">
        <x:v>0.11822</x:v>
      </x:c>
      <x:c r="J3901" s="2" t="n">
        <x:v>2</x:v>
      </x:c>
      <x:c r="K3901" s="2" t="n">
        <x:v>2</x:v>
      </x:c>
      <x:c r="L3901" s="12" t="n">
        <x:v>1266.9438</x:v>
      </x:c>
      <x:c r="M3901" s="13" t="n">
        <x:v>0.679328431460192</x:v>
      </x:c>
      <x:c r="N3901" s="13" t="n">
        <x:f>H3901/G3901</x:f>
        <x:v>0.11565844212045225</x:v>
      </x:c>
      <x:c r="O3901" s="13" t="n">
        <x:f>F3901/E3901</x:f>
        <x:v>0</x:v>
      </x:c>
      <x:c r="P3901" s="2" t="str">
        <x:f>IF(AND(E3901&gt;='Итоги'!$F$5,N3901&lt;='Итоги'!$B$5,O3901&gt;='Итоги'!$D$5),"Да","Нет")</x:f>
        <x:v>Нет</x:v>
      </x:c>
    </x:row>
    <x:row r="3902" ht="60" customHeight="1">
      <x:c r="A3902" s="14" t="str">
        <x:v>Детская одежда</x:v>
      </x:c>
      <x:c r="B3902" s="14" t="str">
        <x:v>Детская одежда</x:v>
      </x:c>
      <x:c r="C3902" s="14" t="str">
        <x:v>Одежда для мальчика</x:v>
      </x:c>
      <x:c r="D3902" s="14" t="str">
        <x:v>Футболка для мальчика</x:v>
      </x:c>
      <x:c r="E3902" s="2" t="n">
        <x:v>19</x:v>
      </x:c>
      <x:c r="F3902" s="2" t="n">
        <x:v>0</x:v>
      </x:c>
      <x:c r="G3902" s="12" t="n">
        <x:v>2100871.0631</x:v>
      </x:c>
      <x:c r="H3902" s="12" t="n">
        <x:v>243056.19076702</x:v>
      </x:c>
      <x:c r="I3902" s="13" t="n">
        <x:v>0.1079052631578947</x:v>
      </x:c>
      <x:c r="J3902" s="2" t="n">
        <x:v>1</x:v>
      </x:c>
      <x:c r="K3902" s="2" t="n">
        <x:v>3</x:v>
      </x:c>
      <x:c r="L3902" s="12" t="n">
        <x:v>906.7876</x:v>
      </x:c>
      <x:c r="M3902" s="13" t="n">
        <x:v>0.5287949425419454</x:v>
      </x:c>
      <x:c r="N3902" s="13" t="n">
        <x:f>H3902/G3902</x:f>
        <x:v>0.11569305467436518</x:v>
      </x:c>
      <x:c r="O3902" s="13" t="n">
        <x:f>F3902/E3902</x:f>
        <x:v>0</x:v>
      </x:c>
      <x:c r="P3902" s="2" t="str">
        <x:f>IF(AND(E3902&gt;='Итоги'!$F$5,N3902&lt;='Итоги'!$B$5,O3902&gt;='Итоги'!$D$5),"Да","Нет")</x:f>
        <x:v>Нет</x:v>
      </x:c>
    </x:row>
    <x:row r="3903" ht="60" customHeight="1">
      <x:c r="A3903" s="14" t="str">
        <x:v>Товары для дома</x:v>
      </x:c>
      <x:c r="B3903" s="14" t="str">
        <x:v>Кухня</x:v>
      </x:c>
      <x:c r="C3903" s="14" t="str">
        <x:v>Столовая посуда</x:v>
      </x:c>
      <x:c r="D3903" s="14" t="str">
        <x:v>Тарелка</x:v>
      </x:c>
      <x:c r="E3903" s="2" t="n">
        <x:v>115</x:v>
      </x:c>
      <x:c r="F3903" s="2" t="n">
        <x:v>0</x:v>
      </x:c>
      <x:c r="G3903" s="12" t="n">
        <x:v>15128824.6376</x:v>
      </x:c>
      <x:c r="H3903" s="12" t="n">
        <x:v>1752480.55217294</x:v>
      </x:c>
      <x:c r="I3903" s="13" t="n">
        <x:v>0.1094730434782608</x:v>
      </x:c>
      <x:c r="J3903" s="2" t="n">
        <x:v>15</x:v>
      </x:c>
      <x:c r="K3903" s="2" t="n">
        <x:v>23</x:v>
      </x:c>
      <x:c r="L3903" s="12" t="n">
        <x:v>1405.8167</x:v>
      </x:c>
      <x:c r="M3903" s="13" t="n">
        <x:v>0.597141708110455</x:v>
      </x:c>
      <x:c r="N3903" s="13" t="n">
        <x:f>H3903/G3903</x:f>
        <x:v>0.11583719119973548</x:v>
      </x:c>
      <x:c r="O3903" s="13" t="n">
        <x:f>F3903/E3903</x:f>
        <x:v>0</x:v>
      </x:c>
      <x:c r="P3903" s="2" t="str">
        <x:f>IF(AND(E3903&gt;='Итоги'!$F$5,N3903&lt;='Итоги'!$B$5,O3903&gt;='Итоги'!$D$5),"Да","Нет")</x:f>
        <x:v>Нет</x:v>
      </x:c>
    </x:row>
    <x:row r="3904" ht="60" customHeight="1">
      <x:c r="A3904" s="14" t="str">
        <x:v>Бытовая химия и гигиена рта</x:v>
      </x:c>
      <x:c r="B3904" s="14" t="str">
        <x:v>Гигиена рта</x:v>
      </x:c>
      <x:c r="C3904" s="14" t="str">
        <x:v>Гигиена рта</x:v>
      </x:c>
      <x:c r="D3904" s="14" t="str">
        <x:v>Футляр для зубной щетки, пасты</x:v>
      </x:c>
      <x:c r="E3904" s="2" t="n">
        <x:v>1</x:v>
      </x:c>
      <x:c r="F3904" s="2" t="n">
        <x:v>0</x:v>
      </x:c>
      <x:c r="G3904" s="12" t="n">
        <x:v>126621</x:v>
      </x:c>
      <x:c r="H3904" s="12" t="n">
        <x:v>14675.3739</x:v>
      </x:c>
      <x:c r="I3904" s="13" t="n">
        <x:v>0.1159</x:v>
      </x:c>
      <x:c r="J3904" s="2" t="n">
        <x:v>0</x:v>
      </x:c>
      <x:c r="K3904" s="2" t="n">
        <x:v>1</x:v>
      </x:c>
      <x:c r="L3904" s="12" t="n">
        <x:v>744.8294</x:v>
      </x:c>
      <x:c r="M3904" s="13" t="n">
        <x:v>1</x:v>
      </x:c>
      <x:c r="N3904" s="13" t="n">
        <x:f>H3904/G3904</x:f>
        <x:v>0.1159</x:v>
      </x:c>
      <x:c r="O3904" s="13" t="n">
        <x:f>F3904/E3904</x:f>
        <x:v>0</x:v>
      </x:c>
      <x:c r="P3904" s="2" t="str">
        <x:f>IF(AND(E3904&gt;='Итоги'!$F$5,N3904&lt;='Итоги'!$B$5,O3904&gt;='Итоги'!$D$5),"Да","Нет")</x:f>
        <x:v>Нет</x:v>
      </x:c>
    </x:row>
    <x:row r="3905" ht="60" customHeight="1">
      <x:c r="A3905" s="14" t="str">
        <x:v>Школьные принадлежности и канцелярия</x:v>
      </x:c>
      <x:c r="B3905" s="14" t="str">
        <x:v>Товары для школы, канцелярия, оборудование</x:v>
      </x:c>
      <x:c r="C3905" s="14" t="str">
        <x:v>Письменные принадлежности</x:v>
      </x:c>
      <x:c r="D3905" s="14" t="str">
        <x:v>Маркер, текстовыделитель</x:v>
      </x:c>
      <x:c r="E3905" s="2" t="n">
        <x:v>11</x:v>
      </x:c>
      <x:c r="F3905" s="2" t="n">
        <x:v>0</x:v>
      </x:c>
      <x:c r="G3905" s="12" t="n">
        <x:v>1188415.7227</x:v>
      </x:c>
      <x:c r="H3905" s="12" t="n">
        <x:v>137756.28185177</x:v>
      </x:c>
      <x:c r="I3905" s="13" t="n">
        <x:v>0.1189</x:v>
      </x:c>
      <x:c r="J3905" s="2" t="n">
        <x:v>1</x:v>
      </x:c>
      <x:c r="K3905" s="2" t="n">
        <x:v>7</x:v>
      </x:c>
      <x:c r="L3905" s="12" t="n">
        <x:v>1150.5365</x:v>
      </x:c>
      <x:c r="M3905" s="13" t="n">
        <x:v>0.3582089953613502</x:v>
      </x:c>
      <x:c r="N3905" s="13" t="n">
        <x:f>H3905/G3905</x:f>
        <x:v>0.1159159031814196</x:v>
      </x:c>
      <x:c r="O3905" s="13" t="n">
        <x:f>F3905/E3905</x:f>
        <x:v>0</x:v>
      </x:c>
      <x:c r="P3905" s="2" t="str">
        <x:f>IF(AND(E3905&gt;='Итоги'!$F$5,N3905&lt;='Итоги'!$B$5,O3905&gt;='Итоги'!$D$5),"Да","Нет")</x:f>
        <x:v>Нет</x:v>
      </x:c>
    </x:row>
    <x:row r="3906" ht="60" customHeight="1">
      <x:c r="A3906" s="14" t="str">
        <x:v>Хобби и творчество</x:v>
      </x:c>
      <x:c r="B3906" s="14" t="str">
        <x:v>Взрослое творчество и хобби</x:v>
      </x:c>
      <x:c r="C3906" s="14" t="str">
        <x:v>Вязание</x:v>
      </x:c>
      <x:c r="D3906" s="14" t="str">
        <x:v>Спицы для вязания</x:v>
      </x:c>
      <x:c r="E3906" s="2" t="n">
        <x:v>7</x:v>
      </x:c>
      <x:c r="F3906" s="2" t="n">
        <x:v>0</x:v>
      </x:c>
      <x:c r="G3906" s="12" t="n">
        <x:v>381186.38</x:v>
      </x:c>
      <x:c r="H3906" s="12" t="n">
        <x:v>44191.129976</x:v>
      </x:c>
      <x:c r="I3906" s="13" t="n">
        <x:v>0.0953428571428571</x:v>
      </x:c>
      <x:c r="J3906" s="2" t="n">
        <x:v>4</x:v>
      </x:c>
      <x:c r="K3906" s="2" t="n">
        <x:v>6</x:v>
      </x:c>
      <x:c r="L3906" s="12" t="n">
        <x:v>4818.5714</x:v>
      </x:c>
      <x:c r="M3906" s="13" t="n">
        <x:v>0.2410458107133838</x:v>
      </x:c>
      <x:c r="N3906" s="13" t="n">
        <x:f>H3906/G3906</x:f>
        <x:v>0.11593050616341538</x:v>
      </x:c>
      <x:c r="O3906" s="13" t="n">
        <x:f>F3906/E3906</x:f>
        <x:v>0</x:v>
      </x:c>
      <x:c r="P3906" s="2" t="str">
        <x:f>IF(AND(E3906&gt;='Итоги'!$F$5,N3906&lt;='Итоги'!$B$5,O3906&gt;='Итоги'!$D$5),"Да","Нет")</x:f>
        <x:v>Нет</x:v>
      </x:c>
    </x:row>
    <x:row r="3907" ht="60" customHeight="1">
      <x:c r="A3907" s="14" t="str">
        <x:v>Детская одежда</x:v>
      </x:c>
      <x:c r="B3907" s="14" t="str">
        <x:v>Детская одежда</x:v>
      </x:c>
      <x:c r="C3907" s="14" t="str">
        <x:v>Верхняя одежда для мальчика</x:v>
      </x:c>
      <x:c r="D3907" s="14" t="str">
        <x:v>Комплект демисезонной верхней одежды для мальчика</x:v>
      </x:c>
      <x:c r="E3907" s="2" t="n">
        <x:v>25</x:v>
      </x:c>
      <x:c r="F3907" s="2" t="n">
        <x:v>0</x:v>
      </x:c>
      <x:c r="G3907" s="12" t="n">
        <x:v>2031431.8978</x:v>
      </x:c>
      <x:c r="H3907" s="12" t="n">
        <x:v>235554.00253301</x:v>
      </x:c>
      <x:c r="I3907" s="13" t="n">
        <x:v>0.098356</x:v>
      </x:c>
      <x:c r="J3907" s="2" t="n">
        <x:v>7</x:v>
      </x:c>
      <x:c r="K3907" s="2" t="n">
        <x:v>4</x:v>
      </x:c>
      <x:c r="L3907" s="12" t="n">
        <x:v>2698.6659</x:v>
      </x:c>
      <x:c r="M3907" s="13" t="n">
        <x:v>0.947401140980548</x:v>
      </x:c>
      <x:c r="N3907" s="13" t="n">
        <x:f>H3907/G3907</x:f>
        <x:v>0.11595466369712432</x:v>
      </x:c>
      <x:c r="O3907" s="13" t="n">
        <x:f>F3907/E3907</x:f>
        <x:v>0</x:v>
      </x:c>
      <x:c r="P3907" s="2" t="str">
        <x:f>IF(AND(E3907&gt;='Итоги'!$F$5,N3907&lt;='Итоги'!$B$5,O3907&gt;='Итоги'!$D$5),"Да","Нет")</x:f>
        <x:v>Нет</x:v>
      </x:c>
    </x:row>
    <x:row r="3908" ht="60" customHeight="1">
      <x:c r="A3908" s="14" t="str">
        <x:v>Товары для дома</x:v>
      </x:c>
      <x:c r="B3908" s="14" t="str">
        <x:v>Домашний текстиль</x:v>
      </x:c>
      <x:c r="C3908" s="14" t="str">
        <x:v>Плед</x:v>
      </x:c>
      <x:c r="D3908" s="14" t="str">
        <x:v>Плед 1,5 спальный</x:v>
      </x:c>
      <x:c r="E3908" s="2" t="n">
        <x:v>69</x:v>
      </x:c>
      <x:c r="F3908" s="2" t="n">
        <x:v>0</x:v>
      </x:c>
      <x:c r="G3908" s="12" t="n">
        <x:v>9531974.5761</x:v>
      </x:c>
      <x:c r="H3908" s="12" t="n">
        <x:v>1105375.51739634</x:v>
      </x:c>
      <x:c r="I3908" s="13" t="n">
        <x:v>0.1092188405797101</x:v>
      </x:c>
      <x:c r="J3908" s="2" t="n">
        <x:v>6</x:v>
      </x:c>
      <x:c r="K3908" s="2" t="n">
        <x:v>22</x:v>
      </x:c>
      <x:c r="L3908" s="12" t="n">
        <x:v>1454.5593</x:v>
      </x:c>
      <x:c r="M3908" s="13" t="n">
        <x:v>0.4254872804391596</x:v>
      </x:c>
      <x:c r="N3908" s="13" t="n">
        <x:f>H3908/G3908</x:f>
        <x:v>0.11596500898857869</x:v>
      </x:c>
      <x:c r="O3908" s="13" t="n">
        <x:f>F3908/E3908</x:f>
        <x:v>0</x:v>
      </x:c>
      <x:c r="P3908" s="2" t="str">
        <x:f>IF(AND(E3908&gt;='Итоги'!$F$5,N3908&lt;='Итоги'!$B$5,O3908&gt;='Итоги'!$D$5),"Да","Нет")</x:f>
        <x:v>Нет</x:v>
      </x:c>
    </x:row>
    <x:row r="3909" ht="60" customHeight="1">
      <x:c r="A3909" s="14" t="str">
        <x:v>Товары для дома</x:v>
      </x:c>
      <x:c r="B3909" s="14" t="str">
        <x:v>Кухня</x:v>
      </x:c>
      <x:c r="C3909" s="14" t="str">
        <x:v>Банка, контейнер для хранения продуктов</x:v>
      </x:c>
      <x:c r="D3909" s="14" t="str">
        <x:v>Пакеты, мешочки для хранения продуктов</x:v>
      </x:c>
      <x:c r="E3909" s="2" t="n">
        <x:v>19</x:v>
      </x:c>
      <x:c r="F3909" s="2" t="n">
        <x:v>0</x:v>
      </x:c>
      <x:c r="G3909" s="12" t="n">
        <x:v>2739240.7615</x:v>
      </x:c>
      <x:c r="H3909" s="12" t="n">
        <x:v>317745.48096886</x:v>
      </x:c>
      <x:c r="I3909" s="13" t="n">
        <x:v>0.1067210526315789</x:v>
      </x:c>
      <x:c r="J3909" s="2" t="n">
        <x:v>1</x:v>
      </x:c>
      <x:c r="K3909" s="2" t="n">
        <x:v>8</x:v>
      </x:c>
      <x:c r="L3909" s="12" t="n">
        <x:v>1355.0571</x:v>
      </x:c>
      <x:c r="M3909" s="13" t="n">
        <x:v>0.6157606430244412</x:v>
      </x:c>
      <x:c r="N3909" s="13" t="n">
        <x:f>H3909/G3909</x:f>
        <x:v>0.1159976462948308</x:v>
      </x:c>
      <x:c r="O3909" s="13" t="n">
        <x:f>F3909/E3909</x:f>
        <x:v>0</x:v>
      </x:c>
      <x:c r="P3909" s="2" t="str">
        <x:f>IF(AND(E3909&gt;='Итоги'!$F$5,N3909&lt;='Итоги'!$B$5,O3909&gt;='Итоги'!$D$5),"Да","Нет")</x:f>
        <x:v>Нет</x:v>
      </x:c>
    </x:row>
    <x:row r="3910" ht="60" customHeight="1">
      <x:c r="A3910" s="14" t="str">
        <x:v>Детская одежда</x:v>
      </x:c>
      <x:c r="B3910" s="14" t="str">
        <x:v>Детская одежда</x:v>
      </x:c>
      <x:c r="C3910" s="14" t="str">
        <x:v>Одежда для девочки</x:v>
      </x:c>
      <x:c r="D3910" s="14" t="str">
        <x:v>Футболка для девочки</x:v>
      </x:c>
      <x:c r="E3910" s="2" t="n">
        <x:v>13</x:v>
      </x:c>
      <x:c r="F3910" s="2" t="n">
        <x:v>0</x:v>
      </x:c>
      <x:c r="G3910" s="12" t="n">
        <x:v>1489761.2793</x:v>
      </x:c>
      <x:c r="H3910" s="12" t="n">
        <x:v>172824.54113601998</x:v>
      </x:c>
      <x:c r="I3910" s="13" t="n">
        <x:v>0.0972461538461538</x:v>
      </x:c>
      <x:c r="J3910" s="2" t="n">
        <x:v>1</x:v>
      </x:c>
      <x:c r="K3910" s="2" t="n">
        <x:v>2</x:v>
      </x:c>
      <x:c r="L3910" s="12" t="n">
        <x:v>929.1779</x:v>
      </x:c>
      <x:c r="M3910" s="13" t="n">
        <x:v>0.9972552649496156</x:v>
      </x:c>
      <x:c r="N3910" s="13" t="n">
        <x:f>H3910/G3910</x:f>
        <x:v>0.11600821120631201</x:v>
      </x:c>
      <x:c r="O3910" s="13" t="n">
        <x:f>F3910/E3910</x:f>
        <x:v>0</x:v>
      </x:c>
      <x:c r="P3910" s="2" t="str">
        <x:f>IF(AND(E3910&gt;='Итоги'!$F$5,N3910&lt;='Итоги'!$B$5,O3910&gt;='Итоги'!$D$5),"Да","Нет")</x:f>
        <x:v>Нет</x:v>
      </x:c>
    </x:row>
    <x:row r="3911" ht="60" customHeight="1">
      <x:c r="A3911" s="14" t="str">
        <x:v>Товары для животных</x:v>
      </x:c>
      <x:c r="B3911" s="14" t="str">
        <x:v>Спальное место животного</x:v>
      </x:c>
      <x:c r="C3911" s="14" t="str">
        <x:v>Домик, игровой комплекс для животных</x:v>
      </x:c>
      <x:c r="D3911" s="14" t="str">
        <x:v>Будка для животных</x:v>
      </x:c>
      <x:c r="E3911" s="2" t="n">
        <x:v>5</x:v>
      </x:c>
      <x:c r="F3911" s="2" t="n">
        <x:v>0</x:v>
      </x:c>
      <x:c r="G3911" s="12" t="n">
        <x:v>785791.4351</x:v>
      </x:c>
      <x:c r="H3911" s="12" t="n">
        <x:v>91253.79943612</x:v>
      </x:c>
      <x:c r="I3911" s="13" t="n">
        <x:v>0.11508</x:v>
      </x:c>
      <x:c r="J3911" s="2" t="n">
        <x:v>0</x:v>
      </x:c>
      <x:c r="K3911" s="2" t="n">
        <x:v>4</x:v>
      </x:c>
      <x:c r="L3911" s="12" t="n">
        <x:v>4387.2742</x:v>
      </x:c>
      <x:c r="M3911" s="13" t="n">
        <x:v>0.2735795092658932</x:v>
      </x:c>
      <x:c r="N3911" s="13" t="n">
        <x:f>H3911/G3911</x:f>
        <x:v>0.11612979648283774</x:v>
      </x:c>
      <x:c r="O3911" s="13" t="n">
        <x:f>F3911/E3911</x:f>
        <x:v>0</x:v>
      </x:c>
      <x:c r="P3911" s="2" t="str">
        <x:f>IF(AND(E3911&gt;='Итоги'!$F$5,N3911&lt;='Итоги'!$B$5,O3911&gt;='Итоги'!$D$5),"Да","Нет")</x:f>
        <x:v>Нет</x:v>
      </x:c>
    </x:row>
    <x:row r="3912" ht="60" customHeight="1">
      <x:c r="A3912" s="14" t="str">
        <x:v>Строительство и ремонт (DIY)</x:v>
      </x:c>
      <x:c r="B3912" s="14" t="str">
        <x:v>Ремонт и строительство</x:v>
      </x:c>
      <x:c r="C3912" s="14" t="str">
        <x:v>Скобяные изделия</x:v>
      </x:c>
      <x:c r="D3912" s="14" t="str">
        <x:v>Фурнитура для окон и балконных дверей</x:v>
      </x:c>
      <x:c r="E3912" s="2" t="n">
        <x:v>19</x:v>
      </x:c>
      <x:c r="F3912" s="2" t="n">
        <x:v>0</x:v>
      </x:c>
      <x:c r="G3912" s="12" t="n">
        <x:v>4123871.7056</x:v>
      </x:c>
      <x:c r="H3912" s="12" t="n">
        <x:v>479360.04210313</x:v>
      </x:c>
      <x:c r="I3912" s="13" t="n">
        <x:v>0.0837526315789473</x:v>
      </x:c>
      <x:c r="J3912" s="2" t="n">
        <x:v>1</x:v>
      </x:c>
      <x:c r="K3912" s="2" t="n">
        <x:v>14</x:v>
      </x:c>
      <x:c r="L3912" s="12" t="n">
        <x:v>887.9986</x:v>
      </x:c>
      <x:c r="M3912" s="13" t="n">
        <x:v>0.3420015481531084</x:v>
      </x:c>
      <x:c r="N3912" s="13" t="n">
        <x:f>H3912/G3912</x:f>
        <x:v>0.1162402897869457</x:v>
      </x:c>
      <x:c r="O3912" s="13" t="n">
        <x:f>F3912/E3912</x:f>
        <x:v>0</x:v>
      </x:c>
      <x:c r="P3912" s="2" t="str">
        <x:f>IF(AND(E3912&gt;='Итоги'!$F$5,N3912&lt;='Итоги'!$B$5,O3912&gt;='Итоги'!$D$5),"Да","Нет")</x:f>
        <x:v>Нет</x:v>
      </x:c>
    </x:row>
    <x:row r="3913" ht="60" customHeight="1">
      <x:c r="A3913" s="14" t="str">
        <x:v>Аксессуары для электроники</x:v>
      </x:c>
      <x:c r="B3913" s="14" t="str">
        <x:v>Аксессуары для мобильных устройств Access</x:v>
      </x:c>
      <x:c r="C3913" s="14" t="str">
        <x:v>Аксессуары для зарядки и передачи информации Access</x:v>
      </x:c>
      <x:c r="D3913" s="14" t="str">
        <x:v>Кабель для мобильных устройств</x:v>
      </x:c>
      <x:c r="E3913" s="2" t="n">
        <x:v>31</x:v>
      </x:c>
      <x:c r="F3913" s="2" t="n">
        <x:v>0</x:v>
      </x:c>
      <x:c r="G3913" s="12" t="n">
        <x:v>4048609.83</x:v>
      </x:c>
      <x:c r="H3913" s="12" t="n">
        <x:v>470651.774705</x:v>
      </x:c>
      <x:c r="I3913" s="13" t="n">
        <x:v>0.1325677419354838</x:v>
      </x:c>
      <x:c r="J3913" s="2" t="n">
        <x:v>6</x:v>
      </x:c>
      <x:c r="K3913" s="2" t="n">
        <x:v>13</x:v>
      </x:c>
      <x:c r="L3913" s="12" t="n">
        <x:v>836.2658</x:v>
      </x:c>
      <x:c r="M3913" s="13" t="n">
        <x:v>0.251214536027543</x:v>
      </x:c>
      <x:c r="N3913" s="13" t="n">
        <x:f>H3913/G3913</x:f>
        <x:v>0.11625021784452862</x:v>
      </x:c>
      <x:c r="O3913" s="13" t="n">
        <x:f>F3913/E3913</x:f>
        <x:v>0</x:v>
      </x:c>
      <x:c r="P3913" s="2" t="str">
        <x:f>IF(AND(E3913&gt;='Итоги'!$F$5,N3913&lt;='Итоги'!$B$5,O3913&gt;='Итоги'!$D$5),"Да","Нет")</x:f>
        <x:v>Нет</x:v>
      </x:c>
    </x:row>
    <x:row r="3914" ht="60" customHeight="1">
      <x:c r="A3914" s="14" t="str">
        <x:v>Мелкая бытовая техника</x:v>
      </x:c>
      <x:c r="B3914" s="14" t="str">
        <x:v>Мелкая бытовая техника SDA</x:v>
      </x:c>
      <x:c r="C3914" s="14" t="str">
        <x:v>Электронная кухонная техника SDA</x:v>
      </x:c>
      <x:c r="D3914" s="14" t="str">
        <x:v>Весы кухонные электронные</x:v>
      </x:c>
      <x:c r="E3914" s="2" t="n">
        <x:v>28</x:v>
      </x:c>
      <x:c r="F3914" s="2" t="n">
        <x:v>0</x:v>
      </x:c>
      <x:c r="G3914" s="12" t="n">
        <x:v>4668491.2573</x:v>
      </x:c>
      <x:c r="H3914" s="12" t="n">
        <x:v>542738.85546379</x:v>
      </x:c>
      <x:c r="I3914" s="13" t="n">
        <x:v>0.1220785714285714</x:v>
      </x:c>
      <x:c r="J3914" s="2" t="n">
        <x:v>5</x:v>
      </x:c>
      <x:c r="K3914" s="2" t="n">
        <x:v>9</x:v>
      </x:c>
      <x:c r="L3914" s="12" t="n">
        <x:v>1287.0443</x:v>
      </x:c>
      <x:c r="M3914" s="13" t="n">
        <x:v>0.6111546168451256</x:v>
      </x:c>
      <x:c r="N3914" s="13" t="n">
        <x:f>H3914/G3914</x:f>
        <x:v>0.11625572921768317</x:v>
      </x:c>
      <x:c r="O3914" s="13" t="n">
        <x:f>F3914/E3914</x:f>
        <x:v>0</x:v>
      </x:c>
      <x:c r="P3914" s="2" t="str">
        <x:f>IF(AND(E3914&gt;='Итоги'!$F$5,N3914&lt;='Итоги'!$B$5,O3914&gt;='Итоги'!$D$5),"Да","Нет")</x:f>
        <x:v>Нет</x:v>
      </x:c>
    </x:row>
    <x:row r="3915" ht="60" customHeight="1">
      <x:c r="A3915" s="14" t="str">
        <x:v>Спорт и отдых</x:v>
      </x:c>
      <x:c r="B3915" s="14" t="str">
        <x:v>Товары для охоты</x:v>
      </x:c>
      <x:c r="C3915" s="14" t="str">
        <x:v>Оптика для охоты</x:v>
      </x:c>
      <x:c r="D3915" s="14" t="str">
        <x:v>Очки стрелковые</x:v>
      </x:c>
      <x:c r="E3915" s="2" t="n">
        <x:v>20</x:v>
      </x:c>
      <x:c r="F3915" s="2" t="n">
        <x:v>0</x:v>
      </x:c>
      <x:c r="G3915" s="12" t="n">
        <x:v>3585472.2287</x:v>
      </x:c>
      <x:c r="H3915" s="12" t="n">
        <x:v>417486.50846665</x:v>
      </x:c>
      <x:c r="I3915" s="13" t="n">
        <x:v>0.122795</x:v>
      </x:c>
      <x:c r="J3915" s="2" t="n">
        <x:v>2</x:v>
      </x:c>
      <x:c r="K3915" s="2" t="n">
        <x:v>13</x:v>
      </x:c>
      <x:c r="L3915" s="12" t="n">
        <x:v>932.4434</x:v>
      </x:c>
      <x:c r="M3915" s="13" t="n">
        <x:v>0.4010827299090272</x:v>
      </x:c>
      <x:c r="N3915" s="13" t="n">
        <x:f>H3915/G3915</x:f>
        <x:v>0.11643836065020084</x:v>
      </x:c>
      <x:c r="O3915" s="13" t="n">
        <x:f>F3915/E3915</x:f>
        <x:v>0</x:v>
      </x:c>
      <x:c r="P3915" s="2" t="str">
        <x:f>IF(AND(E3915&gt;='Итоги'!$F$5,N3915&lt;='Итоги'!$B$5,O3915&gt;='Итоги'!$D$5),"Да","Нет")</x:f>
        <x:v>Нет</x:v>
      </x:c>
    </x:row>
    <x:row r="3916" ht="60" customHeight="1">
      <x:c r="A3916" s="14" t="str">
        <x:v>Автотовары</x:v>
      </x:c>
      <x:c r="B3916" s="14" t="str">
        <x:v>Авто и мото запчасти</x:v>
      </x:c>
      <x:c r="C3916" s="14" t="str">
        <x:v>Автомобильная оптика</x:v>
      </x:c>
      <x:c r="D3916" s="14" t="str">
        <x:v>Лампы и комплектующие</x:v>
      </x:c>
      <x:c r="E3916" s="2" t="n">
        <x:v>374</x:v>
      </x:c>
      <x:c r="F3916" s="2" t="n">
        <x:v>0</x:v>
      </x:c>
      <x:c r="G3916" s="12" t="n">
        <x:v>62763147.7493</x:v>
      </x:c>
      <x:c r="H3916" s="12" t="n">
        <x:v>7310425.95273778</x:v>
      </x:c>
      <x:c r="I3916" s="13" t="n">
        <x:v>0.114679679144385</x:v>
      </x:c>
      <x:c r="J3916" s="2" t="n">
        <x:v>56</x:v>
      </x:c>
      <x:c r="K3916" s="2" t="n">
        <x:v>102</x:v>
      </x:c>
      <x:c r="L3916" s="12" t="n">
        <x:v>1768.85015</x:v>
      </x:c>
      <x:c r="M3916" s="13" t="n">
        <x:v>0.5272295974506642</x:v>
      </x:c>
      <x:c r="N3916" s="13" t="n">
        <x:f>H3916/G3916</x:f>
        <x:v>0.11647640717349639</x:v>
      </x:c>
      <x:c r="O3916" s="13" t="n">
        <x:f>F3916/E3916</x:f>
        <x:v>0</x:v>
      </x:c>
      <x:c r="P3916" s="2" t="str">
        <x:f>IF(AND(E3916&gt;='Итоги'!$F$5,N3916&lt;='Итоги'!$B$5,O3916&gt;='Итоги'!$D$5),"Да","Нет")</x:f>
        <x:v>Нет</x:v>
      </x:c>
    </x:row>
    <x:row r="3917" ht="60" customHeight="1">
      <x:c r="A3917" s="14" t="str">
        <x:v>Товары для дома</x:v>
      </x:c>
      <x:c r="B3917" s="14" t="str">
        <x:v>Кухня</x:v>
      </x:c>
      <x:c r="C3917" s="14" t="str">
        <x:v>Посуда для приготовления пищи</x:v>
      </x:c>
      <x:c r="D3917" s="14" t="str">
        <x:v>Кокот, набор кокотов, ручка для кокота</x:v>
      </x:c>
      <x:c r="E3917" s="2" t="n">
        <x:v>3</x:v>
      </x:c>
      <x:c r="F3917" s="2" t="n">
        <x:v>0</x:v>
      </x:c>
      <x:c r="G3917" s="12" t="n">
        <x:v>392844.5389</x:v>
      </x:c>
      <x:c r="H3917" s="12" t="n">
        <x:v>45770.91692403</x:v>
      </x:c>
      <x:c r="I3917" s="13" t="n">
        <x:v>0.1190333333333333</x:v>
      </x:c>
      <x:c r="J3917" s="2" t="n">
        <x:v>0</x:v>
      </x:c>
      <x:c r="K3917" s="2" t="n">
        <x:v>1</x:v>
      </x:c>
      <x:c r="L3917" s="12" t="n">
        <x:v>815.7704</x:v>
      </x:c>
      <x:c r="M3917" s="13" t="n">
        <x:v>1</x:v>
      </x:c>
      <x:c r="N3917" s="13" t="n">
        <x:f>H3917/G3917</x:f>
        <x:v>0.11651152654989855</x:v>
      </x:c>
      <x:c r="O3917" s="13" t="n">
        <x:f>F3917/E3917</x:f>
        <x:v>0</x:v>
      </x:c>
      <x:c r="P3917" s="2" t="str">
        <x:f>IF(AND(E3917&gt;='Итоги'!$F$5,N3917&lt;='Итоги'!$B$5,O3917&gt;='Итоги'!$D$5),"Да","Нет")</x:f>
        <x:v>Нет</x:v>
      </x:c>
    </x:row>
    <x:row r="3918" ht="60" customHeight="1">
      <x:c r="A3918" s="14" t="str">
        <x:v>Детская одежда</x:v>
      </x:c>
      <x:c r="B3918" s="14" t="str">
        <x:v>Детская обувь</x:v>
      </x:c>
      <x:c r="C3918" s="14" t="str">
        <x:v>Обувь спортивная для девочки</x:v>
      </x:c>
      <x:c r="D3918" s="14" t="str">
        <x:v>Ботинки спортивные для девочки</x:v>
      </x:c>
      <x:c r="E3918" s="2" t="n">
        <x:v>5</x:v>
      </x:c>
      <x:c r="F3918" s="2" t="n">
        <x:v>0</x:v>
      </x:c>
      <x:c r="G3918" s="12" t="n">
        <x:v>413209.53</x:v>
      </x:c>
      <x:c r="H3918" s="12" t="n">
        <x:v>48276.639334</x:v>
      </x:c>
      <x:c r="I3918" s="13" t="n">
        <x:v>0.0972</x:v>
      </x:c>
      <x:c r="J3918" s="2" t="n">
        <x:v>1</x:v>
      </x:c>
      <x:c r="K3918" s="2" t="n">
        <x:v>2</x:v>
      </x:c>
      <x:c r="L3918" s="12" t="n">
        <x:v>5086.9873</x:v>
      </x:c>
      <x:c r="M3918" s="13" t="n">
        <x:v>0.966072297509692</x:v>
      </x:c>
      <x:c r="N3918" s="13" t="n">
        <x:f>H3918/G3918</x:f>
        <x:v>0.11683331537392179</x:v>
      </x:c>
      <x:c r="O3918" s="13" t="n">
        <x:f>F3918/E3918</x:f>
        <x:v>0</x:v>
      </x:c>
      <x:c r="P3918" s="2" t="str">
        <x:f>IF(AND(E3918&gt;='Итоги'!$F$5,N3918&lt;='Итоги'!$B$5,O3918&gt;='Итоги'!$D$5),"Да","Нет")</x:f>
        <x:v>Нет</x:v>
      </x:c>
    </x:row>
    <x:row r="3919" ht="60" customHeight="1">
      <x:c r="A3919" s="14" t="str">
        <x:v>Аксессуары для электроники</x:v>
      </x:c>
      <x:c r="B3919" s="14" t="str">
        <x:v>Фото и видео Access</x:v>
      </x:c>
      <x:c r="C3919" s="14" t="str">
        <x:v>Аксессуар к фото и видео Access</x:v>
      </x:c>
      <x:c r="D3919" s="14" t="str">
        <x:v>Зарядное устройство для аккумулятора фото/видео камеры</x:v>
      </x:c>
      <x:c r="E3919" s="2" t="n">
        <x:v>5</x:v>
      </x:c>
      <x:c r="F3919" s="2" t="n">
        <x:v>0</x:v>
      </x:c>
      <x:c r="G3919" s="12" t="n">
        <x:v>686314.01</x:v>
      </x:c>
      <x:c r="H3919" s="12" t="n">
        <x:v>80196.204444</x:v>
      </x:c>
      <x:c r="I3919" s="13" t="n">
        <x:v>0.0904199999999999</x:v>
      </x:c>
      <x:c r="J3919" s="2" t="n">
        <x:v>2</x:v>
      </x:c>
      <x:c r="K3919" s="2" t="n">
        <x:v>3</x:v>
      </x:c>
      <x:c r="L3919" s="12" t="n">
        <x:v>3226.2</x:v>
      </x:c>
      <x:c r="M3919" s="13" t="n">
        <x:v>0.8190347301813058</x:v>
      </x:c>
      <x:c r="N3919" s="13" t="n">
        <x:f>H3919/G3919</x:f>
        <x:v>0.1168506008554306</x:v>
      </x:c>
      <x:c r="O3919" s="13" t="n">
        <x:f>F3919/E3919</x:f>
        <x:v>0</x:v>
      </x:c>
      <x:c r="P3919" s="2" t="str">
        <x:f>IF(AND(E3919&gt;='Итоги'!$F$5,N3919&lt;='Итоги'!$B$5,O3919&gt;='Итоги'!$D$5),"Да","Нет")</x:f>
        <x:v>Нет</x:v>
      </x:c>
    </x:row>
    <x:row r="3920" ht="60" customHeight="1">
      <x:c r="A3920" s="14" t="str">
        <x:v>Автотовары</x:v>
      </x:c>
      <x:c r="B3920" s="14" t="str">
        <x:v>Универсальные авто и мото аксессуары</x:v>
      </x:c>
      <x:c r="C3920" s="14" t="str">
        <x:v>Автотовары в дорогу</x:v>
      </x:c>
      <x:c r="D3920" s="14" t="str">
        <x:v>Алкотестер</x:v>
      </x:c>
      <x:c r="E3920" s="2" t="n">
        <x:v>63</x:v>
      </x:c>
      <x:c r="F3920" s="2" t="n">
        <x:v>0</x:v>
      </x:c>
      <x:c r="G3920" s="12" t="n">
        <x:v>13052797.1766</x:v>
      </x:c>
      <x:c r="H3920" s="12" t="n">
        <x:v>1525424.91486351</x:v>
      </x:c>
      <x:c r="I3920" s="13" t="n">
        <x:v>0.1441365079365079</x:v>
      </x:c>
      <x:c r="J3920" s="2" t="n">
        <x:v>8</x:v>
      </x:c>
      <x:c r="K3920" s="2" t="n">
        <x:v>35</x:v>
      </x:c>
      <x:c r="L3920" s="12" t="n">
        <x:v>1564.5556</x:v>
      </x:c>
      <x:c r="M3920" s="13" t="n">
        <x:v>0.3203364970150516</x:v>
      </x:c>
      <x:c r="N3920" s="13" t="n">
        <x:f>H3920/G3920</x:f>
        <x:v>0.1168657487146256</x:v>
      </x:c>
      <x:c r="O3920" s="13" t="n">
        <x:f>F3920/E3920</x:f>
        <x:v>0</x:v>
      </x:c>
      <x:c r="P3920" s="2" t="str">
        <x:f>IF(AND(E3920&gt;='Итоги'!$F$5,N3920&lt;='Итоги'!$B$5,O3920&gt;='Итоги'!$D$5),"Да","Нет")</x:f>
        <x:v>Нет</x:v>
      </x:c>
    </x:row>
    <x:row r="3921" ht="60" customHeight="1">
      <x:c r="A3921" s="14" t="str">
        <x:v>Школьные принадлежности и канцелярия</x:v>
      </x:c>
      <x:c r="B3921" s="14" t="str">
        <x:v>Товары для школы, канцелярия, оборудование</x:v>
      </x:c>
      <x:c r="C3921" s="14" t="str">
        <x:v>Папка</x:v>
      </x:c>
      <x:c r="D3921" s="14" t="str">
        <x:v>Механизм для папки</x:v>
      </x:c>
      <x:c r="E3921" s="2" t="n">
        <x:v>1</x:v>
      </x:c>
      <x:c r="F3921" s="2" t="n">
        <x:v>0</x:v>
      </x:c>
      <x:c r="G3921" s="12" t="n">
        <x:v>10960.79</x:v>
      </x:c>
      <x:c r="H3921" s="12" t="n">
        <x:v>1281.3163510000002</x:v>
      </x:c>
      <x:c r="I3921" s="13" t="n">
        <x:v>0.1169</x:v>
      </x:c>
      <x:c r="J3921" s="2" t="n">
        <x:v>0</x:v>
      </x:c>
      <x:c r="K3921" s="2" t="n">
        <x:v>1</x:v>
      </x:c>
      <x:c r="L3921" s="12" t="n">
        <x:v>843.1377</x:v>
      </x:c>
      <x:c r="M3921" s="13" t="n">
        <x:v>1</x:v>
      </x:c>
      <x:c r="N3921" s="13" t="n">
        <x:f>H3921/G3921</x:f>
        <x:v>0.1169</x:v>
      </x:c>
      <x:c r="O3921" s="13" t="n">
        <x:f>F3921/E3921</x:f>
        <x:v>0</x:v>
      </x:c>
      <x:c r="P3921" s="2" t="str">
        <x:f>IF(AND(E3921&gt;='Итоги'!$F$5,N3921&lt;='Итоги'!$B$5,O3921&gt;='Итоги'!$D$5),"Да","Нет")</x:f>
        <x:v>Нет</x:v>
      </x:c>
    </x:row>
    <x:row r="3922" ht="60" customHeight="1">
      <x:c r="A3922" s="14" t="str">
        <x:v>Аксессуары</x:v>
      </x:c>
      <x:c r="B3922" s="14" t="str">
        <x:v>Аксессуары</x:v>
      </x:c>
      <x:c r="C3922" s="14" t="str">
        <x:v>Мелкие аксессуары</x:v>
      </x:c>
      <x:c r="D3922" s="14" t="str">
        <x:v>Мужской текстильный ремень</x:v>
      </x:c>
      <x:c r="E3922" s="2" t="n">
        <x:v>28</x:v>
      </x:c>
      <x:c r="F3922" s="2" t="n">
        <x:v>0</x:v>
      </x:c>
      <x:c r="G3922" s="12" t="n">
        <x:v>3563711.3949</x:v>
      </x:c>
      <x:c r="H3922" s="12" t="n">
        <x:v>416663.41178397</x:v>
      </x:c>
      <x:c r="I3922" s="13" t="n">
        <x:v>0.0907214285714285</x:v>
      </x:c>
      <x:c r="J3922" s="2" t="n">
        <x:v>10</x:v>
      </x:c>
      <x:c r="K3922" s="2" t="n">
        <x:v>14</x:v>
      </x:c>
      <x:c r="L3922" s="12" t="n">
        <x:v>1148.13145</x:v>
      </x:c>
      <x:c r="M3922" s="13" t="n">
        <x:v>0.2635204975756327</x:v>
      </x:c>
      <x:c r="N3922" s="13" t="n">
        <x:f>H3922/G3922</x:f>
        <x:v>0.11691839366685355</x:v>
      </x:c>
      <x:c r="O3922" s="13" t="n">
        <x:f>F3922/E3922</x:f>
        <x:v>0</x:v>
      </x:c>
      <x:c r="P3922" s="2" t="str">
        <x:f>IF(AND(E3922&gt;='Итоги'!$F$5,N3922&lt;='Итоги'!$B$5,O3922&gt;='Итоги'!$D$5),"Да","Нет")</x:f>
        <x:v>Нет</x:v>
      </x:c>
    </x:row>
    <x:row r="3923" ht="60" customHeight="1">
      <x:c r="A3923" s="14" t="str">
        <x:v>Спорт и отдых</x:v>
      </x:c>
      <x:c r="B3923" s="14" t="str">
        <x:v>Активный отдых</x:v>
      </x:c>
      <x:c r="C3923" s="14" t="str">
        <x:v>Реквизит для баланса</x:v>
      </x:c>
      <x:c r="D3923" s="14" t="str">
        <x:v>Балансировочные колеса</x:v>
      </x:c>
      <x:c r="E3923" s="2" t="n">
        <x:v>6</x:v>
      </x:c>
      <x:c r="F3923" s="2" t="n">
        <x:v>0</x:v>
      </x:c>
      <x:c r="G3923" s="12" t="n">
        <x:v>1275007.1976</x:v>
      </x:c>
      <x:c r="H3923" s="12" t="n">
        <x:v>149270.50699656</x:v>
      </x:c>
      <x:c r="I3923" s="13" t="n">
        <x:v>0.1088666666666666</x:v>
      </x:c>
      <x:c r="J3923" s="2" t="n">
        <x:v>0</x:v>
      </x:c>
      <x:c r="K3923" s="2" t="n">
        <x:v>4</x:v>
      </x:c>
      <x:c r="L3923" s="12" t="n">
        <x:v>1293.57845</x:v>
      </x:c>
      <x:c r="M3923" s="13" t="n">
        <x:v>0.5990889341941077</x:v>
      </x:c>
      <x:c r="N3923" s="13" t="n">
        <x:f>H3923/G3923</x:f>
        <x:v>0.11707424654350045</x:v>
      </x:c>
      <x:c r="O3923" s="13" t="n">
        <x:f>F3923/E3923</x:f>
        <x:v>0</x:v>
      </x:c>
      <x:c r="P3923" s="2" t="str">
        <x:f>IF(AND(E3923&gt;='Итоги'!$F$5,N3923&lt;='Итоги'!$B$5,O3923&gt;='Итоги'!$D$5),"Да","Нет")</x:f>
        <x:v>Нет</x:v>
      </x:c>
    </x:row>
    <x:row r="3924" ht="60" customHeight="1">
      <x:c r="A3924" s="14" t="str">
        <x:v>Хобби и творчество</x:v>
      </x:c>
      <x:c r="B3924" s="14" t="str">
        <x:v>Взрослое творчество и хобби</x:v>
      </x:c>
      <x:c r="C3924" s="14" t="str">
        <x:v>Кожевенное дело</x:v>
      </x:c>
      <x:c r="D3924" s="14" t="str">
        <x:v>Инструменты для работы с кожей</x:v>
      </x:c>
      <x:c r="E3924" s="2" t="n">
        <x:v>9</x:v>
      </x:c>
      <x:c r="F3924" s="2" t="n">
        <x:v>0</x:v>
      </x:c>
      <x:c r="G3924" s="12" t="n">
        <x:v>666342.3237000001</x:v>
      </x:c>
      <x:c r="H3924" s="12" t="n">
        <x:v>78162.50749650001</x:v>
      </x:c>
      <x:c r="I3924" s="13" t="n">
        <x:v>0.1227222222222222</x:v>
      </x:c>
      <x:c r="J3924" s="2" t="n">
        <x:v>0</x:v>
      </x:c>
      <x:c r="K3924" s="2" t="n">
        <x:v>6</x:v>
      </x:c>
      <x:c r="L3924" s="12" t="n">
        <x:v>1330.7746</x:v>
      </x:c>
      <x:c r="M3924" s="13" t="n">
        <x:v>0.3635920627924538</x:v>
      </x:c>
      <x:c r="N3924" s="13" t="n">
        <x:f>H3924/G3924</x:f>
        <x:v>0.1173008297934415</x:v>
      </x:c>
      <x:c r="O3924" s="13" t="n">
        <x:f>F3924/E3924</x:f>
        <x:v>0</x:v>
      </x:c>
      <x:c r="P3924" s="2" t="str">
        <x:f>IF(AND(E3924&gt;='Итоги'!$F$5,N3924&lt;='Итоги'!$B$5,O3924&gt;='Итоги'!$D$5),"Да","Нет")</x:f>
        <x:v>Нет</x:v>
      </x:c>
    </x:row>
    <x:row r="3925" ht="60" customHeight="1">
      <x:c r="A3925" s="14" t="str">
        <x:v>Спорт и отдых</x:v>
      </x:c>
      <x:c r="B3925" s="14" t="str">
        <x:v>Туризм</x:v>
      </x:c>
      <x:c r="C3925" s="14" t="str">
        <x:v>Фонарь, лампа туристические</x:v>
      </x:c>
      <x:c r="D3925" s="14" t="str">
        <x:v>Лампа и кемпинговый фонарь</x:v>
      </x:c>
      <x:c r="E3925" s="2" t="n">
        <x:v>75</x:v>
      </x:c>
      <x:c r="F3925" s="2" t="n">
        <x:v>0</x:v>
      </x:c>
      <x:c r="G3925" s="12" t="n">
        <x:v>15418833.5145</x:v>
      </x:c>
      <x:c r="H3925" s="12" t="n">
        <x:v>1808664.20463688</x:v>
      </x:c>
      <x:c r="I3925" s="13" t="n">
        <x:v>0.1086066666666666</x:v>
      </x:c>
      <x:c r="J3925" s="2" t="n">
        <x:v>13</x:v>
      </x:c>
      <x:c r="K3925" s="2" t="n">
        <x:v>43</x:v>
      </x:c>
      <x:c r="L3925" s="12" t="n">
        <x:v>1235.6938</x:v>
      </x:c>
      <x:c r="M3925" s="13" t="n">
        <x:v>0.1816468173008108</x:v>
      </x:c>
      <x:c r="N3925" s="13" t="n">
        <x:f>H3925/G3925</x:f>
        <x:v>0.11730227211649942</x:v>
      </x:c>
      <x:c r="O3925" s="13" t="n">
        <x:f>F3925/E3925</x:f>
        <x:v>0</x:v>
      </x:c>
      <x:c r="P3925" s="2" t="str">
        <x:f>IF(AND(E3925&gt;='Итоги'!$F$5,N3925&lt;='Итоги'!$B$5,O3925&gt;='Итоги'!$D$5),"Да","Нет")</x:f>
        <x:v>Нет</x:v>
      </x:c>
    </x:row>
    <x:row r="3926" ht="60" customHeight="1">
      <x:c r="A3926" s="14" t="str">
        <x:v>Детская одежда</x:v>
      </x:c>
      <x:c r="B3926" s="14" t="str">
        <x:v>Одежда для новорожденных</x:v>
      </x:c>
      <x:c r="C3926" s="14" t="str">
        <x:v>Одежда для новорожденных</x:v>
      </x:c>
      <x:c r="D3926" s="14" t="str">
        <x:v>Распашонка для новорожденных</x:v>
      </x:c>
      <x:c r="E3926" s="2" t="n">
        <x:v>5</x:v>
      </x:c>
      <x:c r="F3926" s="2" t="n">
        <x:v>0</x:v>
      </x:c>
      <x:c r="G3926" s="12" t="n">
        <x:v>455931.2789</x:v>
      </x:c>
      <x:c r="H3926" s="12" t="n">
        <x:v>53580.33041857</x:v>
      </x:c>
      <x:c r="I3926" s="13" t="n">
        <x:v>0.08058</x:v>
      </x:c>
      <x:c r="J3926" s="2" t="n">
        <x:v>1</x:v>
      </x:c>
      <x:c r="K3926" s="2" t="n">
        <x:v>2</x:v>
      </x:c>
      <x:c r="L3926" s="12" t="n">
        <x:v>1096.7813</x:v>
      </x:c>
      <x:c r="M3926" s="13" t="n">
        <x:v>0.8398776452097462</x:v>
      </x:c>
      <x:c r="N3926" s="13" t="n">
        <x:f>H3926/G3926</x:f>
        <x:v>0.11751843511995994</x:v>
      </x:c>
      <x:c r="O3926" s="13" t="n">
        <x:f>F3926/E3926</x:f>
        <x:v>0</x:v>
      </x:c>
      <x:c r="P3926" s="2" t="str">
        <x:f>IF(AND(E3926&gt;='Итоги'!$F$5,N3926&lt;='Итоги'!$B$5,O3926&gt;='Итоги'!$D$5),"Да","Нет")</x:f>
        <x:v>Нет</x:v>
      </x:c>
    </x:row>
    <x:row r="3927" ht="60" customHeight="1">
      <x:c r="A3927" s="14" t="str">
        <x:v>Игрушки</x:v>
      </x:c>
      <x:c r="B3927" s="14" t="str">
        <x:v>Игрушки</x:v>
      </x:c>
      <x:c r="C3927" s="14" t="str">
        <x:v>Мягкие игрушки</x:v>
      </x:c>
      <x:c r="D3927" s="14" t="str">
        <x:v>Мягкая игрушка - подушка</x:v>
      </x:c>
      <x:c r="E3927" s="2" t="n">
        <x:v>3</x:v>
      </x:c>
      <x:c r="F3927" s="2" t="n">
        <x:v>0</x:v>
      </x:c>
      <x:c r="G3927" s="12" t="n">
        <x:v>227867.3527</x:v>
      </x:c>
      <x:c r="H3927" s="12" t="n">
        <x:v>26790.86963533</x:v>
      </x:c>
      <x:c r="I3927" s="13" t="n">
        <x:v>0.1222666666666666</x:v>
      </x:c>
      <x:c r="J3927" s="2" t="n">
        <x:v>0</x:v>
      </x:c>
      <x:c r="K3927" s="2" t="n">
        <x:v>2</x:v>
      </x:c>
      <x:c r="L3927" s="12" t="n">
        <x:v>1288.3288</x:v>
      </x:c>
      <x:c r="M3927" s="13" t="n">
        <x:v>0.619629176040364</x:v>
      </x:c>
      <x:c r="N3927" s="13" t="n">
        <x:f>H3927/G3927</x:f>
        <x:v>0.1175722161068052</x:v>
      </x:c>
      <x:c r="O3927" s="13" t="n">
        <x:f>F3927/E3927</x:f>
        <x:v>0</x:v>
      </x:c>
      <x:c r="P3927" s="2" t="str">
        <x:f>IF(AND(E3927&gt;='Итоги'!$F$5,N3927&lt;='Итоги'!$B$5,O3927&gt;='Итоги'!$D$5),"Да","Нет")</x:f>
        <x:v>Нет</x:v>
      </x:c>
    </x:row>
    <x:row r="3928" ht="60" customHeight="1">
      <x:c r="A3928" s="14" t="str">
        <x:v>Товары для дома</x:v>
      </x:c>
      <x:c r="B3928" s="14" t="str">
        <x:v>Кухня</x:v>
      </x:c>
      <x:c r="C3928" s="14" t="str">
        <x:v>Кухонная утварь и принадлежности</x:v>
      </x:c>
      <x:c r="D3928" s="14" t="str">
        <x:v>Закаточная машинка, набор для домашней консервации</x:v>
      </x:c>
      <x:c r="E3928" s="2" t="n">
        <x:v>61</x:v>
      </x:c>
      <x:c r="F3928" s="2" t="n">
        <x:v>0</x:v>
      </x:c>
      <x:c r="G3928" s="12" t="n">
        <x:v>10181101.7703</x:v>
      </x:c>
      <x:c r="H3928" s="12" t="n">
        <x:v>1197712.48701592</x:v>
      </x:c>
      <x:c r="I3928" s="13" t="n">
        <x:v>0.1088786885245901</x:v>
      </x:c>
      <x:c r="J3928" s="2" t="n">
        <x:v>14</x:v>
      </x:c>
      <x:c r="K3928" s="2" t="n">
        <x:v>41</x:v>
      </x:c>
      <x:c r="L3928" s="12" t="n">
        <x:v>898.8024</x:v>
      </x:c>
      <x:c r="M3928" s="13" t="n">
        <x:v>0.2462160288302604</x:v>
      </x:c>
      <x:c r="N3928" s="13" t="n">
        <x:f>H3928/G3928</x:f>
        <x:v>0.11764075382389853</x:v>
      </x:c>
      <x:c r="O3928" s="13" t="n">
        <x:f>F3928/E3928</x:f>
        <x:v>0</x:v>
      </x:c>
      <x:c r="P3928" s="2" t="str">
        <x:f>IF(AND(E3928&gt;='Итоги'!$F$5,N3928&lt;='Итоги'!$B$5,O3928&gt;='Итоги'!$D$5),"Да","Нет")</x:f>
        <x:v>Нет</x:v>
      </x:c>
    </x:row>
    <x:row r="3929" ht="60" customHeight="1">
      <x:c r="A3929" s="14" t="str">
        <x:v>Товары для детей и спорта</x:v>
      </x:c>
      <x:c r="B3929" s="14" t="str">
        <x:v>Спорт детский</x:v>
      </x:c>
      <x:c r="C3929" s="14" t="str">
        <x:v>Детский транспорт и аксессуары</x:v>
      </x:c>
      <x:c r="D3929" s="14" t="str">
        <x:v>Аксессуары для детского электромобиля</x:v>
      </x:c>
      <x:c r="E3929" s="2" t="n">
        <x:v>2</x:v>
      </x:c>
      <x:c r="F3929" s="2" t="n">
        <x:v>0</x:v>
      </x:c>
      <x:c r="G3929" s="12" t="n">
        <x:v>207224</x:v>
      </x:c>
      <x:c r="H3929" s="12" t="n">
        <x:v>24386.4122</x:v>
      </x:c>
      <x:c r="I3929" s="13" t="n">
        <x:v>0.11745</x:v>
      </x:c>
      <x:c r="J3929" s="2" t="n">
        <x:v>0</x:v>
      </x:c>
      <x:c r="K3929" s="2" t="n">
        <x:v>1</x:v>
      </x:c>
      <x:c r="L3929" s="12" t="n">
        <x:v>1436.3747</x:v>
      </x:c>
      <x:c r="M3929" s="13" t="n">
        <x:v>1</x:v>
      </x:c>
      <x:c r="N3929" s="13" t="n">
        <x:f>H3929/G3929</x:f>
        <x:v>0.11768140852410917</x:v>
      </x:c>
      <x:c r="O3929" s="13" t="n">
        <x:f>F3929/E3929</x:f>
        <x:v>0</x:v>
      </x:c>
      <x:c r="P3929" s="2" t="str">
        <x:f>IF(AND(E3929&gt;='Итоги'!$F$5,N3929&lt;='Итоги'!$B$5,O3929&gt;='Итоги'!$D$5),"Да","Нет")</x:f>
        <x:v>Нет</x:v>
      </x:c>
    </x:row>
    <x:row r="3930" ht="60" customHeight="1">
      <x:c r="A3930" s="14" t="str">
        <x:v>Аксессуары для электроники</x:v>
      </x:c>
      <x:c r="B3930" s="14" t="str">
        <x:v>Домашняя Аудио и Видеотехника Access</x:v>
      </x:c>
      <x:c r="C3930" s="14" t="str">
        <x:v>Аксессуар к TV и аудиотехнике Access</x:v>
      </x:c>
      <x:c r="D3930" s="14" t="str">
        <x:v>Кронштейн, подставка для телевизора, антенн и колонок</x:v>
      </x:c>
      <x:c r="E3930" s="2" t="n">
        <x:v>184</x:v>
      </x:c>
      <x:c r="F3930" s="2" t="n">
        <x:v>0</x:v>
      </x:c>
      <x:c r="G3930" s="12" t="n">
        <x:v>26145044.4943</x:v>
      </x:c>
      <x:c r="H3930" s="12" t="n">
        <x:v>3078066.66984356</x:v>
      </x:c>
      <x:c r="I3930" s="13" t="n">
        <x:v>0.1148114130434782</x:v>
      </x:c>
      <x:c r="J3930" s="2" t="n">
        <x:v>26</x:v>
      </x:c>
      <x:c r="K3930" s="2" t="n">
        <x:v>23</x:v>
      </x:c>
      <x:c r="L3930" s="12" t="n">
        <x:v>2022.2606</x:v>
      </x:c>
      <x:c r="M3930" s="13" t="n">
        <x:v>0.6906782007709669</x:v>
      </x:c>
      <x:c r="N3930" s="13" t="n">
        <x:f>H3930/G3930</x:f>
        <x:v>0.1177304047241007</x:v>
      </x:c>
      <x:c r="O3930" s="13" t="n">
        <x:f>F3930/E3930</x:f>
        <x:v>0</x:v>
      </x:c>
      <x:c r="P3930" s="2" t="str">
        <x:f>IF(AND(E3930&gt;='Итоги'!$F$5,N3930&lt;='Итоги'!$B$5,O3930&gt;='Итоги'!$D$5),"Да","Нет")</x:f>
        <x:v>Нет</x:v>
      </x:c>
    </x:row>
    <x:row r="3931" ht="60" customHeight="1">
      <x:c r="A3931" s="14" t="str">
        <x:v>Спорт и отдых</x:v>
      </x:c>
      <x:c r="B3931" s="14" t="str">
        <x:v>Туризм</x:v>
      </x:c>
      <x:c r="C3931" s="14" t="str">
        <x:v>Снаряжение для альпинизма и скалолазания</x:v>
      </x:c>
      <x:c r="D3931" s="14" t="str">
        <x:v>Веревки, канаты, шнуры для альпинизма</x:v>
      </x:c>
      <x:c r="E3931" s="2" t="n">
        <x:v>12</x:v>
      </x:c>
      <x:c r="F3931" s="2" t="n">
        <x:v>0</x:v>
      </x:c>
      <x:c r="G3931" s="12" t="n">
        <x:v>1203495.7449</x:v>
      </x:c>
      <x:c r="H3931" s="12" t="n">
        <x:v>141711.73764365</x:v>
      </x:c>
      <x:c r="I3931" s="13" t="n">
        <x:v>0.1177333333333333</x:v>
      </x:c>
      <x:c r="J3931" s="2" t="n">
        <x:v>0</x:v>
      </x:c>
      <x:c r="K3931" s="2" t="n">
        <x:v>3</x:v>
      </x:c>
      <x:c r="L3931" s="12" t="n">
        <x:v>3679.7895</x:v>
      </x:c>
      <x:c r="M3931" s="13" t="n">
        <x:v>0.7132294265579833</x:v>
      </x:c>
      <x:c r="N3931" s="13" t="n">
        <x:f>H3931/G3931</x:f>
        <x:v>0.11775009445955707</x:v>
      </x:c>
      <x:c r="O3931" s="13" t="n">
        <x:f>F3931/E3931</x:f>
        <x:v>0</x:v>
      </x:c>
      <x:c r="P3931" s="2" t="str">
        <x:f>IF(AND(E3931&gt;='Итоги'!$F$5,N3931&lt;='Итоги'!$B$5,O3931&gt;='Итоги'!$D$5),"Да","Нет")</x:f>
        <x:v>Нет</x:v>
      </x:c>
    </x:row>
    <x:row r="3932" ht="60" customHeight="1">
      <x:c r="A3932" s="14" t="str">
        <x:v>Товары для дома</x:v>
      </x:c>
      <x:c r="B3932" s="14" t="str">
        <x:v>Интерьер и декор</x:v>
      </x:c>
      <x:c r="C3932" s="14" t="str">
        <x:v>Сувенирная продукция</x:v>
      </x:c>
      <x:c r="D3932" s="14" t="str">
        <x:v>Сувенирная продукция</x:v>
      </x:c>
      <x:c r="E3932" s="2" t="n">
        <x:v>39</x:v>
      </x:c>
      <x:c r="F3932" s="2" t="n">
        <x:v>0</x:v>
      </x:c>
      <x:c r="G3932" s="12" t="n">
        <x:v>4338053.7365</x:v>
      </x:c>
      <x:c r="H3932" s="12" t="n">
        <x:v>511291.9639982</x:v>
      </x:c>
      <x:c r="I3932" s="13" t="n">
        <x:v>0.1364589743589743</x:v>
      </x:c>
      <x:c r="J3932" s="2" t="n">
        <x:v>5</x:v>
      </x:c>
      <x:c r="K3932" s="2" t="n">
        <x:v>12</x:v>
      </x:c>
      <x:c r="L3932" s="12" t="n">
        <x:v>1178.2231</x:v>
      </x:c>
      <x:c r="M3932" s="13" t="n">
        <x:v>0.5217606794161481</x:v>
      </x:c>
      <x:c r="N3932" s="13" t="n">
        <x:f>H3932/G3932</x:f>
        <x:v>0.11786206327880053</x:v>
      </x:c>
      <x:c r="O3932" s="13" t="n">
        <x:f>F3932/E3932</x:f>
        <x:v>0</x:v>
      </x:c>
      <x:c r="P3932" s="2" t="str">
        <x:f>IF(AND(E3932&gt;='Итоги'!$F$5,N3932&lt;='Итоги'!$B$5,O3932&gt;='Итоги'!$D$5),"Да","Нет")</x:f>
        <x:v>Нет</x:v>
      </x:c>
    </x:row>
    <x:row r="3933" ht="60" customHeight="1">
      <x:c r="A3933" s="14" t="str">
        <x:v>Товары для дома</x:v>
      </x:c>
      <x:c r="B3933" s="14" t="str">
        <x:v>Хранение</x:v>
      </x:c>
      <x:c r="C3933" s="14" t="str">
        <x:v>Товары для хранения</x:v>
      </x:c>
      <x:c r="D3933" s="14" t="str">
        <x:v>Чехол для одежды</x:v>
      </x:c>
      <x:c r="E3933" s="2" t="n">
        <x:v>3</x:v>
      </x:c>
      <x:c r="F3933" s="2" t="n">
        <x:v>0</x:v>
      </x:c>
      <x:c r="G3933" s="12" t="n">
        <x:v>500648.8327</x:v>
      </x:c>
      <x:c r="H3933" s="12" t="n">
        <x:v>59021.52544733</x:v>
      </x:c>
      <x:c r="I3933" s="13" t="n">
        <x:v>0.1386666666666667</x:v>
      </x:c>
      <x:c r="J3933" s="2" t="n">
        <x:v>0</x:v>
      </x:c>
      <x:c r="K3933" s="2" t="n">
        <x:v>2</x:v>
      </x:c>
      <x:c r="L3933" s="12" t="n">
        <x:v>1070.366</x:v>
      </x:c>
      <x:c r="M3933" s="13" t="n">
        <x:v>0.8161356460104655</x:v>
      </x:c>
      <x:c r="N3933" s="13" t="n">
        <x:f>H3933/G3933</x:f>
        <x:v>0.11789006903107475</x:v>
      </x:c>
      <x:c r="O3933" s="13" t="n">
        <x:f>F3933/E3933</x:f>
        <x:v>0</x:v>
      </x:c>
      <x:c r="P3933" s="2" t="str">
        <x:f>IF(AND(E3933&gt;='Итоги'!$F$5,N3933&lt;='Итоги'!$B$5,O3933&gt;='Итоги'!$D$5),"Да","Нет")</x:f>
        <x:v>Нет</x:v>
      </x:c>
    </x:row>
    <x:row r="3934" ht="60" customHeight="1">
      <x:c r="A3934" s="14" t="str">
        <x:v>Товары для дома</x:v>
      </x:c>
      <x:c r="B3934" s="14" t="str">
        <x:v>Интерьер и декор</x:v>
      </x:c>
      <x:c r="C3934" s="14" t="str">
        <x:v>Украшение интерьера</x:v>
      </x:c>
      <x:c r="D3934" s="14" t="str">
        <x:v>Искусственные цветы, декоративные растения</x:v>
      </x:c>
      <x:c r="E3934" s="2" t="n">
        <x:v>84</x:v>
      </x:c>
      <x:c r="F3934" s="2" t="n">
        <x:v>0</x:v>
      </x:c>
      <x:c r="G3934" s="12" t="n">
        <x:v>10891212.7392</x:v>
      </x:c>
      <x:c r="H3934" s="12" t="n">
        <x:v>1285527.92300317</x:v>
      </x:c>
      <x:c r="I3934" s="13" t="n">
        <x:v>0.115622619047619</x:v>
      </x:c>
      <x:c r="J3934" s="2" t="n">
        <x:v>11</x:v>
      </x:c>
      <x:c r="K3934" s="2" t="n">
        <x:v>37</x:v>
      </x:c>
      <x:c r="L3934" s="12" t="n">
        <x:v>1335.35295</x:v>
      </x:c>
      <x:c r="M3934" s="13" t="n">
        <x:v>0.2191044790183103</x:v>
      </x:c>
      <x:c r="N3934" s="13" t="n">
        <x:f>H3934/G3934</x:f>
        <x:v>0.11803349670842962</x:v>
      </x:c>
      <x:c r="O3934" s="13" t="n">
        <x:f>F3934/E3934</x:f>
        <x:v>0</x:v>
      </x:c>
      <x:c r="P3934" s="2" t="str">
        <x:f>IF(AND(E3934&gt;='Итоги'!$F$5,N3934&lt;='Итоги'!$B$5,O3934&gt;='Итоги'!$D$5),"Да","Нет")</x:f>
        <x:v>Нет</x:v>
      </x:c>
    </x:row>
    <x:row r="3935" ht="60" customHeight="1">
      <x:c r="A3935" s="14" t="str">
        <x:v>Аксессуары</x:v>
      </x:c>
      <x:c r="B3935" s="14" t="str">
        <x:v>Чемоданы, дорожные сумки</x:v>
      </x:c>
      <x:c r="C3935" s="14" t="str">
        <x:v>Дорожные сумки, тележки</x:v>
      </x:c>
      <x:c r="D3935" s="14" t="str">
        <x:v>Портплед</x:v>
      </x:c>
      <x:c r="E3935" s="2" t="n">
        <x:v>6</x:v>
      </x:c>
      <x:c r="F3935" s="2" t="n">
        <x:v>0</x:v>
      </x:c>
      <x:c r="G3935" s="12" t="n">
        <x:v>660920.478</x:v>
      </x:c>
      <x:c r="H3935" s="12" t="n">
        <x:v>78025.14776179999</x:v>
      </x:c>
      <x:c r="I3935" s="13" t="n">
        <x:v>0.0824333333333333</x:v>
      </x:c>
      <x:c r="J3935" s="2" t="n">
        <x:v>1</x:v>
      </x:c>
      <x:c r="K3935" s="2" t="n">
        <x:v>6</x:v>
      </x:c>
      <x:c r="L3935" s="12" t="n">
        <x:v>2663.49715</x:v>
      </x:c>
      <x:c r="M3935" s="13" t="n">
        <x:v>0.3323729236908286</x:v>
      </x:c>
      <x:c r="N3935" s="13" t="n">
        <x:f>H3935/G3935</x:f>
        <x:v>0.1180552734542445</x:v>
      </x:c>
      <x:c r="O3935" s="13" t="n">
        <x:f>F3935/E3935</x:f>
        <x:v>0</x:v>
      </x:c>
      <x:c r="P3935" s="2" t="str">
        <x:f>IF(AND(E3935&gt;='Итоги'!$F$5,N3935&lt;='Итоги'!$B$5,O3935&gt;='Итоги'!$D$5),"Да","Нет")</x:f>
        <x:v>Нет</x:v>
      </x:c>
    </x:row>
    <x:row r="3936" ht="60" customHeight="1">
      <x:c r="A3936" s="14" t="str">
        <x:v>Аптека</x:v>
      </x:c>
      <x:c r="B3936" s="14" t="str">
        <x:v>Медицинская техника</x:v>
      </x:c>
      <x:c r="C3936" s="14" t="str">
        <x:v>Медицинская техника</x:v>
      </x:c>
      <x:c r="D3936" s="14" t="str">
        <x:v>Электрогрелка</x:v>
      </x:c>
      <x:c r="E3936" s="2" t="n">
        <x:v>2</x:v>
      </x:c>
      <x:c r="F3936" s="2" t="n">
        <x:v>0</x:v>
      </x:c>
      <x:c r="G3936" s="12" t="n">
        <x:v>500567.79</x:v>
      </x:c>
      <x:c r="H3936" s="12" t="n">
        <x:v>59095.938579</x:v>
      </x:c>
      <x:c r="I3936" s="13" t="n">
        <x:v>0.1078</x:v>
      </x:c>
      <x:c r="J3936" s="2" t="n">
        <x:v>0</x:v>
      </x:c>
      <x:c r="K3936" s="2" t="n">
        <x:v>2</x:v>
      </x:c>
      <x:c r="L3936" s="12" t="n">
        <x:v>1349.4319</x:v>
      </x:c>
      <x:c r="M3936" s="13" t="n">
        <x:v>0.5709392328259875</x:v>
      </x:c>
      <x:c r="N3936" s="13" t="n">
        <x:f>H3936/G3936</x:f>
        <x:v>0.11805781306663779</x:v>
      </x:c>
      <x:c r="O3936" s="13" t="n">
        <x:f>F3936/E3936</x:f>
        <x:v>0</x:v>
      </x:c>
      <x:c r="P3936" s="2" t="str">
        <x:f>IF(AND(E3936&gt;='Итоги'!$F$5,N3936&lt;='Итоги'!$B$5,O3936&gt;='Итоги'!$D$5),"Да","Нет")</x:f>
        <x:v>Нет</x:v>
      </x:c>
    </x:row>
    <x:row r="3937" ht="60" customHeight="1">
      <x:c r="A3937" s="14" t="str">
        <x:v>Хобби и творчество</x:v>
      </x:c>
      <x:c r="B3937" s="14" t="str">
        <x:v>Взрослое творчество и хобби</x:v>
      </x:c>
      <x:c r="C3937" s="14" t="str">
        <x:v>Шитье</x:v>
      </x:c>
      <x:c r="D3937" s="14" t="str">
        <x:v>Тесьма, кружево, лента, резинка</x:v>
      </x:c>
      <x:c r="E3937" s="2" t="n">
        <x:v>3</x:v>
      </x:c>
      <x:c r="F3937" s="2" t="n">
        <x:v>0</x:v>
      </x:c>
      <x:c r="G3937" s="12" t="n">
        <x:v>279026.8</x:v>
      </x:c>
      <x:c r="H3937" s="12" t="n">
        <x:v>32947.284700000004</x:v>
      </x:c>
      <x:c r="I3937" s="13" t="n">
        <x:v>0.1169666666666666</x:v>
      </x:c>
      <x:c r="J3937" s="2" t="n">
        <x:v>0</x:v>
      </x:c>
      <x:c r="K3937" s="2" t="n">
        <x:v>2</x:v>
      </x:c>
      <x:c r="L3937" s="12" t="n">
        <x:v>1037.4526</x:v>
      </x:c>
      <x:c r="M3937" s="13" t="n">
        <x:v>0.6815180477287486</x:v>
      </x:c>
      <x:c r="N3937" s="13" t="n">
        <x:f>H3937/G3937</x:f>
        <x:v>0.11807928378205966</x:v>
      </x:c>
      <x:c r="O3937" s="13" t="n">
        <x:f>F3937/E3937</x:f>
        <x:v>0</x:v>
      </x:c>
      <x:c r="P3937" s="2" t="str">
        <x:f>IF(AND(E3937&gt;='Итоги'!$F$5,N3937&lt;='Итоги'!$B$5,O3937&gt;='Итоги'!$D$5),"Да","Нет")</x:f>
        <x:v>Нет</x:v>
      </x:c>
    </x:row>
    <x:row r="3938" ht="60" customHeight="1">
      <x:c r="A3938" s="14" t="str">
        <x:v>Строительство и ремонт (DIY)</x:v>
      </x:c>
      <x:c r="B3938" s="14" t="str">
        <x:v>Сад и огород</x:v>
      </x:c>
      <x:c r="C3938" s="14" t="str">
        <x:v>Садовый инструмент</x:v>
      </x:c>
      <x:c r="D3938" s="14" t="str">
        <x:v>Секатор, сучкорез ручной</x:v>
      </x:c>
      <x:c r="E3938" s="2" t="n">
        <x:v>106</x:v>
      </x:c>
      <x:c r="F3938" s="2" t="n">
        <x:v>0</x:v>
      </x:c>
      <x:c r="G3938" s="12" t="n">
        <x:v>18716628.5182</x:v>
      </x:c>
      <x:c r="H3938" s="12" t="n">
        <x:v>2210124.32205524</x:v>
      </x:c>
      <x:c r="I3938" s="13" t="n">
        <x:v>0.1084566037735849</x:v>
      </x:c>
      <x:c r="J3938" s="2" t="n">
        <x:v>26</x:v>
      </x:c>
      <x:c r="K3938" s="2" t="n">
        <x:v>47</x:v>
      </x:c>
      <x:c r="L3938" s="12" t="n">
        <x:v>2056.15385</x:v>
      </x:c>
      <x:c r="M3938" s="13" t="n">
        <x:v>0.3858230780334193</x:v>
      </x:c>
      <x:c r="N3938" s="13" t="n">
        <x:f>H3938/G3938</x:f>
        <x:v>0.11808346358459385</x:v>
      </x:c>
      <x:c r="O3938" s="13" t="n">
        <x:f>F3938/E3938</x:f>
        <x:v>0</x:v>
      </x:c>
      <x:c r="P3938" s="2" t="str">
        <x:f>IF(AND(E3938&gt;='Итоги'!$F$5,N3938&lt;='Итоги'!$B$5,O3938&gt;='Итоги'!$D$5),"Да","Нет")</x:f>
        <x:v>Нет</x:v>
      </x:c>
    </x:row>
    <x:row r="3939" ht="60" customHeight="1">
      <x:c r="A3939" s="14" t="str">
        <x:v>Аптека</x:v>
      </x:c>
      <x:c r="B3939" s="14" t="str">
        <x:v>Медицинские изделия</x:v>
      </x:c>
      <x:c r="C3939" s="14" t="str">
        <x:v>Расходные медицинские материалы</x:v>
      </x:c>
      <x:c r="D3939" s="14" t="str">
        <x:v>Пеленка, простынь одноразовая для процедур</x:v>
      </x:c>
      <x:c r="E3939" s="2" t="n">
        <x:v>15</x:v>
      </x:c>
      <x:c r="F3939" s="2" t="n">
        <x:v>0</x:v>
      </x:c>
      <x:c r="G3939" s="12" t="n">
        <x:v>1906725.3653</x:v>
      </x:c>
      <x:c r="H3939" s="12" t="n">
        <x:v>225199.50998299</x:v>
      </x:c>
      <x:c r="I3939" s="13" t="n">
        <x:v>0.10244</x:v>
      </x:c>
      <x:c r="J3939" s="2" t="n">
        <x:v>2</x:v>
      </x:c>
      <x:c r="K3939" s="2" t="n">
        <x:v>8</x:v>
      </x:c>
      <x:c r="L3939" s="12" t="n">
        <x:v>892.7192</x:v>
      </x:c>
      <x:c r="M3939" s="13" t="n">
        <x:v>0.4885043839826658</x:v>
      </x:c>
      <x:c r="N3939" s="13" t="n">
        <x:f>H3939/G3939</x:f>
        <x:v>0.11810799503763754</x:v>
      </x:c>
      <x:c r="O3939" s="13" t="n">
        <x:f>F3939/E3939</x:f>
        <x:v>0</x:v>
      </x:c>
      <x:c r="P3939" s="2" t="str">
        <x:f>IF(AND(E3939&gt;='Итоги'!$F$5,N3939&lt;='Итоги'!$B$5,O3939&gt;='Итоги'!$D$5),"Да","Нет")</x:f>
        <x:v>Нет</x:v>
      </x:c>
    </x:row>
    <x:row r="3940" ht="60" customHeight="1">
      <x:c r="A3940" s="14" t="str">
        <x:v>Товары для животных</x:v>
      </x:c>
      <x:c r="B3940" s="14" t="str">
        <x:v>Спальное место животного</x:v>
      </x:c>
      <x:c r="C3940" s="14" t="str">
        <x:v>Лежак, подстилка для животных</x:v>
      </x:c>
      <x:c r="D3940" s="14" t="str">
        <x:v>Матрас для животных</x:v>
      </x:c>
      <x:c r="E3940" s="2" t="n">
        <x:v>2</x:v>
      </x:c>
      <x:c r="F3940" s="2" t="n">
        <x:v>0</x:v>
      </x:c>
      <x:c r="G3940" s="12" t="n">
        <x:v>405882.82</x:v>
      </x:c>
      <x:c r="H3940" s="12" t="n">
        <x:v>47968.815522</x:v>
      </x:c>
      <x:c r="I3940" s="13" t="n">
        <x:v>0.0996</x:v>
      </x:c>
      <x:c r="J3940" s="2" t="n">
        <x:v>0</x:v>
      </x:c>
      <x:c r="K3940" s="2" t="n">
        <x:v>1</x:v>
      </x:c>
      <x:c r="L3940" s="12" t="n">
        <x:v>2155.2302</x:v>
      </x:c>
      <x:c r="M3940" s="13" t="n">
        <x:v>1</x:v>
      </x:c>
      <x:c r="N3940" s="13" t="n">
        <x:f>H3940/G3940</x:f>
        <x:v>0.1181839022454806</x:v>
      </x:c>
      <x:c r="O3940" s="13" t="n">
        <x:f>F3940/E3940</x:f>
        <x:v>0</x:v>
      </x:c>
      <x:c r="P3940" s="2" t="str">
        <x:f>IF(AND(E3940&gt;='Итоги'!$F$5,N3940&lt;='Итоги'!$B$5,O3940&gt;='Итоги'!$D$5),"Да","Нет")</x:f>
        <x:v>Нет</x:v>
      </x:c>
    </x:row>
    <x:row r="3941" ht="60" customHeight="1">
      <x:c r="A3941" s="14" t="str">
        <x:v>Товары для красоты и здоровья</x:v>
      </x:c>
      <x:c r="B3941" s="14" t="str">
        <x:v>Косметика для ухода за кожей</x:v>
      </x:c>
      <x:c r="C3941" s="14" t="str">
        <x:v>Ноги</x:v>
      </x:c>
      <x:c r="D3941" s="14" t="str">
        <x:v>Увлажняющее средство для ног</x:v>
      </x:c>
      <x:c r="E3941" s="2" t="n">
        <x:v>30</x:v>
      </x:c>
      <x:c r="F3941" s="2" t="n">
        <x:v>0</x:v>
      </x:c>
      <x:c r="G3941" s="12" t="n">
        <x:v>4734809.1779</x:v>
      </x:c>
      <x:c r="H3941" s="12" t="n">
        <x:v>560335.71625588</x:v>
      </x:c>
      <x:c r="I3941" s="13" t="n">
        <x:v>0.0909766666666666</x:v>
      </x:c>
      <x:c r="J3941" s="2" t="n">
        <x:v>10</x:v>
      </x:c>
      <x:c r="K3941" s="2" t="n">
        <x:v>11</x:v>
      </x:c>
      <x:c r="L3941" s="12" t="n">
        <x:v>1643.2275</x:v>
      </x:c>
      <x:c r="M3941" s="13" t="n">
        <x:v>0.5917685266553264</x:v>
      </x:c>
      <x:c r="N3941" s="13" t="n">
        <x:f>H3941/G3941</x:f>
        <x:v>0.11834388572010038</x:v>
      </x:c>
      <x:c r="O3941" s="13" t="n">
        <x:f>F3941/E3941</x:f>
        <x:v>0</x:v>
      </x:c>
      <x:c r="P3941" s="2" t="str">
        <x:f>IF(AND(E3941&gt;='Итоги'!$F$5,N3941&lt;='Итоги'!$B$5,O3941&gt;='Итоги'!$D$5),"Да","Нет")</x:f>
        <x:v>Нет</x:v>
      </x:c>
    </x:row>
    <x:row r="3942" ht="60" customHeight="1">
      <x:c r="A3942" s="14" t="str">
        <x:v>Товары для дома</x:v>
      </x:c>
      <x:c r="B3942" s="14" t="str">
        <x:v>Аксессуары для уборки и стирки</x:v>
      </x:c>
      <x:c r="C3942" s="14" t="str">
        <x:v>Аксессуар для уборки</x:v>
      </x:c>
      <x:c r="D3942" s="14" t="str">
        <x:v>Держатель инвентаря для уборки</x:v>
      </x:c>
      <x:c r="E3942" s="2" t="n">
        <x:v>2</x:v>
      </x:c>
      <x:c r="F3942" s="2" t="n">
        <x:v>0</x:v>
      </x:c>
      <x:c r="G3942" s="12" t="n">
        <x:v>222178.2934</x:v>
      </x:c>
      <x:c r="H3942" s="12" t="n">
        <x:v>26303.8853</x:v>
      </x:c>
      <x:c r="I3942" s="13" t="n">
        <x:v>0.11215</x:v>
      </x:c>
      <x:c r="J3942" s="2" t="n">
        <x:v>1</x:v>
      </x:c>
      <x:c r="K3942" s="2" t="n">
        <x:v>2</x:v>
      </x:c>
      <x:c r="L3942" s="12" t="n">
        <x:v>4431.04425</x:v>
      </x:c>
      <x:c r="M3942" s="13" t="n">
        <x:v>0.5278238400583556</x:v>
      </x:c>
      <x:c r="N3942" s="13" t="n">
        <x:f>H3942/G3942</x:f>
        <x:v>0.11839088732508916</x:v>
      </x:c>
      <x:c r="O3942" s="13" t="n">
        <x:f>F3942/E3942</x:f>
        <x:v>0</x:v>
      </x:c>
      <x:c r="P3942" s="2" t="str">
        <x:f>IF(AND(E3942&gt;='Итоги'!$F$5,N3942&lt;='Итоги'!$B$5,O3942&gt;='Итоги'!$D$5),"Да","Нет")</x:f>
        <x:v>Нет</x:v>
      </x:c>
    </x:row>
    <x:row r="3943" ht="60" customHeight="1">
      <x:c r="A3943" s="14" t="str">
        <x:v>Товары для дома</x:v>
      </x:c>
      <x:c r="B3943" s="14" t="str">
        <x:v>Ванная комната</x:v>
      </x:c>
      <x:c r="C3943" s="14" t="str">
        <x:v>Полки для ванной</x:v>
      </x:c>
      <x:c r="D3943" s="14" t="str">
        <x:v>Полка для ванной</x:v>
      </x:c>
      <x:c r="E3943" s="2" t="n">
        <x:v>163</x:v>
      </x:c>
      <x:c r="F3943" s="2" t="n">
        <x:v>0</x:v>
      </x:c>
      <x:c r="G3943" s="12" t="n">
        <x:v>26901823.2314</x:v>
      </x:c>
      <x:c r="H3943" s="12" t="n">
        <x:v>3185336.12122397</x:v>
      </x:c>
      <x:c r="I3943" s="13" t="n">
        <x:v>0.1289582822085889</x:v>
      </x:c>
      <x:c r="J3943" s="2" t="n">
        <x:v>10</x:v>
      </x:c>
      <x:c r="K3943" s="2" t="n">
        <x:v>66</x:v>
      </x:c>
      <x:c r="L3943" s="12" t="n">
        <x:v>1102.7397</x:v>
      </x:c>
      <x:c r="M3943" s="13" t="n">
        <x:v>0.4211051459507509</x:v>
      </x:c>
      <x:c r="N3943" s="13" t="n">
        <x:f>H3943/G3943</x:f>
        <x:v>0.11840595686860445</x:v>
      </x:c>
      <x:c r="O3943" s="13" t="n">
        <x:f>F3943/E3943</x:f>
        <x:v>0</x:v>
      </x:c>
      <x:c r="P3943" s="2" t="str">
        <x:f>IF(AND(E3943&gt;='Итоги'!$F$5,N3943&lt;='Итоги'!$B$5,O3943&gt;='Итоги'!$D$5),"Да","Нет")</x:f>
        <x:v>Нет</x:v>
      </x:c>
    </x:row>
    <x:row r="3944" ht="60" customHeight="1">
      <x:c r="A3944" s="14" t="str">
        <x:v>Товары для детей и спорта</x:v>
      </x:c>
      <x:c r="B3944" s="14" t="str">
        <x:v>Электроника детская</x:v>
      </x:c>
      <x:c r="C3944" s="14" t="str">
        <x:v>Электроника детская</x:v>
      </x:c>
      <x:c r="D3944" s="14" t="str">
        <x:v>Блендер, комбайн для смесей</x:v>
      </x:c>
      <x:c r="E3944" s="2" t="n">
        <x:v>4</x:v>
      </x:c>
      <x:c r="F3944" s="2" t="n">
        <x:v>0</x:v>
      </x:c>
      <x:c r="G3944" s="12" t="n">
        <x:v>415359.1</x:v>
      </x:c>
      <x:c r="H3944" s="12" t="n">
        <x:v>49215.710202</x:v>
      </x:c>
      <x:c r="I3944" s="13" t="n">
        <x:v>0.14165</x:v>
      </x:c>
      <x:c r="J3944" s="2" t="n">
        <x:v>0</x:v>
      </x:c>
      <x:c r="K3944" s="2" t="n">
        <x:v>2</x:v>
      </x:c>
      <x:c r="L3944" s="12" t="n">
        <x:v>3625.73085</x:v>
      </x:c>
      <x:c r="M3944" s="13" t="n">
        <x:v>0.587402563227819</x:v>
      </x:c>
      <x:c r="N3944" s="13" t="n">
        <x:f>H3944/G3944</x:f>
        <x:v>0.1184895436310412</x:v>
      </x:c>
      <x:c r="O3944" s="13" t="n">
        <x:f>F3944/E3944</x:f>
        <x:v>0</x:v>
      </x:c>
      <x:c r="P3944" s="2" t="str">
        <x:f>IF(AND(E3944&gt;='Итоги'!$F$5,N3944&lt;='Итоги'!$B$5,O3944&gt;='Итоги'!$D$5),"Да","Нет")</x:f>
        <x:v>Нет</x:v>
      </x:c>
    </x:row>
    <x:row r="3945" ht="60" customHeight="1">
      <x:c r="A3945" s="14" t="str">
        <x:v>Одежда</x:v>
      </x:c>
      <x:c r="B3945" s="14" t="str">
        <x:v>Основная одежда мужская</x:v>
      </x:c>
      <x:c r="C3945" s="14" t="str">
        <x:v>Спортивная основная одежда мужская комплект</x:v>
      </x:c>
      <x:c r="D3945" s="14" t="str">
        <x:v>Термобелье мужское- комплект</x:v>
      </x:c>
      <x:c r="E3945" s="2" t="n">
        <x:v>26</x:v>
      </x:c>
      <x:c r="F3945" s="2" t="n">
        <x:v>0</x:v>
      </x:c>
      <x:c r="G3945" s="12" t="n">
        <x:v>2757590.4882</x:v>
      </x:c>
      <x:c r="H3945" s="12" t="n">
        <x:v>326913.44517176</x:v>
      </x:c>
      <x:c r="I3945" s="13" t="n">
        <x:v>0.1161961538461538</x:v>
      </x:c>
      <x:c r="J3945" s="2" t="n">
        <x:v>2</x:v>
      </x:c>
      <x:c r="K3945" s="2" t="n">
        <x:v>3</x:v>
      </x:c>
      <x:c r="L3945" s="12" t="n">
        <x:v>1551.11535</x:v>
      </x:c>
      <x:c r="M3945" s="13" t="n">
        <x:v>0.7509354002565057</x:v>
      </x:c>
      <x:c r="N3945" s="13" t="n">
        <x:f>H3945/G3945</x:f>
        <x:v>0.1185503962864155</x:v>
      </x:c>
      <x:c r="O3945" s="13" t="n">
        <x:f>F3945/E3945</x:f>
        <x:v>0</x:v>
      </x:c>
      <x:c r="P3945" s="2" t="str">
        <x:f>IF(AND(E3945&gt;='Итоги'!$F$5,N3945&lt;='Итоги'!$B$5,O3945&gt;='Итоги'!$D$5),"Да","Нет")</x:f>
        <x:v>Нет</x:v>
      </x:c>
    </x:row>
    <x:row r="3946" ht="60" customHeight="1">
      <x:c r="A3946" s="14" t="str">
        <x:v>Аксессуары для электроники</x:v>
      </x:c>
      <x:c r="B3946" s="14" t="str">
        <x:v>Фото и видео Access</x:v>
      </x:c>
      <x:c r="C3946" s="14" t="str">
        <x:v>Аксессуар к фото и видео Access</x:v>
      </x:c>
      <x:c r="D3946" s="14" t="str">
        <x:v>Фотовспышка</x:v>
      </x:c>
      <x:c r="E3946" s="2" t="n">
        <x:v>3</x:v>
      </x:c>
      <x:c r="F3946" s="2" t="n">
        <x:v>0</x:v>
      </x:c>
      <x:c r="G3946" s="12" t="n">
        <x:v>375430.75</x:v>
      </x:c>
      <x:c r="H3946" s="12" t="n">
        <x:v>44518.950539000005</x:v>
      </x:c>
      <x:c r="I3946" s="13" t="n">
        <x:v>0.0786666666666666</x:v>
      </x:c>
      <x:c r="J3946" s="2" t="n">
        <x:v>0</x:v>
      </x:c>
      <x:c r="K3946" s="2" t="n">
        <x:v>3</x:v>
      </x:c>
      <x:c r="L3946" s="12" t="n">
        <x:v>8779.8658</x:v>
      </x:c>
      <x:c r="M3946" s="13" t="n">
        <x:v>0.5294754358826494</x:v>
      </x:c>
      <x:c r="N3946" s="13" t="n">
        <x:f>H3946/G3946</x:f>
        <x:v>0.1185809914052059</x:v>
      </x:c>
      <x:c r="O3946" s="13" t="n">
        <x:f>F3946/E3946</x:f>
        <x:v>0</x:v>
      </x:c>
      <x:c r="P3946" s="2" t="str">
        <x:f>IF(AND(E3946&gt;='Итоги'!$F$5,N3946&lt;='Итоги'!$B$5,O3946&gt;='Итоги'!$D$5),"Да","Нет")</x:f>
        <x:v>Нет</x:v>
      </x:c>
    </x:row>
    <x:row r="3947" ht="60" customHeight="1">
      <x:c r="A3947" s="14" t="str">
        <x:v>Товары для красоты и здоровья</x:v>
      </x:c>
      <x:c r="B3947" s="14" t="str">
        <x:v>Косметическая техника</x:v>
      </x:c>
      <x:c r="C3947" s="14" t="str">
        <x:v>Приборы для косметических процедур</x:v>
      </x:c>
      <x:c r="D3947" s="14" t="str">
        <x:v>Прибор для очищения кожи</x:v>
      </x:c>
      <x:c r="E3947" s="2" t="n">
        <x:v>11</x:v>
      </x:c>
      <x:c r="F3947" s="2" t="n">
        <x:v>0</x:v>
      </x:c>
      <x:c r="G3947" s="12" t="n">
        <x:v>1437654.2667</x:v>
      </x:c>
      <x:c r="H3947" s="12" t="n">
        <x:v>170484.88560048</x:v>
      </x:c>
      <x:c r="I3947" s="13" t="n">
        <x:v>0.1268999999999999</x:v>
      </x:c>
      <x:c r="J3947" s="2" t="n">
        <x:v>2</x:v>
      </x:c>
      <x:c r="K3947" s="2" t="n">
        <x:v>3</x:v>
      </x:c>
      <x:c r="L3947" s="12" t="n">
        <x:v>4527.3103</x:v>
      </x:c>
      <x:c r="M3947" s="13" t="n">
        <x:v>0.6609151440012208</x:v>
      </x:c>
      <x:c r="N3947" s="13" t="n">
        <x:f>H3947/G3947</x:f>
        <x:v>0.1185854551747076</x:v>
      </x:c>
      <x:c r="O3947" s="13" t="n">
        <x:f>F3947/E3947</x:f>
        <x:v>0</x:v>
      </x:c>
      <x:c r="P3947" s="2" t="str">
        <x:f>IF(AND(E3947&gt;='Итоги'!$F$5,N3947&lt;='Итоги'!$B$5,O3947&gt;='Итоги'!$D$5),"Да","Нет")</x:f>
        <x:v>Нет</x:v>
      </x:c>
    </x:row>
    <x:row r="3948" ht="60" customHeight="1">
      <x:c r="A3948" s="14" t="str">
        <x:v>Аптека</x:v>
      </x:c>
      <x:c r="B3948" s="14" t="str">
        <x:v>Ортопедия и компрессионный трикотаж</x:v>
      </x:c>
      <x:c r="C3948" s="14" t="str">
        <x:v>Ортезы и бандажи</x:v>
      </x:c>
      <x:c r="D3948" s="14" t="str">
        <x:v>Ортезы и бандажи</x:v>
      </x:c>
      <x:c r="E3948" s="2" t="n">
        <x:v>141</x:v>
      </x:c>
      <x:c r="F3948" s="2" t="n">
        <x:v>0</x:v>
      </x:c>
      <x:c r="G3948" s="12" t="n">
        <x:v>17572043.7461</x:v>
      </x:c>
      <x:c r="H3948" s="12" t="n">
        <x:v>2085532.97958623</x:v>
      </x:c>
      <x:c r="I3948" s="13" t="n">
        <x:v>0.1113751773049645</x:v>
      </x:c>
      <x:c r="J3948" s="2" t="n">
        <x:v>19</x:v>
      </x:c>
      <x:c r="K3948" s="2" t="n">
        <x:v>34</x:v>
      </x:c>
      <x:c r="L3948" s="12" t="n">
        <x:v>1584.0191</x:v>
      </x:c>
      <x:c r="M3948" s="13" t="n">
        <x:v>0.554614079774471</x:v>
      </x:c>
      <x:c r="N3948" s="13" t="n">
        <x:f>H3948/G3948</x:f>
        <x:v>0.11868471361216024</x:v>
      </x:c>
      <x:c r="O3948" s="13" t="n">
        <x:f>F3948/E3948</x:f>
        <x:v>0</x:v>
      </x:c>
      <x:c r="P3948" s="2" t="str">
        <x:f>IF(AND(E3948&gt;='Итоги'!$F$5,N3948&lt;='Итоги'!$B$5,O3948&gt;='Итоги'!$D$5),"Да","Нет")</x:f>
        <x:v>Нет</x:v>
      </x:c>
    </x:row>
    <x:row r="3949" ht="60" customHeight="1">
      <x:c r="A3949" s="14" t="str">
        <x:v>Товары для дома</x:v>
      </x:c>
      <x:c r="B3949" s="14" t="str">
        <x:v>Кухня</x:v>
      </x:c>
      <x:c r="C3949" s="14" t="str">
        <x:v>Кухонная утварь и принадлежности</x:v>
      </x:c>
      <x:c r="D3949" s="14" t="str">
        <x:v>Кухонные аксессуары</x:v>
      </x:c>
      <x:c r="E3949" s="2" t="n">
        <x:v>32</x:v>
      </x:c>
      <x:c r="F3949" s="2" t="n">
        <x:v>0</x:v>
      </x:c>
      <x:c r="G3949" s="12" t="n">
        <x:v>5028850.6144</x:v>
      </x:c>
      <x:c r="H3949" s="12" t="n">
        <x:v>597156.8060712001</x:v>
      </x:c>
      <x:c r="I3949" s="13" t="n">
        <x:v>0.111578125</x:v>
      </x:c>
      <x:c r="J3949" s="2" t="n">
        <x:v>6</x:v>
      </x:c>
      <x:c r="K3949" s="2" t="n">
        <x:v>13</x:v>
      </x:c>
      <x:c r="L3949" s="12" t="n">
        <x:v>1162.59775</x:v>
      </x:c>
      <x:c r="M3949" s="13" t="n">
        <x:v>0.3103678314743935</x:v>
      </x:c>
      <x:c r="N3949" s="13" t="n">
        <x:f>H3949/G3949</x:f>
        <x:v>0.1187461811574309</x:v>
      </x:c>
      <x:c r="O3949" s="13" t="n">
        <x:f>F3949/E3949</x:f>
        <x:v>0</x:v>
      </x:c>
      <x:c r="P3949" s="2" t="str">
        <x:f>IF(AND(E3949&gt;='Итоги'!$F$5,N3949&lt;='Итоги'!$B$5,O3949&gt;='Итоги'!$D$5),"Да","Нет")</x:f>
        <x:v>Нет</x:v>
      </x:c>
    </x:row>
    <x:row r="3950" ht="60" customHeight="1">
      <x:c r="A3950" s="14" t="str">
        <x:v>Товары для дома</x:v>
      </x:c>
      <x:c r="B3950" s="14" t="str">
        <x:v>Кухня</x:v>
      </x:c>
      <x:c r="C3950" s="14" t="str">
        <x:v>Термопосуда</x:v>
      </x:c>
      <x:c r="D3950" s="14" t="str">
        <x:v>Термографин, термокувшин</x:v>
      </x:c>
      <x:c r="E3950" s="2" t="n">
        <x:v>2</x:v>
      </x:c>
      <x:c r="F3950" s="2" t="n">
        <x:v>0</x:v>
      </x:c>
      <x:c r="G3950" s="12" t="n">
        <x:v>164625.29080000002</x:v>
      </x:c>
      <x:c r="H3950" s="12" t="n">
        <x:v>19559.3899106</x:v>
      </x:c>
      <x:c r="I3950" s="13" t="n">
        <x:v>0.122</x:v>
      </x:c>
      <x:c r="J3950" s="2" t="n">
        <x:v>0</x:v>
      </x:c>
      <x:c r="K3950" s="2" t="n">
        <x:v>1</x:v>
      </x:c>
      <x:c r="L3950" s="12" t="n">
        <x:v>1644.43775</x:v>
      </x:c>
      <x:c r="M3950" s="13" t="n">
        <x:v>1</x:v>
      </x:c>
      <x:c r="N3950" s="13" t="n">
        <x:f>H3950/G3950</x:f>
        <x:v>0.11881157394195471</x:v>
      </x:c>
      <x:c r="O3950" s="13" t="n">
        <x:f>F3950/E3950</x:f>
        <x:v>0</x:v>
      </x:c>
      <x:c r="P3950" s="2" t="str">
        <x:f>IF(AND(E3950&gt;='Итоги'!$F$5,N3950&lt;='Итоги'!$B$5,O3950&gt;='Итоги'!$D$5),"Да","Нет")</x:f>
        <x:v>Нет</x:v>
      </x:c>
    </x:row>
    <x:row r="3951" ht="60" customHeight="1">
      <x:c r="A3951" s="14" t="str">
        <x:v>Хобби и творчество</x:v>
      </x:c>
      <x:c r="B3951" s="14" t="str">
        <x:v>Взрослое творчество и хобби</x:v>
      </x:c>
      <x:c r="C3951" s="14" t="str">
        <x:v>Гадание и аксессуары</x:v>
      </x:c>
      <x:c r="D3951" s="14" t="str">
        <x:v>Карты Таро</x:v>
      </x:c>
      <x:c r="E3951" s="2" t="n">
        <x:v>10</x:v>
      </x:c>
      <x:c r="F3951" s="2" t="n">
        <x:v>0</x:v>
      </x:c>
      <x:c r="G3951" s="12" t="n">
        <x:v>851365.7356</x:v>
      </x:c>
      <x:c r="H3951" s="12" t="n">
        <x:v>101253.84958616</x:v>
      </x:c>
      <x:c r="I3951" s="13" t="n">
        <x:v>0.10836</x:v>
      </x:c>
      <x:c r="J3951" s="2" t="n">
        <x:v>2</x:v>
      </x:c>
      <x:c r="K3951" s="2" t="n">
        <x:v>7</x:v>
      </x:c>
      <x:c r="L3951" s="12" t="n">
        <x:v>1922.18045</x:v>
      </x:c>
      <x:c r="M3951" s="13" t="n">
        <x:v>0.310866295803507</x:v>
      </x:c>
      <x:c r="N3951" s="13" t="n">
        <x:f>H3951/G3951</x:f>
        <x:v>0.11893108373077917</x:v>
      </x:c>
      <x:c r="O3951" s="13" t="n">
        <x:f>F3951/E3951</x:f>
        <x:v>0</x:v>
      </x:c>
      <x:c r="P3951" s="2" t="str">
        <x:f>IF(AND(E3951&gt;='Итоги'!$F$5,N3951&lt;='Итоги'!$B$5,O3951&gt;='Итоги'!$D$5),"Да","Нет")</x:f>
        <x:v>Нет</x:v>
      </x:c>
    </x:row>
    <x:row r="3952" ht="60" customHeight="1">
      <x:c r="A3952" s="14" t="str">
        <x:v>Спорт и отдых</x:v>
      </x:c>
      <x:c r="B3952" s="14" t="str">
        <x:v>Тренажеры и фитнес</x:v>
      </x:c>
      <x:c r="C3952" s="14" t="str">
        <x:v>Спортивная защита универсальная</x:v>
      </x:c>
      <x:c r="D3952" s="14" t="str">
        <x:v>Тейп, бинт универсальный спортивный</x:v>
      </x:c>
      <x:c r="E3952" s="2" t="n">
        <x:v>10</x:v>
      </x:c>
      <x:c r="F3952" s="2" t="n">
        <x:v>0</x:v>
      </x:c>
      <x:c r="G3952" s="12" t="n">
        <x:v>1861140.8974</x:v>
      </x:c>
      <x:c r="H3952" s="12" t="n">
        <x:v>221442.16765937</x:v>
      </x:c>
      <x:c r="I3952" s="13" t="n">
        <x:v>0.11445</x:v>
      </x:c>
      <x:c r="J3952" s="2" t="n">
        <x:v>0</x:v>
      </x:c>
      <x:c r="K3952" s="2" t="n">
        <x:v>4</x:v>
      </x:c>
      <x:c r="L3952" s="12" t="n">
        <x:v>974.87715</x:v>
      </x:c>
      <x:c r="M3952" s="13" t="n">
        <x:v>0.5816486644897689</x:v>
      </x:c>
      <x:c r="N3952" s="13" t="n">
        <x:f>H3952/G3952</x:f>
        <x:v>0.11898194702438868</x:v>
      </x:c>
      <x:c r="O3952" s="13" t="n">
        <x:f>F3952/E3952</x:f>
        <x:v>0</x:v>
      </x:c>
      <x:c r="P3952" s="2" t="str">
        <x:f>IF(AND(E3952&gt;='Итоги'!$F$5,N3952&lt;='Итоги'!$B$5,O3952&gt;='Итоги'!$D$5),"Да","Нет")</x:f>
        <x:v>Нет</x:v>
      </x:c>
    </x:row>
    <x:row r="3953" ht="60" customHeight="1">
      <x:c r="A3953" s="14" t="str">
        <x:v>Бакалея и кондитерские изделия</x:v>
      </x:c>
      <x:c r="B3953" s="14" t="str">
        <x:v>Кондитерские изделия</x:v>
      </x:c>
      <x:c r="C3953" s="14" t="str">
        <x:v>Конфеты</x:v>
      </x:c>
      <x:c r="D3953" s="14" t="str">
        <x:v>Сюрприз-бокс кондитерский</x:v>
      </x:c>
      <x:c r="E3953" s="2" t="n">
        <x:v>37</x:v>
      </x:c>
      <x:c r="F3953" s="2" t="n">
        <x:v>0</x:v>
      </x:c>
      <x:c r="G3953" s="12" t="n">
        <x:v>5777664.3815</x:v>
      </x:c>
      <x:c r="H3953" s="12" t="n">
        <x:v>687902.7929496</x:v>
      </x:c>
      <x:c r="I3953" s="13" t="n">
        <x:v>0.1273324324324324</x:v>
      </x:c>
      <x:c r="J3953" s="2" t="n">
        <x:v>3</x:v>
      </x:c>
      <x:c r="K3953" s="2" t="n">
        <x:v>23</x:v>
      </x:c>
      <x:c r="L3953" s="12" t="n">
        <x:v>1134.4257</x:v>
      </x:c>
      <x:c r="M3953" s="13" t="n">
        <x:v>0.1215314979437595</x:v>
      </x:c>
      <x:c r="N3953" s="13" t="n">
        <x:f>H3953/G3953</x:f>
        <x:v>0.11906243553229832</x:v>
      </x:c>
      <x:c r="O3953" s="13" t="n">
        <x:f>F3953/E3953</x:f>
        <x:v>0</x:v>
      </x:c>
      <x:c r="P3953" s="2" t="str">
        <x:f>IF(AND(E3953&gt;='Итоги'!$F$5,N3953&lt;='Итоги'!$B$5,O3953&gt;='Итоги'!$D$5),"Да","Нет")</x:f>
        <x:v>Нет</x:v>
      </x:c>
    </x:row>
    <x:row r="3954" ht="60" customHeight="1">
      <x:c r="A3954" s="14" t="str">
        <x:v>Аксессуары</x:v>
      </x:c>
      <x:c r="B3954" s="14" t="str">
        <x:v>Галантерея</x:v>
      </x:c>
      <x:c r="C3954" s="14" t="str">
        <x:v>Галантерея мужская</x:v>
      </x:c>
      <x:c r="D3954" s="14" t="str">
        <x:v>Мужское Портмоне</x:v>
      </x:c>
      <x:c r="E3954" s="2" t="n">
        <x:v>53</x:v>
      </x:c>
      <x:c r="F3954" s="2" t="n">
        <x:v>0</x:v>
      </x:c>
      <x:c r="G3954" s="12" t="n">
        <x:v>6362624.1251</x:v>
      </x:c>
      <x:c r="H3954" s="12" t="n">
        <x:v>759156.21170758</x:v>
      </x:c>
      <x:c r="I3954" s="13" t="n">
        <x:v>0.1162679245283019</x:v>
      </x:c>
      <x:c r="J3954" s="2" t="n">
        <x:v>9</x:v>
      </x:c>
      <x:c r="K3954" s="2" t="n">
        <x:v>27</x:v>
      </x:c>
      <x:c r="L3954" s="12" t="n">
        <x:v>1811.9517</x:v>
      </x:c>
      <x:c r="M3954" s="13" t="n">
        <x:v>0.360147113525111</x:v>
      </x:c>
      <x:c r="N3954" s="13" t="n">
        <x:f>H3954/G3954</x:f>
        <x:v>0.11931495508476993</x:v>
      </x:c>
      <x:c r="O3954" s="13" t="n">
        <x:f>F3954/E3954</x:f>
        <x:v>0</x:v>
      </x:c>
      <x:c r="P3954" s="2" t="str">
        <x:f>IF(AND(E3954&gt;='Итоги'!$F$5,N3954&lt;='Итоги'!$B$5,O3954&gt;='Итоги'!$D$5),"Да","Нет")</x:f>
        <x:v>Нет</x:v>
      </x:c>
    </x:row>
    <x:row r="3955" ht="60" customHeight="1">
      <x:c r="A3955" s="14" t="str">
        <x:v>Товары для животных</x:v>
      </x:c>
      <x:c r="B3955" s="14" t="str">
        <x:v>Товары для прогулки и дрессировки животных</x:v>
      </x:c>
      <x:c r="C3955" s="14" t="str">
        <x:v>Аксессуары для прогулки и дрессировки животных</x:v>
      </x:c>
      <x:c r="D3955" s="14" t="str">
        <x:v>Пакет гигиенический для животных</x:v>
      </x:c>
      <x:c r="E3955" s="2" t="n">
        <x:v>2</x:v>
      </x:c>
      <x:c r="F3955" s="2" t="n">
        <x:v>0</x:v>
      </x:c>
      <x:c r="G3955" s="12" t="n">
        <x:v>254359.23</x:v>
      </x:c>
      <x:c r="H3955" s="12" t="n">
        <x:v>30353.097379</x:v>
      </x:c>
      <x:c r="I3955" s="13" t="n">
        <x:v>0.1146</x:v>
      </x:c>
      <x:c r="J3955" s="2" t="n">
        <x:v>0</x:v>
      </x:c>
      <x:c r="K3955" s="2" t="n">
        <x:v>2</x:v>
      </x:c>
      <x:c r="L3955" s="12" t="n">
        <x:v>1019.84795</x:v>
      </x:c>
      <x:c r="M3955" s="13" t="n">
        <x:v>0.5824322946723813</x:v>
      </x:c>
      <x:c r="N3955" s="13" t="n">
        <x:f>H3955/G3955</x:f>
        <x:v>0.11933161371419468</x:v>
      </x:c>
      <x:c r="O3955" s="13" t="n">
        <x:f>F3955/E3955</x:f>
        <x:v>0</x:v>
      </x:c>
      <x:c r="P3955" s="2" t="str">
        <x:f>IF(AND(E3955&gt;='Итоги'!$F$5,N3955&lt;='Итоги'!$B$5,O3955&gt;='Итоги'!$D$5),"Да","Нет")</x:f>
        <x:v>Нет</x:v>
      </x:c>
    </x:row>
    <x:row r="3956" ht="60" customHeight="1">
      <x:c r="A3956" s="14" t="str">
        <x:v>Товары для детей и спорта</x:v>
      </x:c>
      <x:c r="B3956" s="14" t="str">
        <x:v>КГТ и аксессуары для детей</x:v>
      </x:c>
      <x:c r="C3956" s="14" t="str">
        <x:v>Детская мебель и аксессуары в дом</x:v>
      </x:c>
      <x:c r="D3956" s="14" t="str">
        <x:v>Коробка, корзина, ящик для вещей, игрушек</x:v>
      </x:c>
      <x:c r="E3956" s="2" t="n">
        <x:v>32</x:v>
      </x:c>
      <x:c r="F3956" s="2" t="n">
        <x:v>0</x:v>
      </x:c>
      <x:c r="G3956" s="12" t="n">
        <x:v>4063594.4644</x:v>
      </x:c>
      <x:c r="H3956" s="12" t="n">
        <x:v>484921.8315588</x:v>
      </x:c>
      <x:c r="I3956" s="13" t="n">
        <x:v>0.1118499999999999</x:v>
      </x:c>
      <x:c r="J3956" s="2" t="n">
        <x:v>6</x:v>
      </x:c>
      <x:c r="K3956" s="2" t="n">
        <x:v>10</x:v>
      </x:c>
      <x:c r="L3956" s="12" t="n">
        <x:v>3461.0907</x:v>
      </x:c>
      <x:c r="M3956" s="13" t="n">
        <x:v>0.5011160926218728</x:v>
      </x:c>
      <x:c r="N3956" s="13" t="n">
        <x:f>H3956/G3956</x:f>
        <x:v>0.11933322476124594</x:v>
      </x:c>
      <x:c r="O3956" s="13" t="n">
        <x:f>F3956/E3956</x:f>
        <x:v>0</x:v>
      </x:c>
      <x:c r="P3956" s="2" t="str">
        <x:f>IF(AND(E3956&gt;='Итоги'!$F$5,N3956&lt;='Итоги'!$B$5,O3956&gt;='Итоги'!$D$5),"Да","Нет")</x:f>
        <x:v>Нет</x:v>
      </x:c>
    </x:row>
    <x:row r="3957" ht="60" customHeight="1">
      <x:c r="A3957" s="14" t="str">
        <x:v>Автотовары</x:v>
      </x:c>
      <x:c r="B3957" s="14" t="str">
        <x:v>Универсальные авто и мото аксессуары</x:v>
      </x:c>
      <x:c r="C3957" s="14" t="str">
        <x:v>Автотовары в дорогу</x:v>
      </x:c>
      <x:c r="D3957" s="14" t="str">
        <x:v>Трос, крюк буксировочные</x:v>
      </x:c>
      <x:c r="E3957" s="2" t="n">
        <x:v>23</x:v>
      </x:c>
      <x:c r="F3957" s="2" t="n">
        <x:v>0</x:v>
      </x:c>
      <x:c r="G3957" s="12" t="n">
        <x:v>3557284.9654</x:v>
      </x:c>
      <x:c r="H3957" s="12" t="n">
        <x:v>424564.1366661</x:v>
      </x:c>
      <x:c r="I3957" s="13" t="n">
        <x:v>0.1129</x:v>
      </x:c>
      <x:c r="J3957" s="2" t="n">
        <x:v>2</x:v>
      </x:c>
      <x:c r="K3957" s="2" t="n">
        <x:v>4</x:v>
      </x:c>
      <x:c r="L3957" s="12" t="n">
        <x:v>1362.207</x:v>
      </x:c>
      <x:c r="M3957" s="13" t="n">
        <x:v>0.896876919654158</x:v>
      </x:c>
      <x:c r="N3957" s="13" t="n">
        <x:f>H3957/G3957</x:f>
        <x:v>0.11935061171529163</x:v>
      </x:c>
      <x:c r="O3957" s="13" t="n">
        <x:f>F3957/E3957</x:f>
        <x:v>0</x:v>
      </x:c>
      <x:c r="P3957" s="2" t="str">
        <x:f>IF(AND(E3957&gt;='Итоги'!$F$5,N3957&lt;='Итоги'!$B$5,O3957&gt;='Итоги'!$D$5),"Да","Нет")</x:f>
        <x:v>Нет</x:v>
      </x:c>
    </x:row>
    <x:row r="3958" ht="60" customHeight="1">
      <x:c r="A3958" s="14" t="str">
        <x:v>Товары для красоты и здоровья</x:v>
      </x:c>
      <x:c r="B3958" s="14" t="str">
        <x:v>Парфюмерия, ароматерапия</x:v>
      </x:c>
      <x:c r="C3958" s="14" t="str">
        <x:v>Ароматерапия</x:v>
      </x:c>
      <x:c r="D3958" s="14" t="str">
        <x:v>Эфирное масло косметическое</x:v>
      </x:c>
      <x:c r="E3958" s="2" t="n">
        <x:v>19</x:v>
      </x:c>
      <x:c r="F3958" s="2" t="n">
        <x:v>0</x:v>
      </x:c>
      <x:c r="G3958" s="12" t="n">
        <x:v>2109314.1748</x:v>
      </x:c>
      <x:c r="H3958" s="12" t="n">
        <x:v>251794.19016723</x:v>
      </x:c>
      <x:c r="I3958" s="13" t="n">
        <x:v>0.1136210526315789</x:v>
      </x:c>
      <x:c r="J3958" s="2" t="n">
        <x:v>3</x:v>
      </x:c>
      <x:c r="K3958" s="2" t="n">
        <x:v>13</x:v>
      </x:c>
      <x:c r="L3958" s="12" t="n">
        <x:v>1028.1776</x:v>
      </x:c>
      <x:c r="M3958" s="13" t="n">
        <x:v>0.4339687389086046</x:v>
      </x:c>
      <x:c r="N3958" s="13" t="n">
        <x:f>H3958/G3958</x:f>
        <x:v>0.1193725397455808</x:v>
      </x:c>
      <x:c r="O3958" s="13" t="n">
        <x:f>F3958/E3958</x:f>
        <x:v>0</x:v>
      </x:c>
      <x:c r="P3958" s="2" t="str">
        <x:f>IF(AND(E3958&gt;='Итоги'!$F$5,N3958&lt;='Итоги'!$B$5,O3958&gt;='Итоги'!$D$5),"Да","Нет")</x:f>
        <x:v>Нет</x:v>
      </x:c>
    </x:row>
    <x:row r="3959" ht="60" customHeight="1">
      <x:c r="A3959" s="14" t="str">
        <x:v>Спорт и отдых</x:v>
      </x:c>
      <x:c r="B3959" s="14" t="str">
        <x:v>Водные виды спорта</x:v>
      </x:c>
      <x:c r="C3959" s="14" t="str">
        <x:v>Дайвинг</x:v>
      </x:c>
      <x:c r="D3959" s="14" t="str">
        <x:v>Нож для дайвинга</x:v>
      </x:c>
      <x:c r="E3959" s="2" t="n">
        <x:v>1</x:v>
      </x:c>
      <x:c r="F3959" s="2" t="n">
        <x:v>0</x:v>
      </x:c>
      <x:c r="G3959" s="12" t="n">
        <x:v>21177</x:v>
      </x:c>
      <x:c r="H3959" s="12" t="n">
        <x:v>2530.6515</x:v>
      </x:c>
      <x:c r="I3959" s="13" t="n">
        <x:v>0.1195</x:v>
      </x:c>
      <x:c r="J3959" s="2" t="n">
        <x:v>0</x:v>
      </x:c>
      <x:c r="K3959" s="2" t="n">
        <x:v>1</x:v>
      </x:c>
      <x:c r="L3959" s="12" t="n">
        <x:v>2117.7</x:v>
      </x:c>
      <x:c r="M3959" s="13" t="n">
        <x:v>1</x:v>
      </x:c>
      <x:c r="N3959" s="13" t="n">
        <x:f>H3959/G3959</x:f>
        <x:v>0.1195</x:v>
      </x:c>
      <x:c r="O3959" s="13" t="n">
        <x:f>F3959/E3959</x:f>
        <x:v>0</x:v>
      </x:c>
      <x:c r="P3959" s="2" t="str">
        <x:f>IF(AND(E3959&gt;='Итоги'!$F$5,N3959&lt;='Итоги'!$B$5,O3959&gt;='Итоги'!$D$5),"Да","Нет")</x:f>
        <x:v>Нет</x:v>
      </x:c>
    </x:row>
    <x:row r="3960" ht="60" customHeight="1">
      <x:c r="A3960" s="14" t="str">
        <x:v>Товары для дома</x:v>
      </x:c>
      <x:c r="B3960" s="14" t="str">
        <x:v>Домашний текстиль</x:v>
      </x:c>
      <x:c r="C3960" s="14" t="str">
        <x:v>Шторы</x:v>
      </x:c>
      <x:c r="D3960" s="14" t="str">
        <x:v>Аксессуары для штор и карнизов</x:v>
      </x:c>
      <x:c r="E3960" s="2" t="n">
        <x:v>6</x:v>
      </x:c>
      <x:c r="F3960" s="2" t="n">
        <x:v>0</x:v>
      </x:c>
      <x:c r="G3960" s="12" t="n">
        <x:v>236555</x:v>
      </x:c>
      <x:c r="H3960" s="12" t="n">
        <x:v>28282.9988</x:v>
      </x:c>
      <x:c r="I3960" s="13" t="n">
        <x:v>0.06285</x:v>
      </x:c>
      <x:c r="J3960" s="2" t="n">
        <x:v>2</x:v>
      </x:c>
      <x:c r="K3960" s="2" t="n">
        <x:v>5</x:v>
      </x:c>
      <x:c r="L3960" s="12" t="n">
        <x:v>1168.7019</x:v>
      </x:c>
      <x:c r="M3960" s="13" t="n">
        <x:v>0.4294350151127645</x:v>
      </x:c>
      <x:c r="N3960" s="13" t="n">
        <x:f>H3960/G3960</x:f>
        <x:v>0.11956204180845893</x:v>
      </x:c>
      <x:c r="O3960" s="13" t="n">
        <x:f>F3960/E3960</x:f>
        <x:v>0</x:v>
      </x:c>
      <x:c r="P3960" s="2" t="str">
        <x:f>IF(AND(E3960&gt;='Итоги'!$F$5,N3960&lt;='Итоги'!$B$5,O3960&gt;='Итоги'!$D$5),"Да","Нет")</x:f>
        <x:v>Нет</x:v>
      </x:c>
    </x:row>
    <x:row r="3961" ht="60" customHeight="1">
      <x:c r="A3961" s="14" t="str">
        <x:v>Хобби и творчество</x:v>
      </x:c>
      <x:c r="B3961" s="14" t="str">
        <x:v>Детское творчество и хобби</x:v>
      </x:c>
      <x:c r="C3961" s="14" t="str">
        <x:v>Рисование для детей</x:v>
      </x:c>
      <x:c r="D3961" s="14" t="str">
        <x:v>Набор профессиональных принадлежностей для рисования</x:v>
      </x:c>
      <x:c r="E3961" s="2" t="n">
        <x:v>1</x:v>
      </x:c>
      <x:c r="F3961" s="2" t="n">
        <x:v>0</x:v>
      </x:c>
      <x:c r="G3961" s="12" t="n">
        <x:v>105833</x:v>
      </x:c>
      <x:c r="H3961" s="12" t="n">
        <x:v>12657.6268</x:v>
      </x:c>
      <x:c r="I3961" s="13" t="n">
        <x:v>0.1196</x:v>
      </x:c>
      <x:c r="J3961" s="2" t="n">
        <x:v>0</x:v>
      </x:c>
      <x:c r="K3961" s="2" t="n">
        <x:v>1</x:v>
      </x:c>
      <x:c r="L3961" s="12" t="n">
        <x:v>1959.8704</x:v>
      </x:c>
      <x:c r="M3961" s="13" t="n">
        <x:v>1</x:v>
      </x:c>
      <x:c r="N3961" s="13" t="n">
        <x:f>H3961/G3961</x:f>
        <x:v>0.1196</x:v>
      </x:c>
      <x:c r="O3961" s="13" t="n">
        <x:f>F3961/E3961</x:f>
        <x:v>0</x:v>
      </x:c>
      <x:c r="P3961" s="2" t="str">
        <x:f>IF(AND(E3961&gt;='Итоги'!$F$5,N3961&lt;='Итоги'!$B$5,O3961&gt;='Итоги'!$D$5),"Да","Нет")</x:f>
        <x:v>Нет</x:v>
      </x:c>
    </x:row>
    <x:row r="3962" ht="60" customHeight="1">
      <x:c r="A3962" s="14" t="str">
        <x:v>Аксессуары для электроники</x:v>
      </x:c>
      <x:c r="B3962" s="14" t="str">
        <x:v>Компьютеры Access</x:v>
      </x:c>
      <x:c r="C3962" s="14" t="str">
        <x:v>Аксессуар к компьютерной технике Access</x:v>
      </x:c>
      <x:c r="D3962" s="14" t="str">
        <x:v>Видео-очки</x:v>
      </x:c>
      <x:c r="E3962" s="2" t="n">
        <x:v>2</x:v>
      </x:c>
      <x:c r="F3962" s="2" t="n">
        <x:v>0</x:v>
      </x:c>
      <x:c r="G3962" s="12" t="n">
        <x:v>377753</x:v>
      </x:c>
      <x:c r="H3962" s="12" t="n">
        <x:v>45210.0317</x:v>
      </x:c>
      <x:c r="I3962" s="13" t="n">
        <x:v>0.13555</x:v>
      </x:c>
      <x:c r="J3962" s="2" t="n">
        <x:v>0</x:v>
      </x:c>
      <x:c r="K3962" s="2" t="n">
        <x:v>1</x:v>
      </x:c>
      <x:c r="L3962" s="12" t="n">
        <x:v>5776.1392</x:v>
      </x:c>
      <x:c r="M3962" s="13" t="n">
        <x:v>1</x:v>
      </x:c>
      <x:c r="N3962" s="13" t="n">
        <x:f>H3962/G3962</x:f>
        <x:v>0.11968146301948628</x:v>
      </x:c>
      <x:c r="O3962" s="13" t="n">
        <x:f>F3962/E3962</x:f>
        <x:v>0</x:v>
      </x:c>
      <x:c r="P3962" s="2" t="str">
        <x:f>IF(AND(E3962&gt;='Итоги'!$F$5,N3962&lt;='Итоги'!$B$5,O3962&gt;='Итоги'!$D$5),"Да","Нет")</x:f>
        <x:v>Нет</x:v>
      </x:c>
    </x:row>
    <x:row r="3963" ht="60" customHeight="1">
      <x:c r="A3963" s="14" t="str">
        <x:v>Товары для дома</x:v>
      </x:c>
      <x:c r="B3963" s="14" t="str">
        <x:v>Аксессуары для уборки и стирки</x:v>
      </x:c>
      <x:c r="C3963" s="14" t="str">
        <x:v>Аксессуар для стирки</x:v>
      </x:c>
      <x:c r="D3963" s="14" t="str">
        <x:v>Мешок для стирки, приспособление для деликатной стирки</x:v>
      </x:c>
      <x:c r="E3963" s="2" t="n">
        <x:v>13</x:v>
      </x:c>
      <x:c r="F3963" s="2" t="n">
        <x:v>0</x:v>
      </x:c>
      <x:c r="G3963" s="12" t="n">
        <x:v>1986430.4405</x:v>
      </x:c>
      <x:c r="H3963" s="12" t="n">
        <x:v>237886.39016395</x:v>
      </x:c>
      <x:c r="I3963" s="13" t="n">
        <x:v>0.1484615384615384</x:v>
      </x:c>
      <x:c r="J3963" s="2" t="n">
        <x:v>2</x:v>
      </x:c>
      <x:c r="K3963" s="2" t="n">
        <x:v>9</x:v>
      </x:c>
      <x:c r="L3963" s="12" t="n">
        <x:v>802.1975</x:v>
      </x:c>
      <x:c r="M3963" s="13" t="n">
        <x:v>0.3811940152857318</x:v>
      </x:c>
      <x:c r="N3963" s="13" t="n">
        <x:f>H3963/G3963</x:f>
        <x:v>0.11975571120631445</x:v>
      </x:c>
      <x:c r="O3963" s="13" t="n">
        <x:f>F3963/E3963</x:f>
        <x:v>0</x:v>
      </x:c>
      <x:c r="P3963" s="2" t="str">
        <x:f>IF(AND(E3963&gt;='Итоги'!$F$5,N3963&lt;='Итоги'!$B$5,O3963&gt;='Итоги'!$D$5),"Да","Нет")</x:f>
        <x:v>Нет</x:v>
      </x:c>
    </x:row>
    <x:row r="3964" ht="60" customHeight="1">
      <x:c r="A3964" s="14" t="str">
        <x:v>Товары для дома</x:v>
      </x:c>
      <x:c r="B3964" s="14" t="str">
        <x:v>Ванная комната</x:v>
      </x:c>
      <x:c r="C3964" s="14" t="str">
        <x:v>Шторы и карнизы для ванной</x:v>
      </x:c>
      <x:c r="D3964" s="14" t="str">
        <x:v>Карниз для штор для ванной</x:v>
      </x:c>
      <x:c r="E3964" s="2" t="n">
        <x:v>24</x:v>
      </x:c>
      <x:c r="F3964" s="2" t="n">
        <x:v>0</x:v>
      </x:c>
      <x:c r="G3964" s="12" t="n">
        <x:v>4642557.8031</x:v>
      </x:c>
      <x:c r="H3964" s="12" t="n">
        <x:v>556091.97612823</x:v>
      </x:c>
      <x:c r="I3964" s="13" t="n">
        <x:v>0.1356083333333333</x:v>
      </x:c>
      <x:c r="J3964" s="2" t="n">
        <x:v>0</x:v>
      </x:c>
      <x:c r="K3964" s="2" t="n">
        <x:v>13</x:v>
      </x:c>
      <x:c r="L3964" s="12" t="n">
        <x:v>1097.14335</x:v>
      </x:c>
      <x:c r="M3964" s="13" t="n">
        <x:v>0.2219087620001376</x:v>
      </x:c>
      <x:c r="N3964" s="13" t="n">
        <x:f>H3964/G3964</x:f>
        <x:v>0.11978137908307952</x:v>
      </x:c>
      <x:c r="O3964" s="13" t="n">
        <x:f>F3964/E3964</x:f>
        <x:v>0</x:v>
      </x:c>
      <x:c r="P3964" s="2" t="str">
        <x:f>IF(AND(E3964&gt;='Итоги'!$F$5,N3964&lt;='Итоги'!$B$5,O3964&gt;='Итоги'!$D$5),"Да","Нет")</x:f>
        <x:v>Нет</x:v>
      </x:c>
    </x:row>
    <x:row r="3965" ht="60" customHeight="1">
      <x:c r="A3965" s="14" t="str">
        <x:v>Товары для красоты и здоровья</x:v>
      </x:c>
      <x:c r="B3965" s="14" t="str">
        <x:v>Косметика для ухода за кожей</x:v>
      </x:c>
      <x:c r="C3965" s="14" t="str">
        <x:v>Ноги</x:v>
      </x:c>
      <x:c r="D3965" s="14" t="str">
        <x:v>Скраб для ног</x:v>
      </x:c>
      <x:c r="E3965" s="2" t="n">
        <x:v>7</x:v>
      </x:c>
      <x:c r="F3965" s="2" t="n">
        <x:v>0</x:v>
      </x:c>
      <x:c r="G3965" s="12" t="n">
        <x:v>1358446.369</x:v>
      </x:c>
      <x:c r="H3965" s="12" t="n">
        <x:v>162849.60707092</x:v>
      </x:c>
      <x:c r="I3965" s="13" t="n">
        <x:v>0.1172285714285714</x:v>
      </x:c>
      <x:c r="J3965" s="2" t="n">
        <x:v>2</x:v>
      </x:c>
      <x:c r="K3965" s="2" t="n">
        <x:v>2</x:v>
      </x:c>
      <x:c r="L3965" s="12" t="n">
        <x:v>1111.1043</x:v>
      </x:c>
      <x:c r="M3965" s="13" t="n">
        <x:v>0.5577883793511763</x:v>
      </x:c>
      <x:c r="N3965" s="13" t="n">
        <x:f>H3965/G3965</x:f>
        <x:v>0.11987930534997808</x:v>
      </x:c>
      <x:c r="O3965" s="13" t="n">
        <x:f>F3965/E3965</x:f>
        <x:v>0</x:v>
      </x:c>
      <x:c r="P3965" s="2" t="str">
        <x:f>IF(AND(E3965&gt;='Итоги'!$F$5,N3965&lt;='Итоги'!$B$5,O3965&gt;='Итоги'!$D$5),"Да","Нет")</x:f>
        <x:v>Нет</x:v>
      </x:c>
    </x:row>
    <x:row r="3966" ht="60" customHeight="1">
      <x:c r="A3966" s="14" t="str">
        <x:v>Спорт и отдых</x:v>
      </x:c>
      <x:c r="B3966" s="14" t="str">
        <x:v>Тренажеры и фитнес</x:v>
      </x:c>
      <x:c r="C3966" s="14" t="str">
        <x:v>Мини тренажеры</x:v>
      </x:c>
      <x:c r="D3966" s="14" t="str">
        <x:v>Кистевой тренажер</x:v>
      </x:c>
      <x:c r="E3966" s="2" t="n">
        <x:v>2</x:v>
      </x:c>
      <x:c r="F3966" s="2" t="n">
        <x:v>0</x:v>
      </x:c>
      <x:c r="G3966" s="12" t="n">
        <x:v>221759</x:v>
      </x:c>
      <x:c r="H3966" s="12" t="n">
        <x:v>26585.996700000003</x:v>
      </x:c>
      <x:c r="I3966" s="13" t="n">
        <x:v>0.1163</x:v>
      </x:c>
      <x:c r="J3966" s="2" t="n">
        <x:v>0</x:v>
      </x:c>
      <x:c r="K3966" s="2" t="n">
        <x:v>1</x:v>
      </x:c>
      <x:c r="L3966" s="12" t="n">
        <x:v>10296.525</x:v>
      </x:c>
      <x:c r="M3966" s="13" t="n">
        <x:v>1</x:v>
      </x:c>
      <x:c r="N3966" s="13" t="n">
        <x:f>H3966/G3966</x:f>
        <x:v>0.11988688937089365</x:v>
      </x:c>
      <x:c r="O3966" s="13" t="n">
        <x:f>F3966/E3966</x:f>
        <x:v>0</x:v>
      </x:c>
      <x:c r="P3966" s="2" t="str">
        <x:f>IF(AND(E3966&gt;='Итоги'!$F$5,N3966&lt;='Итоги'!$B$5,O3966&gt;='Итоги'!$D$5),"Да","Нет")</x:f>
        <x:v>Нет</x:v>
      </x:c>
    </x:row>
    <x:row r="3967" ht="60" customHeight="1">
      <x:c r="A3967" s="14" t="str">
        <x:v>Аксессуары</x:v>
      </x:c>
      <x:c r="B3967" s="14" t="str">
        <x:v>Галантерея</x:v>
      </x:c>
      <x:c r="C3967" s="14" t="str">
        <x:v>Галантерея мужская</x:v>
      </x:c>
      <x:c r="D3967" s="14" t="str">
        <x:v>Мужской Бумажник/кошелек</x:v>
      </x:c>
      <x:c r="E3967" s="2" t="n">
        <x:v>23</x:v>
      </x:c>
      <x:c r="F3967" s="2" t="n">
        <x:v>0</x:v>
      </x:c>
      <x:c r="G3967" s="12" t="n">
        <x:v>3619965.9582</x:v>
      </x:c>
      <x:c r="H3967" s="12" t="n">
        <x:v>434204.9495854</x:v>
      </x:c>
      <x:c r="I3967" s="13" t="n">
        <x:v>0.1376173913043478</x:v>
      </x:c>
      <x:c r="J3967" s="2" t="n">
        <x:v>0</x:v>
      </x:c>
      <x:c r="K3967" s="2" t="n">
        <x:v>8</x:v>
      </x:c>
      <x:c r="L3967" s="12" t="n">
        <x:v>1367.3351</x:v>
      </x:c>
      <x:c r="M3967" s="13" t="n">
        <x:v>0.6811086998249</x:v>
      </x:c>
      <x:c r="N3967" s="13" t="n">
        <x:f>H3967/G3967</x:f>
        <x:v>0.11994724663137579</x:v>
      </x:c>
      <x:c r="O3967" s="13" t="n">
        <x:f>F3967/E3967</x:f>
        <x:v>0</x:v>
      </x:c>
      <x:c r="P3967" s="2" t="str">
        <x:f>IF(AND(E3967&gt;='Итоги'!$F$5,N3967&lt;='Итоги'!$B$5,O3967&gt;='Итоги'!$D$5),"Да","Нет")</x:f>
        <x:v>Нет</x:v>
      </x:c>
    </x:row>
    <x:row r="3968" ht="60" customHeight="1">
      <x:c r="A3968" s="14" t="str">
        <x:v>Хобби и творчество</x:v>
      </x:c>
      <x:c r="B3968" s="14" t="str">
        <x:v>Взрослое творчество и хобби</x:v>
      </x:c>
      <x:c r="C3968" s="14" t="str">
        <x:v>Настольные игры для взрослых</x:v>
      </x:c>
      <x:c r="D3968" s="14" t="str">
        <x:v>Нарды для взрослых</x:v>
      </x:c>
      <x:c r="E3968" s="2" t="n">
        <x:v>20</x:v>
      </x:c>
      <x:c r="F3968" s="2" t="n">
        <x:v>0</x:v>
      </x:c>
      <x:c r="G3968" s="12" t="n">
        <x:v>1346334.71</x:v>
      </x:c>
      <x:c r="H3968" s="12" t="n">
        <x:v>161533.548577</x:v>
      </x:c>
      <x:c r="I3968" s="13" t="n">
        <x:v>0.10401</x:v>
      </x:c>
      <x:c r="J3968" s="2" t="n">
        <x:v>2</x:v>
      </x:c>
      <x:c r="K3968" s="2" t="n">
        <x:v>5</x:v>
      </x:c>
      <x:c r="L3968" s="12" t="n">
        <x:v>6190.644050000001</x:v>
      </x:c>
      <x:c r="M3968" s="13" t="n">
        <x:v>0.7876597863246058</x:v>
      </x:c>
      <x:c r="N3968" s="13" t="n">
        <x:f>H3968/G3968</x:f>
        <x:v>0.11998023030766251</x:v>
      </x:c>
      <x:c r="O3968" s="13" t="n">
        <x:f>F3968/E3968</x:f>
        <x:v>0</x:v>
      </x:c>
      <x:c r="P3968" s="2" t="str">
        <x:f>IF(AND(E3968&gt;='Итоги'!$F$5,N3968&lt;='Итоги'!$B$5,O3968&gt;='Итоги'!$D$5),"Да","Нет")</x:f>
        <x:v>Нет</x:v>
      </x:c>
    </x:row>
    <x:row r="3969" ht="60" customHeight="1">
      <x:c r="A3969" s="14" t="str">
        <x:v>Товары для животных</x:v>
      </x:c>
      <x:c r="B3969" s="14" t="str">
        <x:v>Спальное место животного</x:v>
      </x:c>
      <x:c r="C3969" s="14" t="str">
        <x:v>Клетка, вольер для животных, птиц</x:v>
      </x:c>
      <x:c r="D3969" s="14" t="str">
        <x:v>Клетка, аксессуары для грызунов</x:v>
      </x:c>
      <x:c r="E3969" s="2" t="n">
        <x:v>63</x:v>
      </x:c>
      <x:c r="F3969" s="2" t="n">
        <x:v>0</x:v>
      </x:c>
      <x:c r="G3969" s="12" t="n">
        <x:v>9712349.4575</x:v>
      </x:c>
      <x:c r="H3969" s="12" t="n">
        <x:v>1165740.65505976</x:v>
      </x:c>
      <x:c r="I3969" s="13" t="n">
        <x:v>0.1157809523809523</x:v>
      </x:c>
      <x:c r="J3969" s="2" t="n">
        <x:v>12</x:v>
      </x:c>
      <x:c r="K3969" s="2" t="n">
        <x:v>9</x:v>
      </x:c>
      <x:c r="L3969" s="12" t="n">
        <x:v>2805.0794</x:v>
      </x:c>
      <x:c r="M3969" s="13" t="n">
        <x:v>0.696138997591253</x:v>
      </x:c>
      <x:c r="N3969" s="13" t="n">
        <x:f>H3969/G3969</x:f>
        <x:v>0.12002663826717645</x:v>
      </x:c>
      <x:c r="O3969" s="13" t="n">
        <x:f>F3969/E3969</x:f>
        <x:v>0</x:v>
      </x:c>
      <x:c r="P3969" s="2" t="str">
        <x:f>IF(AND(E3969&gt;='Итоги'!$F$5,N3969&lt;='Итоги'!$B$5,O3969&gt;='Итоги'!$D$5),"Да","Нет")</x:f>
        <x:v>Нет</x:v>
      </x:c>
    </x:row>
    <x:row r="3970" ht="60" customHeight="1">
      <x:c r="A3970" s="14" t="str">
        <x:v>Товары для красоты и здоровья</x:v>
      </x:c>
      <x:c r="B3970" s="14" t="str">
        <x:v>Косметические аксессуары</x:v>
      </x:c>
      <x:c r="C3970" s="14" t="str">
        <x:v>Аксессуары для волос</x:v>
      </x:c>
      <x:c r="D3970" s="14" t="str">
        <x:v>Парики и пряди</x:v>
      </x:c>
      <x:c r="E3970" s="2" t="n">
        <x:v>19</x:v>
      </x:c>
      <x:c r="F3970" s="2" t="n">
        <x:v>0</x:v>
      </x:c>
      <x:c r="G3970" s="12" t="n">
        <x:v>1613211.5909</x:v>
      </x:c>
      <x:c r="H3970" s="12" t="n">
        <x:v>193732.01171267</x:v>
      </x:c>
      <x:c r="I3970" s="13" t="n">
        <x:v>0.1039684210526315</x:v>
      </x:c>
      <x:c r="J3970" s="2" t="n">
        <x:v>4</x:v>
      </x:c>
      <x:c r="K3970" s="2" t="n">
        <x:v>13</x:v>
      </x:c>
      <x:c r="L3970" s="12" t="n">
        <x:v>1272.5882</x:v>
      </x:c>
      <x:c r="M3970" s="13" t="n">
        <x:v>0.2541584334087616</x:v>
      </x:c>
      <x:c r="N3970" s="13" t="n">
        <x:f>H3970/G3970</x:f>
        <x:v>0.120090887522441</x:v>
      </x:c>
      <x:c r="O3970" s="13" t="n">
        <x:f>F3970/E3970</x:f>
        <x:v>0</x:v>
      </x:c>
      <x:c r="P3970" s="2" t="str">
        <x:f>IF(AND(E3970&gt;='Итоги'!$F$5,N3970&lt;='Итоги'!$B$5,O3970&gt;='Итоги'!$D$5),"Да","Нет")</x:f>
        <x:v>Нет</x:v>
      </x:c>
    </x:row>
    <x:row r="3971" ht="60" customHeight="1">
      <x:c r="A3971" s="14" t="str">
        <x:v>Товары для животных</x:v>
      </x:c>
      <x:c r="B3971" s="14" t="str">
        <x:v>Спальное место животного</x:v>
      </x:c>
      <x:c r="C3971" s="14" t="str">
        <x:v>Аквариум Оборудование</x:v>
      </x:c>
      <x:c r="D3971" s="14" t="str">
        <x:v>Оборудование СО2</x:v>
      </x:c>
      <x:c r="E3971" s="2" t="n">
        <x:v>6</x:v>
      </x:c>
      <x:c r="F3971" s="2" t="n">
        <x:v>0</x:v>
      </x:c>
      <x:c r="G3971" s="12" t="n">
        <x:v>877303.6722</x:v>
      </x:c>
      <x:c r="H3971" s="12" t="n">
        <x:v>105494.96371359</x:v>
      </x:c>
      <x:c r="I3971" s="13" t="n">
        <x:v>0.1059666666666666</x:v>
      </x:c>
      <x:c r="J3971" s="2" t="n">
        <x:v>1</x:v>
      </x:c>
      <x:c r="K3971" s="2" t="n">
        <x:v>4</x:v>
      </x:c>
      <x:c r="L3971" s="12" t="n">
        <x:v>3683.3943</x:v>
      </x:c>
      <x:c r="M3971" s="13" t="n">
        <x:v>0.6215465350014979</x:v>
      </x:c>
      <x:c r="N3971" s="13" t="n">
        <x:f>H3971/G3971</x:f>
        <x:v>0.12024908484543557</x:v>
      </x:c>
      <x:c r="O3971" s="13" t="n">
        <x:f>F3971/E3971</x:f>
        <x:v>0</x:v>
      </x:c>
      <x:c r="P3971" s="2" t="str">
        <x:f>IF(AND(E3971&gt;='Итоги'!$F$5,N3971&lt;='Итоги'!$B$5,O3971&gt;='Итоги'!$D$5),"Да","Нет")</x:f>
        <x:v>Нет</x:v>
      </x:c>
    </x:row>
    <x:row r="3972" ht="60" customHeight="1">
      <x:c r="A3972" s="14" t="str">
        <x:v>Бытовая химия и гигиена рта</x:v>
      </x:c>
      <x:c r="B3972" s="14" t="str">
        <x:v>Средства для стирки</x:v>
      </x:c>
      <x:c r="C3972" s="14" t="str">
        <x:v>Стиральный порошок</x:v>
      </x:c>
      <x:c r="D3972" s="14" t="str">
        <x:v>Стиральный порошок для белого белья</x:v>
      </x:c>
      <x:c r="E3972" s="2" t="n">
        <x:v>4</x:v>
      </x:c>
      <x:c r="F3972" s="2" t="n">
        <x:v>0</x:v>
      </x:c>
      <x:c r="G3972" s="12" t="n">
        <x:v>625179.96</x:v>
      </x:c>
      <x:c r="H3972" s="12" t="n">
        <x:v>75265.866024</x:v>
      </x:c>
      <x:c r="I3972" s="13" t="n">
        <x:v>0.09495</x:v>
      </x:c>
      <x:c r="J3972" s="2" t="n">
        <x:v>2</x:v>
      </x:c>
      <x:c r="K3972" s="2" t="n">
        <x:v>2</x:v>
      </x:c>
      <x:c r="L3972" s="12" t="n">
        <x:v>2838.37155</x:v>
      </x:c>
      <x:c r="M3972" s="13" t="n">
        <x:v>0.7663360802543958</x:v>
      </x:c>
      <x:c r="N3972" s="13" t="n">
        <x:f>H3972/G3972</x:f>
        <x:v>0.12039072081581119</x:v>
      </x:c>
      <x:c r="O3972" s="13" t="n">
        <x:f>F3972/E3972</x:f>
        <x:v>0</x:v>
      </x:c>
      <x:c r="P3972" s="2" t="str">
        <x:f>IF(AND(E3972&gt;='Итоги'!$F$5,N3972&lt;='Итоги'!$B$5,O3972&gt;='Итоги'!$D$5),"Да","Нет")</x:f>
        <x:v>Нет</x:v>
      </x:c>
    </x:row>
    <x:row r="3973" ht="60" customHeight="1">
      <x:c r="A3973" s="14" t="str">
        <x:v>Хобби и творчество</x:v>
      </x:c>
      <x:c r="B3973" s="14" t="str">
        <x:v>Детское творчество и хобби</x:v>
      </x:c>
      <x:c r="C3973" s="14" t="str">
        <x:v>Моделирование</x:v>
      </x:c>
      <x:c r="D3973" s="14" t="str">
        <x:v>Румбокс, архитектурная модель</x:v>
      </x:c>
      <x:c r="E3973" s="2" t="n">
        <x:v>30</x:v>
      </x:c>
      <x:c r="F3973" s="2" t="n">
        <x:v>0</x:v>
      </x:c>
      <x:c r="G3973" s="12" t="n">
        <x:v>2310310.5583</x:v>
      </x:c>
      <x:c r="H3973" s="12" t="n">
        <x:v>278227.21392877</x:v>
      </x:c>
      <x:c r="I3973" s="13" t="n">
        <x:v>0.1274833333333333</x:v>
      </x:c>
      <x:c r="J3973" s="2" t="n">
        <x:v>2</x:v>
      </x:c>
      <x:c r="K3973" s="2" t="n">
        <x:v>16</x:v>
      </x:c>
      <x:c r="L3973" s="12" t="n">
        <x:v>1797.4371500000002</x:v>
      </x:c>
      <x:c r="M3973" s="13" t="n">
        <x:v>0.2019197233999846</x:v>
      </x:c>
      <x:c r="N3973" s="13" t="n">
        <x:f>H3973/G3973</x:f>
        <x:v>0.12042849084908239</x:v>
      </x:c>
      <x:c r="O3973" s="13" t="n">
        <x:f>F3973/E3973</x:f>
        <x:v>0</x:v>
      </x:c>
      <x:c r="P3973" s="2" t="str">
        <x:f>IF(AND(E3973&gt;='Итоги'!$F$5,N3973&lt;='Итоги'!$B$5,O3973&gt;='Итоги'!$D$5),"Да","Нет")</x:f>
        <x:v>Нет</x:v>
      </x:c>
    </x:row>
    <x:row r="3974" ht="60" customHeight="1">
      <x:c r="A3974" s="14" t="str">
        <x:v>Ноутбуки и компьютеры</x:v>
      </x:c>
      <x:c r="B3974" s="14" t="str">
        <x:v>Компьютерные комплектующие Lap&amp;Comp</x:v>
      </x:c>
      <x:c r="C3974" s="14" t="str">
        <x:v>Запчасти для монитора Lap&amp;Comp</x:v>
      </x:c>
      <x:c r="D3974" s="14" t="str">
        <x:v>Запчасти для монитора</x:v>
      </x:c>
      <x:c r="E3974" s="2" t="n">
        <x:v>5</x:v>
      </x:c>
      <x:c r="F3974" s="2" t="n">
        <x:v>0</x:v>
      </x:c>
      <x:c r="G3974" s="12" t="n">
        <x:v>799360.7623000001</x:v>
      </x:c>
      <x:c r="H3974" s="12" t="n">
        <x:v>96272.90745909</x:v>
      </x:c>
      <x:c r="I3974" s="13" t="n">
        <x:v>0.13022</x:v>
      </x:c>
      <x:c r="J3974" s="2" t="n">
        <x:v>0</x:v>
      </x:c>
      <x:c r="K3974" s="2" t="n">
        <x:v>2</x:v>
      </x:c>
      <x:c r="L3974" s="12" t="n">
        <x:v>5275.0617</x:v>
      </x:c>
      <x:c r="M3974" s="13" t="n">
        <x:v>0.9517914791199904</x:v>
      </x:c>
      <x:c r="N3974" s="13" t="n">
        <x:f>H3974/G3974</x:f>
        <x:v>0.1204373694576702</x:v>
      </x:c>
      <x:c r="O3974" s="13" t="n">
        <x:f>F3974/E3974</x:f>
        <x:v>0</x:v>
      </x:c>
      <x:c r="P3974" s="2" t="str">
        <x:f>IF(AND(E3974&gt;='Итоги'!$F$5,N3974&lt;='Итоги'!$B$5,O3974&gt;='Итоги'!$D$5),"Да","Нет")</x:f>
        <x:v>Нет</x:v>
      </x:c>
    </x:row>
    <x:row r="3975" ht="60" customHeight="1">
      <x:c r="A3975" s="14" t="str">
        <x:v>Строительство и ремонт (DIY)</x:v>
      </x:c>
      <x:c r="B3975" s="14" t="str">
        <x:v>Ремонт и строительство</x:v>
      </x:c>
      <x:c r="C3975" s="14" t="str">
        <x:v>Аксессуары для ремонта</x:v>
      </x:c>
      <x:c r="D3975" s="14" t="str">
        <x:v>Шланги для газовых приборов</x:v>
      </x:c>
      <x:c r="E3975" s="2" t="n">
        <x:v>2</x:v>
      </x:c>
      <x:c r="F3975" s="2" t="n">
        <x:v>0</x:v>
      </x:c>
      <x:c r="G3975" s="12" t="n">
        <x:v>137494</x:v>
      </x:c>
      <x:c r="H3975" s="12" t="n">
        <x:v>16560.9752</x:v>
      </x:c>
      <x:c r="I3975" s="13" t="n">
        <x:v>0.08855</x:v>
      </x:c>
      <x:c r="J3975" s="2" t="n">
        <x:v>1</x:v>
      </x:c>
      <x:c r="K3975" s="2" t="n">
        <x:v>2</x:v>
      </x:c>
      <x:c r="L3975" s="12" t="n">
        <x:v>2218.9965500000003</x:v>
      </x:c>
      <x:c r="M3975" s="13" t="n">
        <x:v>0.6801169505578425</x:v>
      </x:c>
      <x:c r="N3975" s="13" t="n">
        <x:f>H3975/G3975</x:f>
        <x:v>0.12044871194379392</x:v>
      </x:c>
      <x:c r="O3975" s="13" t="n">
        <x:f>F3975/E3975</x:f>
        <x:v>0</x:v>
      </x:c>
      <x:c r="P3975" s="2" t="str">
        <x:f>IF(AND(E3975&gt;='Итоги'!$F$5,N3975&lt;='Итоги'!$B$5,O3975&gt;='Итоги'!$D$5),"Да","Нет")</x:f>
        <x:v>Нет</x:v>
      </x:c>
    </x:row>
    <x:row r="3976" ht="60" customHeight="1">
      <x:c r="A3976" s="14" t="str">
        <x:v>Аксессуары для электроники</x:v>
      </x:c>
      <x:c r="B3976" s="14" t="str">
        <x:v>Электропитание Access</x:v>
      </x:c>
      <x:c r="C3976" s="14" t="str">
        <x:v>Сетевой фильтр Access</x:v>
      </x:c>
      <x:c r="D3976" s="14" t="str">
        <x:v>Сетевой фильтр бытовой (удлинитель)</x:v>
      </x:c>
      <x:c r="E3976" s="2" t="n">
        <x:v>174</x:v>
      </x:c>
      <x:c r="F3976" s="2" t="n">
        <x:v>0</x:v>
      </x:c>
      <x:c r="G3976" s="12" t="n">
        <x:v>25387032.7941</x:v>
      </x:c>
      <x:c r="H3976" s="12" t="n">
        <x:v>3060012.45638641</x:v>
      </x:c>
      <x:c r="I3976" s="13" t="n">
        <x:v>0.1185528735632183</x:v>
      </x:c>
      <x:c r="J3976" s="2" t="n">
        <x:v>25</x:v>
      </x:c>
      <x:c r="K3976" s="2" t="n">
        <x:v>29</x:v>
      </x:c>
      <x:c r="L3976" s="12" t="n">
        <x:v>1305.5112</x:v>
      </x:c>
      <x:c r="M3976" s="13" t="n">
        <x:v>0.7709390214932301</x:v>
      </x:c>
      <x:c r="N3976" s="13" t="n">
        <x:f>H3976/G3976</x:f>
        <x:v>0.12053446659971871</x:v>
      </x:c>
      <x:c r="O3976" s="13" t="n">
        <x:f>F3976/E3976</x:f>
        <x:v>0</x:v>
      </x:c>
      <x:c r="P3976" s="2" t="str">
        <x:f>IF(AND(E3976&gt;='Итоги'!$F$5,N3976&lt;='Итоги'!$B$5,O3976&gt;='Итоги'!$D$5),"Да","Нет")</x:f>
        <x:v>Нет</x:v>
      </x:c>
    </x:row>
    <x:row r="3977" ht="60" customHeight="1">
      <x:c r="A3977" s="14" t="str">
        <x:v>Товары для дома</x:v>
      </x:c>
      <x:c r="B3977" s="14" t="str">
        <x:v>Кухня</x:v>
      </x:c>
      <x:c r="C3977" s="14" t="str">
        <x:v>Кухонные приборы</x:v>
      </x:c>
      <x:c r="D3977" s="14" t="str">
        <x:v>Мельница для соли и перца</x:v>
      </x:c>
      <x:c r="E3977" s="2" t="n">
        <x:v>37</x:v>
      </x:c>
      <x:c r="F3977" s="2" t="n">
        <x:v>0</x:v>
      </x:c>
      <x:c r="G3977" s="12" t="n">
        <x:v>5272884.377</x:v>
      </x:c>
      <x:c r="H3977" s="12" t="n">
        <x:v>635897.65752511</x:v>
      </x:c>
      <x:c r="I3977" s="13" t="n">
        <x:v>0.1201</x:v>
      </x:c>
      <x:c r="J3977" s="2" t="n">
        <x:v>5</x:v>
      </x:c>
      <x:c r="K3977" s="2" t="n">
        <x:v>22</x:v>
      </x:c>
      <x:c r="L3977" s="12" t="n">
        <x:v>1401.5536</x:v>
      </x:c>
      <x:c r="M3977" s="13" t="n">
        <x:v>0.1257827701652256</x:v>
      </x:c>
      <x:c r="N3977" s="13" t="n">
        <x:f>H3977/G3977</x:f>
        <x:v>0.12059768659044691</x:v>
      </x:c>
      <x:c r="O3977" s="13" t="n">
        <x:f>F3977/E3977</x:f>
        <x:v>0</x:v>
      </x:c>
      <x:c r="P3977" s="2" t="str">
        <x:f>IF(AND(E3977&gt;='Итоги'!$F$5,N3977&lt;='Итоги'!$B$5,O3977&gt;='Итоги'!$D$5),"Да","Нет")</x:f>
        <x:v>Нет</x:v>
      </x:c>
    </x:row>
    <x:row r="3978" ht="60" customHeight="1">
      <x:c r="A3978" s="14" t="str">
        <x:v>Товары для дома</x:v>
      </x:c>
      <x:c r="B3978" s="14" t="str">
        <x:v>Домашний текстиль</x:v>
      </x:c>
      <x:c r="C3978" s="14" t="str">
        <x:v>Коврики, покрытия</x:v>
      </x:c>
      <x:c r="D3978" s="14" t="str">
        <x:v>Натуральная шкура</x:v>
      </x:c>
      <x:c r="E3978" s="2" t="n">
        <x:v>2</x:v>
      </x:c>
      <x:c r="F3978" s="2" t="n">
        <x:v>0</x:v>
      </x:c>
      <x:c r="G3978" s="12" t="n">
        <x:v>306764</x:v>
      </x:c>
      <x:c r="H3978" s="12" t="n">
        <x:v>37085.5355</x:v>
      </x:c>
      <x:c r="I3978" s="13" t="n">
        <x:v>0.08245</x:v>
      </x:c>
      <x:c r="J3978" s="2" t="n">
        <x:v>0</x:v>
      </x:c>
      <x:c r="K3978" s="2" t="n">
        <x:v>1</x:v>
      </x:c>
      <x:c r="L3978" s="12" t="n">
        <x:v>5698.23955</x:v>
      </x:c>
      <x:c r="M3978" s="13" t="n">
        <x:v>1</x:v>
      </x:c>
      <x:c r="N3978" s="13" t="n">
        <x:f>H3978/G3978</x:f>
        <x:v>0.12089272372247069</x:v>
      </x:c>
      <x:c r="O3978" s="13" t="n">
        <x:f>F3978/E3978</x:f>
        <x:v>0</x:v>
      </x:c>
      <x:c r="P3978" s="2" t="str">
        <x:f>IF(AND(E3978&gt;='Итоги'!$F$5,N3978&lt;='Итоги'!$B$5,O3978&gt;='Итоги'!$D$5),"Да","Нет")</x:f>
        <x:v>Нет</x:v>
      </x:c>
    </x:row>
    <x:row r="3979" ht="60" customHeight="1">
      <x:c r="A3979" s="14" t="str">
        <x:v>Товары для дома</x:v>
      </x:c>
      <x:c r="B3979" s="14" t="str">
        <x:v>Кухня</x:v>
      </x:c>
      <x:c r="C3979" s="14" t="str">
        <x:v>Разделочная доска</x:v>
      </x:c>
      <x:c r="D3979" s="14" t="str">
        <x:v>Набор разделочных, сервировочных досок</x:v>
      </x:c>
      <x:c r="E3979" s="2" t="n">
        <x:v>31</x:v>
      </x:c>
      <x:c r="F3979" s="2" t="n">
        <x:v>0</x:v>
      </x:c>
      <x:c r="G3979" s="12" t="n">
        <x:v>5646741.1804</x:v>
      </x:c>
      <x:c r="H3979" s="12" t="n">
        <x:v>682698.09761659</x:v>
      </x:c>
      <x:c r="I3979" s="13" t="n">
        <x:v>0.1292354838709677</x:v>
      </x:c>
      <x:c r="J3979" s="2" t="n">
        <x:v>4</x:v>
      </x:c>
      <x:c r="K3979" s="2" t="n">
        <x:v>18</x:v>
      </x:c>
      <x:c r="L3979" s="12" t="n">
        <x:v>1461.2643</x:v>
      </x:c>
      <x:c r="M3979" s="13" t="n">
        <x:v>0.284026512879131</x:v>
      </x:c>
      <x:c r="N3979" s="13" t="n">
        <x:f>H3979/G3979</x:f>
        <x:v>0.12090125539776014</x:v>
      </x:c>
      <x:c r="O3979" s="13" t="n">
        <x:f>F3979/E3979</x:f>
        <x:v>0</x:v>
      </x:c>
      <x:c r="P3979" s="2" t="str">
        <x:f>IF(AND(E3979&gt;='Итоги'!$F$5,N3979&lt;='Итоги'!$B$5,O3979&gt;='Итоги'!$D$5),"Да","Нет")</x:f>
        <x:v>Нет</x:v>
      </x:c>
    </x:row>
    <x:row r="3980" ht="60" customHeight="1">
      <x:c r="A3980" s="14" t="str">
        <x:v>Детская одежда</x:v>
      </x:c>
      <x:c r="B3980" s="14" t="str">
        <x:v>Одежда для новорожденных</x:v>
      </x:c>
      <x:c r="C3980" s="14" t="str">
        <x:v>Верхняя одежда для новорожденных</x:v>
      </x:c>
      <x:c r="D3980" s="14" t="str">
        <x:v>Комбинезон зимний для новорожденных</x:v>
      </x:c>
      <x:c r="E3980" s="2" t="n">
        <x:v>1</x:v>
      </x:c>
      <x:c r="F3980" s="2" t="n">
        <x:v>0</x:v>
      </x:c>
      <x:c r="G3980" s="12" t="n">
        <x:v>15945.08</x:v>
      </x:c>
      <x:c r="H3980" s="12" t="n">
        <x:v>1929.35468</x:v>
      </x:c>
      <x:c r="I3980" s="13" t="n">
        <x:v>0.121</x:v>
      </x:c>
      <x:c r="J3980" s="2" t="n">
        <x:v>0</x:v>
      </x:c>
      <x:c r="K3980" s="2" t="n">
        <x:v>1</x:v>
      </x:c>
      <x:c r="L3980" s="12" t="n">
        <x:v>1328.7567</x:v>
      </x:c>
      <x:c r="M3980" s="13" t="n">
        <x:v>1</x:v>
      </x:c>
      <x:c r="N3980" s="13" t="n">
        <x:f>H3980/G3980</x:f>
        <x:v>0.121</x:v>
      </x:c>
      <x:c r="O3980" s="13" t="n">
        <x:f>F3980/E3980</x:f>
        <x:v>0</x:v>
      </x:c>
      <x:c r="P3980" s="2" t="str">
        <x:f>IF(AND(E3980&gt;='Итоги'!$F$5,N3980&lt;='Итоги'!$B$5,O3980&gt;='Итоги'!$D$5),"Да","Нет")</x:f>
        <x:v>Нет</x:v>
      </x:c>
    </x:row>
    <x:row r="3981" ht="60" customHeight="1">
      <x:c r="A3981" s="14" t="str">
        <x:v>Аптека</x:v>
      </x:c>
      <x:c r="B3981" s="14" t="str">
        <x:v>Спортивное питание</x:v>
      </x:c>
      <x:c r="C3981" s="14" t="str">
        <x:v>Аксессуары для спортивного питания</x:v>
      </x:c>
      <x:c r="D3981" s="14" t="str">
        <x:v>Шейкеры для спортивного питания и бутылки для воды спортивные</x:v>
      </x:c>
      <x:c r="E3981" s="2" t="n">
        <x:v>36</x:v>
      </x:c>
      <x:c r="F3981" s="2" t="n">
        <x:v>0</x:v>
      </x:c>
      <x:c r="G3981" s="12" t="n">
        <x:v>4434252.8027</x:v>
      </x:c>
      <x:c r="H3981" s="12" t="n">
        <x:v>536619.17439738</x:v>
      </x:c>
      <x:c r="I3981" s="13" t="n">
        <x:v>0.1118222222222222</x:v>
      </x:c>
      <x:c r="J3981" s="2" t="n">
        <x:v>7</x:v>
      </x:c>
      <x:c r="K3981" s="2" t="n">
        <x:v>12</x:v>
      </x:c>
      <x:c r="L3981" s="12" t="n">
        <x:v>1232.5026</x:v>
      </x:c>
      <x:c r="M3981" s="13" t="n">
        <x:v>0.2625327875738527</x:v>
      </x:c>
      <x:c r="N3981" s="13" t="n">
        <x:f>H3981/G3981</x:f>
        <x:v>0.12101682025675996</x:v>
      </x:c>
      <x:c r="O3981" s="13" t="n">
        <x:f>F3981/E3981</x:f>
        <x:v>0</x:v>
      </x:c>
      <x:c r="P3981" s="2" t="str">
        <x:f>IF(AND(E3981&gt;='Итоги'!$F$5,N3981&lt;='Итоги'!$B$5,O3981&gt;='Итоги'!$D$5),"Да","Нет")</x:f>
        <x:v>Нет</x:v>
      </x:c>
    </x:row>
    <x:row r="3982" ht="60" customHeight="1">
      <x:c r="A3982" s="14" t="str">
        <x:v>Спорт и отдых</x:v>
      </x:c>
      <x:c r="B3982" s="14" t="str">
        <x:v>Всесезонные виды спорта</x:v>
      </x:c>
      <x:c r="C3982" s="14" t="str">
        <x:v>Бег</x:v>
      </x:c>
      <x:c r="D3982" s="14" t="str">
        <x:v>Пояс для бега</x:v>
      </x:c>
      <x:c r="E3982" s="2" t="n">
        <x:v>8</x:v>
      </x:c>
      <x:c r="F3982" s="2" t="n">
        <x:v>0</x:v>
      </x:c>
      <x:c r="G3982" s="12" t="n">
        <x:v>594194.6867</x:v>
      </x:c>
      <x:c r="H3982" s="12" t="n">
        <x:v>71942.22059821</x:v>
      </x:c>
      <x:c r="I3982" s="13" t="n">
        <x:v>0.0784</x:v>
      </x:c>
      <x:c r="J3982" s="2" t="n">
        <x:v>1</x:v>
      </x:c>
      <x:c r="K3982" s="2" t="n">
        <x:v>5</x:v>
      </x:c>
      <x:c r="L3982" s="12" t="n">
        <x:v>1470.9699</x:v>
      </x:c>
      <x:c r="M3982" s="13" t="n">
        <x:v>0.3715573951462599</x:v>
      </x:c>
      <x:c r="N3982" s="13" t="n">
        <x:f>H3982/G3982</x:f>
        <x:v>0.12107516645387399</x:v>
      </x:c>
      <x:c r="O3982" s="13" t="n">
        <x:f>F3982/E3982</x:f>
        <x:v>0</x:v>
      </x:c>
      <x:c r="P3982" s="2" t="str">
        <x:f>IF(AND(E3982&gt;='Итоги'!$F$5,N3982&lt;='Итоги'!$B$5,O3982&gt;='Итоги'!$D$5),"Да","Нет")</x:f>
        <x:v>Нет</x:v>
      </x:c>
    </x:row>
    <x:row r="3983" ht="60" customHeight="1">
      <x:c r="A3983" s="14" t="str">
        <x:v>Аксессуары для электроники</x:v>
      </x:c>
      <x:c r="B3983" s="14" t="str">
        <x:v>Оборудование Access</x:v>
      </x:c>
      <x:c r="C3983" s="14" t="str">
        <x:v>Оборудование и комплектующие для приготовления алкоголя Access</x:v>
      </x:c>
      <x:c r="D3983" s="14" t="str">
        <x:v>Фильтр для очистки самогона</x:v>
      </x:c>
      <x:c r="E3983" s="2" t="n">
        <x:v>10</x:v>
      </x:c>
      <x:c r="F3983" s="2" t="n">
        <x:v>0</x:v>
      </x:c>
      <x:c r="G3983" s="12" t="n">
        <x:v>1323138.208</x:v>
      </x:c>
      <x:c r="H3983" s="12" t="n">
        <x:v>160331.68464382002</x:v>
      </x:c>
      <x:c r="I3983" s="13" t="n">
        <x:v>0.0980799999999999</x:v>
      </x:c>
      <x:c r="J3983" s="2" t="n">
        <x:v>1</x:v>
      </x:c>
      <x:c r="K3983" s="2" t="n">
        <x:v>6</x:v>
      </x:c>
      <x:c r="L3983" s="12" t="n">
        <x:v>1423.1728</x:v>
      </x:c>
      <x:c r="M3983" s="13" t="n">
        <x:v>0.5007720401344498</x:v>
      </x:c>
      <x:c r="N3983" s="13" t="n">
        <x:f>H3983/G3983</x:f>
        <x:v>0.12117531159966322</x:v>
      </x:c>
      <x:c r="O3983" s="13" t="n">
        <x:f>F3983/E3983</x:f>
        <x:v>0</x:v>
      </x:c>
      <x:c r="P3983" s="2" t="str">
        <x:f>IF(AND(E3983&gt;='Итоги'!$F$5,N3983&lt;='Итоги'!$B$5,O3983&gt;='Итоги'!$D$5),"Да","Нет")</x:f>
        <x:v>Нет</x:v>
      </x:c>
    </x:row>
    <x:row r="3984" ht="60" customHeight="1">
      <x:c r="A3984" s="14" t="str">
        <x:v>Спорт и отдых</x:v>
      </x:c>
      <x:c r="B3984" s="14" t="str">
        <x:v>Всесезонные виды спорта</x:v>
      </x:c>
      <x:c r="C3984" s="14" t="str">
        <x:v>Бег</x:v>
      </x:c>
      <x:c r="D3984" s="14" t="str">
        <x:v>Спортивный держатель для телефона</x:v>
      </x:c>
      <x:c r="E3984" s="2" t="n">
        <x:v>4</x:v>
      </x:c>
      <x:c r="F3984" s="2" t="n">
        <x:v>0</x:v>
      </x:c>
      <x:c r="G3984" s="12" t="n">
        <x:v>400056.9443</x:v>
      </x:c>
      <x:c r="H3984" s="12" t="n">
        <x:v>48486.54919573</x:v>
      </x:c>
      <x:c r="I3984" s="13" t="n">
        <x:v>0.111925</x:v>
      </x:c>
      <x:c r="J3984" s="2" t="n">
        <x:v>0</x:v>
      </x:c>
      <x:c r="K3984" s="2" t="n">
        <x:v>1</x:v>
      </x:c>
      <x:c r="L3984" s="12" t="n">
        <x:v>811.2346500000001</x:v>
      </x:c>
      <x:c r="M3984" s="13" t="n">
        <x:v>1</x:v>
      </x:c>
      <x:c r="N3984" s="13" t="n">
        <x:f>H3984/G3984</x:f>
        <x:v>0.12119911899184597</x:v>
      </x:c>
      <x:c r="O3984" s="13" t="n">
        <x:f>F3984/E3984</x:f>
        <x:v>0</x:v>
      </x:c>
      <x:c r="P3984" s="2" t="str">
        <x:f>IF(AND(E3984&gt;='Итоги'!$F$5,N3984&lt;='Итоги'!$B$5,O3984&gt;='Итоги'!$D$5),"Да","Нет")</x:f>
        <x:v>Нет</x:v>
      </x:c>
    </x:row>
    <x:row r="3985" ht="60" customHeight="1">
      <x:c r="A3985" s="14" t="str">
        <x:v>Спорт и отдых</x:v>
      </x:c>
      <x:c r="B3985" s="14" t="str">
        <x:v>Единоборства</x:v>
      </x:c>
      <x:c r="C3985" s="14" t="str">
        <x:v>Борьба</x:v>
      </x:c>
      <x:c r="D3985" s="14" t="str">
        <x:v>Инвентарь для борьбы</x:v>
      </x:c>
      <x:c r="E3985" s="2" t="n">
        <x:v>12</x:v>
      </x:c>
      <x:c r="F3985" s="2" t="n">
        <x:v>0</x:v>
      </x:c>
      <x:c r="G3985" s="12" t="n">
        <x:v>1843322.007</x:v>
      </x:c>
      <x:c r="H3985" s="12" t="n">
        <x:v>223503.55916493</x:v>
      </x:c>
      <x:c r="I3985" s="13" t="n">
        <x:v>0.1139999999999999</x:v>
      </x:c>
      <x:c r="J3985" s="2" t="n">
        <x:v>1</x:v>
      </x:c>
      <x:c r="K3985" s="2" t="n">
        <x:v>6</x:v>
      </x:c>
      <x:c r="L3985" s="12" t="n">
        <x:v>4106.37585</x:v>
      </x:c>
      <x:c r="M3985" s="13" t="n">
        <x:v>0.6847423197394723</x:v>
      </x:c>
      <x:c r="N3985" s="13" t="n">
        <x:f>H3985/G3985</x:f>
        <x:v>0.1212504154543683</x:v>
      </x:c>
      <x:c r="O3985" s="13" t="n">
        <x:f>F3985/E3985</x:f>
        <x:v>0</x:v>
      </x:c>
      <x:c r="P3985" s="2" t="str">
        <x:f>IF(AND(E3985&gt;='Итоги'!$F$5,N3985&lt;='Итоги'!$B$5,O3985&gt;='Итоги'!$D$5),"Да","Нет")</x:f>
        <x:v>Нет</x:v>
      </x:c>
    </x:row>
    <x:row r="3986" ht="60" customHeight="1">
      <x:c r="A3986" s="14" t="str">
        <x:v>Спорт и отдых</x:v>
      </x:c>
      <x:c r="B3986" s="14" t="str">
        <x:v>Туризм</x:v>
      </x:c>
      <x:c r="C3986" s="14" t="str">
        <x:v>Снаряжение для альпинизма и скалолазания</x:v>
      </x:c>
      <x:c r="D3986" s="14" t="str">
        <x:v>Магнезия для скалолазания</x:v>
      </x:c>
      <x:c r="E3986" s="2" t="n">
        <x:v>1</x:v>
      </x:c>
      <x:c r="F3986" s="2" t="n">
        <x:v>0</x:v>
      </x:c>
      <x:c r="G3986" s="12" t="n">
        <x:v>121553.48</x:v>
      </x:c>
      <x:c r="H3986" s="12" t="n">
        <x:v>14756.592471999998</x:v>
      </x:c>
      <x:c r="I3986" s="13" t="n">
        <x:v>0.1214</x:v>
      </x:c>
      <x:c r="J3986" s="2" t="n">
        <x:v>0</x:v>
      </x:c>
      <x:c r="K3986" s="2" t="n">
        <x:v>1</x:v>
      </x:c>
      <x:c r="L3986" s="12" t="n">
        <x:v>1157.6522</x:v>
      </x:c>
      <x:c r="M3986" s="13" t="n">
        <x:v>1</x:v>
      </x:c>
      <x:c r="N3986" s="13" t="n">
        <x:f>H3986/G3986</x:f>
        <x:v>0.1214</x:v>
      </x:c>
      <x:c r="O3986" s="13" t="n">
        <x:f>F3986/E3986</x:f>
        <x:v>0</x:v>
      </x:c>
      <x:c r="P3986" s="2" t="str">
        <x:f>IF(AND(E3986&gt;='Итоги'!$F$5,N3986&lt;='Итоги'!$B$5,O3986&gt;='Итоги'!$D$5),"Да","Нет")</x:f>
        <x:v>Нет</x:v>
      </x:c>
    </x:row>
    <x:row r="3987" ht="60" customHeight="1">
      <x:c r="A3987" s="14" t="str">
        <x:v>Мебель</x:v>
      </x:c>
      <x:c r="B3987" s="14" t="str">
        <x:v>Корпусная мебель и мебель для хранения</x:v>
      </x:c>
      <x:c r="C3987" s="14" t="str">
        <x:v>Рейлы, вешалки</x:v>
      </x:c>
      <x:c r="D3987" s="14" t="str">
        <x:v>Настенная вешалка</x:v>
      </x:c>
      <x:c r="E3987" s="2" t="n">
        <x:v>67</x:v>
      </x:c>
      <x:c r="F3987" s="2" t="n">
        <x:v>0</x:v>
      </x:c>
      <x:c r="G3987" s="12" t="n">
        <x:v>9991604.2569</x:v>
      </x:c>
      <x:c r="H3987" s="12" t="n">
        <x:v>1213645.65454961</x:v>
      </x:c>
      <x:c r="I3987" s="13" t="n">
        <x:v>0.1154268656716417</x:v>
      </x:c>
      <x:c r="J3987" s="2" t="n">
        <x:v>9</x:v>
      </x:c>
      <x:c r="K3987" s="2" t="n">
        <x:v>23</x:v>
      </x:c>
      <x:c r="L3987" s="12" t="n">
        <x:v>2021.9891</x:v>
      </x:c>
      <x:c r="M3987" s="13" t="n">
        <x:v>0.557125255161686</x:v>
      </x:c>
      <x:c r="N3987" s="13" t="n">
        <x:f>H3987/G3987</x:f>
        <x:v>0.12146654564621001</x:v>
      </x:c>
      <x:c r="O3987" s="13" t="n">
        <x:f>F3987/E3987</x:f>
        <x:v>0</x:v>
      </x:c>
      <x:c r="P3987" s="2" t="str">
        <x:f>IF(AND(E3987&gt;='Итоги'!$F$5,N3987&lt;='Итоги'!$B$5,O3987&gt;='Итоги'!$D$5),"Да","Нет")</x:f>
        <x:v>Нет</x:v>
      </x:c>
    </x:row>
    <x:row r="3988" ht="60" customHeight="1">
      <x:c r="A3988" s="14" t="str">
        <x:v>Аптека</x:v>
      </x:c>
      <x:c r="B3988" s="14" t="str">
        <x:v>Товары для взрослых</x:v>
      </x:c>
      <x:c r="C3988" s="14" t="str">
        <x:v>Эротические сувенир, игра</x:v>
      </x:c>
      <x:c r="D3988" s="14" t="str">
        <x:v>Эротическая игра и сувенир</x:v>
      </x:c>
      <x:c r="E3988" s="2" t="n">
        <x:v>2</x:v>
      </x:c>
      <x:c r="F3988" s="2" t="n">
        <x:v>0</x:v>
      </x:c>
      <x:c r="G3988" s="12" t="n">
        <x:v>303128.23</x:v>
      </x:c>
      <x:c r="H3988" s="12" t="n">
        <x:v>36822.1014</x:v>
      </x:c>
      <x:c r="I3988" s="13" t="n">
        <x:v>0.09</x:v>
      </x:c>
      <x:c r="J3988" s="2" t="n">
        <x:v>1</x:v>
      </x:c>
      <x:c r="K3988" s="2" t="n">
        <x:v>2</x:v>
      </x:c>
      <x:c r="L3988" s="12" t="n">
        <x:v>1053.91565</x:v>
      </x:c>
      <x:c r="M3988" s="13" t="n">
        <x:v>0.6748537739292708</x:v>
      </x:c>
      <x:c r="N3988" s="13" t="n">
        <x:f>H3988/G3988</x:f>
        <x:v>0.12147367930726875</x:v>
      </x:c>
      <x:c r="O3988" s="13" t="n">
        <x:f>F3988/E3988</x:f>
        <x:v>0</x:v>
      </x:c>
      <x:c r="P3988" s="2" t="str">
        <x:f>IF(AND(E3988&gt;='Итоги'!$F$5,N3988&lt;='Итоги'!$B$5,O3988&gt;='Итоги'!$D$5),"Да","Нет")</x:f>
        <x:v>Нет</x:v>
      </x:c>
    </x:row>
    <x:row r="3989" ht="60" customHeight="1">
      <x:c r="A3989" s="14" t="str">
        <x:v>Спорт и отдых</x:v>
      </x:c>
      <x:c r="B3989" s="14" t="str">
        <x:v>Колесный транспорт</x:v>
      </x:c>
      <x:c r="C3989" s="14" t="str">
        <x:v>Велоаксессуары</x:v>
      </x:c>
      <x:c r="D3989" s="14" t="str">
        <x:v>Держатель телефона для велосипеда</x:v>
      </x:c>
      <x:c r="E3989" s="2" t="n">
        <x:v>12</x:v>
      </x:c>
      <x:c r="F3989" s="2" t="n">
        <x:v>0</x:v>
      </x:c>
      <x:c r="G3989" s="12" t="n">
        <x:v>2810431.1918</x:v>
      </x:c>
      <x:c r="H3989" s="12" t="n">
        <x:v>341394.37743304</x:v>
      </x:c>
      <x:c r="I3989" s="13" t="n">
        <x:v>0.1267833333333333</x:v>
      </x:c>
      <x:c r="J3989" s="2" t="n">
        <x:v>1</x:v>
      </x:c>
      <x:c r="K3989" s="2" t="n">
        <x:v>8</x:v>
      </x:c>
      <x:c r="L3989" s="12" t="n">
        <x:v>862.4513999999999</x:v>
      </x:c>
      <x:c r="M3989" s="13" t="n">
        <x:v>0.5735433629199163</x:v>
      </x:c>
      <x:c r="N3989" s="13" t="n">
        <x:f>H3989/G3989</x:f>
        <x:v>0.1214740209364054</x:v>
      </x:c>
      <x:c r="O3989" s="13" t="n">
        <x:f>F3989/E3989</x:f>
        <x:v>0</x:v>
      </x:c>
      <x:c r="P3989" s="2" t="str">
        <x:f>IF(AND(E3989&gt;='Итоги'!$F$5,N3989&lt;='Итоги'!$B$5,O3989&gt;='Итоги'!$D$5),"Да","Нет")</x:f>
        <x:v>Нет</x:v>
      </x:c>
    </x:row>
    <x:row r="3990" ht="60" customHeight="1">
      <x:c r="A3990" s="14" t="str">
        <x:v>Спорт и отдых</x:v>
      </x:c>
      <x:c r="B3990" s="14" t="str">
        <x:v>Тренажеры и фитнес</x:v>
      </x:c>
      <x:c r="C3990" s="14" t="str">
        <x:v>Фитнес</x:v>
      </x:c>
      <x:c r="D3990" s="14" t="str">
        <x:v>Упоры для отжиманий</x:v>
      </x:c>
      <x:c r="E3990" s="2" t="n">
        <x:v>19</x:v>
      </x:c>
      <x:c r="F3990" s="2" t="n">
        <x:v>0</x:v>
      </x:c>
      <x:c r="G3990" s="12" t="n">
        <x:v>2514176.7701</x:v>
      </x:c>
      <x:c r="H3990" s="12" t="n">
        <x:v>305455.20400541</x:v>
      </x:c>
      <x:c r="I3990" s="13" t="n">
        <x:v>0.1271578947368421</x:v>
      </x:c>
      <x:c r="J3990" s="2" t="n">
        <x:v>0</x:v>
      </x:c>
      <x:c r="K3990" s="2" t="n">
        <x:v>12</x:v>
      </x:c>
      <x:c r="L3990" s="12" t="n">
        <x:v>1088.3768</x:v>
      </x:c>
      <x:c r="M3990" s="13" t="n">
        <x:v>0.4211925932948147</x:v>
      </x:c>
      <x:c r="N3990" s="13" t="n">
        <x:f>H3990/G3990</x:f>
        <x:v>0.12149312953570116</x:v>
      </x:c>
      <x:c r="O3990" s="13" t="n">
        <x:f>F3990/E3990</x:f>
        <x:v>0</x:v>
      </x:c>
      <x:c r="P3990" s="2" t="str">
        <x:f>IF(AND(E3990&gt;='Итоги'!$F$5,N3990&lt;='Итоги'!$B$5,O3990&gt;='Итоги'!$D$5),"Да","Нет")</x:f>
        <x:v>Нет</x:v>
      </x:c>
    </x:row>
    <x:row r="3991" ht="60" customHeight="1">
      <x:c r="A3991" s="14" t="str">
        <x:v>Аксессуары</x:v>
      </x:c>
      <x:c r="B3991" s="14" t="str">
        <x:v>Сумки и рюкзаки</x:v>
      </x:c>
      <x:c r="C3991" s="14" t="str">
        <x:v>Сумки и рюкзаки для детей</x:v>
      </x:c>
      <x:c r="D3991" s="14" t="str">
        <x:v>Детская сумка</x:v>
      </x:c>
      <x:c r="E3991" s="2" t="n">
        <x:v>6</x:v>
      </x:c>
      <x:c r="F3991" s="2" t="n">
        <x:v>0</x:v>
      </x:c>
      <x:c r="G3991" s="12" t="n">
        <x:v>429734.4835</x:v>
      </x:c>
      <x:c r="H3991" s="12" t="n">
        <x:v>52235.2022914</x:v>
      </x:c>
      <x:c r="I3991" s="13" t="n">
        <x:v>0.0708833333333333</x:v>
      </x:c>
      <x:c r="J3991" s="2" t="n">
        <x:v>4</x:v>
      </x:c>
      <x:c r="K3991" s="2" t="n">
        <x:v>4</x:v>
      </x:c>
      <x:c r="L3991" s="12" t="n">
        <x:v>2874.035</x:v>
      </x:c>
      <x:c r="M3991" s="13" t="n">
        <x:v>0.395042163284995</x:v>
      </x:c>
      <x:c r="N3991" s="13" t="n">
        <x:f>H3991/G3991</x:f>
        <x:v>0.12155227075557691</x:v>
      </x:c>
      <x:c r="O3991" s="13" t="n">
        <x:f>F3991/E3991</x:f>
        <x:v>0</x:v>
      </x:c>
      <x:c r="P3991" s="2" t="str">
        <x:f>IF(AND(E3991&gt;='Итоги'!$F$5,N3991&lt;='Итоги'!$B$5,O3991&gt;='Итоги'!$D$5),"Да","Нет")</x:f>
        <x:v>Нет</x:v>
      </x:c>
    </x:row>
    <x:row r="3992" ht="60" customHeight="1">
      <x:c r="A3992" s="14" t="str">
        <x:v>Товары для детей и спорта</x:v>
      </x:c>
      <x:c r="B3992" s="14" t="str">
        <x:v>Текстиль детский</x:v>
      </x:c>
      <x:c r="C3992" s="14" t="str">
        <x:v>Переноска детей и аксессуары для кормления</x:v>
      </x:c>
      <x:c r="D3992" s="14" t="str">
        <x:v>Сумка для мам</x:v>
      </x:c>
      <x:c r="E3992" s="2" t="n">
        <x:v>8</x:v>
      </x:c>
      <x:c r="F3992" s="2" t="n">
        <x:v>0</x:v>
      </x:c>
      <x:c r="G3992" s="12" t="n">
        <x:v>1186478.684</x:v>
      </x:c>
      <x:c r="H3992" s="12" t="n">
        <x:v>144284.24608192</x:v>
      </x:c>
      <x:c r="I3992" s="13" t="n">
        <x:v>0.1009875</x:v>
      </x:c>
      <x:c r="J3992" s="2" t="n">
        <x:v>2</x:v>
      </x:c>
      <x:c r="K3992" s="2" t="n">
        <x:v>6</x:v>
      </x:c>
      <x:c r="L3992" s="12" t="n">
        <x:v>1377.94705</x:v>
      </x:c>
      <x:c r="M3992" s="13" t="n">
        <x:v>0.3719468423252348</x:v>
      </x:c>
      <x:c r="N3992" s="13" t="n">
        <x:f>H3992/G3992</x:f>
        <x:v>0.12160711189137555</x:v>
      </x:c>
      <x:c r="O3992" s="13" t="n">
        <x:f>F3992/E3992</x:f>
        <x:v>0</x:v>
      </x:c>
      <x:c r="P3992" s="2" t="str">
        <x:f>IF(AND(E3992&gt;='Итоги'!$F$5,N3992&lt;='Итоги'!$B$5,O3992&gt;='Итоги'!$D$5),"Да","Нет")</x:f>
        <x:v>Нет</x:v>
      </x:c>
    </x:row>
    <x:row r="3993" ht="60" customHeight="1">
      <x:c r="A3993" s="14" t="str">
        <x:v>Бакалея и кондитерские изделия</x:v>
      </x:c>
      <x:c r="B3993" s="14" t="str">
        <x:v>Бакалея</x:v>
      </x:c>
      <x:c r="C3993" s="14" t="str">
        <x:v>Снэки, чипсы, готовые завтраки</x:v>
      </x:c>
      <x:c r="D3993" s="14" t="str">
        <x:v>Батончик</x:v>
      </x:c>
      <x:c r="E3993" s="2" t="n">
        <x:v>10</x:v>
      </x:c>
      <x:c r="F3993" s="2" t="n">
        <x:v>0</x:v>
      </x:c>
      <x:c r="G3993" s="12" t="n">
        <x:v>1226744.9235</x:v>
      </x:c>
      <x:c r="H3993" s="12" t="n">
        <x:v>149228.11826138</x:v>
      </x:c>
      <x:c r="I3993" s="13" t="n">
        <x:v>0.11148</x:v>
      </x:c>
      <x:c r="J3993" s="2" t="n">
        <x:v>1</x:v>
      </x:c>
      <x:c r="K3993" s="2" t="n">
        <x:v>6</x:v>
      </x:c>
      <x:c r="L3993" s="12" t="n">
        <x:v>1438.00745</x:v>
      </x:c>
      <x:c r="M3993" s="13" t="n">
        <x:v>0.3364478413511038</x:v>
      </x:c>
      <x:c r="N3993" s="13" t="n">
        <x:f>H3993/G3993</x:f>
        <x:v>0.12164559673548142</x:v>
      </x:c>
      <x:c r="O3993" s="13" t="n">
        <x:f>F3993/E3993</x:f>
        <x:v>0</x:v>
      </x:c>
      <x:c r="P3993" s="2" t="str">
        <x:f>IF(AND(E3993&gt;='Итоги'!$F$5,N3993&lt;='Итоги'!$B$5,O3993&gt;='Итоги'!$D$5),"Да","Нет")</x:f>
        <x:v>Нет</x:v>
      </x:c>
    </x:row>
    <x:row r="3994" ht="60" customHeight="1">
      <x:c r="A3994" s="14" t="str">
        <x:v>Товары для дома</x:v>
      </x:c>
      <x:c r="B3994" s="14" t="str">
        <x:v>Кухня</x:v>
      </x:c>
      <x:c r="C3994" s="14" t="str">
        <x:v>Банка, контейнер для хранения продуктов</x:v>
      </x:c>
      <x:c r="D3994" s="14" t="str">
        <x:v>Банка для продуктов</x:v>
      </x:c>
      <x:c r="E3994" s="2" t="n">
        <x:v>28</x:v>
      </x:c>
      <x:c r="F3994" s="2" t="n">
        <x:v>0</x:v>
      </x:c>
      <x:c r="G3994" s="12" t="n">
        <x:v>4727024.2859000005</x:v>
      </x:c>
      <x:c r="H3994" s="12" t="n">
        <x:v>576343.61329561</x:v>
      </x:c>
      <x:c r="I3994" s="13" t="n">
        <x:v>0.1203785714285714</x:v>
      </x:c>
      <x:c r="J3994" s="2" t="n">
        <x:v>2</x:v>
      </x:c>
      <x:c r="K3994" s="2" t="n">
        <x:v>10</x:v>
      </x:c>
      <x:c r="L3994" s="12" t="n">
        <x:v>1045.81345</x:v>
      </x:c>
      <x:c r="M3994" s="13" t="n">
        <x:v>0.6634032707963837</x:v>
      </x:c>
      <x:c r="N3994" s="13" t="n">
        <x:f>H3994/G3994</x:f>
        <x:v>0.12192524904404572</x:v>
      </x:c>
      <x:c r="O3994" s="13" t="n">
        <x:f>F3994/E3994</x:f>
        <x:v>0</x:v>
      </x:c>
      <x:c r="P3994" s="2" t="str">
        <x:f>IF(AND(E3994&gt;='Итоги'!$F$5,N3994&lt;='Итоги'!$B$5,O3994&gt;='Итоги'!$D$5),"Да","Нет")</x:f>
        <x:v>Нет</x:v>
      </x:c>
    </x:row>
    <x:row r="3995" ht="60" customHeight="1">
      <x:c r="A3995" s="14" t="str">
        <x:v>Аксессуары</x:v>
      </x:c>
      <x:c r="B3995" s="14" t="str">
        <x:v>Сумки и рюкзаки</x:v>
      </x:c>
      <x:c r="C3995" s="14" t="str">
        <x:v>Сумка мужская</x:v>
      </x:c>
      <x:c r="D3995" s="14" t="str">
        <x:v>Мужская Сумка на плечо</x:v>
      </x:c>
      <x:c r="E3995" s="2" t="n">
        <x:v>302</x:v>
      </x:c>
      <x:c r="F3995" s="2" t="n">
        <x:v>0</x:v>
      </x:c>
      <x:c r="G3995" s="12" t="n">
        <x:v>40819550.7345</x:v>
      </x:c>
      <x:c r="H3995" s="12" t="n">
        <x:v>4978875.34061064</x:v>
      </x:c>
      <x:c r="I3995" s="13" t="n">
        <x:v>0.1138692052980132</x:v>
      </x:c>
      <x:c r="J3995" s="2" t="n">
        <x:v>57</x:v>
      </x:c>
      <x:c r="K3995" s="2" t="n">
        <x:v>93</x:v>
      </x:c>
      <x:c r="L3995" s="12" t="n">
        <x:v>1915.90795</x:v>
      </x:c>
      <x:c r="M3995" s="13" t="n">
        <x:v>0.4158986211342962</x:v>
      </x:c>
      <x:c r="N3995" s="13" t="n">
        <x:f>H3995/G3995</x:f>
        <x:v>0.12197281084729279</x:v>
      </x:c>
      <x:c r="O3995" s="13" t="n">
        <x:f>F3995/E3995</x:f>
        <x:v>0</x:v>
      </x:c>
      <x:c r="P3995" s="2" t="str">
        <x:f>IF(AND(E3995&gt;='Итоги'!$F$5,N3995&lt;='Итоги'!$B$5,O3995&gt;='Итоги'!$D$5),"Да","Нет")</x:f>
        <x:v>Нет</x:v>
      </x:c>
    </x:row>
    <x:row r="3996" ht="60" customHeight="1">
      <x:c r="A3996" s="14" t="str">
        <x:v>Товары для красоты и здоровья</x:v>
      </x:c>
      <x:c r="B3996" s="14" t="str">
        <x:v>Парфюмерия, ароматерапия</x:v>
      </x:c>
      <x:c r="C3996" s="14" t="str">
        <x:v>Парфюмерия для мужчин</x:v>
      </x:c>
      <x:c r="D3996" s="14" t="str">
        <x:v>Парфюмерная вода мужская</x:v>
      </x:c>
      <x:c r="E3996" s="2" t="n">
        <x:v>33</x:v>
      </x:c>
      <x:c r="F3996" s="2" t="n">
        <x:v>0</x:v>
      </x:c>
      <x:c r="G3996" s="12" t="n">
        <x:v>3714525.5159</x:v>
      </x:c>
      <x:c r="H3996" s="12" t="n">
        <x:v>453488.94801492</x:v>
      </x:c>
      <x:c r="I3996" s="13" t="n">
        <x:v>0.1050515151515151</x:v>
      </x:c>
      <x:c r="J3996" s="2" t="n">
        <x:v>9</x:v>
      </x:c>
      <x:c r="K3996" s="2" t="n">
        <x:v>7</x:v>
      </x:c>
      <x:c r="L3996" s="12" t="n">
        <x:v>1490.23</x:v>
      </x:c>
      <x:c r="M3996" s="13" t="n">
        <x:v>0.4054491403419787</x:v>
      </x:c>
      <x:c r="N3996" s="13" t="n">
        <x:f>H3996/G3996</x:f>
        <x:v>0.12208529624410003</x:v>
      </x:c>
      <x:c r="O3996" s="13" t="n">
        <x:f>F3996/E3996</x:f>
        <x:v>0</x:v>
      </x:c>
      <x:c r="P3996" s="2" t="str">
        <x:f>IF(AND(E3996&gt;='Итоги'!$F$5,N3996&lt;='Итоги'!$B$5,O3996&gt;='Итоги'!$D$5),"Да","Нет")</x:f>
        <x:v>Нет</x:v>
      </x:c>
    </x:row>
    <x:row r="3997" ht="60" customHeight="1">
      <x:c r="A3997" s="14" t="str">
        <x:v>Аксессуары для электроники</x:v>
      </x:c>
      <x:c r="B3997" s="14" t="str">
        <x:v>Компьютеры Access</x:v>
      </x:c>
      <x:c r="C3997" s="14" t="str">
        <x:v>Аксессуар к компьютерной технике Access</x:v>
      </x:c>
      <x:c r="D3997" s="14" t="str">
        <x:v>Подставка для планшета</x:v>
      </x:c>
      <x:c r="E3997" s="2" t="n">
        <x:v>10</x:v>
      </x:c>
      <x:c r="F3997" s="2" t="n">
        <x:v>0</x:v>
      </x:c>
      <x:c r="G3997" s="12" t="n">
        <x:v>1398217.8728</x:v>
      </x:c>
      <x:c r="H3997" s="12" t="n">
        <x:v>170902.90091743998</x:v>
      </x:c>
      <x:c r="I3997" s="13" t="n">
        <x:v>0.11668</x:v>
      </x:c>
      <x:c r="J3997" s="2" t="n">
        <x:v>0</x:v>
      </x:c>
      <x:c r="K3997" s="2" t="n">
        <x:v>7</x:v>
      </x:c>
      <x:c r="L3997" s="12" t="n">
        <x:v>1678.7076</x:v>
      </x:c>
      <x:c r="M3997" s="13" t="n">
        <x:v>0.2419644367172188</x:v>
      </x:c>
      <x:c r="N3997" s="13" t="n">
        <x:f>H3997/G3997</x:f>
        <x:v>0.12222909193343275</x:v>
      </x:c>
      <x:c r="O3997" s="13" t="n">
        <x:f>F3997/E3997</x:f>
        <x:v>0</x:v>
      </x:c>
      <x:c r="P3997" s="2" t="str">
        <x:f>IF(AND(E3997&gt;='Итоги'!$F$5,N3997&lt;='Итоги'!$B$5,O3997&gt;='Итоги'!$D$5),"Да","Нет")</x:f>
        <x:v>Нет</x:v>
      </x:c>
    </x:row>
    <x:row r="3998" ht="60" customHeight="1">
      <x:c r="A3998" s="14" t="str">
        <x:v>Товары для дома</x:v>
      </x:c>
      <x:c r="B3998" s="14" t="str">
        <x:v>Кухня</x:v>
      </x:c>
      <x:c r="C3998" s="14" t="str">
        <x:v>Посуда для приготовления пищи</x:v>
      </x:c>
      <x:c r="D3998" s="14" t="str">
        <x:v>Мармит</x:v>
      </x:c>
      <x:c r="E3998" s="2" t="n">
        <x:v>13</x:v>
      </x:c>
      <x:c r="F3998" s="2" t="n">
        <x:v>0</x:v>
      </x:c>
      <x:c r="G3998" s="12" t="n">
        <x:v>1529347.5379</x:v>
      </x:c>
      <x:c r="H3998" s="12" t="n">
        <x:v>186942.83217626</x:v>
      </x:c>
      <x:c r="I3998" s="13" t="n">
        <x:v>0.100376923076923</x:v>
      </x:c>
      <x:c r="J3998" s="2" t="n">
        <x:v>4</x:v>
      </x:c>
      <x:c r="K3998" s="2" t="n">
        <x:v>3</x:v>
      </x:c>
      <x:c r="L3998" s="12" t="n">
        <x:v>3482.925</x:v>
      </x:c>
      <x:c r="M3998" s="13" t="n">
        <x:v>0.8458113710871787</x:v>
      </x:c>
      <x:c r="N3998" s="13" t="n">
        <x:f>H3998/G3998</x:f>
        <x:v>0.12223698508251281</x:v>
      </x:c>
      <x:c r="O3998" s="13" t="n">
        <x:f>F3998/E3998</x:f>
        <x:v>0</x:v>
      </x:c>
      <x:c r="P3998" s="2" t="str">
        <x:f>IF(AND(E3998&gt;='Итоги'!$F$5,N3998&lt;='Итоги'!$B$5,O3998&gt;='Итоги'!$D$5),"Да","Нет")</x:f>
        <x:v>Нет</x:v>
      </x:c>
    </x:row>
    <x:row r="3999" ht="60" customHeight="1">
      <x:c r="A3999" s="14" t="str">
        <x:v>Товары для животных</x:v>
      </x:c>
      <x:c r="B3999" s="14" t="str">
        <x:v>Спальное место животного</x:v>
      </x:c>
      <x:c r="C3999" s="14" t="str">
        <x:v>Террариум</x:v>
      </x:c>
      <x:c r="D3999" s="14" t="str">
        <x:v>Муравьиная ферма</x:v>
      </x:c>
      <x:c r="E3999" s="2" t="n">
        <x:v>7</x:v>
      </x:c>
      <x:c r="F3999" s="2" t="n">
        <x:v>0</x:v>
      </x:c>
      <x:c r="G3999" s="12" t="n">
        <x:v>861910.3929</x:v>
      </x:c>
      <x:c r="H3999" s="12" t="n">
        <x:v>105383.03797206</x:v>
      </x:c>
      <x:c r="I3999" s="13" t="n">
        <x:v>0.1249285714285714</x:v>
      </x:c>
      <x:c r="J3999" s="2" t="n">
        <x:v>0</x:v>
      </x:c>
      <x:c r="K3999" s="2" t="n">
        <x:v>2</x:v>
      </x:c>
      <x:c r="L3999" s="12" t="n">
        <x:v>1631.5592</x:v>
      </x:c>
      <x:c r="M3999" s="13" t="n">
        <x:v>0.5075347002466803</x:v>
      </x:c>
      <x:c r="N3999" s="13" t="n">
        <x:f>H3999/G3999</x:f>
        <x:v>0.12226681432333847</x:v>
      </x:c>
      <x:c r="O3999" s="13" t="n">
        <x:f>F3999/E3999</x:f>
        <x:v>0</x:v>
      </x:c>
      <x:c r="P3999" s="2" t="str">
        <x:f>IF(AND(E3999&gt;='Итоги'!$F$5,N3999&lt;='Итоги'!$B$5,O3999&gt;='Итоги'!$D$5),"Да","Нет")</x:f>
        <x:v>Нет</x:v>
      </x:c>
    </x:row>
    <x:row r="4000" ht="60" customHeight="1">
      <x:c r="A4000" s="14" t="str">
        <x:v>Товары для дома</x:v>
      </x:c>
      <x:c r="B4000" s="14" t="str">
        <x:v>Интерьер и декор</x:v>
      </x:c>
      <x:c r="C4000" s="14" t="str">
        <x:v>Принадлежности для праздника</x:v>
      </x:c>
      <x:c r="D4000" s="14" t="str">
        <x:v>Бумага подарочная, упаковочная</x:v>
      </x:c>
      <x:c r="E4000" s="2" t="n">
        <x:v>7</x:v>
      </x:c>
      <x:c r="F4000" s="2" t="n">
        <x:v>0</x:v>
      </x:c>
      <x:c r="G4000" s="12" t="n">
        <x:v>648611.2326999999</x:v>
      </x:c>
      <x:c r="H4000" s="12" t="n">
        <x:v>79334.83321015</x:v>
      </x:c>
      <x:c r="I4000" s="13" t="n">
        <x:v>0.1126714285714285</x:v>
      </x:c>
      <x:c r="J4000" s="2" t="n">
        <x:v>2</x:v>
      </x:c>
      <x:c r="K4000" s="2" t="n">
        <x:v>5</x:v>
      </x:c>
      <x:c r="L4000" s="12" t="n">
        <x:v>1431.6452</x:v>
      </x:c>
      <x:c r="M4000" s="13" t="n">
        <x:v>0.5487241386777174</x:v>
      </x:c>
      <x:c r="N4000" s="13" t="n">
        <x:f>H4000/G4000</x:f>
        <x:v>0.12231492334768812</x:v>
      </x:c>
      <x:c r="O4000" s="13" t="n">
        <x:f>F4000/E4000</x:f>
        <x:v>0</x:v>
      </x:c>
      <x:c r="P4000" s="2" t="str">
        <x:f>IF(AND(E4000&gt;='Итоги'!$F$5,N4000&lt;='Итоги'!$B$5,O4000&gt;='Итоги'!$D$5),"Да","Нет")</x:f>
        <x:v>Нет</x:v>
      </x:c>
    </x:row>
    <x:row r="4001" ht="60" customHeight="1">
      <x:c r="A4001" s="14" t="str">
        <x:v>Товары для животных</x:v>
      </x:c>
      <x:c r="B4001" s="14" t="str">
        <x:v>Гигиена и уход животных</x:v>
      </x:c>
      <x:c r="C4001" s="14" t="str">
        <x:v>Уход за шерстью животных</x:v>
      </x:c>
      <x:c r="D4001" s="14" t="str">
        <x:v>Паста для груминга</x:v>
      </x:c>
      <x:c r="E4001" s="2" t="n">
        <x:v>3</x:v>
      </x:c>
      <x:c r="F4001" s="2" t="n">
        <x:v>0</x:v>
      </x:c>
      <x:c r="G4001" s="12" t="n">
        <x:v>240763.0486</x:v>
      </x:c>
      <x:c r="H4001" s="12" t="n">
        <x:v>29465.25051792</x:v>
      </x:c>
      <x:c r="I4001" s="13" t="n">
        <x:v>0.1267</x:v>
      </x:c>
      <x:c r="J4001" s="2" t="n">
        <x:v>0</x:v>
      </x:c>
      <x:c r="K4001" s="2" t="n">
        <x:v>2</x:v>
      </x:c>
      <x:c r="L4001" s="12" t="n">
        <x:v>4380.8</x:v>
      </x:c>
      <x:c r="M4001" s="13" t="n">
        <x:v>0.5215578940795984</x:v>
      </x:c>
      <x:c r="N4001" s="13" t="n">
        <x:f>H4001/G4001</x:f>
        <x:v>0.12238277712986229</x:v>
      </x:c>
      <x:c r="O4001" s="13" t="n">
        <x:f>F4001/E4001</x:f>
        <x:v>0</x:v>
      </x:c>
      <x:c r="P4001" s="2" t="str">
        <x:f>IF(AND(E4001&gt;='Итоги'!$F$5,N4001&lt;='Итоги'!$B$5,O4001&gt;='Итоги'!$D$5),"Да","Нет")</x:f>
        <x:v>Нет</x:v>
      </x:c>
    </x:row>
    <x:row r="4002" ht="60" customHeight="1">
      <x:c r="A4002" s="14" t="str">
        <x:v>Товары для дома</x:v>
      </x:c>
      <x:c r="B4002" s="14" t="str">
        <x:v>Интерьер и декор</x:v>
      </x:c>
      <x:c r="C4002" s="14" t="str">
        <x:v>Религиозные товары</x:v>
      </x:c>
      <x:c r="D4002" s="14" t="str">
        <x:v>Лампада церковная</x:v>
      </x:c>
      <x:c r="E4002" s="2" t="n">
        <x:v>9</x:v>
      </x:c>
      <x:c r="F4002" s="2" t="n">
        <x:v>0</x:v>
      </x:c>
      <x:c r="G4002" s="12" t="n">
        <x:v>1460364.114</x:v>
      </x:c>
      <x:c r="H4002" s="12" t="n">
        <x:v>178792.69082723002</x:v>
      </x:c>
      <x:c r="I4002" s="13" t="n">
        <x:v>0.1152666666666666</x:v>
      </x:c>
      <x:c r="J4002" s="2" t="n">
        <x:v>1</x:v>
      </x:c>
      <x:c r="K4002" s="2" t="n">
        <x:v>3</x:v>
      </x:c>
      <x:c r="L4002" s="12" t="n">
        <x:v>837.5776</x:v>
      </x:c>
      <x:c r="M4002" s="13" t="n">
        <x:v>0.5939241375387563</x:v>
      </x:c>
      <x:c r="N4002" s="13" t="n">
        <x:f>H4002/G4002</x:f>
        <x:v>0.12243021388515851</x:v>
      </x:c>
      <x:c r="O4002" s="13" t="n">
        <x:f>F4002/E4002</x:f>
        <x:v>0</x:v>
      </x:c>
      <x:c r="P4002" s="2" t="str">
        <x:f>IF(AND(E4002&gt;='Итоги'!$F$5,N4002&lt;='Итоги'!$B$5,O4002&gt;='Итоги'!$D$5),"Да","Нет")</x:f>
        <x:v>Нет</x:v>
      </x:c>
    </x:row>
    <x:row r="4003" ht="60" customHeight="1">
      <x:c r="A4003" s="14" t="str">
        <x:v>Строительство и ремонт (DIY)</x:v>
      </x:c>
      <x:c r="B4003" s="14" t="str">
        <x:v>Сад и огород</x:v>
      </x:c>
      <x:c r="C4003" s="14" t="str">
        <x:v>Товары для бани и сауны</x:v>
      </x:c>
      <x:c r="D4003" s="14" t="str">
        <x:v>Коврики, сиденья для бани и сауны</x:v>
      </x:c>
      <x:c r="E4003" s="2" t="n">
        <x:v>4</x:v>
      </x:c>
      <x:c r="F4003" s="2" t="n">
        <x:v>0</x:v>
      </x:c>
      <x:c r="G4003" s="12" t="n">
        <x:v>584806.6673</x:v>
      </x:c>
      <x:c r="H4003" s="12" t="n">
        <x:v>71635.74958763</x:v>
      </x:c>
      <x:c r="I4003" s="13" t="n">
        <x:v>0.07235</x:v>
      </x:c>
      <x:c r="J4003" s="2" t="n">
        <x:v>1</x:v>
      </x:c>
      <x:c r="K4003" s="2" t="n">
        <x:v>2</x:v>
      </x:c>
      <x:c r="L4003" s="12" t="n">
        <x:v>1880.5054</x:v>
      </x:c>
      <x:c r="M4003" s="13" t="n">
        <x:v>0.5194104039586417</x:v>
      </x:c>
      <x:c r="N4003" s="13" t="n">
        <x:f>H4003/G4003</x:f>
        <x:v>0.12249475526393336</x:v>
      </x:c>
      <x:c r="O4003" s="13" t="n">
        <x:f>F4003/E4003</x:f>
        <x:v>0</x:v>
      </x:c>
      <x:c r="P4003" s="2" t="str">
        <x:f>IF(AND(E4003&gt;='Итоги'!$F$5,N4003&lt;='Итоги'!$B$5,O4003&gt;='Итоги'!$D$5),"Да","Нет")</x:f>
        <x:v>Нет</x:v>
      </x:c>
    </x:row>
    <x:row r="4004" ht="60" customHeight="1">
      <x:c r="A4004" s="14" t="str">
        <x:v>Аптека</x:v>
      </x:c>
      <x:c r="B4004" s="14" t="str">
        <x:v>Парафармацевтика</x:v>
      </x:c>
      <x:c r="C4004" s="14" t="str">
        <x:v>Парафармацевтика</x:v>
      </x:c>
      <x:c r="D4004" s="14" t="str">
        <x:v>Средства для улучшения обмена веществ</x:v>
      </x:c>
      <x:c r="E4004" s="2" t="n">
        <x:v>22</x:v>
      </x:c>
      <x:c r="F4004" s="2" t="n">
        <x:v>0</x:v>
      </x:c>
      <x:c r="G4004" s="12" t="n">
        <x:v>3280948.7424</x:v>
      </x:c>
      <x:c r="H4004" s="12" t="n">
        <x:v>401968.98978522</x:v>
      </x:c>
      <x:c r="I4004" s="13" t="n">
        <x:v>0.13775</x:v>
      </x:c>
      <x:c r="J4004" s="2" t="n">
        <x:v>4</x:v>
      </x:c>
      <x:c r="K4004" s="2" t="n">
        <x:v>8</x:v>
      </x:c>
      <x:c r="L4004" s="12" t="n">
        <x:v>1567.64815</x:v>
      </x:c>
      <x:c r="M4004" s="13" t="n">
        <x:v>0.7612653873016508</x:v>
      </x:c>
      <x:c r="N4004" s="13" t="n">
        <x:f>H4004/G4004</x:f>
        <x:v>0.12251608340920969</x:v>
      </x:c>
      <x:c r="O4004" s="13" t="n">
        <x:f>F4004/E4004</x:f>
        <x:v>0</x:v>
      </x:c>
      <x:c r="P4004" s="2" t="str">
        <x:f>IF(AND(E4004&gt;='Итоги'!$F$5,N4004&lt;='Итоги'!$B$5,O4004&gt;='Итоги'!$D$5),"Да","Нет")</x:f>
        <x:v>Нет</x:v>
      </x:c>
    </x:row>
    <x:row r="4005" ht="60" customHeight="1">
      <x:c r="A4005" s="14" t="str">
        <x:v>Аптека</x:v>
      </x:c>
      <x:c r="B4005" s="14" t="str">
        <x:v>Ортопедия и компрессионный трикотаж</x:v>
      </x:c>
      <x:c r="C4005" s="14" t="str">
        <x:v>Ортопедические стельки и корректоры стопы</x:v>
      </x:c>
      <x:c r="D4005" s="14" t="str">
        <x:v>Корректор стопы</x:v>
      </x:c>
      <x:c r="E4005" s="2" t="n">
        <x:v>6</x:v>
      </x:c>
      <x:c r="F4005" s="2" t="n">
        <x:v>0</x:v>
      </x:c>
      <x:c r="G4005" s="12" t="n">
        <x:v>1203071.5499</x:v>
      </x:c>
      <x:c r="H4005" s="12" t="n">
        <x:v>147417.60161781</x:v>
      </x:c>
      <x:c r="I4005" s="13" t="n">
        <x:v>0.0915166666666666</x:v>
      </x:c>
      <x:c r="J4005" s="2" t="n">
        <x:v>2</x:v>
      </x:c>
      <x:c r="K4005" s="2" t="n">
        <x:v>2</x:v>
      </x:c>
      <x:c r="L4005" s="12" t="n">
        <x:v>1484.0518000000002</x:v>
      </x:c>
      <x:c r="M4005" s="13" t="n">
        <x:v>0.796735200063266</x:v>
      </x:c>
      <x:c r="N4005" s="13" t="n">
        <x:f>H4005/G4005</x:f>
        <x:v>0.12253435934883793</x:v>
      </x:c>
      <x:c r="O4005" s="13" t="n">
        <x:f>F4005/E4005</x:f>
        <x:v>0</x:v>
      </x:c>
      <x:c r="P4005" s="2" t="str">
        <x:f>IF(AND(E4005&gt;='Итоги'!$F$5,N4005&lt;='Итоги'!$B$5,O4005&gt;='Итоги'!$D$5),"Да","Нет")</x:f>
        <x:v>Нет</x:v>
      </x:c>
    </x:row>
    <x:row r="4006" ht="60" customHeight="1">
      <x:c r="A4006" s="14" t="str">
        <x:v>Аптека</x:v>
      </x:c>
      <x:c r="B4006" s="14" t="str">
        <x:v>Товары для взрослых</x:v>
      </x:c>
      <x:c r="C4006" s="14" t="str">
        <x:v>Секс игрушки</x:v>
      </x:c>
      <x:c r="D4006" s="14" t="str">
        <x:v>Вагинальные шарики</x:v>
      </x:c>
      <x:c r="E4006" s="2" t="n">
        <x:v>10</x:v>
      </x:c>
      <x:c r="F4006" s="2" t="n">
        <x:v>0</x:v>
      </x:c>
      <x:c r="G4006" s="12" t="n">
        <x:v>1761664.7105</x:v>
      </x:c>
      <x:c r="H4006" s="12" t="n">
        <x:v>215933.38839475</x:v>
      </x:c>
      <x:c r="I4006" s="13" t="n">
        <x:v>0.1065199999999999</x:v>
      </x:c>
      <x:c r="J4006" s="2" t="n">
        <x:v>1</x:v>
      </x:c>
      <x:c r="K4006" s="2" t="n">
        <x:v>5</x:v>
      </x:c>
      <x:c r="L4006" s="12" t="n">
        <x:v>1653.7442</x:v>
      </x:c>
      <x:c r="M4006" s="13" t="n">
        <x:v>0.4566248592626275</x:v>
      </x:c>
      <x:c r="N4006" s="13" t="n">
        <x:f>H4006/G4006</x:f>
        <x:v>0.1225734880807502</x:v>
      </x:c>
      <x:c r="O4006" s="13" t="n">
        <x:f>F4006/E4006</x:f>
        <x:v>0</x:v>
      </x:c>
      <x:c r="P4006" s="2" t="str">
        <x:f>IF(AND(E4006&gt;='Итоги'!$F$5,N4006&lt;='Итоги'!$B$5,O4006&gt;='Итоги'!$D$5),"Да","Нет")</x:f>
        <x:v>Нет</x:v>
      </x:c>
    </x:row>
    <x:row r="4007" ht="60" customHeight="1">
      <x:c r="A4007" s="14" t="str">
        <x:v>Товары для дома</x:v>
      </x:c>
      <x:c r="B4007" s="14" t="str">
        <x:v>Хранение</x:v>
      </x:c>
      <x:c r="C4007" s="14" t="str">
        <x:v>Товары для хранения</x:v>
      </x:c>
      <x:c r="D4007" s="14" t="str">
        <x:v>Пакет, мешок для хранения вещей</x:v>
      </x:c>
      <x:c r="E4007" s="2" t="n">
        <x:v>8</x:v>
      </x:c>
      <x:c r="F4007" s="2" t="n">
        <x:v>0</x:v>
      </x:c>
      <x:c r="G4007" s="12" t="n">
        <x:v>923318.9225</x:v>
      </x:c>
      <x:c r="H4007" s="12" t="n">
        <x:v>113176.37604775</x:v>
      </x:c>
      <x:c r="I4007" s="13" t="n">
        <x:v>0.1226125</x:v>
      </x:c>
      <x:c r="J4007" s="2" t="n">
        <x:v>0</x:v>
      </x:c>
      <x:c r="K4007" s="2" t="n">
        <x:v>3</x:v>
      </x:c>
      <x:c r="L4007" s="12" t="n">
        <x:v>854.3752</x:v>
      </x:c>
      <x:c r="M4007" s="13" t="n">
        <x:v>0.5825530154235521</x:v>
      </x:c>
      <x:c r="N4007" s="13" t="n">
        <x:f>H4007/G4007</x:f>
        <x:v>0.12257560555708204</x:v>
      </x:c>
      <x:c r="O4007" s="13" t="n">
        <x:f>F4007/E4007</x:f>
        <x:v>0</x:v>
      </x:c>
      <x:c r="P4007" s="2" t="str">
        <x:f>IF(AND(E4007&gt;='Итоги'!$F$5,N4007&lt;='Итоги'!$B$5,O4007&gt;='Итоги'!$D$5),"Да","Нет")</x:f>
        <x:v>Нет</x:v>
      </x:c>
    </x:row>
    <x:row r="4008" ht="60" customHeight="1">
      <x:c r="A4008" s="14" t="str">
        <x:v>Строительство и ремонт (DIY)</x:v>
      </x:c>
      <x:c r="B4008" s="14" t="str">
        <x:v>Сад и огород</x:v>
      </x:c>
      <x:c r="C4008" s="14" t="str">
        <x:v>Товары для бани и сауны</x:v>
      </x:c>
      <x:c r="D4008" s="14" t="str">
        <x:v>Масла, запарки, соль для бани</x:v>
      </x:c>
      <x:c r="E4008" s="2" t="n">
        <x:v>5</x:v>
      </x:c>
      <x:c r="F4008" s="2" t="n">
        <x:v>0</x:v>
      </x:c>
      <x:c r="G4008" s="12" t="n">
        <x:v>623759.4687</x:v>
      </x:c>
      <x:c r="H4008" s="12" t="n">
        <x:v>76470.5381204</x:v>
      </x:c>
      <x:c r="I4008" s="13" t="n">
        <x:v>0.11782</x:v>
      </x:c>
      <x:c r="J4008" s="2" t="n">
        <x:v>1</x:v>
      </x:c>
      <x:c r="K4008" s="2" t="n">
        <x:v>4</x:v>
      </x:c>
      <x:c r="L4008" s="12" t="n">
        <x:v>1022.9885</x:v>
      </x:c>
      <x:c r="M4008" s="13" t="n">
        <x:v>0.3560849004230916</x:v>
      </x:c>
      <x:c r="N4008" s="13" t="n">
        <x:f>H4008/G4008</x:f>
        <x:v>0.12259619606220176</x:v>
      </x:c>
      <x:c r="O4008" s="13" t="n">
        <x:f>F4008/E4008</x:f>
        <x:v>0</x:v>
      </x:c>
      <x:c r="P4008" s="2" t="str">
        <x:f>IF(AND(E4008&gt;='Итоги'!$F$5,N4008&lt;='Итоги'!$B$5,O4008&gt;='Итоги'!$D$5),"Да","Нет")</x:f>
        <x:v>Нет</x:v>
      </x:c>
    </x:row>
    <x:row r="4009" ht="60" customHeight="1">
      <x:c r="A4009" s="14" t="str">
        <x:v>Товары для дома</x:v>
      </x:c>
      <x:c r="B4009" s="14" t="str">
        <x:v>Интерьер и декор</x:v>
      </x:c>
      <x:c r="C4009" s="14" t="str">
        <x:v>Украшение интерьера</x:v>
      </x:c>
      <x:c r="D4009" s="14" t="str">
        <x:v>Наклейка декоративная-интерьерная</x:v>
      </x:c>
      <x:c r="E4009" s="2" t="n">
        <x:v>3</x:v>
      </x:c>
      <x:c r="F4009" s="2" t="n">
        <x:v>0</x:v>
      </x:c>
      <x:c r="G4009" s="12" t="n">
        <x:v>388613.4</x:v>
      </x:c>
      <x:c r="H4009" s="12" t="n">
        <x:v>47695.22916</x:v>
      </x:c>
      <x:c r="I4009" s="13" t="n">
        <x:v>0.083</x:v>
      </x:c>
      <x:c r="J4009" s="2" t="n">
        <x:v>0</x:v>
      </x:c>
      <x:c r="K4009" s="2" t="n">
        <x:v>3</x:v>
      </x:c>
      <x:c r="L4009" s="12" t="n">
        <x:v>1316.2134</x:v>
      </x:c>
      <x:c r="M4009" s="13" t="n">
        <x:v>0.5753468614309234</x:v>
      </x:c>
      <x:c r="N4009" s="13" t="n">
        <x:f>H4009/G4009</x:f>
        <x:v>0.12273181820287206</x:v>
      </x:c>
      <x:c r="O4009" s="13" t="n">
        <x:f>F4009/E4009</x:f>
        <x:v>0</x:v>
      </x:c>
      <x:c r="P4009" s="2" t="str">
        <x:f>IF(AND(E4009&gt;='Итоги'!$F$5,N4009&lt;='Итоги'!$B$5,O4009&gt;='Итоги'!$D$5),"Да","Нет")</x:f>
        <x:v>Нет</x:v>
      </x:c>
    </x:row>
    <x:row r="4010" ht="60" customHeight="1">
      <x:c r="A4010" s="14" t="str">
        <x:v>Товары для дома</x:v>
      </x:c>
      <x:c r="B4010" s="14" t="str">
        <x:v>Интерьер и декор</x:v>
      </x:c>
      <x:c r="C4010" s="14" t="str">
        <x:v>Сувенирная продукция</x:v>
      </x:c>
      <x:c r="D4010" s="14" t="str">
        <x:v>Сюрприз/подарочный бокс непродовольственный</x:v>
      </x:c>
      <x:c r="E4010" s="2" t="n">
        <x:v>94</x:v>
      </x:c>
      <x:c r="F4010" s="2" t="n">
        <x:v>0</x:v>
      </x:c>
      <x:c r="G4010" s="12" t="n">
        <x:v>13964271.3704</x:v>
      </x:c>
      <x:c r="H4010" s="12" t="n">
        <x:v>1715320.02161205</x:v>
      </x:c>
      <x:c r="I4010" s="13" t="n">
        <x:v>0.1353670212765957</x:v>
      </x:c>
      <x:c r="J4010" s="2" t="n">
        <x:v>14</x:v>
      </x:c>
      <x:c r="K4010" s="2" t="n">
        <x:v>39</x:v>
      </x:c>
      <x:c r="L4010" s="12" t="n">
        <x:v>1309.6978</x:v>
      </x:c>
      <x:c r="M4010" s="13" t="n">
        <x:v>0.3092729506141279</x:v>
      </x:c>
      <x:c r="N4010" s="13" t="n">
        <x:f>H4010/G4010</x:f>
        <x:v>0.12283634255690602</x:v>
      </x:c>
      <x:c r="O4010" s="13" t="n">
        <x:f>F4010/E4010</x:f>
        <x:v>0</x:v>
      </x:c>
      <x:c r="P4010" s="2" t="str">
        <x:f>IF(AND(E4010&gt;='Итоги'!$F$5,N4010&lt;='Итоги'!$B$5,O4010&gt;='Итоги'!$D$5),"Да","Нет")</x:f>
        <x:v>Нет</x:v>
      </x:c>
    </x:row>
    <x:row r="4011" ht="60" customHeight="1">
      <x:c r="A4011" s="14" t="str">
        <x:v>Аксессуары</x:v>
      </x:c>
      <x:c r="B4011" s="14" t="str">
        <x:v>Сумки и рюкзаки</x:v>
      </x:c>
      <x:c r="C4011" s="14" t="str">
        <x:v>Сумка женская</x:v>
      </x:c>
      <x:c r="D4011" s="14" t="str">
        <x:v>Женский Клатч</x:v>
      </x:c>
      <x:c r="E4011" s="2" t="n">
        <x:v>46</x:v>
      </x:c>
      <x:c r="F4011" s="2" t="n">
        <x:v>0</x:v>
      </x:c>
      <x:c r="G4011" s="12" t="n">
        <x:v>3607948.4588</x:v>
      </x:c>
      <x:c r="H4011" s="12" t="n">
        <x:v>443222.85044054</x:v>
      </x:c>
      <x:c r="I4011" s="13" t="n">
        <x:v>0.0923847826086956</x:v>
      </x:c>
      <x:c r="J4011" s="2" t="n">
        <x:v>18</x:v>
      </x:c>
      <x:c r="K4011" s="2" t="n">
        <x:v>21</x:v>
      </x:c>
      <x:c r="L4011" s="12" t="n">
        <x:v>1220.94555</x:v>
      </x:c>
      <x:c r="M4011" s="13" t="n">
        <x:v>0.2567109046807317</x:v>
      </x:c>
      <x:c r="N4011" s="13" t="n">
        <x:f>H4011/G4011</x:f>
        <x:v>0.12284622563260104</x:v>
      </x:c>
      <x:c r="O4011" s="13" t="n">
        <x:f>F4011/E4011</x:f>
        <x:v>0</x:v>
      </x:c>
      <x:c r="P4011" s="2" t="str">
        <x:f>IF(AND(E4011&gt;='Итоги'!$F$5,N4011&lt;='Итоги'!$B$5,O4011&gt;='Итоги'!$D$5),"Да","Нет")</x:f>
        <x:v>Нет</x:v>
      </x:c>
    </x:row>
    <x:row r="4012" ht="60" customHeight="1">
      <x:c r="A4012" s="14" t="str">
        <x:v>Товары для красоты и здоровья</x:v>
      </x:c>
      <x:c r="B4012" s="14" t="str">
        <x:v>Косметика для ухода за кожей</x:v>
      </x:c>
      <x:c r="C4012" s="14" t="str">
        <x:v>Руки</x:v>
      </x:c>
      <x:c r="D4012" s="14" t="str">
        <x:v>Увлажняющее средство для рук</x:v>
      </x:c>
      <x:c r="E4012" s="2" t="n">
        <x:v>25</x:v>
      </x:c>
      <x:c r="F4012" s="2" t="n">
        <x:v>0</x:v>
      </x:c>
      <x:c r="G4012" s="12" t="n">
        <x:v>3555393.5735</x:v>
      </x:c>
      <x:c r="H4012" s="12" t="n">
        <x:v>436791.08232607</x:v>
      </x:c>
      <x:c r="I4012" s="13" t="n">
        <x:v>0.110828</x:v>
      </x:c>
      <x:c r="J4012" s="2" t="n">
        <x:v>8</x:v>
      </x:c>
      <x:c r="K4012" s="2" t="n">
        <x:v>8</x:v>
      </x:c>
      <x:c r="L4012" s="12" t="n">
        <x:v>1062.0649</x:v>
      </x:c>
      <x:c r="M4012" s="13" t="n">
        <x:v>0.5816713961048622</x:v>
      </x:c>
      <x:c r="N4012" s="13" t="n">
        <x:f>H4012/G4012</x:f>
        <x:v>0.12285308877804045</x:v>
      </x:c>
      <x:c r="O4012" s="13" t="n">
        <x:f>F4012/E4012</x:f>
        <x:v>0</x:v>
      </x:c>
      <x:c r="P4012" s="2" t="str">
        <x:f>IF(AND(E4012&gt;='Итоги'!$F$5,N4012&lt;='Итоги'!$B$5,O4012&gt;='Итоги'!$D$5),"Да","Нет")</x:f>
        <x:v>Нет</x:v>
      </x:c>
    </x:row>
    <x:row r="4013" ht="60" customHeight="1">
      <x:c r="A4013" s="14" t="str">
        <x:v>Товары для дома</x:v>
      </x:c>
      <x:c r="B4013" s="14" t="str">
        <x:v>Интерьер и декор</x:v>
      </x:c>
      <x:c r="C4013" s="14" t="str">
        <x:v>Принадлежности для праздника</x:v>
      </x:c>
      <x:c r="D4013" s="14" t="str">
        <x:v>Насос для воздушных шаров</x:v>
      </x:c>
      <x:c r="E4013" s="2" t="n">
        <x:v>11</x:v>
      </x:c>
      <x:c r="F4013" s="2" t="n">
        <x:v>0</x:v>
      </x:c>
      <x:c r="G4013" s="12" t="n">
        <x:v>2481788.1623</x:v>
      </x:c>
      <x:c r="H4013" s="12" t="n">
        <x:v>305102.80242486</x:v>
      </x:c>
      <x:c r="I4013" s="13" t="n">
        <x:v>0.1273636363636363</x:v>
      </x:c>
      <x:c r="J4013" s="2" t="n">
        <x:v>1</x:v>
      </x:c>
      <x:c r="K4013" s="2" t="n">
        <x:v>4</x:v>
      </x:c>
      <x:c r="L4013" s="12" t="n">
        <x:v>926.5859</x:v>
      </x:c>
      <x:c r="M4013" s="13" t="n">
        <x:v>0.7292047295941767</x:v>
      </x:c>
      <x:c r="N4013" s="13" t="n">
        <x:f>H4013/G4013</x:f>
        <x:v>0.12293668213088164</x:v>
      </x:c>
      <x:c r="O4013" s="13" t="n">
        <x:f>F4013/E4013</x:f>
        <x:v>0</x:v>
      </x:c>
      <x:c r="P4013" s="2" t="str">
        <x:f>IF(AND(E4013&gt;='Итоги'!$F$5,N4013&lt;='Итоги'!$B$5,O4013&gt;='Итоги'!$D$5),"Да","Нет")</x:f>
        <x:v>Нет</x:v>
      </x:c>
    </x:row>
    <x:row r="4014" ht="60" customHeight="1">
      <x:c r="A4014" s="14" t="str">
        <x:v>Аксессуары</x:v>
      </x:c>
      <x:c r="B4014" s="14" t="str">
        <x:v>Бижутерия и часы бижутерные</x:v>
      </x:c>
      <x:c r="C4014" s="14" t="str">
        <x:v>Украшение для волос</x:v>
      </x:c>
      <x:c r="D4014" s="14" t="str">
        <x:v>Комплект резинок для волос</x:v>
      </x:c>
      <x:c r="E4014" s="2" t="n">
        <x:v>1</x:v>
      </x:c>
      <x:c r="F4014" s="2" t="n">
        <x:v>0</x:v>
      </x:c>
      <x:c r="G4014" s="12" t="n">
        <x:v>112883.59</x:v>
      </x:c>
      <x:c r="H4014" s="12" t="n">
        <x:v>13884.68157</x:v>
      </x:c>
      <x:c r="I4014" s="13" t="n">
        <x:v>0.123</x:v>
      </x:c>
      <x:c r="J4014" s="2" t="n">
        <x:v>0</x:v>
      </x:c>
      <x:c r="K4014" s="2" t="n">
        <x:v>1</x:v>
      </x:c>
      <x:c r="L4014" s="12" t="n">
        <x:v>895.9015</x:v>
      </x:c>
      <x:c r="M4014" s="13" t="n">
        <x:v>1</x:v>
      </x:c>
      <x:c r="N4014" s="13" t="n">
        <x:f>H4014/G4014</x:f>
        <x:v>0.12300000000000001</x:v>
      </x:c>
      <x:c r="O4014" s="13" t="n">
        <x:f>F4014/E4014</x:f>
        <x:v>0</x:v>
      </x:c>
      <x:c r="P4014" s="2" t="str">
        <x:f>IF(AND(E4014&gt;='Итоги'!$F$5,N4014&lt;='Итоги'!$B$5,O4014&gt;='Итоги'!$D$5),"Да","Нет")</x:f>
        <x:v>Нет</x:v>
      </x:c>
    </x:row>
    <x:row r="4015" ht="60" customHeight="1">
      <x:c r="A4015" s="14" t="str">
        <x:v>Автотовары</x:v>
      </x:c>
      <x:c r="B4015" s="14" t="str">
        <x:v>Универсальные авто и мото аксессуары</x:v>
      </x:c>
      <x:c r="C4015" s="14" t="str">
        <x:v>Аксессуар для салона авто</x:v>
      </x:c>
      <x:c r="D4015" s="14" t="str">
        <x:v>Автолитература</x:v>
      </x:c>
      <x:c r="E4015" s="2" t="n">
        <x:v>1</x:v>
      </x:c>
      <x:c r="F4015" s="2" t="n">
        <x:v>0</x:v>
      </x:c>
      <x:c r="G4015" s="12" t="n">
        <x:v>69110.8822</x:v>
      </x:c>
      <x:c r="H4015" s="12" t="n">
        <x:v>8500.6385106</x:v>
      </x:c>
      <x:c r="I4015" s="13" t="n">
        <x:v>0.123</x:v>
      </x:c>
      <x:c r="J4015" s="2" t="n">
        <x:v>0</x:v>
      </x:c>
      <x:c r="K4015" s="2" t="n">
        <x:v>1</x:v>
      </x:c>
      <x:c r="L4015" s="12" t="n">
        <x:v>1382.2176</x:v>
      </x:c>
      <x:c r="M4015" s="13" t="n">
        <x:v>1</x:v>
      </x:c>
      <x:c r="N4015" s="13" t="n">
        <x:f>H4015/G4015</x:f>
        <x:v>0.12300000000000001</x:v>
      </x:c>
      <x:c r="O4015" s="13" t="n">
        <x:f>F4015/E4015</x:f>
        <x:v>0</x:v>
      </x:c>
      <x:c r="P4015" s="2" t="str">
        <x:f>IF(AND(E4015&gt;='Итоги'!$F$5,N4015&lt;='Итоги'!$B$5,O4015&gt;='Итоги'!$D$5),"Да","Нет")</x:f>
        <x:v>Нет</x:v>
      </x:c>
    </x:row>
    <x:row r="4016" ht="60" customHeight="1">
      <x:c r="A4016" s="14" t="str">
        <x:v>Школьные принадлежности и канцелярия</x:v>
      </x:c>
      <x:c r="B4016" s="14" t="str">
        <x:v>Товары для школы, канцелярия, оборудование</x:v>
      </x:c>
      <x:c r="C4016" s="14" t="str">
        <x:v>Письменные принадлежности</x:v>
      </x:c>
      <x:c r="D4016" s="14" t="str">
        <x:v>Ручка со стираемыми чернилами</x:v>
      </x:c>
      <x:c r="E4016" s="2" t="n">
        <x:v>1</x:v>
      </x:c>
      <x:c r="F4016" s="2" t="n">
        <x:v>0</x:v>
      </x:c>
      <x:c r="G4016" s="12" t="n">
        <x:v>150018.9608</x:v>
      </x:c>
      <x:c r="H4016" s="12" t="n">
        <x:v>18467.33407448</x:v>
      </x:c>
      <x:c r="I4016" s="13" t="n">
        <x:v>0.1231</x:v>
      </x:c>
      <x:c r="J4016" s="2" t="n">
        <x:v>0</x:v>
      </x:c>
      <x:c r="K4016" s="2" t="n">
        <x:v>1</x:v>
      </x:c>
      <x:c r="L4016" s="12" t="n">
        <x:v>967.8643</x:v>
      </x:c>
      <x:c r="M4016" s="13" t="n">
        <x:v>1</x:v>
      </x:c>
      <x:c r="N4016" s="13" t="n">
        <x:f>H4016/G4016</x:f>
        <x:v>0.1231</x:v>
      </x:c>
      <x:c r="O4016" s="13" t="n">
        <x:f>F4016/E4016</x:f>
        <x:v>0</x:v>
      </x:c>
      <x:c r="P4016" s="2" t="str">
        <x:f>IF(AND(E4016&gt;='Итоги'!$F$5,N4016&lt;='Итоги'!$B$5,O4016&gt;='Итоги'!$D$5),"Да","Нет")</x:f>
        <x:v>Нет</x:v>
      </x:c>
    </x:row>
    <x:row r="4017" ht="60" customHeight="1">
      <x:c r="A4017" s="14" t="str">
        <x:v>Товары для животных</x:v>
      </x:c>
      <x:c r="B4017" s="14" t="str">
        <x:v>Фермерское хозяйство - Содержание, уход птицы и сельскохозяйственных животных</x:v>
      </x:c>
      <x:c r="C4017" s="14" t="str">
        <x:v>Клетки и комплектующие для сельскохозяйственных животных и птиц</x:v>
      </x:c>
      <x:c r="D4017" s="14" t="str">
        <x:v>Аксессуары и инструменты для клетки для сельхозживотных и птиц</x:v>
      </x:c>
      <x:c r="E4017" s="2" t="n">
        <x:v>1</x:v>
      </x:c>
      <x:c r="F4017" s="2" t="n">
        <x:v>0</x:v>
      </x:c>
      <x:c r="G4017" s="12" t="n">
        <x:v>83581.4845</x:v>
      </x:c>
      <x:c r="H4017" s="12" t="n">
        <x:v>10297.238890400002</x:v>
      </x:c>
      <x:c r="I4017" s="13" t="n">
        <x:v>0.1232</x:v>
      </x:c>
      <x:c r="J4017" s="2" t="n">
        <x:v>0</x:v>
      </x:c>
      <x:c r="K4017" s="2" t="n">
        <x:v>1</x:v>
      </x:c>
      <x:c r="L4017" s="12" t="n">
        <x:v>1194.0212</x:v>
      </x:c>
      <x:c r="M4017" s="13" t="n">
        <x:v>1</x:v>
      </x:c>
      <x:c r="N4017" s="13" t="n">
        <x:f>H4017/G4017</x:f>
        <x:v>0.12320000000000002</x:v>
      </x:c>
      <x:c r="O4017" s="13" t="n">
        <x:f>F4017/E4017</x:f>
        <x:v>0</x:v>
      </x:c>
      <x:c r="P4017" s="2" t="str">
        <x:f>IF(AND(E4017&gt;='Итоги'!$F$5,N4017&lt;='Итоги'!$B$5,O4017&gt;='Итоги'!$D$5),"Да","Нет")</x:f>
        <x:v>Нет</x:v>
      </x:c>
    </x:row>
    <x:row r="4018" ht="60" customHeight="1">
      <x:c r="A4018" s="14" t="str">
        <x:v>Хобби и творчество</x:v>
      </x:c>
      <x:c r="B4018" s="14" t="str">
        <x:v>Детское творчество и хобби</x:v>
      </x:c>
      <x:c r="C4018" s="14" t="str">
        <x:v>Рисование для детей</x:v>
      </x:c>
      <x:c r="D4018" s="14" t="str">
        <x:v>Эпоксидная смола для рисования и рукоделия</x:v>
      </x:c>
      <x:c r="E4018" s="2" t="n">
        <x:v>30</x:v>
      </x:c>
      <x:c r="F4018" s="2" t="n">
        <x:v>0</x:v>
      </x:c>
      <x:c r="G4018" s="12" t="n">
        <x:v>2964210.9523</x:v>
      </x:c>
      <x:c r="H4018" s="12" t="n">
        <x:v>365205.84619519</x:v>
      </x:c>
      <x:c r="I4018" s="13" t="n">
        <x:v>0.11818</x:v>
      </x:c>
      <x:c r="J4018" s="2" t="n">
        <x:v>1</x:v>
      </x:c>
      <x:c r="K4018" s="2" t="n">
        <x:v>10</x:v>
      </x:c>
      <x:c r="L4018" s="12" t="n">
        <x:v>1342.7253500000002</x:v>
      </x:c>
      <x:c r="M4018" s="13" t="n">
        <x:v>0.5278384615595498</x:v>
      </x:c>
      <x:c r="N4018" s="13" t="n">
        <x:f>H4018/G4018</x:f>
        <x:v>0.12320507955475243</x:v>
      </x:c>
      <x:c r="O4018" s="13" t="n">
        <x:f>F4018/E4018</x:f>
        <x:v>0</x:v>
      </x:c>
      <x:c r="P4018" s="2" t="str">
        <x:f>IF(AND(E4018&gt;='Итоги'!$F$5,N4018&lt;='Итоги'!$B$5,O4018&gt;='Итоги'!$D$5),"Да","Нет")</x:f>
        <x:v>Нет</x:v>
      </x:c>
    </x:row>
    <x:row r="4019" ht="60" customHeight="1">
      <x:c r="A4019" s="14" t="str">
        <x:v>Товары для дома</x:v>
      </x:c>
      <x:c r="B4019" s="14" t="str">
        <x:v>Интерьер и декор</x:v>
      </x:c>
      <x:c r="C4019" s="14" t="str">
        <x:v>Домашние растения</x:v>
      </x:c>
      <x:c r="D4019" s="14" t="str">
        <x:v>Подставка, этажерка для домашних растений</x:v>
      </x:c>
      <x:c r="E4019" s="2" t="n">
        <x:v>78</x:v>
      </x:c>
      <x:c r="F4019" s="2" t="n">
        <x:v>0</x:v>
      </x:c>
      <x:c r="G4019" s="12" t="n">
        <x:v>10285896.0098</x:v>
      </x:c>
      <x:c r="H4019" s="12" t="n">
        <x:v>1267948.17928126</x:v>
      </x:c>
      <x:c r="I4019" s="13" t="n">
        <x:v>0.1166435897435897</x:v>
      </x:c>
      <x:c r="J4019" s="2" t="n">
        <x:v>15</x:v>
      </x:c>
      <x:c r="K4019" s="2" t="n">
        <x:v>23</x:v>
      </x:c>
      <x:c r="L4019" s="12" t="n">
        <x:v>1850.53435</x:v>
      </x:c>
      <x:c r="M4019" s="13" t="n">
        <x:v>0.2380896998537337</x:v>
      </x:c>
      <x:c r="N4019" s="13" t="n">
        <x:f>H4019/G4019</x:f>
        <x:v>0.12327056175497092</x:v>
      </x:c>
      <x:c r="O4019" s="13" t="n">
        <x:f>F4019/E4019</x:f>
        <x:v>0</x:v>
      </x:c>
      <x:c r="P4019" s="2" t="str">
        <x:f>IF(AND(E4019&gt;='Итоги'!$F$5,N4019&lt;='Итоги'!$B$5,O4019&gt;='Итоги'!$D$5),"Да","Нет")</x:f>
        <x:v>Нет</x:v>
      </x:c>
    </x:row>
    <x:row r="4020" ht="60" customHeight="1">
      <x:c r="A4020" s="14" t="str">
        <x:v>Товары для дома</x:v>
      </x:c>
      <x:c r="B4020" s="14" t="str">
        <x:v>Интерьер и декор</x:v>
      </x:c>
      <x:c r="C4020" s="14" t="str">
        <x:v>Принадлежности для праздника</x:v>
      </x:c>
      <x:c r="D4020" s="14" t="str">
        <x:v>Карнавальные аксессуары</x:v>
      </x:c>
      <x:c r="E4020" s="2" t="n">
        <x:v>30</x:v>
      </x:c>
      <x:c r="F4020" s="2" t="n">
        <x:v>0</x:v>
      </x:c>
      <x:c r="G4020" s="12" t="n">
        <x:v>4665283.4905</x:v>
      </x:c>
      <x:c r="H4020" s="12" t="n">
        <x:v>575357.82169073</x:v>
      </x:c>
      <x:c r="I4020" s="13" t="n">
        <x:v>0.1231533333333333</x:v>
      </x:c>
      <x:c r="J4020" s="2" t="n">
        <x:v>3</x:v>
      </x:c>
      <x:c r="K4020" s="2" t="n">
        <x:v>15</x:v>
      </x:c>
      <x:c r="L4020" s="12" t="n">
        <x:v>1725.3767</x:v>
      </x:c>
      <x:c r="M4020" s="13" t="n">
        <x:v>0.3141277229956578</x:v>
      </x:c>
      <x:c r="N4020" s="13" t="n">
        <x:f>H4020/G4020</x:f>
        <x:v>0.12332751543659488</x:v>
      </x:c>
      <x:c r="O4020" s="13" t="n">
        <x:f>F4020/E4020</x:f>
        <x:v>0</x:v>
      </x:c>
      <x:c r="P4020" s="2" t="str">
        <x:f>IF(AND(E4020&gt;='Итоги'!$F$5,N4020&lt;='Итоги'!$B$5,O4020&gt;='Итоги'!$D$5),"Да","Нет")</x:f>
        <x:v>Нет</x:v>
      </x:c>
    </x:row>
    <x:row r="4021" ht="60" customHeight="1">
      <x:c r="A4021" s="14" t="str">
        <x:v>Аксессуары для электроники</x:v>
      </x:c>
      <x:c r="B4021" s="14" t="str">
        <x:v>Электропитание Access</x:v>
      </x:c>
      <x:c r="C4021" s="14" t="str">
        <x:v>Кабели и переходники Access</x:v>
      </x:c>
      <x:c r="D4021" s="14" t="str">
        <x:v>Кабель для подключения периферийных устройств</x:v>
      </x:c>
      <x:c r="E4021" s="2" t="n">
        <x:v>17</x:v>
      </x:c>
      <x:c r="F4021" s="2" t="n">
        <x:v>0</x:v>
      </x:c>
      <x:c r="G4021" s="12" t="n">
        <x:v>2289683.8</x:v>
      </x:c>
      <x:c r="H4021" s="12" t="n">
        <x:v>282425.81966000004</x:v>
      </x:c>
      <x:c r="I4021" s="13" t="n">
        <x:v>0.1157941176470588</x:v>
      </x:c>
      <x:c r="J4021" s="2" t="n">
        <x:v>4</x:v>
      </x:c>
      <x:c r="K4021" s="2" t="n">
        <x:v>5</x:v>
      </x:c>
      <x:c r="L4021" s="12" t="n">
        <x:v>932.3755</x:v>
      </x:c>
      <x:c r="M4021" s="13" t="n">
        <x:v>0.7705276466558396</x:v>
      </x:c>
      <x:c r="N4021" s="13" t="n">
        <x:f>H4021/G4021</x:f>
        <x:v>0.12334708384624989</x:v>
      </x:c>
      <x:c r="O4021" s="13" t="n">
        <x:f>F4021/E4021</x:f>
        <x:v>0</x:v>
      </x:c>
      <x:c r="P4021" s="2" t="str">
        <x:f>IF(AND(E4021&gt;='Итоги'!$F$5,N4021&lt;='Итоги'!$B$5,O4021&gt;='Итоги'!$D$5),"Да","Нет")</x:f>
        <x:v>Нет</x:v>
      </x:c>
    </x:row>
    <x:row r="4022" ht="60" customHeight="1">
      <x:c r="A4022" s="14" t="str">
        <x:v>Аптека</x:v>
      </x:c>
      <x:c r="B4022" s="14" t="str">
        <x:v>Ортопедия и компрессионный трикотаж</x:v>
      </x:c>
      <x:c r="C4022" s="14" t="str">
        <x:v>Ортопедические корсеты и корректоры осанки</x:v>
      </x:c>
      <x:c r="D4022" s="14" t="str">
        <x:v>Ортопедические корсеты и корректоры осанки</x:v>
      </x:c>
      <x:c r="E4022" s="2" t="n">
        <x:v>72</x:v>
      </x:c>
      <x:c r="F4022" s="2" t="n">
        <x:v>0</x:v>
      </x:c>
      <x:c r="G4022" s="12" t="n">
        <x:v>10246549.64</x:v>
      </x:c>
      <x:c r="H4022" s="12" t="n">
        <x:v>1263973.290933</x:v>
      </x:c>
      <x:c r="I4022" s="13" t="n">
        <x:v>0.1262791666666666</x:v>
      </x:c>
      <x:c r="J4022" s="2" t="n">
        <x:v>5</x:v>
      </x:c>
      <x:c r="K4022" s="2" t="n">
        <x:v>18</x:v>
      </x:c>
      <x:c r="L4022" s="12" t="n">
        <x:v>1603.2682</x:v>
      </x:c>
      <x:c r="M4022" s="13" t="n">
        <x:v>0.6450458419874497</x:v>
      </x:c>
      <x:c r="N4022" s="13" t="n">
        <x:f>H4022/G4022</x:f>
        <x:v>0.12335599156215085</x:v>
      </x:c>
      <x:c r="O4022" s="13" t="n">
        <x:f>F4022/E4022</x:f>
        <x:v>0</x:v>
      </x:c>
      <x:c r="P4022" s="2" t="str">
        <x:f>IF(AND(E4022&gt;='Итоги'!$F$5,N4022&lt;='Итоги'!$B$5,O4022&gt;='Итоги'!$D$5),"Да","Нет")</x:f>
        <x:v>Нет</x:v>
      </x:c>
    </x:row>
    <x:row r="4023" ht="60" customHeight="1">
      <x:c r="A4023" s="14" t="str">
        <x:v>Спорт и отдых</x:v>
      </x:c>
      <x:c r="B4023" s="14" t="str">
        <x:v>Тренажеры и фитнес</x:v>
      </x:c>
      <x:c r="C4023" s="14" t="str">
        <x:v>Мини тренажеры</x:v>
      </x:c>
      <x:c r="D4023" s="14" t="str">
        <x:v>Миостимуляторы</x:v>
      </x:c>
      <x:c r="E4023" s="2" t="n">
        <x:v>26</x:v>
      </x:c>
      <x:c r="F4023" s="2" t="n">
        <x:v>0</x:v>
      </x:c>
      <x:c r="G4023" s="12" t="n">
        <x:v>4883793.9635</x:v>
      </x:c>
      <x:c r="H4023" s="12" t="n">
        <x:v>602660.35522504</x:v>
      </x:c>
      <x:c r="I4023" s="13" t="n">
        <x:v>0.1245115384615384</x:v>
      </x:c>
      <x:c r="J4023" s="2" t="n">
        <x:v>0</x:v>
      </x:c>
      <x:c r="K4023" s="2" t="n">
        <x:v>15</x:v>
      </x:c>
      <x:c r="L4023" s="12" t="n">
        <x:v>1711.1788</x:v>
      </x:c>
      <x:c r="M4023" s="13" t="n">
        <x:v>0.3964110923329291</x:v>
      </x:c>
      <x:c r="N4023" s="13" t="n">
        <x:f>H4023/G4023</x:f>
        <x:v>0.12340003688303425</x:v>
      </x:c>
      <x:c r="O4023" s="13" t="n">
        <x:f>F4023/E4023</x:f>
        <x:v>0</x:v>
      </x:c>
      <x:c r="P4023" s="2" t="str">
        <x:f>IF(AND(E4023&gt;='Итоги'!$F$5,N4023&lt;='Итоги'!$B$5,O4023&gt;='Итоги'!$D$5),"Да","Нет")</x:f>
        <x:v>Нет</x:v>
      </x:c>
    </x:row>
    <x:row r="4024" ht="60" customHeight="1">
      <x:c r="A4024" s="14" t="str">
        <x:v>Аптека</x:v>
      </x:c>
      <x:c r="B4024" s="14" t="str">
        <x:v>Ортопедия и компрессионный трикотаж</x:v>
      </x:c>
      <x:c r="C4024" s="14" t="str">
        <x:v>Специальная медицинская обувь</x:v>
      </x:c>
      <x:c r="D4024" s="14" t="str">
        <x:v>Обувь для медицинских работников</x:v>
      </x:c>
      <x:c r="E4024" s="2" t="n">
        <x:v>3</x:v>
      </x:c>
      <x:c r="F4024" s="2" t="n">
        <x:v>0</x:v>
      </x:c>
      <x:c r="G4024" s="12" t="n">
        <x:v>1292888.7813</x:v>
      </x:c>
      <x:c r="H4024" s="12" t="n">
        <x:v>159553.7950498</x:v>
      </x:c>
      <x:c r="I4024" s="13" t="n">
        <x:v>0.1195666666666666</x:v>
      </x:c>
      <x:c r="J4024" s="2" t="n">
        <x:v>0</x:v>
      </x:c>
      <x:c r="K4024" s="2" t="n">
        <x:v>1</x:v>
      </x:c>
      <x:c r="L4024" s="12" t="n">
        <x:v>1789.9006</x:v>
      </x:c>
      <x:c r="M4024" s="13" t="n">
        <x:v>1</x:v>
      </x:c>
      <x:c r="N4024" s="13" t="n">
        <x:f>H4024/G4024</x:f>
        <x:v>0.12340875515167565</x:v>
      </x:c>
      <x:c r="O4024" s="13" t="n">
        <x:f>F4024/E4024</x:f>
        <x:v>0</x:v>
      </x:c>
      <x:c r="P4024" s="2" t="str">
        <x:f>IF(AND(E4024&gt;='Итоги'!$F$5,N4024&lt;='Итоги'!$B$5,O4024&gt;='Итоги'!$D$5),"Да","Нет")</x:f>
        <x:v>Нет</x:v>
      </x:c>
    </x:row>
    <x:row r="4025" ht="60" customHeight="1">
      <x:c r="A4025" s="14" t="str">
        <x:v>Аксессуары для электроники</x:v>
      </x:c>
      <x:c r="B4025" s="14" t="str">
        <x:v>Аксессуары для мобильных устройств Access</x:v>
      </x:c>
      <x:c r="C4025" s="14" t="str">
        <x:v>Аксессуары для зарядки и передачи информации Access</x:v>
      </x:c>
      <x:c r="D4025" s="14" t="str">
        <x:v>Зарядное устройство сетевое</x:v>
      </x:c>
      <x:c r="E4025" s="2" t="n">
        <x:v>191</x:v>
      </x:c>
      <x:c r="F4025" s="2" t="n">
        <x:v>0</x:v>
      </x:c>
      <x:c r="G4025" s="12" t="n">
        <x:v>27164965.2165</x:v>
      </x:c>
      <x:c r="H4025" s="12" t="n">
        <x:v>3352447.69780575</x:v>
      </x:c>
      <x:c r="I4025" s="13" t="n">
        <x:v>0.1164303664921466</x:v>
      </x:c>
      <x:c r="J4025" s="2" t="n">
        <x:v>36</x:v>
      </x:c>
      <x:c r="K4025" s="2" t="n">
        <x:v>45</x:v>
      </x:c>
      <x:c r="L4025" s="12" t="n">
        <x:v>1335.4074</x:v>
      </x:c>
      <x:c r="M4025" s="13" t="n">
        <x:v>0.5732294865241246</x:v>
      </x:c>
      <x:c r="N4025" s="13" t="n">
        <x:f>H4025/G4025</x:f>
        <x:v>0.1234107119625345</x:v>
      </x:c>
      <x:c r="O4025" s="13" t="n">
        <x:f>F4025/E4025</x:f>
        <x:v>0</x:v>
      </x:c>
      <x:c r="P4025" s="2" t="str">
        <x:f>IF(AND(E4025&gt;='Итоги'!$F$5,N4025&lt;='Итоги'!$B$5,O4025&gt;='Итоги'!$D$5),"Да","Нет")</x:f>
        <x:v>Нет</x:v>
      </x:c>
    </x:row>
    <x:row r="4026" ht="60" customHeight="1">
      <x:c r="A4026" s="14" t="str">
        <x:v>Спорт и отдых</x:v>
      </x:c>
      <x:c r="B4026" s="14" t="str">
        <x:v>Товары для рыбалки</x:v>
      </x:c>
      <x:c r="C4026" s="14" t="str">
        <x:v>Оснастка рыболовная</x:v>
      </x:c>
      <x:c r="D4026" s="14" t="str">
        <x:v>Поплавок рыболовный</x:v>
      </x:c>
      <x:c r="E4026" s="2" t="n">
        <x:v>8</x:v>
      </x:c>
      <x:c r="F4026" s="2" t="n">
        <x:v>0</x:v>
      </x:c>
      <x:c r="G4026" s="12" t="n">
        <x:v>1571902.1912</x:v>
      </x:c>
      <x:c r="H4026" s="12" t="n">
        <x:v>194046.59494798</x:v>
      </x:c>
      <x:c r="I4026" s="13" t="n">
        <x:v>0.1540125</x:v>
      </x:c>
      <x:c r="J4026" s="2" t="n">
        <x:v>0</x:v>
      </x:c>
      <x:c r="K4026" s="2" t="n">
        <x:v>6</x:v>
      </x:c>
      <x:c r="L4026" s="12" t="n">
        <x:v>956.97645</x:v>
      </x:c>
      <x:c r="M4026" s="13" t="n">
        <x:v>0.4201710113374133</x:v>
      </x:c>
      <x:c r="N4026" s="13" t="n">
        <x:f>H4026/G4026</x:f>
        <x:v>0.12344699055342852</x:v>
      </x:c>
      <x:c r="O4026" s="13" t="n">
        <x:f>F4026/E4026</x:f>
        <x:v>0</x:v>
      </x:c>
      <x:c r="P4026" s="2" t="str">
        <x:f>IF(AND(E4026&gt;='Итоги'!$F$5,N4026&lt;='Итоги'!$B$5,O4026&gt;='Итоги'!$D$5),"Да","Нет")</x:f>
        <x:v>Нет</x:v>
      </x:c>
    </x:row>
    <x:row r="4027" ht="60" customHeight="1">
      <x:c r="A4027" s="14" t="str">
        <x:v>Товары для дома</x:v>
      </x:c>
      <x:c r="B4027" s="14" t="str">
        <x:v>Кухня</x:v>
      </x:c>
      <x:c r="C4027" s="14" t="str">
        <x:v>Разделочная доска</x:v>
      </x:c>
      <x:c r="D4027" s="14" t="str">
        <x:v>Разделочная, сервировочная доска</x:v>
      </x:c>
      <x:c r="E4027" s="2" t="n">
        <x:v>51</x:v>
      </x:c>
      <x:c r="F4027" s="2" t="n">
        <x:v>0</x:v>
      </x:c>
      <x:c r="G4027" s="12" t="n">
        <x:v>6825328.0558</x:v>
      </x:c>
      <x:c r="H4027" s="12" t="n">
        <x:v>842703.38736662</x:v>
      </x:c>
      <x:c r="I4027" s="13" t="n">
        <x:v>0.1203529411764706</x:v>
      </x:c>
      <x:c r="J4027" s="2" t="n">
        <x:v>4</x:v>
      </x:c>
      <x:c r="K4027" s="2" t="n">
        <x:v>27</x:v>
      </x:c>
      <x:c r="L4027" s="12" t="n">
        <x:v>1355.9331</x:v>
      </x:c>
      <x:c r="M4027" s="13" t="n">
        <x:v>0.2346499282534896</x:v>
      </x:c>
      <x:c r="N4027" s="13" t="n">
        <x:f>H4027/G4027</x:f>
        <x:v>0.12346708912409139</x:v>
      </x:c>
      <x:c r="O4027" s="13" t="n">
        <x:f>F4027/E4027</x:f>
        <x:v>0</x:v>
      </x:c>
      <x:c r="P4027" s="2" t="str">
        <x:f>IF(AND(E4027&gt;='Итоги'!$F$5,N4027&lt;='Итоги'!$B$5,O4027&gt;='Итоги'!$D$5),"Да","Нет")</x:f>
        <x:v>Нет</x:v>
      </x:c>
    </x:row>
    <x:row r="4028" ht="60" customHeight="1">
      <x:c r="A4028" s="14" t="str">
        <x:v>Товары для животных</x:v>
      </x:c>
      <x:c r="B4028" s="14" t="str">
        <x:v>Гигиена и уход животных</x:v>
      </x:c>
      <x:c r="C4028" s="14" t="str">
        <x:v>Товары для груминга</x:v>
      </x:c>
      <x:c r="D4028" s="14" t="str">
        <x:v>Ножницы для стрижки животных</x:v>
      </x:c>
      <x:c r="E4028" s="2" t="n">
        <x:v>5</x:v>
      </x:c>
      <x:c r="F4028" s="2" t="n">
        <x:v>0</x:v>
      </x:c>
      <x:c r="G4028" s="12" t="n">
        <x:v>648943.5404</x:v>
      </x:c>
      <x:c r="H4028" s="12" t="n">
        <x:v>80200.84256477</x:v>
      </x:c>
      <x:c r="I4028" s="13" t="n">
        <x:v>0.09674</x:v>
      </x:c>
      <x:c r="J4028" s="2" t="n">
        <x:v>1</x:v>
      </x:c>
      <x:c r="K4028" s="2" t="n">
        <x:v>4</x:v>
      </x:c>
      <x:c r="L4028" s="12" t="n">
        <x:v>8382.929</x:v>
      </x:c>
      <x:c r="M4028" s="13" t="n">
        <x:v>0.3678024327861851</x:v>
      </x:c>
      <x:c r="N4028" s="13" t="n">
        <x:f>H4028/G4028</x:f>
        <x:v>0.12358678000760326</x:v>
      </x:c>
      <x:c r="O4028" s="13" t="n">
        <x:f>F4028/E4028</x:f>
        <x:v>0</x:v>
      </x:c>
      <x:c r="P4028" s="2" t="str">
        <x:f>IF(AND(E4028&gt;='Итоги'!$F$5,N4028&lt;='Итоги'!$B$5,O4028&gt;='Итоги'!$D$5),"Да","Нет")</x:f>
        <x:v>Нет</x:v>
      </x:c>
    </x:row>
    <x:row r="4029" ht="60" customHeight="1">
      <x:c r="A4029" s="14" t="str">
        <x:v>Спорт и отдых</x:v>
      </x:c>
      <x:c r="B4029" s="14" t="str">
        <x:v>Тренажеры и фитнес</x:v>
      </x:c>
      <x:c r="C4029" s="14" t="str">
        <x:v>Кросстренинг и тяжёлая атлетика</x:v>
      </x:c>
      <x:c r="D4029" s="14" t="str">
        <x:v>Тумба для запрыгиваний</x:v>
      </x:c>
      <x:c r="E4029" s="2" t="n">
        <x:v>2</x:v>
      </x:c>
      <x:c r="F4029" s="2" t="n">
        <x:v>0</x:v>
      </x:c>
      <x:c r="G4029" s="12" t="n">
        <x:v>217613</x:v>
      </x:c>
      <x:c r="H4029" s="12" t="n">
        <x:v>26894.1365</x:v>
      </x:c>
      <x:c r="I4029" s="13" t="n">
        <x:v>0.1279</x:v>
      </x:c>
      <x:c r="J4029" s="2" t="n">
        <x:v>0</x:v>
      </x:c>
      <x:c r="K4029" s="2" t="n">
        <x:v>1</x:v>
      </x:c>
      <x:c r="L4029" s="12" t="n">
        <x:v>4057.94505</x:v>
      </x:c>
      <x:c r="M4029" s="13" t="n">
        <x:v>1</x:v>
      </x:c>
      <x:c r="N4029" s="13" t="n">
        <x:f>H4029/G4029</x:f>
        <x:v>0.12358699388363747</x:v>
      </x:c>
      <x:c r="O4029" s="13" t="n">
        <x:f>F4029/E4029</x:f>
        <x:v>0</x:v>
      </x:c>
      <x:c r="P4029" s="2" t="str">
        <x:f>IF(AND(E4029&gt;='Итоги'!$F$5,N4029&lt;='Итоги'!$B$5,O4029&gt;='Итоги'!$D$5),"Да","Нет")</x:f>
        <x:v>Нет</x:v>
      </x:c>
    </x:row>
    <x:row r="4030" ht="60" customHeight="1">
      <x:c r="A4030" s="14" t="str">
        <x:v>Игрушки</x:v>
      </x:c>
      <x:c r="B4030" s="14" t="str">
        <x:v>Игрушки</x:v>
      </x:c>
      <x:c r="C4030" s="14" t="str">
        <x:v>Куклы и аксессуары</x:v>
      </x:c>
      <x:c r="D4030" s="14" t="str">
        <x:v>Транспорт кукольный</x:v>
      </x:c>
      <x:c r="E4030" s="2" t="n">
        <x:v>4</x:v>
      </x:c>
      <x:c r="F4030" s="2" t="n">
        <x:v>0</x:v>
      </x:c>
      <x:c r="G4030" s="12" t="n">
        <x:v>532590.7756</x:v>
      </x:c>
      <x:c r="H4030" s="12" t="n">
        <x:v>65833.66876541999</x:v>
      </x:c>
      <x:c r="I4030" s="13" t="n">
        <x:v>0.109975</x:v>
      </x:c>
      <x:c r="J4030" s="2" t="n">
        <x:v>2</x:v>
      </x:c>
      <x:c r="K4030" s="2" t="n">
        <x:v>2</x:v>
      </x:c>
      <x:c r="L4030" s="12" t="n">
        <x:v>2149.6231</x:v>
      </x:c>
      <x:c r="M4030" s="13" t="n">
        <x:v>0.8209845074905949</x:v>
      </x:c>
      <x:c r="N4030" s="13" t="n">
        <x:f>H4030/G4030</x:f>
        <x:v>0.12361023093434889</x:v>
      </x:c>
      <x:c r="O4030" s="13" t="n">
        <x:f>F4030/E4030</x:f>
        <x:v>0</x:v>
      </x:c>
      <x:c r="P4030" s="2" t="str">
        <x:f>IF(AND(E4030&gt;='Итоги'!$F$5,N4030&lt;='Итоги'!$B$5,O4030&gt;='Итоги'!$D$5),"Да","Нет")</x:f>
        <x:v>Нет</x:v>
      </x:c>
    </x:row>
    <x:row r="4031" ht="60" customHeight="1">
      <x:c r="A4031" s="14" t="str">
        <x:v>Аксессуары для электроники</x:v>
      </x:c>
      <x:c r="B4031" s="14" t="str">
        <x:v>Аксессуары для мобильных устройств Access</x:v>
      </x:c>
      <x:c r="C4031" s="14" t="str">
        <x:v>Аксессуары для смартфонов Access</x:v>
      </x:c>
      <x:c r="D4031" s="14" t="str">
        <x:v>Чехол для смартфона</x:v>
      </x:c>
      <x:c r="E4031" s="2" t="n">
        <x:v>96</x:v>
      </x:c>
      <x:c r="F4031" s="2" t="n">
        <x:v>0</x:v>
      </x:c>
      <x:c r="G4031" s="12" t="n">
        <x:v>11187173.0286</x:v>
      </x:c>
      <x:c r="H4031" s="12" t="n">
        <x:v>1383248.96560866</x:v>
      </x:c>
      <x:c r="I4031" s="13" t="n">
        <x:v>0.1140395833333333</x:v>
      </x:c>
      <x:c r="J4031" s="2" t="n">
        <x:v>18</x:v>
      </x:c>
      <x:c r="K4031" s="2" t="n">
        <x:v>26</x:v>
      </x:c>
      <x:c r="L4031" s="12" t="n">
        <x:v>1924.69265</x:v>
      </x:c>
      <x:c r="M4031" s="13" t="n">
        <x:v>0.3982280521192152</x:v>
      </x:c>
      <x:c r="N4031" s="13" t="n">
        <x:f>H4031/G4031</x:f>
        <x:v>0.12364597937945403</x:v>
      </x:c>
      <x:c r="O4031" s="13" t="n">
        <x:f>F4031/E4031</x:f>
        <x:v>0</x:v>
      </x:c>
      <x:c r="P4031" s="2" t="str">
        <x:f>IF(AND(E4031&gt;='Итоги'!$F$5,N4031&lt;='Итоги'!$B$5,O4031&gt;='Итоги'!$D$5),"Да","Нет")</x:f>
        <x:v>Нет</x:v>
      </x:c>
    </x:row>
    <x:row r="4032" ht="60" customHeight="1">
      <x:c r="A4032" s="14" t="str">
        <x:v>Аптека</x:v>
      </x:c>
      <x:c r="B4032" s="14" t="str">
        <x:v>Товары для взрослых</x:v>
      </x:c>
      <x:c r="C4032" s="14" t="str">
        <x:v>Секс игрушки</x:v>
      </x:c>
      <x:c r="D4032" s="14" t="str">
        <x:v>Пробка анальная</x:v>
      </x:c>
      <x:c r="E4032" s="2" t="n">
        <x:v>48</x:v>
      </x:c>
      <x:c r="F4032" s="2" t="n">
        <x:v>0</x:v>
      </x:c>
      <x:c r="G4032" s="12" t="n">
        <x:v>8502566.383</x:v>
      </x:c>
      <x:c r="H4032" s="12" t="n">
        <x:v>1051336.29539345</x:v>
      </x:c>
      <x:c r="I4032" s="13" t="n">
        <x:v>0.1315020833333333</x:v>
      </x:c>
      <x:c r="J4032" s="2" t="n">
        <x:v>6</x:v>
      </x:c>
      <x:c r="K4032" s="2" t="n">
        <x:v>25</x:v>
      </x:c>
      <x:c r="L4032" s="12" t="n">
        <x:v>1203.5834</x:v>
      </x:c>
      <x:c r="M4032" s="13" t="n">
        <x:v>0.4433007889166397</x:v>
      </x:c>
      <x:c r="N4032" s="13" t="n">
        <x:f>H4032/G4032</x:f>
        <x:v>0.12364928987740548</x:v>
      </x:c>
      <x:c r="O4032" s="13" t="n">
        <x:f>F4032/E4032</x:f>
        <x:v>0</x:v>
      </x:c>
      <x:c r="P4032" s="2" t="str">
        <x:f>IF(AND(E4032&gt;='Итоги'!$F$5,N4032&lt;='Итоги'!$B$5,O4032&gt;='Итоги'!$D$5),"Да","Нет")</x:f>
        <x:v>Нет</x:v>
      </x:c>
    </x:row>
    <x:row r="4033" ht="60" customHeight="1">
      <x:c r="A4033" s="14" t="str">
        <x:v>Товары для красоты и здоровья</x:v>
      </x:c>
      <x:c r="B4033" s="14" t="str">
        <x:v>Косметические аксессуары</x:v>
      </x:c>
      <x:c r="C4033" s="14" t="str">
        <x:v>Парикмахерские принадлежности</x:v>
      </x:c>
      <x:c r="D4033" s="14" t="str">
        <x:v>Учебные головы парикмахерские</x:v>
      </x:c>
      <x:c r="E4033" s="2" t="n">
        <x:v>6</x:v>
      </x:c>
      <x:c r="F4033" s="2" t="n">
        <x:v>0</x:v>
      </x:c>
      <x:c r="G4033" s="12" t="n">
        <x:v>773516.7297</x:v>
      </x:c>
      <x:c r="H4033" s="12" t="n">
        <x:v>95666.97234122</x:v>
      </x:c>
      <x:c r="I4033" s="13" t="n">
        <x:v>0.1243</x:v>
      </x:c>
      <x:c r="J4033" s="2" t="n">
        <x:v>0</x:v>
      </x:c>
      <x:c r="K4033" s="2" t="n">
        <x:v>3</x:v>
      </x:c>
      <x:c r="L4033" s="12" t="n">
        <x:v>1597.38945</x:v>
      </x:c>
      <x:c r="M4033" s="13" t="n">
        <x:v>0.4326327220224309</x:v>
      </x:c>
      <x:c r="N4033" s="13" t="n">
        <x:f>H4033/G4033</x:f>
        <x:v>0.12367796153332505</x:v>
      </x:c>
      <x:c r="O4033" s="13" t="n">
        <x:f>F4033/E4033</x:f>
        <x:v>0</x:v>
      </x:c>
      <x:c r="P4033" s="2" t="str">
        <x:f>IF(AND(E4033&gt;='Итоги'!$F$5,N4033&lt;='Итоги'!$B$5,O4033&gt;='Итоги'!$D$5),"Да","Нет")</x:f>
        <x:v>Нет</x:v>
      </x:c>
    </x:row>
    <x:row r="4034" ht="60" customHeight="1">
      <x:c r="A4034" s="14" t="str">
        <x:v>Хобби и творчество</x:v>
      </x:c>
      <x:c r="B4034" s="14" t="str">
        <x:v>Детское творчество и хобби</x:v>
      </x:c>
      <x:c r="C4034" s="14" t="str">
        <x:v>Рисование для детей</x:v>
      </x:c>
      <x:c r="D4034" s="14" t="str">
        <x:v>3D-ручка, комплектующие к 3D-ручке</x:v>
      </x:c>
      <x:c r="E4034" s="2" t="n">
        <x:v>13</x:v>
      </x:c>
      <x:c r="F4034" s="2" t="n">
        <x:v>0</x:v>
      </x:c>
      <x:c r="G4034" s="12" t="n">
        <x:v>1210341.6067</x:v>
      </x:c>
      <x:c r="H4034" s="12" t="n">
        <x:v>149762.21895486998</x:v>
      </x:c>
      <x:c r="I4034" s="13" t="n">
        <x:v>0.1239538461538461</x:v>
      </x:c>
      <x:c r="J4034" s="2" t="n">
        <x:v>2</x:v>
      </x:c>
      <x:c r="K4034" s="2" t="n">
        <x:v>5</x:v>
      </x:c>
      <x:c r="L4034" s="12" t="n">
        <x:v>1271.6489</x:v>
      </x:c>
      <x:c r="M4034" s="13" t="n">
        <x:v>0.7023293338792894</x:v>
      </x:c>
      <x:c r="N4034" s="13" t="n">
        <x:f>H4034/G4034</x:f>
        <x:v>0.12373549593424053</x:v>
      </x:c>
      <x:c r="O4034" s="13" t="n">
        <x:f>F4034/E4034</x:f>
        <x:v>0</x:v>
      </x:c>
      <x:c r="P4034" s="2" t="str">
        <x:f>IF(AND(E4034&gt;='Итоги'!$F$5,N4034&lt;='Итоги'!$B$5,O4034&gt;='Итоги'!$D$5),"Да","Нет")</x:f>
        <x:v>Нет</x:v>
      </x:c>
    </x:row>
    <x:row r="4035" ht="60" customHeight="1">
      <x:c r="A4035" s="14" t="str">
        <x:v>Товары для красоты и здоровья</x:v>
      </x:c>
      <x:c r="B4035" s="14" t="str">
        <x:v>Косметическая техника</x:v>
      </x:c>
      <x:c r="C4035" s="14" t="str">
        <x:v>Массажная техника</x:v>
      </x:c>
      <x:c r="D4035" s="14" t="str">
        <x:v>Массажер для гуаша</x:v>
      </x:c>
      <x:c r="E4035" s="2" t="n">
        <x:v>9</x:v>
      </x:c>
      <x:c r="F4035" s="2" t="n">
        <x:v>0</x:v>
      </x:c>
      <x:c r="G4035" s="12" t="n">
        <x:v>1064330.8429</x:v>
      </x:c>
      <x:c r="H4035" s="12" t="n">
        <x:v>131740.24719214</x:v>
      </x:c>
      <x:c r="I4035" s="13" t="n">
        <x:v>0.1257222222222222</x:v>
      </x:c>
      <x:c r="J4035" s="2" t="n">
        <x:v>2</x:v>
      </x:c>
      <x:c r="K4035" s="2" t="n">
        <x:v>6</x:v>
      </x:c>
      <x:c r="L4035" s="12" t="n">
        <x:v>1476.2892</x:v>
      </x:c>
      <x:c r="M4035" s="13" t="n">
        <x:v>0.4052022314085284</x:v>
      </x:c>
      <x:c r="N4035" s="13" t="n">
        <x:f>H4035/G4035</x:f>
        <x:v>0.12377753409192309</x:v>
      </x:c>
      <x:c r="O4035" s="13" t="n">
        <x:f>F4035/E4035</x:f>
        <x:v>0</x:v>
      </x:c>
      <x:c r="P4035" s="2" t="str">
        <x:f>IF(AND(E4035&gt;='Итоги'!$F$5,N4035&lt;='Итоги'!$B$5,O4035&gt;='Итоги'!$D$5),"Да","Нет")</x:f>
        <x:v>Нет</x:v>
      </x:c>
    </x:row>
    <x:row r="4036" ht="60" customHeight="1">
      <x:c r="A4036" s="14" t="str">
        <x:v>Аксессуары</x:v>
      </x:c>
      <x:c r="B4036" s="14" t="str">
        <x:v>Чемоданы, дорожные сумки</x:v>
      </x:c>
      <x:c r="C4036" s="14" t="str">
        <x:v>Дорожные сумки, тележки</x:v>
      </x:c>
      <x:c r="D4036" s="14" t="str">
        <x:v>Косметичка дорожная</x:v>
      </x:c>
      <x:c r="E4036" s="2" t="n">
        <x:v>16</x:v>
      </x:c>
      <x:c r="F4036" s="2" t="n">
        <x:v>0</x:v>
      </x:c>
      <x:c r="G4036" s="12" t="n">
        <x:v>1644270.6218</x:v>
      </x:c>
      <x:c r="H4036" s="12" t="n">
        <x:v>203568.08202366</x:v>
      </x:c>
      <x:c r="I4036" s="13" t="n">
        <x:v>0.11905</x:v>
      </x:c>
      <x:c r="J4036" s="2" t="n">
        <x:v>2</x:v>
      </x:c>
      <x:c r="K4036" s="2" t="n">
        <x:v>10</x:v>
      </x:c>
      <x:c r="L4036" s="12" t="n">
        <x:v>1398.02205</x:v>
      </x:c>
      <x:c r="M4036" s="13" t="n">
        <x:v>0.3705699254864592</x:v>
      </x:c>
      <x:c r="N4036" s="13" t="n">
        <x:f>H4036/G4036</x:f>
        <x:v>0.12380448773135162</x:v>
      </x:c>
      <x:c r="O4036" s="13" t="n">
        <x:f>F4036/E4036</x:f>
        <x:v>0</x:v>
      </x:c>
      <x:c r="P4036" s="2" t="str">
        <x:f>IF(AND(E4036&gt;='Итоги'!$F$5,N4036&lt;='Итоги'!$B$5,O4036&gt;='Итоги'!$D$5),"Да","Нет")</x:f>
        <x:v>Нет</x:v>
      </x:c>
    </x:row>
    <x:row r="4037" ht="60" customHeight="1">
      <x:c r="A4037" s="14" t="str">
        <x:v>Строительство и ремонт (DIY)</x:v>
      </x:c>
      <x:c r="B4037" s="14" t="str">
        <x:v>Ремонт и строительство</x:v>
      </x:c>
      <x:c r="C4037" s="14" t="str">
        <x:v>Скобяные изделия</x:v>
      </x:c>
      <x:c r="D4037" s="14" t="str">
        <x:v>Доводчик дверной</x:v>
      </x:c>
      <x:c r="E4037" s="2" t="n">
        <x:v>20</x:v>
      </x:c>
      <x:c r="F4037" s="2" t="n">
        <x:v>0</x:v>
      </x:c>
      <x:c r="G4037" s="12" t="n">
        <x:v>2749975.9215</x:v>
      </x:c>
      <x:c r="H4037" s="12" t="n">
        <x:v>340857.27669172</x:v>
      </x:c>
      <x:c r="I4037" s="13" t="n">
        <x:v>0.107975</x:v>
      </x:c>
      <x:c r="J4037" s="2" t="n">
        <x:v>1</x:v>
      </x:c>
      <x:c r="K4037" s="2" t="n">
        <x:v>4</x:v>
      </x:c>
      <x:c r="L4037" s="12" t="n">
        <x:v>1517.0551999999998</x:v>
      </x:c>
      <x:c r="M4037" s="13" t="n">
        <x:v>0.6757821148798738</x:v>
      </x:c>
      <x:c r="N4037" s="13" t="n">
        <x:f>H4037/G4037</x:f>
        <x:v>0.12394918589170635</x:v>
      </x:c>
      <x:c r="O4037" s="13" t="n">
        <x:f>F4037/E4037</x:f>
        <x:v>0</x:v>
      </x:c>
      <x:c r="P4037" s="2" t="str">
        <x:f>IF(AND(E4037&gt;='Итоги'!$F$5,N4037&lt;='Итоги'!$B$5,O4037&gt;='Итоги'!$D$5),"Да","Нет")</x:f>
        <x:v>Нет</x:v>
      </x:c>
    </x:row>
    <x:row r="4038" ht="60" customHeight="1">
      <x:c r="A4038" s="14" t="str">
        <x:v>Бытовая химия и гигиена рта</x:v>
      </x:c>
      <x:c r="B4038" s="14" t="str">
        <x:v>Средства для стирки</x:v>
      </x:c>
      <x:c r="C4038" s="14" t="str">
        <x:v>Мыло хозяйственное</x:v>
      </x:c>
      <x:c r="D4038" s="14" t="str">
        <x:v>Мыло хозяйственное</x:v>
      </x:c>
      <x:c r="E4038" s="2" t="n">
        <x:v>4</x:v>
      </x:c>
      <x:c r="F4038" s="2" t="n">
        <x:v>0</x:v>
      </x:c>
      <x:c r="G4038" s="12" t="n">
        <x:v>508644.7221</x:v>
      </x:c>
      <x:c r="H4038" s="12" t="n">
        <x:v>63083.90984922</x:v>
      </x:c>
      <x:c r="I4038" s="13" t="n">
        <x:v>0.125575</x:v>
      </x:c>
      <x:c r="J4038" s="2" t="n">
        <x:v>0</x:v>
      </x:c>
      <x:c r="K4038" s="2" t="n">
        <x:v>3</x:v>
      </x:c>
      <x:c r="L4038" s="12" t="n">
        <x:v>1365.3627</x:v>
      </x:c>
      <x:c r="M4038" s="13" t="n">
        <x:v>0.3866669633138025</x:v>
      </x:c>
      <x:c r="N4038" s="13" t="n">
        <x:f>H4038/G4038</x:f>
        <x:v>0.12402352193643257</x:v>
      </x:c>
      <x:c r="O4038" s="13" t="n">
        <x:f>F4038/E4038</x:f>
        <x:v>0</x:v>
      </x:c>
      <x:c r="P4038" s="2" t="str">
        <x:f>IF(AND(E4038&gt;='Итоги'!$F$5,N4038&lt;='Итоги'!$B$5,O4038&gt;='Итоги'!$D$5),"Да","Нет")</x:f>
        <x:v>Нет</x:v>
      </x:c>
    </x:row>
    <x:row r="4039" ht="60" customHeight="1">
      <x:c r="A4039" s="14" t="str">
        <x:v>Товары для дома</x:v>
      </x:c>
      <x:c r="B4039" s="14" t="str">
        <x:v>Кухня</x:v>
      </x:c>
      <x:c r="C4039" s="14" t="str">
        <x:v>Подставка для кухонных принадлежностей</x:v>
      </x:c>
      <x:c r="D4039" s="14" t="str">
        <x:v>Подставка, держатель, чехол для ножей</x:v>
      </x:c>
      <x:c r="E4039" s="2" t="n">
        <x:v>21</x:v>
      </x:c>
      <x:c r="F4039" s="2" t="n">
        <x:v>0</x:v>
      </x:c>
      <x:c r="G4039" s="12" t="n">
        <x:v>3480906.7509</x:v>
      </x:c>
      <x:c r="H4039" s="12" t="n">
        <x:v>431842.99471922</x:v>
      </x:c>
      <x:c r="I4039" s="13" t="n">
        <x:v>0.1283428571428571</x:v>
      </x:c>
      <x:c r="J4039" s="2" t="n">
        <x:v>2</x:v>
      </x:c>
      <x:c r="K4039" s="2" t="n">
        <x:v>10</x:v>
      </x:c>
      <x:c r="L4039" s="12" t="n">
        <x:v>941.1714</x:v>
      </x:c>
      <x:c r="M4039" s="13" t="n">
        <x:v>0.3293531359332111</x:v>
      </x:c>
      <x:c r="N4039" s="13" t="n">
        <x:f>H4039/G4039</x:f>
        <x:v>0.12406048929853279</x:v>
      </x:c>
      <x:c r="O4039" s="13" t="n">
        <x:f>F4039/E4039</x:f>
        <x:v>0</x:v>
      </x:c>
      <x:c r="P4039" s="2" t="str">
        <x:f>IF(AND(E4039&gt;='Итоги'!$F$5,N4039&lt;='Итоги'!$B$5,O4039&gt;='Итоги'!$D$5),"Да","Нет")</x:f>
        <x:v>Нет</x:v>
      </x:c>
    </x:row>
    <x:row r="4040" ht="60" customHeight="1">
      <x:c r="A4040" s="14" t="str">
        <x:v>Личная гигиена и детская продукция</x:v>
      </x:c>
      <x:c r="B4040" s="14" t="str">
        <x:v>Личная гигиена</x:v>
      </x:c>
      <x:c r="C4040" s="14" t="str">
        <x:v>Ватная продукция</x:v>
      </x:c>
      <x:c r="D4040" s="14" t="str">
        <x:v>Ватные палочки</x:v>
      </x:c>
      <x:c r="E4040" s="2" t="n">
        <x:v>8</x:v>
      </x:c>
      <x:c r="F4040" s="2" t="n">
        <x:v>0</x:v>
      </x:c>
      <x:c r="G4040" s="12" t="n">
        <x:v>1434913.1337</x:v>
      </x:c>
      <x:c r="H4040" s="12" t="n">
        <x:v>178332.246805</x:v>
      </x:c>
      <x:c r="I4040" s="13" t="n">
        <x:v>0.09355</x:v>
      </x:c>
      <x:c r="J4040" s="2" t="n">
        <x:v>3</x:v>
      </x:c>
      <x:c r="K4040" s="2" t="n">
        <x:v>2</x:v>
      </x:c>
      <x:c r="L4040" s="12" t="n">
        <x:v>1242.54645</x:v>
      </x:c>
      <x:c r="M4040" s="13" t="n">
        <x:v>0.9199585004119052</x:v>
      </x:c>
      <x:c r="N4040" s="13" t="n">
        <x:f>H4040/G4040</x:f>
        <x:v>0.12428086594005926</x:v>
      </x:c>
      <x:c r="O4040" s="13" t="n">
        <x:f>F4040/E4040</x:f>
        <x:v>0</x:v>
      </x:c>
      <x:c r="P4040" s="2" t="str">
        <x:f>IF(AND(E4040&gt;='Итоги'!$F$5,N4040&lt;='Итоги'!$B$5,O4040&gt;='Итоги'!$D$5),"Да","Нет")</x:f>
        <x:v>Нет</x:v>
      </x:c>
    </x:row>
    <x:row r="4041" ht="60" customHeight="1">
      <x:c r="A4041" s="14" t="str">
        <x:v>Игрушки</x:v>
      </x:c>
      <x:c r="B4041" s="14" t="str">
        <x:v>Игрушки</x:v>
      </x:c>
      <x:c r="C4041" s="14" t="str">
        <x:v>Игрушки для самых маленьких</x:v>
      </x:c>
      <x:c r="D4041" s="14" t="str">
        <x:v>Игрушка для купания</x:v>
      </x:c>
      <x:c r="E4041" s="2" t="n">
        <x:v>18</x:v>
      </x:c>
      <x:c r="F4041" s="2" t="n">
        <x:v>0</x:v>
      </x:c>
      <x:c r="G4041" s="12" t="n">
        <x:v>2186334.2959</x:v>
      </x:c>
      <x:c r="H4041" s="12" t="n">
        <x:v>271955.29391179</x:v>
      </x:c>
      <x:c r="I4041" s="13" t="n">
        <x:v>0.1088666666666666</x:v>
      </x:c>
      <x:c r="J4041" s="2" t="n">
        <x:v>4</x:v>
      </x:c>
      <x:c r="K4041" s="2" t="n">
        <x:v>4</x:v>
      </x:c>
      <x:c r="L4041" s="12" t="n">
        <x:v>1113.63825</x:v>
      </x:c>
      <x:c r="M4041" s="13" t="n">
        <x:v>0.8432581418849617</x:v>
      </x:c>
      <x:c r="N4041" s="13" t="n">
        <x:f>H4041/G4041</x:f>
        <x:v>0.1243887059823302</x:v>
      </x:c>
      <x:c r="O4041" s="13" t="n">
        <x:f>F4041/E4041</x:f>
        <x:v>0</x:v>
      </x:c>
      <x:c r="P4041" s="2" t="str">
        <x:f>IF(AND(E4041&gt;='Итоги'!$F$5,N4041&lt;='Итоги'!$B$5,O4041&gt;='Итоги'!$D$5),"Да","Нет")</x:f>
        <x:v>Нет</x:v>
      </x:c>
    </x:row>
    <x:row r="4042" ht="60" customHeight="1">
      <x:c r="A4042" s="14" t="str">
        <x:v>Строительство и ремонт (DIY)</x:v>
      </x:c>
      <x:c r="B4042" s="14" t="str">
        <x:v>Инструменты</x:v>
      </x:c>
      <x:c r="C4042" s="14" t="str">
        <x:v>Инструмент ручной для строительства, ремонта</x:v>
      </x:c>
      <x:c r="D4042" s="14" t="str">
        <x:v>Плоскогубцы, пассатижи</x:v>
      </x:c>
      <x:c r="E4042" s="2" t="n">
        <x:v>22</x:v>
      </x:c>
      <x:c r="F4042" s="2" t="n">
        <x:v>0</x:v>
      </x:c>
      <x:c r="G4042" s="12" t="n">
        <x:v>2434129.1669</x:v>
      </x:c>
      <x:c r="H4042" s="12" t="n">
        <x:v>302917.140174</x:v>
      </x:c>
      <x:c r="I4042" s="13" t="n">
        <x:v>0.112</x:v>
      </x:c>
      <x:c r="J4042" s="2" t="n">
        <x:v>5</x:v>
      </x:c>
      <x:c r="K4042" s="2" t="n">
        <x:v>20</x:v>
      </x:c>
      <x:c r="L4042" s="12" t="n">
        <x:v>1083.78635</x:v>
      </x:c>
      <x:c r="M4042" s="13" t="n">
        <x:v>0.123436986864035</x:v>
      </x:c>
      <x:c r="N4042" s="13" t="n">
        <x:f>H4042/G4042</x:f>
        <x:v>0.12444579535595555</x:v>
      </x:c>
      <x:c r="O4042" s="13" t="n">
        <x:f>F4042/E4042</x:f>
        <x:v>0</x:v>
      </x:c>
      <x:c r="P4042" s="2" t="str">
        <x:f>IF(AND(E4042&gt;='Итоги'!$F$5,N4042&lt;='Итоги'!$B$5,O4042&gt;='Итоги'!$D$5),"Да","Нет")</x:f>
        <x:v>Нет</x:v>
      </x:c>
    </x:row>
    <x:row r="4043" ht="60" customHeight="1">
      <x:c r="A4043" s="14" t="str">
        <x:v>Строительство и ремонт (DIY)</x:v>
      </x:c>
      <x:c r="B4043" s="14" t="str">
        <x:v>Ремонт и строительство</x:v>
      </x:c>
      <x:c r="C4043" s="14" t="str">
        <x:v>Электротовары</x:v>
      </x:c>
      <x:c r="D4043" s="14" t="str">
        <x:v>Рамка электроустановочная</x:v>
      </x:c>
      <x:c r="E4043" s="2" t="n">
        <x:v>4</x:v>
      </x:c>
      <x:c r="F4043" s="2" t="n">
        <x:v>0</x:v>
      </x:c>
      <x:c r="G4043" s="12" t="n">
        <x:v>474958.53</x:v>
      </x:c>
      <x:c r="H4043" s="12" t="n">
        <x:v>59143.341186</x:v>
      </x:c>
      <x:c r="I4043" s="13" t="n">
        <x:v>0.1244</x:v>
      </x:c>
      <x:c r="J4043" s="2" t="n">
        <x:v>0</x:v>
      </x:c>
      <x:c r="K4043" s="2" t="n">
        <x:v>1</x:v>
      </x:c>
      <x:c r="L4043" s="12" t="n">
        <x:v>1458.12325</x:v>
      </x:c>
      <x:c r="M4043" s="13" t="n">
        <x:v>1</x:v>
      </x:c>
      <x:c r="N4043" s="13" t="n">
        <x:f>H4043/G4043</x:f>
        <x:v>0.12452316876170219</x:v>
      </x:c>
      <x:c r="O4043" s="13" t="n">
        <x:f>F4043/E4043</x:f>
        <x:v>0</x:v>
      </x:c>
      <x:c r="P4043" s="2" t="str">
        <x:f>IF(AND(E4043&gt;='Итоги'!$F$5,N4043&lt;='Итоги'!$B$5,O4043&gt;='Итоги'!$D$5),"Да","Нет")</x:f>
        <x:v>Нет</x:v>
      </x:c>
    </x:row>
    <x:row r="4044" ht="60" customHeight="1">
      <x:c r="A4044" s="14" t="str">
        <x:v>Аудио и видеотехника</x:v>
      </x:c>
      <x:c r="B4044" s="14" t="str">
        <x:v>Система безопасности TV&amp;Audio</x:v>
      </x:c>
      <x:c r="C4044" s="14" t="str">
        <x:v>Сигнализация TV&amp;Audio</x:v>
      </x:c>
      <x:c r="D4044" s="14" t="str">
        <x:v>Промышленная пожарная сигнализация</x:v>
      </x:c>
      <x:c r="E4044" s="2" t="n">
        <x:v>2</x:v>
      </x:c>
      <x:c r="F4044" s="2" t="n">
        <x:v>0</x:v>
      </x:c>
      <x:c r="G4044" s="12" t="n">
        <x:v>349413.6358</x:v>
      </x:c>
      <x:c r="H4044" s="12" t="n">
        <x:v>43517.99553288</x:v>
      </x:c>
      <x:c r="I4044" s="13" t="n">
        <x:v>0.0921</x:v>
      </x:c>
      <x:c r="J4044" s="2" t="n">
        <x:v>0</x:v>
      </x:c>
      <x:c r="K4044" s="2" t="n">
        <x:v>2</x:v>
      </x:c>
      <x:c r="L4044" s="12" t="n">
        <x:v>57103.94365</x:v>
      </x:c>
      <x:c r="M4044" s="13" t="n">
        <x:v>0.6772993711540779</x:v>
      </x:c>
      <x:c r="N4044" s="13" t="n">
        <x:f>H4044/G4044</x:f>
        <x:v>0.12454578492119625</x:v>
      </x:c>
      <x:c r="O4044" s="13" t="n">
        <x:f>F4044/E4044</x:f>
        <x:v>0</x:v>
      </x:c>
      <x:c r="P4044" s="2" t="str">
        <x:f>IF(AND(E4044&gt;='Итоги'!$F$5,N4044&lt;='Итоги'!$B$5,O4044&gt;='Итоги'!$D$5),"Да","Нет")</x:f>
        <x:v>Нет</x:v>
      </x:c>
    </x:row>
    <x:row r="4045" ht="60" customHeight="1">
      <x:c r="A4045" s="14" t="str">
        <x:v>Товары для красоты и здоровья</x:v>
      </x:c>
      <x:c r="B4045" s="14" t="str">
        <x:v>Косметическая техника</x:v>
      </x:c>
      <x:c r="C4045" s="14" t="str">
        <x:v>Массажная техника</x:v>
      </x:c>
      <x:c r="D4045" s="14" t="str">
        <x:v>Электромассажер для тела</x:v>
      </x:c>
      <x:c r="E4045" s="2" t="n">
        <x:v>427</x:v>
      </x:c>
      <x:c r="F4045" s="2" t="n">
        <x:v>0</x:v>
      </x:c>
      <x:c r="G4045" s="12" t="n">
        <x:v>72812316.9223</x:v>
      </x:c>
      <x:c r="H4045" s="12" t="n">
        <x:v>9069312.53800601</x:v>
      </x:c>
      <x:c r="I4045" s="13" t="n">
        <x:v>0.1205456674473067</x:v>
      </x:c>
      <x:c r="J4045" s="2" t="n">
        <x:v>64</x:v>
      </x:c>
      <x:c r="K4045" s="2" t="n">
        <x:v>145</x:v>
      </x:c>
      <x:c r="L4045" s="12" t="n">
        <x:v>3623</x:v>
      </x:c>
      <x:c r="M4045" s="13" t="n">
        <x:v>0.5243345565907591</x:v>
      </x:c>
      <x:c r="N4045" s="13" t="n">
        <x:f>H4045/G4045</x:f>
        <x:v>0.12455739525064309</x:v>
      </x:c>
      <x:c r="O4045" s="13" t="n">
        <x:f>F4045/E4045</x:f>
        <x:v>0</x:v>
      </x:c>
      <x:c r="P4045" s="2" t="str">
        <x:f>IF(AND(E4045&gt;='Итоги'!$F$5,N4045&lt;='Итоги'!$B$5,O4045&gt;='Итоги'!$D$5),"Да","Нет")</x:f>
        <x:v>Нет</x:v>
      </x:c>
    </x:row>
    <x:row r="4046" ht="60" customHeight="1">
      <x:c r="A4046" s="14" t="str">
        <x:v>Аксессуары</x:v>
      </x:c>
      <x:c r="B4046" s="14" t="str">
        <x:v>Очки и аксессуары к ним</x:v>
      </x:c>
      <x:c r="C4046" s="14" t="str">
        <x:v>Очки и оправы</x:v>
      </x:c>
      <x:c r="D4046" s="14" t="str">
        <x:v>Солнцезащитные очки женские</x:v>
      </x:c>
      <x:c r="E4046" s="2" t="n">
        <x:v>89</x:v>
      </x:c>
      <x:c r="F4046" s="2" t="n">
        <x:v>0</x:v>
      </x:c>
      <x:c r="G4046" s="12" t="n">
        <x:v>12219257.6622</x:v>
      </x:c>
      <x:c r="H4046" s="12" t="n">
        <x:v>1522891.52499889</x:v>
      </x:c>
      <x:c r="I4046" s="13" t="n">
        <x:v>0.1042179775280898</x:v>
      </x:c>
      <x:c r="J4046" s="2" t="n">
        <x:v>25</x:v>
      </x:c>
      <x:c r="K4046" s="2" t="n">
        <x:v>23</x:v>
      </x:c>
      <x:c r="L4046" s="12" t="n">
        <x:v>2831.2839</x:v>
      </x:c>
      <x:c r="M4046" s="13" t="n">
        <x:v>0.6102495271187734</x:v>
      </x:c>
      <x:c r="N4046" s="13" t="n">
        <x:f>H4046/G4046</x:f>
        <x:v>0.12463044540830993</x:v>
      </x:c>
      <x:c r="O4046" s="13" t="n">
        <x:f>F4046/E4046</x:f>
        <x:v>0</x:v>
      </x:c>
      <x:c r="P4046" s="2" t="str">
        <x:f>IF(AND(E4046&gt;='Итоги'!$F$5,N4046&lt;='Итоги'!$B$5,O4046&gt;='Итоги'!$D$5),"Да","Нет")</x:f>
        <x:v>Нет</x:v>
      </x:c>
    </x:row>
    <x:row r="4047" ht="60" customHeight="1">
      <x:c r="A4047" s="14" t="str">
        <x:v>Товары для красоты и здоровья</x:v>
      </x:c>
      <x:c r="B4047" s="14" t="str">
        <x:v>Косметическая техника</x:v>
      </x:c>
      <x:c r="C4047" s="14" t="str">
        <x:v>Приборы для косметических процедур</x:v>
      </x:c>
      <x:c r="D4047" s="14" t="str">
        <x:v>Триммер косметический</x:v>
      </x:c>
      <x:c r="E4047" s="2" t="n">
        <x:v>16</x:v>
      </x:c>
      <x:c r="F4047" s="2" t="n">
        <x:v>0</x:v>
      </x:c>
      <x:c r="G4047" s="12" t="n">
        <x:v>2295939.1305</x:v>
      </x:c>
      <x:c r="H4047" s="12" t="n">
        <x:v>286161.97858843004</x:v>
      </x:c>
      <x:c r="I4047" s="13" t="n">
        <x:v>0.1402625</x:v>
      </x:c>
      <x:c r="J4047" s="2" t="n">
        <x:v>0</x:v>
      </x:c>
      <x:c r="K4047" s="2" t="n">
        <x:v>10</x:v>
      </x:c>
      <x:c r="L4047" s="12" t="n">
        <x:v>1034.0288</x:v>
      </x:c>
      <x:c r="M4047" s="13" t="n">
        <x:v>0.2964186653118241</x:v>
      </x:c>
      <x:c r="N4047" s="13" t="n">
        <x:f>H4047/G4047</x:f>
        <x:v>0.12463831239555156</x:v>
      </x:c>
      <x:c r="O4047" s="13" t="n">
        <x:f>F4047/E4047</x:f>
        <x:v>0</x:v>
      </x:c>
      <x:c r="P4047" s="2" t="str">
        <x:f>IF(AND(E4047&gt;='Итоги'!$F$5,N4047&lt;='Итоги'!$B$5,O4047&gt;='Итоги'!$D$5),"Да","Нет")</x:f>
        <x:v>Нет</x:v>
      </x:c>
    </x:row>
    <x:row r="4048" ht="60" customHeight="1">
      <x:c r="A4048" s="14" t="str">
        <x:v>Аксессуары</x:v>
      </x:c>
      <x:c r="B4048" s="14" t="str">
        <x:v>Аксессуары</x:v>
      </x:c>
      <x:c r="C4048" s="14" t="str">
        <x:v>Аксессуары для путешествий</x:v>
      </x:c>
      <x:c r="D4048" s="14" t="str">
        <x:v>Подушка под голову для путешествий</x:v>
      </x:c>
      <x:c r="E4048" s="2" t="n">
        <x:v>38</x:v>
      </x:c>
      <x:c r="F4048" s="2" t="n">
        <x:v>0</x:v>
      </x:c>
      <x:c r="G4048" s="12" t="n">
        <x:v>5176031.6377</x:v>
      </x:c>
      <x:c r="H4048" s="12" t="n">
        <x:v>645267.90064656</x:v>
      </x:c>
      <x:c r="I4048" s="13" t="n">
        <x:v>0.1137473684210526</x:v>
      </x:c>
      <x:c r="J4048" s="2" t="n">
        <x:v>7</x:v>
      </x:c>
      <x:c r="K4048" s="2" t="n">
        <x:v>14</x:v>
      </x:c>
      <x:c r="L4048" s="12" t="n">
        <x:v>958.35585</x:v>
      </x:c>
      <x:c r="M4048" s="13" t="n">
        <x:v>0.5851790072994824</x:v>
      </x:c>
      <x:c r="N4048" s="13" t="n">
        <x:f>H4048/G4048</x:f>
        <x:v>0.12466459747786407</x:v>
      </x:c>
      <x:c r="O4048" s="13" t="n">
        <x:f>F4048/E4048</x:f>
        <x:v>0</x:v>
      </x:c>
      <x:c r="P4048" s="2" t="str">
        <x:f>IF(AND(E4048&gt;='Итоги'!$F$5,N4048&lt;='Итоги'!$B$5,O4048&gt;='Итоги'!$D$5),"Да","Нет")</x:f>
        <x:v>Нет</x:v>
      </x:c>
    </x:row>
    <x:row r="4049" ht="60" customHeight="1">
      <x:c r="A4049" s="14" t="str">
        <x:v>Товары для дома</x:v>
      </x:c>
      <x:c r="B4049" s="14" t="str">
        <x:v>Ванная комната</x:v>
      </x:c>
      <x:c r="C4049" s="14" t="str">
        <x:v>Аксессуары для ванной</x:v>
      </x:c>
      <x:c r="D4049" s="14" t="str">
        <x:v>Ершик, щетка для унитаза</x:v>
      </x:c>
      <x:c r="E4049" s="2" t="n">
        <x:v>29</x:v>
      </x:c>
      <x:c r="F4049" s="2" t="n">
        <x:v>0</x:v>
      </x:c>
      <x:c r="G4049" s="12" t="n">
        <x:v>3419336.5827</x:v>
      </x:c>
      <x:c r="H4049" s="12" t="n">
        <x:v>426536.39132093</x:v>
      </x:c>
      <x:c r="I4049" s="13" t="n">
        <x:v>0.1157586206896551</x:v>
      </x:c>
      <x:c r="J4049" s="2" t="n">
        <x:v>5</x:v>
      </x:c>
      <x:c r="K4049" s="2" t="n">
        <x:v>17</x:v>
      </x:c>
      <x:c r="L4049" s="12" t="n">
        <x:v>1182.5191</x:v>
      </x:c>
      <x:c r="M4049" s="13" t="n">
        <x:v>0.1658351602088394</x:v>
      </x:c>
      <x:c r="N4049" s="13" t="n">
        <x:f>H4049/G4049</x:f>
        <x:v>0.1247424408228702</x:v>
      </x:c>
      <x:c r="O4049" s="13" t="n">
        <x:f>F4049/E4049</x:f>
        <x:v>0</x:v>
      </x:c>
      <x:c r="P4049" s="2" t="str">
        <x:f>IF(AND(E4049&gt;='Итоги'!$F$5,N4049&lt;='Итоги'!$B$5,O4049&gt;='Итоги'!$D$5),"Да","Нет")</x:f>
        <x:v>Нет</x:v>
      </x:c>
    </x:row>
    <x:row r="4050" ht="60" customHeight="1">
      <x:c r="A4050" s="14" t="str">
        <x:v>Спорт и отдых</x:v>
      </x:c>
      <x:c r="B4050" s="14" t="str">
        <x:v>Тренажеры и фитнес</x:v>
      </x:c>
      <x:c r="C4050" s="14" t="str">
        <x:v>Йога, пилатес</x:v>
      </x:c>
      <x:c r="D4050" s="14" t="str">
        <x:v>Инвентарь, аксессуар для йоги</x:v>
      </x:c>
      <x:c r="E4050" s="2" t="n">
        <x:v>4</x:v>
      </x:c>
      <x:c r="F4050" s="2" t="n">
        <x:v>0</x:v>
      </x:c>
      <x:c r="G4050" s="12" t="n">
        <x:v>167774.4386</x:v>
      </x:c>
      <x:c r="H4050" s="12" t="n">
        <x:v>20976.07028</x:v>
      </x:c>
      <x:c r="I4050" s="13" t="n">
        <x:v>0.0824999999999999</x:v>
      </x:c>
      <x:c r="J4050" s="2" t="n">
        <x:v>2</x:v>
      </x:c>
      <x:c r="K4050" s="2" t="n">
        <x:v>1</x:v>
      </x:c>
      <x:c r="L4050" s="12" t="n">
        <x:v>1903.6808</x:v>
      </x:c>
      <x:c r="M4050" s="13" t="n">
        <x:v>1</x:v>
      </x:c>
      <x:c r="N4050" s="13" t="n">
        <x:f>H4050/G4050</x:f>
        <x:v>0.12502542374771505</x:v>
      </x:c>
      <x:c r="O4050" s="13" t="n">
        <x:f>F4050/E4050</x:f>
        <x:v>0</x:v>
      </x:c>
      <x:c r="P4050" s="2" t="str">
        <x:f>IF(AND(E4050&gt;='Итоги'!$F$5,N4050&lt;='Итоги'!$B$5,O4050&gt;='Итоги'!$D$5),"Да","Нет")</x:f>
        <x:v>Нет</x:v>
      </x:c>
    </x:row>
    <x:row r="4051" ht="60" customHeight="1">
      <x:c r="A4051" s="14" t="str">
        <x:v>Строительство и ремонт (DIY)</x:v>
      </x:c>
      <x:c r="B4051" s="14" t="str">
        <x:v>Ремонт и строительство</x:v>
      </x:c>
      <x:c r="C4051" s="14" t="str">
        <x:v>Электротовары</x:v>
      </x:c>
      <x:c r="D4051" s="14" t="str">
        <x:v>Наконечники и клеммы для электротоваров</x:v>
      </x:c>
      <x:c r="E4051" s="2" t="n">
        <x:v>17</x:v>
      </x:c>
      <x:c r="F4051" s="2" t="n">
        <x:v>0</x:v>
      </x:c>
      <x:c r="G4051" s="12" t="n">
        <x:v>2915514.4536</x:v>
      </x:c>
      <x:c r="H4051" s="12" t="n">
        <x:v>365006.58155416</x:v>
      </x:c>
      <x:c r="I4051" s="13" t="n">
        <x:v>0.1085176470588235</x:v>
      </x:c>
      <x:c r="J4051" s="2" t="n">
        <x:v>1</x:v>
      </x:c>
      <x:c r="K4051" s="2" t="n">
        <x:v>8</x:v>
      </x:c>
      <x:c r="L4051" s="12" t="n">
        <x:v>897.9039</x:v>
      </x:c>
      <x:c r="M4051" s="13" t="n">
        <x:v>0.3227896622971486</x:v>
      </x:c>
      <x:c r="N4051" s="13" t="n">
        <x:f>H4051/G4051</x:f>
        <x:v>0.125194571099951</x:v>
      </x:c>
      <x:c r="O4051" s="13" t="n">
        <x:f>F4051/E4051</x:f>
        <x:v>0</x:v>
      </x:c>
      <x:c r="P4051" s="2" t="str">
        <x:f>IF(AND(E4051&gt;='Итоги'!$F$5,N4051&lt;='Итоги'!$B$5,O4051&gt;='Итоги'!$D$5),"Да","Нет")</x:f>
        <x:v>Нет</x:v>
      </x:c>
    </x:row>
    <x:row r="4052" ht="60" customHeight="1">
      <x:c r="A4052" s="14" t="str">
        <x:v>Школьные принадлежности и канцелярия</x:v>
      </x:c>
      <x:c r="B4052" s="14" t="str">
        <x:v>Товары для школы, канцелярия, оборудование</x:v>
      </x:c>
      <x:c r="C4052" s="14" t="str">
        <x:v>Офисные принадлежности</x:v>
      </x:c>
      <x:c r="D4052" s="14" t="str">
        <x:v>Органайзер канцелярский с наполнением настольный</x:v>
      </x:c>
      <x:c r="E4052" s="2" t="n">
        <x:v>3</x:v>
      </x:c>
      <x:c r="F4052" s="2" t="n">
        <x:v>0</x:v>
      </x:c>
      <x:c r="G4052" s="12" t="n">
        <x:v>324812.3369</x:v>
      </x:c>
      <x:c r="H4052" s="12" t="n">
        <x:v>40693.98137998</x:v>
      </x:c>
      <x:c r="I4052" s="13" t="n">
        <x:v>0.1293333333333333</x:v>
      </x:c>
      <x:c r="J4052" s="2" t="n">
        <x:v>0</x:v>
      </x:c>
      <x:c r="K4052" s="2" t="n">
        <x:v>3</x:v>
      </x:c>
      <x:c r="L4052" s="12" t="n">
        <x:v>1096.6242</x:v>
      </x:c>
      <x:c r="M4052" s="13" t="n">
        <x:v>0.3959191271099777</x:v>
      </x:c>
      <x:c r="N4052" s="13" t="n">
        <x:f>H4052/G4052</x:f>
        <x:v>0.12528459284632548</x:v>
      </x:c>
      <x:c r="O4052" s="13" t="n">
        <x:f>F4052/E4052</x:f>
        <x:v>0</x:v>
      </x:c>
      <x:c r="P4052" s="2" t="str">
        <x:f>IF(AND(E4052&gt;='Итоги'!$F$5,N4052&lt;='Итоги'!$B$5,O4052&gt;='Итоги'!$D$5),"Да","Нет")</x:f>
        <x:v>Нет</x:v>
      </x:c>
    </x:row>
    <x:row r="4053" ht="60" customHeight="1">
      <x:c r="A4053" s="14" t="str">
        <x:v>Спорт и отдых</x:v>
      </x:c>
      <x:c r="B4053" s="14" t="str">
        <x:v>Тренажеры и фитнес</x:v>
      </x:c>
      <x:c r="C4053" s="14" t="str">
        <x:v>Мини тренажеры</x:v>
      </x:c>
      <x:c r="D4053" s="14" t="str">
        <x:v>Тренажер для шеи</x:v>
      </x:c>
      <x:c r="E4053" s="2" t="n">
        <x:v>11</x:v>
      </x:c>
      <x:c r="F4053" s="2" t="n">
        <x:v>0</x:v>
      </x:c>
      <x:c r="G4053" s="12" t="n">
        <x:v>1868811.7188</x:v>
      </x:c>
      <x:c r="H4053" s="12" t="n">
        <x:v>234243.60893942</x:v>
      </x:c>
      <x:c r="I4053" s="13" t="n">
        <x:v>0.124290909090909</x:v>
      </x:c>
      <x:c r="J4053" s="2" t="n">
        <x:v>0</x:v>
      </x:c>
      <x:c r="K4053" s="2" t="n">
        <x:v>7</x:v>
      </x:c>
      <x:c r="L4053" s="12" t="n">
        <x:v>1438.5451</x:v>
      </x:c>
      <x:c r="M4053" s="13" t="n">
        <x:v>0.3476316359558993</x:v>
      </x:c>
      <x:c r="N4053" s="13" t="n">
        <x:f>H4053/G4053</x:f>
        <x:v>0.12534361090684532</x:v>
      </x:c>
      <x:c r="O4053" s="13" t="n">
        <x:f>F4053/E4053</x:f>
        <x:v>0</x:v>
      </x:c>
      <x:c r="P4053" s="2" t="str">
        <x:f>IF(AND(E4053&gt;='Итоги'!$F$5,N4053&lt;='Итоги'!$B$5,O4053&gt;='Итоги'!$D$5),"Да","Нет")</x:f>
        <x:v>Нет</x:v>
      </x:c>
    </x:row>
    <x:row r="4054" ht="60" customHeight="1">
      <x:c r="A4054" s="14" t="str">
        <x:v>Строительство и ремонт (DIY)</x:v>
      </x:c>
      <x:c r="B4054" s="14" t="str">
        <x:v>Ремонт и строительство</x:v>
      </x:c>
      <x:c r="C4054" s="14" t="str">
        <x:v>Стройматериалы</x:v>
      </x:c>
      <x:c r="D4054" s="14" t="str">
        <x:v>Декоративный камень (облицовочные материалы)</x:v>
      </x:c>
      <x:c r="E4054" s="2" t="n">
        <x:v>2</x:v>
      </x:c>
      <x:c r="F4054" s="2" t="n">
        <x:v>0</x:v>
      </x:c>
      <x:c r="G4054" s="12" t="n">
        <x:v>190061</x:v>
      </x:c>
      <x:c r="H4054" s="12" t="n">
        <x:v>23829.6434</x:v>
      </x:c>
      <x:c r="I4054" s="13" t="n">
        <x:v>0.08635</x:v>
      </x:c>
      <x:c r="J4054" s="2" t="n">
        <x:v>0</x:v>
      </x:c>
      <x:c r="K4054" s="2" t="n">
        <x:v>1</x:v>
      </x:c>
      <x:c r="L4054" s="12" t="n">
        <x:v>977.98395</x:v>
      </x:c>
      <x:c r="M4054" s="13" t="n">
        <x:v>1</x:v>
      </x:c>
      <x:c r="N4054" s="13" t="n">
        <x:f>H4054/G4054</x:f>
        <x:v>0.1253789225564424</x:v>
      </x:c>
      <x:c r="O4054" s="13" t="n">
        <x:f>F4054/E4054</x:f>
        <x:v>0</x:v>
      </x:c>
      <x:c r="P4054" s="2" t="str">
        <x:f>IF(AND(E4054&gt;='Итоги'!$F$5,N4054&lt;='Итоги'!$B$5,O4054&gt;='Итоги'!$D$5),"Да","Нет")</x:f>
        <x:v>Нет</x:v>
      </x:c>
    </x:row>
    <x:row r="4055" ht="60" customHeight="1">
      <x:c r="A4055" s="14" t="str">
        <x:v>Хобби и творчество</x:v>
      </x:c>
      <x:c r="B4055" s="14" t="str">
        <x:v>Детское творчество и хобби</x:v>
      </x:c>
      <x:c r="C4055" s="14" t="str">
        <x:v>Рисование для детей</x:v>
      </x:c>
      <x:c r="D4055" s="14" t="str">
        <x:v>Кисть художественная</x:v>
      </x:c>
      <x:c r="E4055" s="2" t="n">
        <x:v>2</x:v>
      </x:c>
      <x:c r="F4055" s="2" t="n">
        <x:v>0</x:v>
      </x:c>
      <x:c r="G4055" s="12" t="n">
        <x:v>195965.4775</x:v>
      </x:c>
      <x:c r="H4055" s="12" t="n">
        <x:v>24589.14985075</x:v>
      </x:c>
      <x:c r="I4055" s="13" t="n">
        <x:v>0.13555</x:v>
      </x:c>
      <x:c r="J4055" s="2" t="n">
        <x:v>0</x:v>
      </x:c>
      <x:c r="K4055" s="2" t="n">
        <x:v>2</x:v>
      </x:c>
      <x:c r="L4055" s="12" t="n">
        <x:v>789.0854</x:v>
      </x:c>
      <x:c r="M4055" s="13" t="n">
        <x:v>0.6002293822390221</x:v>
      </x:c>
      <x:c r="N4055" s="13" t="n">
        <x:f>H4055/G4055</x:f>
        <x:v>0.12547694708497828</x:v>
      </x:c>
      <x:c r="O4055" s="13" t="n">
        <x:f>F4055/E4055</x:f>
        <x:v>0</x:v>
      </x:c>
      <x:c r="P4055" s="2" t="str">
        <x:f>IF(AND(E4055&gt;='Итоги'!$F$5,N4055&lt;='Итоги'!$B$5,O4055&gt;='Итоги'!$D$5),"Да","Нет")</x:f>
        <x:v>Нет</x:v>
      </x:c>
    </x:row>
    <x:row r="4056" ht="60" customHeight="1">
      <x:c r="A4056" s="14" t="str">
        <x:v>Строительство и ремонт (DIY)</x:v>
      </x:c>
      <x:c r="B4056" s="14" t="str">
        <x:v>Сад и огород</x:v>
      </x:c>
      <x:c r="C4056" s="14" t="str">
        <x:v>Полив</x:v>
      </x:c>
      <x:c r="D4056" s="14" t="str">
        <x:v>Пистолет, насадка на шланг</x:v>
      </x:c>
      <x:c r="E4056" s="2" t="n">
        <x:v>29</x:v>
      </x:c>
      <x:c r="F4056" s="2" t="n">
        <x:v>0</x:v>
      </x:c>
      <x:c r="G4056" s="12" t="n">
        <x:v>4194041.4824</x:v>
      </x:c>
      <x:c r="H4056" s="12" t="n">
        <x:v>527767.84292113</x:v>
      </x:c>
      <x:c r="I4056" s="13" t="n">
        <x:v>0.0880310344827586</x:v>
      </x:c>
      <x:c r="J4056" s="2" t="n">
        <x:v>9</x:v>
      </x:c>
      <x:c r="K4056" s="2" t="n">
        <x:v>9</x:v>
      </x:c>
      <x:c r="L4056" s="12" t="n">
        <x:v>1331.3333</x:v>
      </x:c>
      <x:c r="M4056" s="13" t="n">
        <x:v>0.6463021475526453</x:v>
      </x:c>
      <x:c r="N4056" s="13" t="n">
        <x:f>H4056/G4056</x:f>
        <x:v>0.12583753525945574</x:v>
      </x:c>
      <x:c r="O4056" s="13" t="n">
        <x:f>F4056/E4056</x:f>
        <x:v>0</x:v>
      </x:c>
      <x:c r="P4056" s="2" t="str">
        <x:f>IF(AND(E4056&gt;='Итоги'!$F$5,N4056&lt;='Итоги'!$B$5,O4056&gt;='Итоги'!$D$5),"Да","Нет")</x:f>
        <x:v>Нет</x:v>
      </x:c>
    </x:row>
    <x:row r="4057" ht="60" customHeight="1">
      <x:c r="A4057" s="14" t="str">
        <x:v>Товары для дома</x:v>
      </x:c>
      <x:c r="B4057" s="14" t="str">
        <x:v>Интерьер и декор</x:v>
      </x:c>
      <x:c r="C4057" s="14" t="str">
        <x:v>Часы, барометр</x:v>
      </x:c>
      <x:c r="D4057" s="14" t="str">
        <x:v>Часы песочные, водяные</x:v>
      </x:c>
      <x:c r="E4057" s="2" t="n">
        <x:v>1</x:v>
      </x:c>
      <x:c r="F4057" s="2" t="n">
        <x:v>0</x:v>
      </x:c>
      <x:c r="G4057" s="12" t="n">
        <x:v>42884</x:v>
      </x:c>
      <x:c r="H4057" s="12" t="n">
        <x:v>5399.095600000001</x:v>
      </x:c>
      <x:c r="I4057" s="13" t="n">
        <x:v>0.1259</x:v>
      </x:c>
      <x:c r="J4057" s="2" t="n">
        <x:v>0</x:v>
      </x:c>
      <x:c r="K4057" s="2" t="n">
        <x:v>1</x:v>
      </x:c>
      <x:c r="L4057" s="12" t="n">
        <x:v>1191.2222</x:v>
      </x:c>
      <x:c r="M4057" s="13" t="n">
        <x:v>1</x:v>
      </x:c>
      <x:c r="N4057" s="13" t="n">
        <x:f>H4057/G4057</x:f>
        <x:v>0.1259</x:v>
      </x:c>
      <x:c r="O4057" s="13" t="n">
        <x:f>F4057/E4057</x:f>
        <x:v>0</x:v>
      </x:c>
      <x:c r="P4057" s="2" t="str">
        <x:f>IF(AND(E4057&gt;='Итоги'!$F$5,N4057&lt;='Итоги'!$B$5,O4057&gt;='Итоги'!$D$5),"Да","Нет")</x:f>
        <x:v>Нет</x:v>
      </x:c>
    </x:row>
    <x:row r="4058" ht="60" customHeight="1">
      <x:c r="A4058" s="14" t="str">
        <x:v>Строительство и ремонт (DIY)</x:v>
      </x:c>
      <x:c r="B4058" s="14" t="str">
        <x:v>Ремонт и строительство</x:v>
      </x:c>
      <x:c r="C4058" s="14" t="str">
        <x:v>Стройматериалы</x:v>
      </x:c>
      <x:c r="D4058" s="14" t="str">
        <x:v>Бетонная смесь готовая</x:v>
      </x:c>
      <x:c r="E4058" s="2" t="n">
        <x:v>4</x:v>
      </x:c>
      <x:c r="F4058" s="2" t="n">
        <x:v>0</x:v>
      </x:c>
      <x:c r="G4058" s="12" t="n">
        <x:v>1100395.282</x:v>
      </x:c>
      <x:c r="H4058" s="12" t="n">
        <x:v>138569.9069775</x:v>
      </x:c>
      <x:c r="I4058" s="13" t="n">
        <x:v>0.0749249999999999</x:v>
      </x:c>
      <x:c r="J4058" s="2" t="n">
        <x:v>1</x:v>
      </x:c>
      <x:c r="K4058" s="2" t="n">
        <x:v>3</x:v>
      </x:c>
      <x:c r="L4058" s="12" t="n">
        <x:v>1421.4193</x:v>
      </x:c>
      <x:c r="M4058" s="13" t="n">
        <x:v>0.8881356072553572</x:v>
      </x:c>
      <x:c r="N4058" s="13" t="n">
        <x:f>H4058/G4058</x:f>
        <x:v>0.1259273910422855</x:v>
      </x:c>
      <x:c r="O4058" s="13" t="n">
        <x:f>F4058/E4058</x:f>
        <x:v>0</x:v>
      </x:c>
      <x:c r="P4058" s="2" t="str">
        <x:f>IF(AND(E4058&gt;='Итоги'!$F$5,N4058&lt;='Итоги'!$B$5,O4058&gt;='Итоги'!$D$5),"Да","Нет")</x:f>
        <x:v>Нет</x:v>
      </x:c>
    </x:row>
    <x:row r="4059" ht="60" customHeight="1">
      <x:c r="A4059" s="14" t="str">
        <x:v>Хобби и творчество</x:v>
      </x:c>
      <x:c r="B4059" s="14" t="str">
        <x:v>Взрослое творчество и хобби</x:v>
      </x:c>
      <x:c r="C4059" s="14" t="str">
        <x:v>Хранение рукоделия</x:v>
      </x:c>
      <x:c r="D4059" s="14" t="str">
        <x:v>Органайзер для рукоделия</x:v>
      </x:c>
      <x:c r="E4059" s="2" t="n">
        <x:v>3</x:v>
      </x:c>
      <x:c r="F4059" s="2" t="n">
        <x:v>0</x:v>
      </x:c>
      <x:c r="G4059" s="12" t="n">
        <x:v>235343.1248</x:v>
      </x:c>
      <x:c r="H4059" s="12" t="n">
        <x:v>29677.39350628</x:v>
      </x:c>
      <x:c r="I4059" s="13" t="n">
        <x:v>0.1307666666666666</x:v>
      </x:c>
      <x:c r="J4059" s="2" t="n">
        <x:v>0</x:v>
      </x:c>
      <x:c r="K4059" s="2" t="n">
        <x:v>3</x:v>
      </x:c>
      <x:c r="L4059" s="12" t="n">
        <x:v>916.9613</x:v>
      </x:c>
      <x:c r="M4059" s="13" t="n">
        <x:v>0.4013162401929661</x:v>
      </x:c>
      <x:c r="N4059" s="13" t="n">
        <x:f>H4059/G4059</x:f>
        <x:v>0.12610265768970533</x:v>
      </x:c>
      <x:c r="O4059" s="13" t="n">
        <x:f>F4059/E4059</x:f>
        <x:v>0</x:v>
      </x:c>
      <x:c r="P4059" s="2" t="str">
        <x:f>IF(AND(E4059&gt;='Итоги'!$F$5,N4059&lt;='Итоги'!$B$5,O4059&gt;='Итоги'!$D$5),"Да","Нет")</x:f>
        <x:v>Нет</x:v>
      </x:c>
    </x:row>
    <x:row r="4060" ht="60" customHeight="1">
      <x:c r="A4060" s="14" t="str">
        <x:v>Товары для дома</x:v>
      </x:c>
      <x:c r="B4060" s="14" t="str">
        <x:v>Аксессуары для уборки и стирки</x:v>
      </x:c>
      <x:c r="C4060" s="14" t="str">
        <x:v>Аксессуар для уборки</x:v>
      </x:c>
      <x:c r="D4060" s="14" t="str">
        <x:v>Набор для уборки</x:v>
      </x:c>
      <x:c r="E4060" s="2" t="n">
        <x:v>51</x:v>
      </x:c>
      <x:c r="F4060" s="2" t="n">
        <x:v>0</x:v>
      </x:c>
      <x:c r="G4060" s="12" t="n">
        <x:v>9164195.8777</x:v>
      </x:c>
      <x:c r="H4060" s="12" t="n">
        <x:v>1157067.34203274</x:v>
      </x:c>
      <x:c r="I4060" s="13" t="n">
        <x:v>0.1135450980392156</x:v>
      </x:c>
      <x:c r="J4060" s="2" t="n">
        <x:v>7</x:v>
      </x:c>
      <x:c r="K4060" s="2" t="n">
        <x:v>13</x:v>
      </x:c>
      <x:c r="L4060" s="12" t="n">
        <x:v>2270.8214</x:v>
      </x:c>
      <x:c r="M4060" s="13" t="n">
        <x:v>0.6322488501581628</x:v>
      </x:c>
      <x:c r="N4060" s="13" t="n">
        <x:f>H4060/G4060</x:f>
        <x:v>0.12625956030122928</x:v>
      </x:c>
      <x:c r="O4060" s="13" t="n">
        <x:f>F4060/E4060</x:f>
        <x:v>0</x:v>
      </x:c>
      <x:c r="P4060" s="2" t="str">
        <x:f>IF(AND(E4060&gt;='Итоги'!$F$5,N4060&lt;='Итоги'!$B$5,O4060&gt;='Итоги'!$D$5),"Да","Нет")</x:f>
        <x:v>Нет</x:v>
      </x:c>
    </x:row>
    <x:row r="4061" ht="60" customHeight="1">
      <x:c r="A4061" s="14" t="str">
        <x:v>Бытовая химия и гигиена рта</x:v>
      </x:c>
      <x:c r="B4061" s="14" t="str">
        <x:v>Бритвы и лезвия</x:v>
      </x:c>
      <x:c r="C4061" s="14" t="str">
        <x:v>Бритвы и лезвия</x:v>
      </x:c>
      <x:c r="D4061" s="14" t="str">
        <x:v>Бритвенный станок</x:v>
      </x:c>
      <x:c r="E4061" s="2" t="n">
        <x:v>57</x:v>
      </x:c>
      <x:c r="F4061" s="2" t="n">
        <x:v>0</x:v>
      </x:c>
      <x:c r="G4061" s="12" t="n">
        <x:v>11216800.2801</x:v>
      </x:c>
      <x:c r="H4061" s="12" t="n">
        <x:v>1418119.63434195</x:v>
      </x:c>
      <x:c r="I4061" s="13" t="n">
        <x:v>0.1170350877192982</x:v>
      </x:c>
      <x:c r="J4061" s="2" t="n">
        <x:v>14</x:v>
      </x:c>
      <x:c r="K4061" s="2" t="n">
        <x:v>18</x:v>
      </x:c>
      <x:c r="L4061" s="12" t="n">
        <x:v>1148.4839</x:v>
      </x:c>
      <x:c r="M4061" s="13" t="n">
        <x:v>0.426236935383624</x:v>
      </x:c>
      <x:c r="N4061" s="13" t="n">
        <x:f>H4061/G4061</x:f>
        <x:v>0.1264281790643871</x:v>
      </x:c>
      <x:c r="O4061" s="13" t="n">
        <x:f>F4061/E4061</x:f>
        <x:v>0</x:v>
      </x:c>
      <x:c r="P4061" s="2" t="str">
        <x:f>IF(AND(E4061&gt;='Итоги'!$F$5,N4061&lt;='Итоги'!$B$5,O4061&gt;='Итоги'!$D$5),"Да","Нет")</x:f>
        <x:v>Нет</x:v>
      </x:c>
    </x:row>
    <x:row r="4062" ht="60" customHeight="1">
      <x:c r="A4062" s="14" t="str">
        <x:v>Аксессуары</x:v>
      </x:c>
      <x:c r="B4062" s="14" t="str">
        <x:v>Галантерея</x:v>
      </x:c>
      <x:c r="C4062" s="14" t="str">
        <x:v>Галантерея мужская</x:v>
      </x:c>
      <x:c r="D4062" s="14" t="str">
        <x:v>Мужской Зажим для денежных банкнот</x:v>
      </x:c>
      <x:c r="E4062" s="2" t="n">
        <x:v>4</x:v>
      </x:c>
      <x:c r="F4062" s="2" t="n">
        <x:v>0</x:v>
      </x:c>
      <x:c r="G4062" s="12" t="n">
        <x:v>401024.4976</x:v>
      </x:c>
      <x:c r="H4062" s="12" t="n">
        <x:v>50788.70673064</x:v>
      </x:c>
      <x:c r="I4062" s="13" t="n">
        <x:v>0.126625</x:v>
      </x:c>
      <x:c r="J4062" s="2" t="n">
        <x:v>0</x:v>
      </x:c>
      <x:c r="K4062" s="2" t="n">
        <x:v>3</x:v>
      </x:c>
      <x:c r="L4062" s="12" t="n">
        <x:v>1008.042</x:v>
      </x:c>
      <x:c r="M4062" s="13" t="n">
        <x:v>0.4921763851864994</x:v>
      </x:c>
      <x:c r="N4062" s="13" t="n">
        <x:f>H4062/G4062</x:f>
        <x:v>0.12664739195384256</x:v>
      </x:c>
      <x:c r="O4062" s="13" t="n">
        <x:f>F4062/E4062</x:f>
        <x:v>0</x:v>
      </x:c>
      <x:c r="P4062" s="2" t="str">
        <x:f>IF(AND(E4062&gt;='Итоги'!$F$5,N4062&lt;='Итоги'!$B$5,O4062&gt;='Итоги'!$D$5),"Да","Нет")</x:f>
        <x:v>Нет</x:v>
      </x:c>
    </x:row>
    <x:row r="4063" ht="60" customHeight="1">
      <x:c r="A4063" s="14" t="str">
        <x:v>Аптека</x:v>
      </x:c>
      <x:c r="B4063" s="14" t="str">
        <x:v>Товары для взрослых</x:v>
      </x:c>
      <x:c r="C4063" s="14" t="str">
        <x:v>Товары для БДСМ</x:v>
      </x:c>
      <x:c r="D4063" s="14" t="str">
        <x:v>Ошейник, маска, кляп, пояс верности БДСМ</x:v>
      </x:c>
      <x:c r="E4063" s="2" t="n">
        <x:v>11</x:v>
      </x:c>
      <x:c r="F4063" s="2" t="n">
        <x:v>0</x:v>
      </x:c>
      <x:c r="G4063" s="12" t="n">
        <x:v>1141384.5124</x:v>
      </x:c>
      <x:c r="H4063" s="12" t="n">
        <x:v>144690.3273509</x:v>
      </x:c>
      <x:c r="I4063" s="13" t="n">
        <x:v>0.1041090909090909</x:v>
      </x:c>
      <x:c r="J4063" s="2" t="n">
        <x:v>2</x:v>
      </x:c>
      <x:c r="K4063" s="2" t="n">
        <x:v>6</x:v>
      </x:c>
      <x:c r="L4063" s="12" t="n">
        <x:v>1685.6279</x:v>
      </x:c>
      <x:c r="M4063" s="13" t="n">
        <x:v>0.3067459334661987</x:v>
      </x:c>
      <x:c r="N4063" s="13" t="n">
        <x:f>H4063/G4063</x:f>
        <x:v>0.1267673827522491</x:v>
      </x:c>
      <x:c r="O4063" s="13" t="n">
        <x:f>F4063/E4063</x:f>
        <x:v>0</x:v>
      </x:c>
      <x:c r="P4063" s="2" t="str">
        <x:f>IF(AND(E4063&gt;='Итоги'!$F$5,N4063&lt;='Итоги'!$B$5,O4063&gt;='Итоги'!$D$5),"Да","Нет")</x:f>
        <x:v>Нет</x:v>
      </x:c>
    </x:row>
    <x:row r="4064" ht="60" customHeight="1">
      <x:c r="A4064" s="14" t="str">
        <x:v>Товары для детей и спорта</x:v>
      </x:c>
      <x:c r="B4064" s="14" t="str">
        <x:v>Кормление детское</x:v>
      </x:c>
      <x:c r="C4064" s="14" t="str">
        <x:v>Кормление детское</x:v>
      </x:c>
      <x:c r="D4064" s="14" t="str">
        <x:v>Термос, термоконтейнер детский</x:v>
      </x:c>
      <x:c r="E4064" s="2" t="n">
        <x:v>1</x:v>
      </x:c>
      <x:c r="F4064" s="2" t="n">
        <x:v>0</x:v>
      </x:c>
      <x:c r="G4064" s="12" t="n">
        <x:v>84959.069</x:v>
      </x:c>
      <x:c r="H4064" s="12" t="n">
        <x:v>10772.8099492</x:v>
      </x:c>
      <x:c r="I4064" s="13" t="n">
        <x:v>0.1268</x:v>
      </x:c>
      <x:c r="J4064" s="2" t="n">
        <x:v>0</x:v>
      </x:c>
      <x:c r="K4064" s="2" t="n">
        <x:v>1</x:v>
      </x:c>
      <x:c r="L4064" s="12" t="n">
        <x:v>1415.9845</x:v>
      </x:c>
      <x:c r="M4064" s="13" t="n">
        <x:v>1</x:v>
      </x:c>
      <x:c r="N4064" s="13" t="n">
        <x:f>H4064/G4064</x:f>
        <x:v>0.1268</x:v>
      </x:c>
      <x:c r="O4064" s="13" t="n">
        <x:f>F4064/E4064</x:f>
        <x:v>0</x:v>
      </x:c>
      <x:c r="P4064" s="2" t="str">
        <x:f>IF(AND(E4064&gt;='Итоги'!$F$5,N4064&lt;='Итоги'!$B$5,O4064&gt;='Итоги'!$D$5),"Да","Нет")</x:f>
        <x:v>Нет</x:v>
      </x:c>
    </x:row>
    <x:row r="4065" ht="60" customHeight="1">
      <x:c r="A4065" s="14" t="str">
        <x:v>Товары для красоты и здоровья</x:v>
      </x:c>
      <x:c r="B4065" s="14" t="str">
        <x:v>Косметика для ухода за кожей</x:v>
      </x:c>
      <x:c r="C4065" s="14" t="str">
        <x:v>Тело</x:v>
      </x:c>
      <x:c r="D4065" s="14" t="str">
        <x:v>Скраб для тела</x:v>
      </x:c>
      <x:c r="E4065" s="2" t="n">
        <x:v>8</x:v>
      </x:c>
      <x:c r="F4065" s="2" t="n">
        <x:v>0</x:v>
      </x:c>
      <x:c r="G4065" s="12" t="n">
        <x:v>1226020.8615</x:v>
      </x:c>
      <x:c r="H4065" s="12" t="n">
        <x:v>155493.66684105</x:v>
      </x:c>
      <x:c r="I4065" s="13" t="n">
        <x:v>0.0943875</x:v>
      </x:c>
      <x:c r="J4065" s="2" t="n">
        <x:v>2</x:v>
      </x:c>
      <x:c r="K4065" s="2" t="n">
        <x:v>3</x:v>
      </x:c>
      <x:c r="L4065" s="12" t="n">
        <x:v>1230.1805</x:v>
      </x:c>
      <x:c r="M4065" s="13" t="n">
        <x:v>0.9319230726646164</x:v>
      </x:c>
      <x:c r="N4065" s="13" t="n">
        <x:f>H4065/G4065</x:f>
        <x:v>0.12682791274106717</x:v>
      </x:c>
      <x:c r="O4065" s="13" t="n">
        <x:f>F4065/E4065</x:f>
        <x:v>0</x:v>
      </x:c>
      <x:c r="P4065" s="2" t="str">
        <x:f>IF(AND(E4065&gt;='Итоги'!$F$5,N4065&lt;='Итоги'!$B$5,O4065&gt;='Итоги'!$D$5),"Да","Нет")</x:f>
        <x:v>Нет</x:v>
      </x:c>
    </x:row>
    <x:row r="4066" ht="60" customHeight="1">
      <x:c r="A4066" s="14" t="str">
        <x:v>Спорт и отдых</x:v>
      </x:c>
      <x:c r="B4066" s="14" t="str">
        <x:v>Товары для рыбалки</x:v>
      </x:c>
      <x:c r="C4066" s="14" t="str">
        <x:v>Одежда для рыбалки</x:v>
      </x:c>
      <x:c r="D4066" s="14" t="str">
        <x:v>Носки для рыбалки</x:v>
      </x:c>
      <x:c r="E4066" s="2" t="n">
        <x:v>4</x:v>
      </x:c>
      <x:c r="F4066" s="2" t="n">
        <x:v>0</x:v>
      </x:c>
      <x:c r="G4066" s="12" t="n">
        <x:v>2235074.8306</x:v>
      </x:c>
      <x:c r="H4066" s="12" t="n">
        <x:v>283611.12487576</x:v>
      </x:c>
      <x:c r="I4066" s="13" t="n">
        <x:v>0.14495</x:v>
      </x:c>
      <x:c r="J4066" s="2" t="n">
        <x:v>0</x:v>
      </x:c>
      <x:c r="K4066" s="2" t="n">
        <x:v>1</x:v>
      </x:c>
      <x:c r="L4066" s="12" t="n">
        <x:v>780.69895</x:v>
      </x:c>
      <x:c r="M4066" s="13" t="n">
        <x:v>1</x:v>
      </x:c>
      <x:c r="N4066" s="13" t="n">
        <x:f>H4066/G4066</x:f>
        <x:v>0.12689110941293422</x:v>
      </x:c>
      <x:c r="O4066" s="13" t="n">
        <x:f>F4066/E4066</x:f>
        <x:v>0</x:v>
      </x:c>
      <x:c r="P4066" s="2" t="str">
        <x:f>IF(AND(E4066&gt;='Итоги'!$F$5,N4066&lt;='Итоги'!$B$5,O4066&gt;='Итоги'!$D$5),"Да","Нет")</x:f>
        <x:v>Нет</x:v>
      </x:c>
    </x:row>
    <x:row r="4067" ht="60" customHeight="1">
      <x:c r="A4067" s="14" t="str">
        <x:v>Мебель</x:v>
      </x:c>
      <x:c r="B4067" s="14" t="str">
        <x:v>Мебель для сна</x:v>
      </x:c>
      <x:c r="C4067" s="14" t="str">
        <x:v>Матрас</x:v>
      </x:c>
      <x:c r="D4067" s="14" t="str">
        <x:v>Матрас беспружинный</x:v>
      </x:c>
      <x:c r="E4067" s="2" t="n">
        <x:v>298</x:v>
      </x:c>
      <x:c r="F4067" s="2" t="n">
        <x:v>0</x:v>
      </x:c>
      <x:c r="G4067" s="12" t="n">
        <x:v>60454992.9049</x:v>
      </x:c>
      <x:c r="H4067" s="12" t="n">
        <x:v>7674832.40393323</x:v>
      </x:c>
      <x:c r="I4067" s="13" t="n">
        <x:v>0.1333036912751677</x:v>
      </x:c>
      <x:c r="J4067" s="2" t="n">
        <x:v>53</x:v>
      </x:c>
      <x:c r="K4067" s="2" t="n">
        <x:v>23</x:v>
      </x:c>
      <x:c r="L4067" s="12" t="n">
        <x:v>8113.70835</x:v>
      </x:c>
      <x:c r="M4067" s="13" t="n">
        <x:v>0.9156228118126776</x:v>
      </x:c>
      <x:c r="N4067" s="13" t="n">
        <x:f>H4067/G4067</x:f>
        <x:v>0.12695117533147818</x:v>
      </x:c>
      <x:c r="O4067" s="13" t="n">
        <x:f>F4067/E4067</x:f>
        <x:v>0</x:v>
      </x:c>
      <x:c r="P4067" s="2" t="str">
        <x:f>IF(AND(E4067&gt;='Итоги'!$F$5,N4067&lt;='Итоги'!$B$5,O4067&gt;='Итоги'!$D$5),"Да","Нет")</x:f>
        <x:v>Нет</x:v>
      </x:c>
    </x:row>
    <x:row r="4068" ht="60" customHeight="1">
      <x:c r="A4068" s="14" t="str">
        <x:v>Игрушки</x:v>
      </x:c>
      <x:c r="B4068" s="14" t="str">
        <x:v>Игрушки</x:v>
      </x:c>
      <x:c r="C4068" s="14" t="str">
        <x:v>Транспорт и радиоуправляемые игрушки</x:v>
      </x:c>
      <x:c r="D4068" s="14" t="str">
        <x:v>Робот р/у</x:v>
      </x:c>
      <x:c r="E4068" s="2" t="n">
        <x:v>25</x:v>
      </x:c>
      <x:c r="F4068" s="2" t="n">
        <x:v>0</x:v>
      </x:c>
      <x:c r="G4068" s="12" t="n">
        <x:v>2889344.3587</x:v>
      </x:c>
      <x:c r="H4068" s="12" t="n">
        <x:v>366882.45646116</x:v>
      </x:c>
      <x:c r="I4068" s="13" t="n">
        <x:v>0.1285319999999999</x:v>
      </x:c>
      <x:c r="J4068" s="2" t="n">
        <x:v>1</x:v>
      </x:c>
      <x:c r="K4068" s="2" t="n">
        <x:v>12</x:v>
      </x:c>
      <x:c r="L4068" s="12" t="n">
        <x:v>2046.006</x:v>
      </x:c>
      <x:c r="M4068" s="13" t="n">
        <x:v>0.3966502559479083</x:v>
      </x:c>
      <x:c r="N4068" s="13" t="n">
        <x:f>H4068/G4068</x:f>
        <x:v>0.12697775374418543</x:v>
      </x:c>
      <x:c r="O4068" s="13" t="n">
        <x:f>F4068/E4068</x:f>
        <x:v>0</x:v>
      </x:c>
      <x:c r="P4068" s="2" t="str">
        <x:f>IF(AND(E4068&gt;='Итоги'!$F$5,N4068&lt;='Итоги'!$B$5,O4068&gt;='Итоги'!$D$5),"Да","Нет")</x:f>
        <x:v>Нет</x:v>
      </x:c>
    </x:row>
    <x:row r="4069" ht="60" customHeight="1">
      <x:c r="A4069" s="14" t="str">
        <x:v>Спорт и отдых</x:v>
      </x:c>
      <x:c r="B4069" s="14" t="str">
        <x:v>Туризм</x:v>
      </x:c>
      <x:c r="C4069" s="14" t="str">
        <x:v>Снаряжение для альпинизма и скалолазания</x:v>
      </x:c>
      <x:c r="D4069" s="14" t="str">
        <x:v>Скальные туфли</x:v>
      </x:c>
      <x:c r="E4069" s="2" t="n">
        <x:v>1</x:v>
      </x:c>
      <x:c r="F4069" s="2" t="n">
        <x:v>0</x:v>
      </x:c>
      <x:c r="G4069" s="12" t="n">
        <x:v>11918</x:v>
      </x:c>
      <x:c r="H4069" s="12" t="n">
        <x:v>1513.586</x:v>
      </x:c>
      <x:c r="I4069" s="13" t="n">
        <x:v>0.127</x:v>
      </x:c>
      <x:c r="J4069" s="2" t="n">
        <x:v>0</x:v>
      </x:c>
      <x:c r="K4069" s="2" t="n">
        <x:v>1</x:v>
      </x:c>
      <x:c r="L4069" s="12" t="n">
        <x:v>3972.6667</x:v>
      </x:c>
      <x:c r="M4069" s="13" t="n">
        <x:v>1</x:v>
      </x:c>
      <x:c r="N4069" s="13" t="n">
        <x:f>H4069/G4069</x:f>
        <x:v>0.127</x:v>
      </x:c>
      <x:c r="O4069" s="13" t="n">
        <x:f>F4069/E4069</x:f>
        <x:v>0</x:v>
      </x:c>
      <x:c r="P4069" s="2" t="str">
        <x:f>IF(AND(E4069&gt;='Итоги'!$F$5,N4069&lt;='Итоги'!$B$5,O4069&gt;='Итоги'!$D$5),"Да","Нет")</x:f>
        <x:v>Нет</x:v>
      </x:c>
    </x:row>
    <x:row r="4070" ht="60" customHeight="1">
      <x:c r="A4070" s="14" t="str">
        <x:v>Аксессуары для электроники</x:v>
      </x:c>
      <x:c r="B4070" s="14" t="str">
        <x:v>Аксессуары для МБТ (дом) Access</x:v>
      </x:c>
      <x:c r="C4070" s="14" t="str">
        <x:v>Аксессуары для швейной машины Access</x:v>
      </x:c>
      <x:c r="D4070" s="14" t="str">
        <x:v>Аксессуары для швейных машин</x:v>
      </x:c>
      <x:c r="E4070" s="2" t="n">
        <x:v>8</x:v>
      </x:c>
      <x:c r="F4070" s="2" t="n">
        <x:v>0</x:v>
      </x:c>
      <x:c r="G4070" s="12" t="n">
        <x:v>1152586.5695</x:v>
      </x:c>
      <x:c r="H4070" s="12" t="n">
        <x:v>146474.71246943</x:v>
      </x:c>
      <x:c r="I4070" s="13" t="n">
        <x:v>0.11165</x:v>
      </x:c>
      <x:c r="J4070" s="2" t="n">
        <x:v>2</x:v>
      </x:c>
      <x:c r="K4070" s="2" t="n">
        <x:v>2</x:v>
      </x:c>
      <x:c r="L4070" s="12" t="n">
        <x:v>1092.9951</x:v>
      </x:c>
      <x:c r="M4070" s="13" t="n">
        <x:v>0.8616346408849942</x:v>
      </x:c>
      <x:c r="N4070" s="13" t="n">
        <x:f>H4070/G4070</x:f>
        <x:v>0.1270834801874984</x:v>
      </x:c>
      <x:c r="O4070" s="13" t="n">
        <x:f>F4070/E4070</x:f>
        <x:v>0</x:v>
      </x:c>
      <x:c r="P4070" s="2" t="str">
        <x:f>IF(AND(E4070&gt;='Итоги'!$F$5,N4070&lt;='Итоги'!$B$5,O4070&gt;='Итоги'!$D$5),"Да","Нет")</x:f>
        <x:v>Нет</x:v>
      </x:c>
    </x:row>
    <x:row r="4071" ht="60" customHeight="1">
      <x:c r="A4071" s="14" t="str">
        <x:v>Спорт и отдых</x:v>
      </x:c>
      <x:c r="B4071" s="14" t="str">
        <x:v>Всесезонные виды спорта</x:v>
      </x:c>
      <x:c r="C4071" s="14" t="str">
        <x:v>Баскетбол</x:v>
      </x:c>
      <x:c r="D4071" s="14" t="str">
        <x:v>Корзина баскетбольная</x:v>
      </x:c>
      <x:c r="E4071" s="2" t="n">
        <x:v>9</x:v>
      </x:c>
      <x:c r="F4071" s="2" t="n">
        <x:v>0</x:v>
      </x:c>
      <x:c r="G4071" s="12" t="n">
        <x:v>1154734.63</x:v>
      </x:c>
      <x:c r="H4071" s="12" t="n">
        <x:v>146811.150057</x:v>
      </x:c>
      <x:c r="I4071" s="13" t="n">
        <x:v>0.1235666666666666</x:v>
      </x:c>
      <x:c r="J4071" s="2" t="n">
        <x:v>1</x:v>
      </x:c>
      <x:c r="K4071" s="2" t="n">
        <x:v>6</x:v>
      </x:c>
      <x:c r="L4071" s="12" t="n">
        <x:v>1770.7386</x:v>
      </x:c>
      <x:c r="M4071" s="13" t="n">
        <x:v>0.2889305917845384</x:v>
      </x:c>
      <x:c r="N4071" s="13" t="n">
        <x:f>H4071/G4071</x:f>
        <x:v>0.1271384318464581</x:v>
      </x:c>
      <x:c r="O4071" s="13" t="n">
        <x:f>F4071/E4071</x:f>
        <x:v>0</x:v>
      </x:c>
      <x:c r="P4071" s="2" t="str">
        <x:f>IF(AND(E4071&gt;='Итоги'!$F$5,N4071&lt;='Итоги'!$B$5,O4071&gt;='Итоги'!$D$5),"Да","Нет")</x:f>
        <x:v>Нет</x:v>
      </x:c>
    </x:row>
    <x:row r="4072" ht="60" customHeight="1">
      <x:c r="A4072" s="14" t="str">
        <x:v>Спорт и отдых</x:v>
      </x:c>
      <x:c r="B4072" s="14" t="str">
        <x:v>Страйкбол и пневматика</x:v>
      </x:c>
      <x:c r="C4072" s="14" t="str">
        <x:v>Пейнтбол и лазертаг</x:v>
      </x:c>
      <x:c r="D4072" s="14" t="str">
        <x:v>Аксессуары для пейнтбола и лазертага</x:v>
      </x:c>
      <x:c r="E4072" s="2" t="n">
        <x:v>2</x:v>
      </x:c>
      <x:c r="F4072" s="2" t="n">
        <x:v>0</x:v>
      </x:c>
      <x:c r="G4072" s="12" t="n">
        <x:v>559789.2839</x:v>
      </x:c>
      <x:c r="H4072" s="12" t="n">
        <x:v>71199.51515866</x:v>
      </x:c>
      <x:c r="I4072" s="13" t="n">
        <x:v>0.1251499999999999</x:v>
      </x:c>
      <x:c r="J4072" s="2" t="n">
        <x:v>0</x:v>
      </x:c>
      <x:c r="K4072" s="2" t="n">
        <x:v>1</x:v>
      </x:c>
      <x:c r="L4072" s="12" t="n">
        <x:v>16025.10115</x:v>
      </x:c>
      <x:c r="M4072" s="13" t="n">
        <x:v>1</x:v>
      </x:c>
      <x:c r="N4072" s="13" t="n">
        <x:f>H4072/G4072</x:f>
        <x:v>0.12718985019259313</x:v>
      </x:c>
      <x:c r="O4072" s="13" t="n">
        <x:f>F4072/E4072</x:f>
        <x:v>0</x:v>
      </x:c>
      <x:c r="P4072" s="2" t="str">
        <x:f>IF(AND(E4072&gt;='Итоги'!$F$5,N4072&lt;='Итоги'!$B$5,O4072&gt;='Итоги'!$D$5),"Да","Нет")</x:f>
        <x:v>Нет</x:v>
      </x:c>
    </x:row>
    <x:row r="4073" ht="60" customHeight="1">
      <x:c r="A4073" s="14" t="str">
        <x:v>Аптека</x:v>
      </x:c>
      <x:c r="B4073" s="14" t="str">
        <x:v>Витамины и БАДы</x:v>
      </x:c>
      <x:c r="C4073" s="14" t="str">
        <x:v>Мужское здоровье</x:v>
      </x:c>
      <x:c r="D4073" s="14" t="str">
        <x:v>БАД для профилактики заболеваний простаты</x:v>
      </x:c>
      <x:c r="E4073" s="2" t="n">
        <x:v>6</x:v>
      </x:c>
      <x:c r="F4073" s="2" t="n">
        <x:v>0</x:v>
      </x:c>
      <x:c r="G4073" s="12" t="n">
        <x:v>974627.7736</x:v>
      </x:c>
      <x:c r="H4073" s="12" t="n">
        <x:v>124125.95583456</x:v>
      </x:c>
      <x:c r="I4073" s="13" t="n">
        <x:v>0.1066666666666666</x:v>
      </x:c>
      <x:c r="J4073" s="2" t="n">
        <x:v>0</x:v>
      </x:c>
      <x:c r="K4073" s="2" t="n">
        <x:v>3</x:v>
      </x:c>
      <x:c r="L4073" s="12" t="n">
        <x:v>1782.9772</x:v>
      </x:c>
      <x:c r="M4073" s="13" t="n">
        <x:v>0.6925728897574277</x:v>
      </x:c>
      <x:c r="N4073" s="13" t="n">
        <x:f>H4073/G4073</x:f>
        <x:v>0.12735729392983922</x:v>
      </x:c>
      <x:c r="O4073" s="13" t="n">
        <x:f>F4073/E4073</x:f>
        <x:v>0</x:v>
      </x:c>
      <x:c r="P4073" s="2" t="str">
        <x:f>IF(AND(E4073&gt;='Итоги'!$F$5,N4073&lt;='Итоги'!$B$5,O4073&gt;='Итоги'!$D$5),"Да","Нет")</x:f>
        <x:v>Нет</x:v>
      </x:c>
    </x:row>
    <x:row r="4074" ht="60" customHeight="1">
      <x:c r="A4074" s="14" t="str">
        <x:v>Школьные принадлежности и канцелярия</x:v>
      </x:c>
      <x:c r="B4074" s="14" t="str">
        <x:v>Товары для школы, канцелярия, оборудование</x:v>
      </x:c>
      <x:c r="C4074" s="14" t="str">
        <x:v>Письменные принадлежности</x:v>
      </x:c>
      <x:c r="D4074" s="14" t="str">
        <x:v>Набор маркеров, текстовыделителей</x:v>
      </x:c>
      <x:c r="E4074" s="2" t="n">
        <x:v>10</x:v>
      </x:c>
      <x:c r="F4074" s="2" t="n">
        <x:v>0</x:v>
      </x:c>
      <x:c r="G4074" s="12" t="n">
        <x:v>1197268.9845</x:v>
      </x:c>
      <x:c r="H4074" s="12" t="n">
        <x:v>152515.53761564998</x:v>
      </x:c>
      <x:c r="I4074" s="13" t="n">
        <x:v>0.13202</x:v>
      </x:c>
      <x:c r="J4074" s="2" t="n">
        <x:v>0</x:v>
      </x:c>
      <x:c r="K4074" s="2" t="n">
        <x:v>7</x:v>
      </x:c>
      <x:c r="L4074" s="12" t="n">
        <x:v>1119.6202</x:v>
      </x:c>
      <x:c r="M4074" s="13" t="n">
        <x:v>0.3573608855145282</x:v>
      </x:c>
      <x:c r="N4074" s="13" t="n">
        <x:f>H4074/G4074</x:f>
        <x:v>0.12738619273541366</x:v>
      </x:c>
      <x:c r="O4074" s="13" t="n">
        <x:f>F4074/E4074</x:f>
        <x:v>0</x:v>
      </x:c>
      <x:c r="P4074" s="2" t="str">
        <x:f>IF(AND(E4074&gt;='Итоги'!$F$5,N4074&lt;='Итоги'!$B$5,O4074&gt;='Итоги'!$D$5),"Да","Нет")</x:f>
        <x:v>Нет</x:v>
      </x:c>
    </x:row>
    <x:row r="4075" ht="60" customHeight="1">
      <x:c r="A4075" s="14" t="str">
        <x:v>Автотовары</x:v>
      </x:c>
      <x:c r="B4075" s="14" t="str">
        <x:v>Универсальные авто и мото аксессуары</x:v>
      </x:c>
      <x:c r="C4075" s="14" t="str">
        <x:v>Товары для чистоты автомобиля</x:v>
      </x:c>
      <x:c r="D4075" s="14" t="str">
        <x:v>Ароматизатор, нейтрализатор запахов автомобильные</x:v>
      </x:c>
      <x:c r="E4075" s="2" t="n">
        <x:v>50</x:v>
      </x:c>
      <x:c r="F4075" s="2" t="n">
        <x:v>0</x:v>
      </x:c>
      <x:c r="G4075" s="12" t="n">
        <x:v>6951722.4981</x:v>
      </x:c>
      <x:c r="H4075" s="12" t="n">
        <x:v>885934.60287177</x:v>
      </x:c>
      <x:c r="I4075" s="13" t="n">
        <x:v>0.12667</x:v>
      </x:c>
      <x:c r="J4075" s="2" t="n">
        <x:v>6</x:v>
      </x:c>
      <x:c r="K4075" s="2" t="n">
        <x:v>25</x:v>
      </x:c>
      <x:c r="L4075" s="12" t="n">
        <x:v>1195.1445</x:v>
      </x:c>
      <x:c r="M4075" s="13" t="n">
        <x:v>0.2499592619059409</x:v>
      </x:c>
      <x:c r="N4075" s="13" t="n">
        <x:f>H4075/G4075</x:f>
        <x:v>0.1274410195622607</x:v>
      </x:c>
      <x:c r="O4075" s="13" t="n">
        <x:f>F4075/E4075</x:f>
        <x:v>0</x:v>
      </x:c>
      <x:c r="P4075" s="2" t="str">
        <x:f>IF(AND(E4075&gt;='Итоги'!$F$5,N4075&lt;='Итоги'!$B$5,O4075&gt;='Итоги'!$D$5),"Да","Нет")</x:f>
        <x:v>Нет</x:v>
      </x:c>
    </x:row>
    <x:row r="4076" ht="60" customHeight="1">
      <x:c r="A4076" s="14" t="str">
        <x:v>Школьные принадлежности и канцелярия</x:v>
      </x:c>
      <x:c r="B4076" s="14" t="str">
        <x:v>Товары для школы, канцелярия, оборудование</x:v>
      </x:c>
      <x:c r="C4076" s="14" t="str">
        <x:v>Чертежные принадлежности</x:v>
      </x:c>
      <x:c r="D4076" s="14" t="str">
        <x:v>Линейка</x:v>
      </x:c>
      <x:c r="E4076" s="2" t="n">
        <x:v>1</x:v>
      </x:c>
      <x:c r="F4076" s="2" t="n">
        <x:v>0</x:v>
      </x:c>
      <x:c r="G4076" s="12" t="n">
        <x:v>116750</x:v>
      </x:c>
      <x:c r="H4076" s="12" t="n">
        <x:v>14885.625</x:v>
      </x:c>
      <x:c r="I4076" s="13" t="n">
        <x:v>0.1275</x:v>
      </x:c>
      <x:c r="J4076" s="2" t="n">
        <x:v>0</x:v>
      </x:c>
      <x:c r="K4076" s="2" t="n">
        <x:v>1</x:v>
      </x:c>
      <x:c r="L4076" s="12" t="n">
        <x:v>934</x:v>
      </x:c>
      <x:c r="M4076" s="13" t="n">
        <x:v>1</x:v>
      </x:c>
      <x:c r="N4076" s="13" t="n">
        <x:f>H4076/G4076</x:f>
        <x:v>0.1275</x:v>
      </x:c>
      <x:c r="O4076" s="13" t="n">
        <x:f>F4076/E4076</x:f>
        <x:v>0</x:v>
      </x:c>
      <x:c r="P4076" s="2" t="str">
        <x:f>IF(AND(E4076&gt;='Итоги'!$F$5,N4076&lt;='Итоги'!$B$5,O4076&gt;='Итоги'!$D$5),"Да","Нет")</x:f>
        <x:v>Нет</x:v>
      </x:c>
    </x:row>
    <x:row r="4077" ht="60" customHeight="1">
      <x:c r="A4077" s="14" t="str">
        <x:v>Мебель</x:v>
      </x:c>
      <x:c r="B4077" s="14" t="str">
        <x:v>Компьютерная и офисная мебель</x:v>
      </x:c>
      <x:c r="C4077" s="14" t="str">
        <x:v>Компьютерный, офисный столы</x:v>
      </x:c>
      <x:c r="D4077" s="14" t="str">
        <x:v>Подставка, полка для системного блока</x:v>
      </x:c>
      <x:c r="E4077" s="2" t="n">
        <x:v>6</x:v>
      </x:c>
      <x:c r="F4077" s="2" t="n">
        <x:v>0</x:v>
      </x:c>
      <x:c r="G4077" s="12" t="n">
        <x:v>888352.4952</x:v>
      </x:c>
      <x:c r="H4077" s="12" t="n">
        <x:v>113343.41378989</x:v>
      </x:c>
      <x:c r="I4077" s="13" t="n">
        <x:v>0.1393333333333333</x:v>
      </x:c>
      <x:c r="J4077" s="2" t="n">
        <x:v>0</x:v>
      </x:c>
      <x:c r="K4077" s="2" t="n">
        <x:v>3</x:v>
      </x:c>
      <x:c r="L4077" s="12" t="n">
        <x:v>886.1161500000001</x:v>
      </x:c>
      <x:c r="M4077" s="13" t="n">
        <x:v>0.6990634254482364</x:v>
      </x:c>
      <x:c r="N4077" s="13" t="n">
        <x:f>H4077/G4077</x:f>
        <x:v>0.1275883327871695</x:v>
      </x:c>
      <x:c r="O4077" s="13" t="n">
        <x:f>F4077/E4077</x:f>
        <x:v>0</x:v>
      </x:c>
      <x:c r="P4077" s="2" t="str">
        <x:f>IF(AND(E4077&gt;='Итоги'!$F$5,N4077&lt;='Итоги'!$B$5,O4077&gt;='Итоги'!$D$5),"Да","Нет")</x:f>
        <x:v>Нет</x:v>
      </x:c>
    </x:row>
    <x:row r="4078" ht="60" customHeight="1">
      <x:c r="A4078" s="14" t="str">
        <x:v>Спорт и отдых</x:v>
      </x:c>
      <x:c r="B4078" s="14" t="str">
        <x:v>Водные виды спорта</x:v>
      </x:c>
      <x:c r="C4078" s="14" t="str">
        <x:v>Плавание</x:v>
      </x:c>
      <x:c r="D4078" s="14" t="str">
        <x:v>Очки для плавания</x:v>
      </x:c>
      <x:c r="E4078" s="2" t="n">
        <x:v>42</x:v>
      </x:c>
      <x:c r="F4078" s="2" t="n">
        <x:v>0</x:v>
      </x:c>
      <x:c r="G4078" s="12" t="n">
        <x:v>4623081.7231</x:v>
      </x:c>
      <x:c r="H4078" s="12" t="n">
        <x:v>590079.96038431</x:v>
      </x:c>
      <x:c r="I4078" s="13" t="n">
        <x:v>0.0763166666666666</x:v>
      </x:c>
      <x:c r="J4078" s="2" t="n">
        <x:v>13</x:v>
      </x:c>
      <x:c r="K4078" s="2" t="n">
        <x:v>18</x:v>
      </x:c>
      <x:c r="L4078" s="12" t="n">
        <x:v>1423.4578</x:v>
      </x:c>
      <x:c r="M4078" s="13" t="n">
        <x:v>0.5538499936105532</x:v>
      </x:c>
      <x:c r="N4078" s="13" t="n">
        <x:f>H4078/G4078</x:f>
        <x:v>0.12763779567985503</x:v>
      </x:c>
      <x:c r="O4078" s="13" t="n">
        <x:f>F4078/E4078</x:f>
        <x:v>0</x:v>
      </x:c>
      <x:c r="P4078" s="2" t="str">
        <x:f>IF(AND(E4078&gt;='Итоги'!$F$5,N4078&lt;='Итоги'!$B$5,O4078&gt;='Итоги'!$D$5),"Да","Нет")</x:f>
        <x:v>Нет</x:v>
      </x:c>
    </x:row>
    <x:row r="4079" ht="60" customHeight="1">
      <x:c r="A4079" s="14" t="str">
        <x:v>Товары для красоты и здоровья</x:v>
      </x:c>
      <x:c r="B4079" s="14" t="str">
        <x:v>Декоративная косметика</x:v>
      </x:c>
      <x:c r="C4079" s="14" t="str">
        <x:v>Набор декоративной косметики</x:v>
      </x:c>
      <x:c r="D4079" s="14" t="str">
        <x:v>Набор декоративной косметики</x:v>
      </x:c>
      <x:c r="E4079" s="2" t="n">
        <x:v>31</x:v>
      </x:c>
      <x:c r="F4079" s="2" t="n">
        <x:v>0</x:v>
      </x:c>
      <x:c r="G4079" s="12" t="n">
        <x:v>6612858.4934</x:v>
      </x:c>
      <x:c r="H4079" s="12" t="n">
        <x:v>844162.10246073</x:v>
      </x:c>
      <x:c r="I4079" s="13" t="n">
        <x:v>0.1109645161290322</x:v>
      </x:c>
      <x:c r="J4079" s="2" t="n">
        <x:v>5</x:v>
      </x:c>
      <x:c r="K4079" s="2" t="n">
        <x:v>5</x:v>
      </x:c>
      <x:c r="L4079" s="12" t="n">
        <x:v>1382.3318</x:v>
      </x:c>
      <x:c r="M4079" s="13" t="n">
        <x:v>0.6288398918788817</x:v>
      </x:c>
      <x:c r="N4079" s="13" t="n">
        <x:f>H4079/G4079</x:f>
        <x:v>0.12765464485641884</x:v>
      </x:c>
      <x:c r="O4079" s="13" t="n">
        <x:f>F4079/E4079</x:f>
        <x:v>0</x:v>
      </x:c>
      <x:c r="P4079" s="2" t="str">
        <x:f>IF(AND(E4079&gt;='Итоги'!$F$5,N4079&lt;='Итоги'!$B$5,O4079&gt;='Итоги'!$D$5),"Да","Нет")</x:f>
        <x:v>Нет</x:v>
      </x:c>
    </x:row>
    <x:row r="4080" ht="60" customHeight="1">
      <x:c r="A4080" s="14" t="str">
        <x:v>Товары для дома</x:v>
      </x:c>
      <x:c r="B4080" s="14" t="str">
        <x:v>Домашний текстиль</x:v>
      </x:c>
      <x:c r="C4080" s="14" t="str">
        <x:v>Подушка</x:v>
      </x:c>
      <x:c r="D4080" s="14" t="str">
        <x:v>Подушка ортопедическая</x:v>
      </x:c>
      <x:c r="E4080" s="2" t="n">
        <x:v>316</x:v>
      </x:c>
      <x:c r="F4080" s="2" t="n">
        <x:v>0</x:v>
      </x:c>
      <x:c r="G4080" s="12" t="n">
        <x:v>64685099.959</x:v>
      </x:c>
      <x:c r="H4080" s="12" t="n">
        <x:v>8257431.05672044</x:v>
      </x:c>
      <x:c r="I4080" s="13" t="n">
        <x:v>0.121834493670886</x:v>
      </x:c>
      <x:c r="J4080" s="2" t="n">
        <x:v>58</x:v>
      </x:c>
      <x:c r="K4080" s="2" t="n">
        <x:v>68</x:v>
      </x:c>
      <x:c r="L4080" s="12" t="n">
        <x:v>1635.1631</x:v>
      </x:c>
      <x:c r="M4080" s="13" t="n">
        <x:v>0.5977160145784169</x:v>
      </x:c>
      <x:c r="N4080" s="13" t="n">
        <x:f>H4080/G4080</x:f>
        <x:v>0.1276558444209614</x:v>
      </x:c>
      <x:c r="O4080" s="13" t="n">
        <x:f>F4080/E4080</x:f>
        <x:v>0</x:v>
      </x:c>
      <x:c r="P4080" s="2" t="str">
        <x:f>IF(AND(E4080&gt;='Итоги'!$F$5,N4080&lt;='Итоги'!$B$5,O4080&gt;='Итоги'!$D$5),"Да","Нет")</x:f>
        <x:v>Нет</x:v>
      </x:c>
    </x:row>
    <x:row r="4081" ht="60" customHeight="1">
      <x:c r="A4081" s="14" t="str">
        <x:v>Товары для красоты и здоровья</x:v>
      </x:c>
      <x:c r="B4081" s="14" t="str">
        <x:v>Косметика для ухода за кожей</x:v>
      </x:c>
      <x:c r="C4081" s="14" t="str">
        <x:v>Средства для бритья мужские</x:v>
      </x:c>
      <x:c r="D4081" s="14" t="str">
        <x:v>Средство для бритья мужское</x:v>
      </x:c>
      <x:c r="E4081" s="2" t="n">
        <x:v>4</x:v>
      </x:c>
      <x:c r="F4081" s="2" t="n">
        <x:v>0</x:v>
      </x:c>
      <x:c r="G4081" s="12" t="n">
        <x:v>568459.3975</x:v>
      </x:c>
      <x:c r="H4081" s="12" t="n">
        <x:v>72571.93606065001</x:v>
      </x:c>
      <x:c r="I4081" s="13" t="n">
        <x:v>0.119325</x:v>
      </x:c>
      <x:c r="J4081" s="2" t="n">
        <x:v>1</x:v>
      </x:c>
      <x:c r="K4081" s="2" t="n">
        <x:v>2</x:v>
      </x:c>
      <x:c r="L4081" s="12" t="n">
        <x:v>1098.15715</x:v>
      </x:c>
      <x:c r="M4081" s="13" t="n">
        <x:v>0.5876355878169822</x:v>
      </x:c>
      <x:c r="N4081" s="13" t="n">
        <x:f>H4081/G4081</x:f>
        <x:v>0.12766423843076677</x:v>
      </x:c>
      <x:c r="O4081" s="13" t="n">
        <x:f>F4081/E4081</x:f>
        <x:v>0</x:v>
      </x:c>
      <x:c r="P4081" s="2" t="str">
        <x:f>IF(AND(E4081&gt;='Итоги'!$F$5,N4081&lt;='Итоги'!$B$5,O4081&gt;='Итоги'!$D$5),"Да","Нет")</x:f>
        <x:v>Нет</x:v>
      </x:c>
    </x:row>
    <x:row r="4082" ht="60" customHeight="1">
      <x:c r="A4082" s="14" t="str">
        <x:v>Товары для красоты и здоровья</x:v>
      </x:c>
      <x:c r="B4082" s="14" t="str">
        <x:v>Косметика для ухода за кожей</x:v>
      </x:c>
      <x:c r="C4082" s="14" t="str">
        <x:v>Средства для бритья мужские</x:v>
      </x:c>
      <x:c r="D4082" s="14" t="str">
        <x:v>Средства и наборы для ухода за бородой</x:v>
      </x:c>
      <x:c r="E4082" s="2" t="n">
        <x:v>29</x:v>
      </x:c>
      <x:c r="F4082" s="2" t="n">
        <x:v>0</x:v>
      </x:c>
      <x:c r="G4082" s="12" t="n">
        <x:v>3977669.757</x:v>
      </x:c>
      <x:c r="H4082" s="12" t="n">
        <x:v>508006.28456414</x:v>
      </x:c>
      <x:c r="I4082" s="13" t="n">
        <x:v>0.1329655172413793</x:v>
      </x:c>
      <x:c r="J4082" s="2" t="n">
        <x:v>2</x:v>
      </x:c>
      <x:c r="K4082" s="2" t="n">
        <x:v>8</x:v>
      </x:c>
      <x:c r="L4082" s="12" t="n">
        <x:v>1453.7108</x:v>
      </x:c>
      <x:c r="M4082" s="13" t="n">
        <x:v>0.6611692290622708</x:v>
      </x:c>
      <x:c r="N4082" s="13" t="n">
        <x:f>H4082/G4082</x:f>
        <x:v>0.127714545349105</x:v>
      </x:c>
      <x:c r="O4082" s="13" t="n">
        <x:f>F4082/E4082</x:f>
        <x:v>0</x:v>
      </x:c>
      <x:c r="P4082" s="2" t="str">
        <x:f>IF(AND(E4082&gt;='Итоги'!$F$5,N4082&lt;='Итоги'!$B$5,O4082&gt;='Итоги'!$D$5),"Да","Нет")</x:f>
        <x:v>Нет</x:v>
      </x:c>
    </x:row>
    <x:row r="4083" ht="60" customHeight="1">
      <x:c r="A4083" s="14" t="str">
        <x:v>Спорт и отдых</x:v>
      </x:c>
      <x:c r="B4083" s="14" t="str">
        <x:v>Туризм</x:v>
      </x:c>
      <x:c r="C4083" s="14" t="str">
        <x:v>Рюкзак, сумка туристические</x:v>
      </x:c>
      <x:c r="D4083" s="14" t="str">
        <x:v>Сумка туристическая</x:v>
      </x:c>
      <x:c r="E4083" s="2" t="n">
        <x:v>13</x:v>
      </x:c>
      <x:c r="F4083" s="2" t="n">
        <x:v>0</x:v>
      </x:c>
      <x:c r="G4083" s="12" t="n">
        <x:v>1773937.5593</x:v>
      </x:c>
      <x:c r="H4083" s="12" t="n">
        <x:v>226585.14403893</x:v>
      </x:c>
      <x:c r="I4083" s="13" t="n">
        <x:v>0.1354384615384615</x:v>
      </x:c>
      <x:c r="J4083" s="2" t="n">
        <x:v>3</x:v>
      </x:c>
      <x:c r="K4083" s="2" t="n">
        <x:v>6</x:v>
      </x:c>
      <x:c r="L4083" s="12" t="n">
        <x:v>1476.0748</x:v>
      </x:c>
      <x:c r="M4083" s="13" t="n">
        <x:v>0.6793693909810211</x:v>
      </x:c>
      <x:c r="N4083" s="13" t="n">
        <x:f>H4083/G4083</x:f>
        <x:v>0.12773005614038696</x:v>
      </x:c>
      <x:c r="O4083" s="13" t="n">
        <x:f>F4083/E4083</x:f>
        <x:v>0</x:v>
      </x:c>
      <x:c r="P4083" s="2" t="str">
        <x:f>IF(AND(E4083&gt;='Итоги'!$F$5,N4083&lt;='Итоги'!$B$5,O4083&gt;='Итоги'!$D$5),"Да","Нет")</x:f>
        <x:v>Нет</x:v>
      </x:c>
    </x:row>
    <x:row r="4084" ht="60" customHeight="1">
      <x:c r="A4084" s="14" t="str">
        <x:v>Спорт и отдых</x:v>
      </x:c>
      <x:c r="B4084" s="14" t="str">
        <x:v>Тренажеры и фитнес</x:v>
      </x:c>
      <x:c r="C4084" s="14" t="str">
        <x:v>Йога, пилатес</x:v>
      </x:c>
      <x:c r="D4084" s="14" t="str">
        <x:v>Набор и аксессуары для йоги и пилатеса</x:v>
      </x:c>
      <x:c r="E4084" s="2" t="n">
        <x:v>39</x:v>
      </x:c>
      <x:c r="F4084" s="2" t="n">
        <x:v>0</x:v>
      </x:c>
      <x:c r="G4084" s="12" t="n">
        <x:v>5742909.3954</x:v>
      </x:c>
      <x:c r="H4084" s="12" t="n">
        <x:v>734329.40369456</x:v>
      </x:c>
      <x:c r="I4084" s="13" t="n">
        <x:v>0.1033897435897435</x:v>
      </x:c>
      <x:c r="J4084" s="2" t="n">
        <x:v>7</x:v>
      </x:c>
      <x:c r="K4084" s="2" t="n">
        <x:v>17</x:v>
      </x:c>
      <x:c r="L4084" s="12" t="n">
        <x:v>1387.7038</x:v>
      </x:c>
      <x:c r="M4084" s="13" t="n">
        <x:v>0.2945476846552584</x:v>
      </x:c>
      <x:c r="N4084" s="13" t="n">
        <x:f>H4084/G4084</x:f>
        <x:v>0.1278671407009745</x:v>
      </x:c>
      <x:c r="O4084" s="13" t="n">
        <x:f>F4084/E4084</x:f>
        <x:v>0</x:v>
      </x:c>
      <x:c r="P4084" s="2" t="str">
        <x:f>IF(AND(E4084&gt;='Итоги'!$F$5,N4084&lt;='Итоги'!$B$5,O4084&gt;='Итоги'!$D$5),"Да","Нет")</x:f>
        <x:v>Нет</x:v>
      </x:c>
    </x:row>
    <x:row r="4085" ht="60" customHeight="1">
      <x:c r="A4085" s="14" t="str">
        <x:v>Аксессуары для электроники</x:v>
      </x:c>
      <x:c r="B4085" s="14" t="str">
        <x:v>Компьютеры Access</x:v>
      </x:c>
      <x:c r="C4085" s="14" t="str">
        <x:v>Аксессуар к компьютерной технике Access</x:v>
      </x:c>
      <x:c r="D4085" s="14" t="str">
        <x:v>Чехол для ноутбука</x:v>
      </x:c>
      <x:c r="E4085" s="2" t="n">
        <x:v>17</x:v>
      </x:c>
      <x:c r="F4085" s="2" t="n">
        <x:v>0</x:v>
      </x:c>
      <x:c r="G4085" s="12" t="n">
        <x:v>2016622.161</x:v>
      </x:c>
      <x:c r="H4085" s="12" t="n">
        <x:v>257870.35571733</x:v>
      </x:c>
      <x:c r="I4085" s="13" t="n">
        <x:v>0.1186588235294117</x:v>
      </x:c>
      <x:c r="J4085" s="2" t="n">
        <x:v>0</x:v>
      </x:c>
      <x:c r="K4085" s="2" t="n">
        <x:v>9</x:v>
      </x:c>
      <x:c r="L4085" s="12" t="n">
        <x:v>1266.7241</x:v>
      </x:c>
      <x:c r="M4085" s="13" t="n">
        <x:v>0.4404945394726325</x:v>
      </x:c>
      <x:c r="N4085" s="13" t="n">
        <x:f>H4085/G4085</x:f>
        <x:v>0.1278724198832852</x:v>
      </x:c>
      <x:c r="O4085" s="13" t="n">
        <x:f>F4085/E4085</x:f>
        <x:v>0</x:v>
      </x:c>
      <x:c r="P4085" s="2" t="str">
        <x:f>IF(AND(E4085&gt;='Итоги'!$F$5,N4085&lt;='Итоги'!$B$5,O4085&gt;='Итоги'!$D$5),"Да","Нет")</x:f>
        <x:v>Нет</x:v>
      </x:c>
    </x:row>
    <x:row r="4086" ht="60" customHeight="1">
      <x:c r="A4086" s="14" t="str">
        <x:v>Аксессуары</x:v>
      </x:c>
      <x:c r="B4086" s="14" t="str">
        <x:v>Аксессуары</x:v>
      </x:c>
      <x:c r="C4086" s="14" t="str">
        <x:v>Аксессуары и уход для обуви</x:v>
      </x:c>
      <x:c r="D4086" s="14" t="str">
        <x:v>Водоотталкивающее средство для обуви</x:v>
      </x:c>
      <x:c r="E4086" s="2" t="n">
        <x:v>6</x:v>
      </x:c>
      <x:c r="F4086" s="2" t="n">
        <x:v>0</x:v>
      </x:c>
      <x:c r="G4086" s="12" t="n">
        <x:v>1025667.0375</x:v>
      </x:c>
      <x:c r="H4086" s="12" t="n">
        <x:v>131384.81356026</x:v>
      </x:c>
      <x:c r="I4086" s="13" t="n">
        <x:v>0.13005</x:v>
      </x:c>
      <x:c r="J4086" s="2" t="n">
        <x:v>0</x:v>
      </x:c>
      <x:c r="K4086" s="2" t="n">
        <x:v>4</x:v>
      </x:c>
      <x:c r="L4086" s="12" t="n">
        <x:v>1047.03885</x:v>
      </x:c>
      <x:c r="M4086" s="13" t="n">
        <x:v>0.689591071800433</x:v>
      </x:c>
      <x:c r="N4086" s="13" t="n">
        <x:f>H4086/G4086</x:f>
        <x:v>0.12809694448258993</x:v>
      </x:c>
      <x:c r="O4086" s="13" t="n">
        <x:f>F4086/E4086</x:f>
        <x:v>0</x:v>
      </x:c>
      <x:c r="P4086" s="2" t="str">
        <x:f>IF(AND(E4086&gt;='Итоги'!$F$5,N4086&lt;='Итоги'!$B$5,O4086&gt;='Итоги'!$D$5),"Да","Нет")</x:f>
        <x:v>Нет</x:v>
      </x:c>
    </x:row>
    <x:row r="4087" ht="60" customHeight="1">
      <x:c r="A4087" s="14" t="str">
        <x:v>Товары для дома</x:v>
      </x:c>
      <x:c r="B4087" s="14" t="str">
        <x:v>Интерьер и декор</x:v>
      </x:c>
      <x:c r="C4087" s="14" t="str">
        <x:v>Украшение интерьера</x:v>
      </x:c>
      <x:c r="D4087" s="14" t="str">
        <x:v>Ваза декоративная интерьерная</x:v>
      </x:c>
      <x:c r="E4087" s="2" t="n">
        <x:v>59</x:v>
      </x:c>
      <x:c r="F4087" s="2" t="n">
        <x:v>0</x:v>
      </x:c>
      <x:c r="G4087" s="12" t="n">
        <x:v>7557169.2898</x:v>
      </x:c>
      <x:c r="H4087" s="12" t="n">
        <x:v>968218.71678086</x:v>
      </x:c>
      <x:c r="I4087" s="13" t="n">
        <x:v>0.1302389830508474</x:v>
      </x:c>
      <x:c r="J4087" s="2" t="n">
        <x:v>7</x:v>
      </x:c>
      <x:c r="K4087" s="2" t="n">
        <x:v>24</x:v>
      </x:c>
      <x:c r="L4087" s="12" t="n">
        <x:v>1532.4595</x:v>
      </x:c>
      <x:c r="M4087" s="13" t="n">
        <x:v>0.1821884278758082</x:v>
      </x:c>
      <x:c r="N4087" s="13" t="n">
        <x:f>H4087/G4087</x:f>
        <x:v>0.12811923084582424</x:v>
      </x:c>
      <x:c r="O4087" s="13" t="n">
        <x:f>F4087/E4087</x:f>
        <x:v>0</x:v>
      </x:c>
      <x:c r="P4087" s="2" t="str">
        <x:f>IF(AND(E4087&gt;='Итоги'!$F$5,N4087&lt;='Итоги'!$B$5,O4087&gt;='Итоги'!$D$5),"Да","Нет")</x:f>
        <x:v>Нет</x:v>
      </x:c>
    </x:row>
    <x:row r="4088" ht="60" customHeight="1">
      <x:c r="A4088" s="14" t="str">
        <x:v>Товары для животных</x:v>
      </x:c>
      <x:c r="B4088" s="14" t="str">
        <x:v>Спальное место животного</x:v>
      </x:c>
      <x:c r="C4088" s="14" t="str">
        <x:v>Посуда для животных</x:v>
      </x:c>
      <x:c r="D4088" s="14" t="str">
        <x:v>Поилка</x:v>
      </x:c>
      <x:c r="E4088" s="2" t="n">
        <x:v>78</x:v>
      </x:c>
      <x:c r="F4088" s="2" t="n">
        <x:v>0</x:v>
      </x:c>
      <x:c r="G4088" s="12" t="n">
        <x:v>16466987.0696</x:v>
      </x:c>
      <x:c r="H4088" s="12" t="n">
        <x:v>2110796.43852567</x:v>
      </x:c>
      <x:c r="I4088" s="13" t="n">
        <x:v>0.127625641025641</x:v>
      </x:c>
      <x:c r="J4088" s="2" t="n">
        <x:v>5</x:v>
      </x:c>
      <x:c r="K4088" s="2" t="n">
        <x:v>33</x:v>
      </x:c>
      <x:c r="L4088" s="12" t="n">
        <x:v>2133.8702</x:v>
      </x:c>
      <x:c r="M4088" s="13" t="n">
        <x:v>0.5180330138564452</x:v>
      </x:c>
      <x:c r="N4088" s="13" t="n">
        <x:f>H4088/G4088</x:f>
        <x:v>0.12818352438148503</x:v>
      </x:c>
      <x:c r="O4088" s="13" t="n">
        <x:f>F4088/E4088</x:f>
        <x:v>0</x:v>
      </x:c>
      <x:c r="P4088" s="2" t="str">
        <x:f>IF(AND(E4088&gt;='Итоги'!$F$5,N4088&lt;='Итоги'!$B$5,O4088&gt;='Итоги'!$D$5),"Да","Нет")</x:f>
        <x:v>Нет</x:v>
      </x:c>
    </x:row>
    <x:row r="4089" ht="60" customHeight="1">
      <x:c r="A4089" s="14" t="str">
        <x:v>Мебель</x:v>
      </x:c>
      <x:c r="B4089" s="14" t="str">
        <x:v>Корпусная мебель и мебель для хранения</x:v>
      </x:c>
      <x:c r="C4089" s="14" t="str">
        <x:v>Стеллаж, этажерка</x:v>
      </x:c>
      <x:c r="D4089" s="14" t="str">
        <x:v>Этажерка</x:v>
      </x:c>
      <x:c r="E4089" s="2" t="n">
        <x:v>127</x:v>
      </x:c>
      <x:c r="F4089" s="2" t="n">
        <x:v>0</x:v>
      </x:c>
      <x:c r="G4089" s="12" t="n">
        <x:v>21067467.2655</x:v>
      </x:c>
      <x:c r="H4089" s="12" t="n">
        <x:v>2701507.97827617</x:v>
      </x:c>
      <x:c r="I4089" s="13" t="n">
        <x:v>0.1430291338582677</x:v>
      </x:c>
      <x:c r="J4089" s="2" t="n">
        <x:v>14</x:v>
      </x:c>
      <x:c r="K4089" s="2" t="n">
        <x:v>30</x:v>
      </x:c>
      <x:c r="L4089" s="12" t="n">
        <x:v>1837.303</x:v>
      </x:c>
      <x:c r="M4089" s="13" t="n">
        <x:v>0.571786561611354</x:v>
      </x:c>
      <x:c r="N4089" s="13" t="n">
        <x:f>H4089/G4089</x:f>
        <x:v>0.12823126502254725</x:v>
      </x:c>
      <x:c r="O4089" s="13" t="n">
        <x:f>F4089/E4089</x:f>
        <x:v>0</x:v>
      </x:c>
      <x:c r="P4089" s="2" t="str">
        <x:f>IF(AND(E4089&gt;='Итоги'!$F$5,N4089&lt;='Итоги'!$B$5,O4089&gt;='Итоги'!$D$5),"Да","Нет")</x:f>
        <x:v>Нет</x:v>
      </x:c>
    </x:row>
    <x:row r="4090" ht="60" customHeight="1">
      <x:c r="A4090" s="14" t="str">
        <x:v>Товары для детей и спорта</x:v>
      </x:c>
      <x:c r="B4090" s="14" t="str">
        <x:v>Спорт детский</x:v>
      </x:c>
      <x:c r="C4090" s="14" t="str">
        <x:v>Товары для активных игр</x:v>
      </x:c>
      <x:c r="D4090" s="14" t="str">
        <x:v>Мячи для надувного спорткомплекса</x:v>
      </x:c>
      <x:c r="E4090" s="2" t="n">
        <x:v>12</x:v>
      </x:c>
      <x:c r="F4090" s="2" t="n">
        <x:v>0</x:v>
      </x:c>
      <x:c r="G4090" s="12" t="n">
        <x:v>1791376.0702</x:v>
      </x:c>
      <x:c r="H4090" s="12" t="n">
        <x:v>229930.65133013</x:v>
      </x:c>
      <x:c r="I4090" s="13" t="n">
        <x:v>0.1234</x:v>
      </x:c>
      <x:c r="J4090" s="2" t="n">
        <x:v>0</x:v>
      </x:c>
      <x:c r="K4090" s="2" t="n">
        <x:v>1</x:v>
      </x:c>
      <x:c r="L4090" s="12" t="n">
        <x:v>1187.74945</x:v>
      </x:c>
      <x:c r="M4090" s="13" t="n">
        <x:v>1</x:v>
      </x:c>
      <x:c r="N4090" s="13" t="n">
        <x:f>H4090/G4090</x:f>
        <x:v>0.12835420499083655</x:v>
      </x:c>
      <x:c r="O4090" s="13" t="n">
        <x:f>F4090/E4090</x:f>
        <x:v>0</x:v>
      </x:c>
      <x:c r="P4090" s="2" t="str">
        <x:f>IF(AND(E4090&gt;='Итоги'!$F$5,N4090&lt;='Итоги'!$B$5,O4090&gt;='Итоги'!$D$5),"Да","Нет")</x:f>
        <x:v>Нет</x:v>
      </x:c>
    </x:row>
    <x:row r="4091" ht="60" customHeight="1">
      <x:c r="A4091" s="14" t="str">
        <x:v>Спорт и отдых</x:v>
      </x:c>
      <x:c r="B4091" s="14" t="str">
        <x:v>Товары для рыбалки</x:v>
      </x:c>
      <x:c r="C4091" s="14" t="str">
        <x:v>Катушки рыболовные</x:v>
      </x:c>
      <x:c r="D4091" s="14" t="str">
        <x:v>Катушка для зимней рыбалки</x:v>
      </x:c>
      <x:c r="E4091" s="2" t="n">
        <x:v>73</x:v>
      </x:c>
      <x:c r="F4091" s="2" t="n">
        <x:v>0</x:v>
      </x:c>
      <x:c r="G4091" s="12" t="n">
        <x:v>9968667.5807</x:v>
      </x:c>
      <x:c r="H4091" s="12" t="n">
        <x:v>1281070.83206678</x:v>
      </x:c>
      <x:c r="I4091" s="13" t="n">
        <x:v>0.1195342465753424</x:v>
      </x:c>
      <x:c r="J4091" s="2" t="n">
        <x:v>17</x:v>
      </x:c>
      <x:c r="K4091" s="2" t="n">
        <x:v>23</x:v>
      </x:c>
      <x:c r="L4091" s="12" t="n">
        <x:v>1401.4512</x:v>
      </x:c>
      <x:c r="M4091" s="13" t="n">
        <x:v>0.3699686090185607</x:v>
      </x:c>
      <x:c r="N4091" s="13" t="n">
        <x:f>H4091/G4091</x:f>
        <x:v>0.12850973529772602</x:v>
      </x:c>
      <x:c r="O4091" s="13" t="n">
        <x:f>F4091/E4091</x:f>
        <x:v>0</x:v>
      </x:c>
      <x:c r="P4091" s="2" t="str">
        <x:f>IF(AND(E4091&gt;='Итоги'!$F$5,N4091&lt;='Итоги'!$B$5,O4091&gt;='Итоги'!$D$5),"Да","Нет")</x:f>
        <x:v>Нет</x:v>
      </x:c>
    </x:row>
    <x:row r="4092" ht="60" customHeight="1">
      <x:c r="A4092" s="14" t="str">
        <x:v>Товары для дома</x:v>
      </x:c>
      <x:c r="B4092" s="14" t="str">
        <x:v>Домашний текстиль</x:v>
      </x:c>
      <x:c r="C4092" s="14" t="str">
        <x:v>Постельное белье</x:v>
      </x:c>
      <x:c r="D4092" s="14" t="str">
        <x:v>Аксессуары для постельных принадлежностей</x:v>
      </x:c>
      <x:c r="E4092" s="2" t="n">
        <x:v>1</x:v>
      </x:c>
      <x:c r="F4092" s="2" t="n">
        <x:v>0</x:v>
      </x:c>
      <x:c r="G4092" s="12" t="n">
        <x:v>194013.19</x:v>
      </x:c>
      <x:c r="H4092" s="12" t="n">
        <x:v>24950.096234</x:v>
      </x:c>
      <x:c r="I4092" s="13" t="n">
        <x:v>0.1286</x:v>
      </x:c>
      <x:c r="J4092" s="2" t="n">
        <x:v>0</x:v>
      </x:c>
      <x:c r="K4092" s="2" t="n">
        <x:v>1</x:v>
      </x:c>
      <x:c r="L4092" s="12" t="n">
        <x:v>272.8737</x:v>
      </x:c>
      <x:c r="M4092" s="13" t="n">
        <x:v>1</x:v>
      </x:c>
      <x:c r="N4092" s="13" t="n">
        <x:f>H4092/G4092</x:f>
        <x:v>0.1286</x:v>
      </x:c>
      <x:c r="O4092" s="13" t="n">
        <x:f>F4092/E4092</x:f>
        <x:v>0</x:v>
      </x:c>
      <x:c r="P4092" s="2" t="str">
        <x:f>IF(AND(E4092&gt;='Итоги'!$F$5,N4092&lt;='Итоги'!$B$5,O4092&gt;='Итоги'!$D$5),"Да","Нет")</x:f>
        <x:v>Нет</x:v>
      </x:c>
    </x:row>
    <x:row r="4093" ht="60" customHeight="1">
      <x:c r="A4093" s="14" t="str">
        <x:v>Аксессуары для электроники</x:v>
      </x:c>
      <x:c r="B4093" s="14" t="str">
        <x:v>Аксессуары для МБТ (дом) Access</x:v>
      </x:c>
      <x:c r="C4093" s="14" t="str">
        <x:v>Аксессуары для пылесоса Access</x:v>
      </x:c>
      <x:c r="D4093" s="14" t="str">
        <x:v>Набор аксессуаров для пылесоса</x:v>
      </x:c>
      <x:c r="E4093" s="2" t="n">
        <x:v>70</x:v>
      </x:c>
      <x:c r="F4093" s="2" t="n">
        <x:v>0</x:v>
      </x:c>
      <x:c r="G4093" s="12" t="n">
        <x:v>9054943.6089</x:v>
      </x:c>
      <x:c r="H4093" s="12" t="n">
        <x:v>1165286.98116974</x:v>
      </x:c>
      <x:c r="I4093" s="13" t="n">
        <x:v>0.12272</x:v>
      </x:c>
      <x:c r="J4093" s="2" t="n">
        <x:v>8</x:v>
      </x:c>
      <x:c r="K4093" s="2" t="n">
        <x:v>8</x:v>
      </x:c>
      <x:c r="L4093" s="12" t="n">
        <x:v>1267.3698</x:v>
      </x:c>
      <x:c r="M4093" s="13" t="n">
        <x:v>0.797967005172522</x:v>
      </x:c>
      <x:c r="N4093" s="13" t="n">
        <x:f>H4093/G4093</x:f>
        <x:v>0.1286906944428006</x:v>
      </x:c>
      <x:c r="O4093" s="13" t="n">
        <x:f>F4093/E4093</x:f>
        <x:v>0</x:v>
      </x:c>
      <x:c r="P4093" s="2" t="str">
        <x:f>IF(AND(E4093&gt;='Итоги'!$F$5,N4093&lt;='Итоги'!$B$5,O4093&gt;='Итоги'!$D$5),"Да","Нет")</x:f>
        <x:v>Нет</x:v>
      </x:c>
    </x:row>
    <x:row r="4094" ht="60" customHeight="1">
      <x:c r="A4094" s="14" t="str">
        <x:v>Хобби и творчество</x:v>
      </x:c>
      <x:c r="B4094" s="14" t="str">
        <x:v>Детское творчество и хобби</x:v>
      </x:c>
      <x:c r="C4094" s="14" t="str">
        <x:v>Рукоделие для детей</x:v>
      </x:c>
      <x:c r="D4094" s="14" t="str">
        <x:v>Набор для создания украшений, аксессуаров детский</x:v>
      </x:c>
      <x:c r="E4094" s="2" t="n">
        <x:v>9</x:v>
      </x:c>
      <x:c r="F4094" s="2" t="n">
        <x:v>0</x:v>
      </x:c>
      <x:c r="G4094" s="12" t="n">
        <x:v>821558.4579</x:v>
      </x:c>
      <x:c r="H4094" s="12" t="n">
        <x:v>105840.52270977</x:v>
      </x:c>
      <x:c r="I4094" s="13" t="n">
        <x:v>0.1369222222222222</x:v>
      </x:c>
      <x:c r="J4094" s="2" t="n">
        <x:v>1</x:v>
      </x:c>
      <x:c r="K4094" s="2" t="n">
        <x:v>6</x:v>
      </x:c>
      <x:c r="L4094" s="12" t="n">
        <x:v>1134.3276</x:v>
      </x:c>
      <x:c r="M4094" s="13" t="n">
        <x:v>0.5117911448136769</x:v>
      </x:c>
      <x:c r="N4094" s="13" t="n">
        <x:f>H4094/G4094</x:f>
        <x:v>0.128828961216358</x:v>
      </x:c>
      <x:c r="O4094" s="13" t="n">
        <x:f>F4094/E4094</x:f>
        <x:v>0</x:v>
      </x:c>
      <x:c r="P4094" s="2" t="str">
        <x:f>IF(AND(E4094&gt;='Итоги'!$F$5,N4094&lt;='Итоги'!$B$5,O4094&gt;='Итоги'!$D$5),"Да","Нет")</x:f>
        <x:v>Нет</x:v>
      </x:c>
    </x:row>
    <x:row r="4095" ht="60" customHeight="1">
      <x:c r="A4095" s="14" t="str">
        <x:v>Товары для животных</x:v>
      </x:c>
      <x:c r="B4095" s="14" t="str">
        <x:v>Спальное место животного</x:v>
      </x:c>
      <x:c r="C4095" s="14" t="str">
        <x:v>Лежак, подстилка для животных</x:v>
      </x:c>
      <x:c r="D4095" s="14" t="str">
        <x:v>Подстилочный материал для домашних животных</x:v>
      </x:c>
      <x:c r="E4095" s="2" t="n">
        <x:v>1</x:v>
      </x:c>
      <x:c r="F4095" s="2" t="n">
        <x:v>0</x:v>
      </x:c>
      <x:c r="G4095" s="12" t="n">
        <x:v>11083</x:v>
      </x:c>
      <x:c r="H4095" s="12" t="n">
        <x:v>1428.5986999999998</x:v>
      </x:c>
      <x:c r="I4095" s="13" t="n">
        <x:v>0.1289</x:v>
      </x:c>
      <x:c r="J4095" s="2" t="n">
        <x:v>0</x:v>
      </x:c>
      <x:c r="K4095" s="2" t="n">
        <x:v>1</x:v>
      </x:c>
      <x:c r="L4095" s="12" t="n">
        <x:v>923.5833</x:v>
      </x:c>
      <x:c r="M4095" s="13" t="n">
        <x:v>1</x:v>
      </x:c>
      <x:c r="N4095" s="13" t="n">
        <x:f>H4095/G4095</x:f>
        <x:v>0.1289</x:v>
      </x:c>
      <x:c r="O4095" s="13" t="n">
        <x:f>F4095/E4095</x:f>
        <x:v>0</x:v>
      </x:c>
      <x:c r="P4095" s="2" t="str">
        <x:f>IF(AND(E4095&gt;='Итоги'!$F$5,N4095&lt;='Итоги'!$B$5,O4095&gt;='Итоги'!$D$5),"Да","Нет")</x:f>
        <x:v>Нет</x:v>
      </x:c>
    </x:row>
    <x:row r="4096" ht="60" customHeight="1">
      <x:c r="A4096" s="14" t="str">
        <x:v>Товары для красоты и здоровья</x:v>
      </x:c>
      <x:c r="B4096" s="14" t="str">
        <x:v>Косметика для ухода за кожей</x:v>
      </x:c>
      <x:c r="C4096" s="14" t="str">
        <x:v>Средства для бритья мужские</x:v>
      </x:c>
      <x:c r="D4096" s="14" t="str">
        <x:v>Набор средств для бритья мужской</x:v>
      </x:c>
      <x:c r="E4096" s="2" t="n">
        <x:v>3</x:v>
      </x:c>
      <x:c r="F4096" s="2" t="n">
        <x:v>0</x:v>
      </x:c>
      <x:c r="G4096" s="12" t="n">
        <x:v>299301.5862</x:v>
      </x:c>
      <x:c r="H4096" s="12" t="n">
        <x:v>38580.5048373</x:v>
      </x:c>
      <x:c r="I4096" s="13" t="n">
        <x:v>0.1339</x:v>
      </x:c>
      <x:c r="J4096" s="2" t="n">
        <x:v>1</x:v>
      </x:c>
      <x:c r="K4096" s="2" t="n">
        <x:v>2</x:v>
      </x:c>
      <x:c r="L4096" s="12" t="n">
        <x:v>1589.29</x:v>
      </x:c>
      <x:c r="M4096" s="13" t="n">
        <x:v>0.819460161618081</x:v>
      </x:c>
      <x:c r="N4096" s="13" t="n">
        <x:f>H4096/G4096</x:f>
        <x:v>0.12890177204580414</x:v>
      </x:c>
      <x:c r="O4096" s="13" t="n">
        <x:f>F4096/E4096</x:f>
        <x:v>0</x:v>
      </x:c>
      <x:c r="P4096" s="2" t="str">
        <x:f>IF(AND(E4096&gt;='Итоги'!$F$5,N4096&lt;='Итоги'!$B$5,O4096&gt;='Итоги'!$D$5),"Да","Нет")</x:f>
        <x:v>Нет</x:v>
      </x:c>
    </x:row>
    <x:row r="4097" ht="60" customHeight="1">
      <x:c r="A4097" s="14" t="str">
        <x:v>Хобби и творчество</x:v>
      </x:c>
      <x:c r="B4097" s="14" t="str">
        <x:v>Взрослое творчество и хобби</x:v>
      </x:c>
      <x:c r="C4097" s="14" t="str">
        <x:v>Живопись и аэрография</x:v>
      </x:c>
      <x:c r="D4097" s="14" t="str">
        <x:v>Маркер для скетчинга</x:v>
      </x:c>
      <x:c r="E4097" s="2" t="n">
        <x:v>17</x:v>
      </x:c>
      <x:c r="F4097" s="2" t="n">
        <x:v>0</x:v>
      </x:c>
      <x:c r="G4097" s="12" t="n">
        <x:v>1377488.6155</x:v>
      </x:c>
      <x:c r="H4097" s="12" t="n">
        <x:v>177871.82769519</x:v>
      </x:c>
      <x:c r="I4097" s="13" t="n">
        <x:v>0.1253235294117647</x:v>
      </x:c>
      <x:c r="J4097" s="2" t="n">
        <x:v>0</x:v>
      </x:c>
      <x:c r="K4097" s="2" t="n">
        <x:v>4</x:v>
      </x:c>
      <x:c r="L4097" s="12" t="n">
        <x:v>2245.3125</x:v>
      </x:c>
      <x:c r="M4097" s="13" t="n">
        <x:v>0.7076881322508469</x:v>
      </x:c>
      <x:c r="N4097" s="13" t="n">
        <x:f>H4097/G4097</x:f>
        <x:v>0.12912762087011964</x:v>
      </x:c>
      <x:c r="O4097" s="13" t="n">
        <x:f>F4097/E4097</x:f>
        <x:v>0</x:v>
      </x:c>
      <x:c r="P4097" s="2" t="str">
        <x:f>IF(AND(E4097&gt;='Итоги'!$F$5,N4097&lt;='Итоги'!$B$5,O4097&gt;='Итоги'!$D$5),"Да","Нет")</x:f>
        <x:v>Нет</x:v>
      </x:c>
    </x:row>
    <x:row r="4098" ht="60" customHeight="1">
      <x:c r="A4098" s="14" t="str">
        <x:v>Аксессуары для электроники</x:v>
      </x:c>
      <x:c r="B4098" s="14" t="str">
        <x:v>Компьютеры Access</x:v>
      </x:c>
      <x:c r="C4098" s="14" t="str">
        <x:v>Аксессуар к компьютерной технике Access</x:v>
      </x:c>
      <x:c r="D4098" s="14" t="str">
        <x:v>Сумка для ноутбука</x:v>
      </x:c>
      <x:c r="E4098" s="2" t="n">
        <x:v>64</x:v>
      </x:c>
      <x:c r="F4098" s="2" t="n">
        <x:v>0</x:v>
      </x:c>
      <x:c r="G4098" s="12" t="n">
        <x:v>8373022.5377</x:v>
      </x:c>
      <x:c r="H4098" s="12" t="n">
        <x:v>1081476.53572315</x:v>
      </x:c>
      <x:c r="I4098" s="13" t="n">
        <x:v>0.137896875</x:v>
      </x:c>
      <x:c r="J4098" s="2" t="n">
        <x:v>2</x:v>
      </x:c>
      <x:c r="K4098" s="2" t="n">
        <x:v>23</x:v>
      </x:c>
      <x:c r="L4098" s="12" t="n">
        <x:v>1062.15075</x:v>
      </x:c>
      <x:c r="M4098" s="13" t="n">
        <x:v>0.4167127398964865</x:v>
      </x:c>
      <x:c r="N4098" s="13" t="n">
        <x:f>H4098/G4098</x:f>
        <x:v>0.12916202373202051</x:v>
      </x:c>
      <x:c r="O4098" s="13" t="n">
        <x:f>F4098/E4098</x:f>
        <x:v>0</x:v>
      </x:c>
      <x:c r="P4098" s="2" t="str">
        <x:f>IF(AND(E4098&gt;='Итоги'!$F$5,N4098&lt;='Итоги'!$B$5,O4098&gt;='Итоги'!$D$5),"Да","Нет")</x:f>
        <x:v>Нет</x:v>
      </x:c>
    </x:row>
    <x:row r="4099" ht="60" customHeight="1">
      <x:c r="A4099" s="14" t="str">
        <x:v>Товары для дома</x:v>
      </x:c>
      <x:c r="B4099" s="14" t="str">
        <x:v>Домашний текстиль</x:v>
      </x:c>
      <x:c r="C4099" s="14" t="str">
        <x:v>Коврики, покрытия</x:v>
      </x:c>
      <x:c r="D4099" s="14" t="str">
        <x:v>Ковер</x:v>
      </x:c>
      <x:c r="E4099" s="2" t="n">
        <x:v>211</x:v>
      </x:c>
      <x:c r="F4099" s="2" t="n">
        <x:v>0</x:v>
      </x:c>
      <x:c r="G4099" s="12" t="n">
        <x:v>31806207.266</x:v>
      </x:c>
      <x:c r="H4099" s="12" t="n">
        <x:v>4108162.8860890497</x:v>
      </x:c>
      <x:c r="I4099" s="13" t="n">
        <x:v>0.1211161137440758</x:v>
      </x:c>
      <x:c r="J4099" s="2" t="n">
        <x:v>20</x:v>
      </x:c>
      <x:c r="K4099" s="2" t="n">
        <x:v>19</x:v>
      </x:c>
      <x:c r="L4099" s="12" t="n">
        <x:v>3904.2589</x:v>
      </x:c>
      <x:c r="M4099" s="13" t="n">
        <x:v>0.7989640200409804</x:v>
      </x:c>
      <x:c r="N4099" s="13" t="n">
        <x:f>H4099/G4099</x:f>
        <x:v>0.1291623000419974</x:v>
      </x:c>
      <x:c r="O4099" s="13" t="n">
        <x:f>F4099/E4099</x:f>
        <x:v>0</x:v>
      </x:c>
      <x:c r="P4099" s="2" t="str">
        <x:f>IF(AND(E4099&gt;='Итоги'!$F$5,N4099&lt;='Итоги'!$B$5,O4099&gt;='Итоги'!$D$5),"Да","Нет")</x:f>
        <x:v>Нет</x:v>
      </x:c>
    </x:row>
    <x:row r="4100" ht="60" customHeight="1">
      <x:c r="A4100" s="14" t="str">
        <x:v>Автотовары</x:v>
      </x:c>
      <x:c r="B4100" s="14" t="str">
        <x:v>Универсальные авто и мото аксессуары</x:v>
      </x:c>
      <x:c r="C4100" s="14" t="str">
        <x:v>Аксессуар для салона авто</x:v>
      </x:c>
      <x:c r="D4100" s="14" t="str">
        <x:v>Защитное стекло для монитора авто</x:v>
      </x:c>
      <x:c r="E4100" s="2" t="n">
        <x:v>5</x:v>
      </x:c>
      <x:c r="F4100" s="2" t="n">
        <x:v>0</x:v>
      </x:c>
      <x:c r="G4100" s="12" t="n">
        <x:v>665925.266</x:v>
      </x:c>
      <x:c r="H4100" s="12" t="n">
        <x:v>86174.65038117999</x:v>
      </x:c>
      <x:c r="I4100" s="13" t="n">
        <x:v>0.1327799999999999</x:v>
      </x:c>
      <x:c r="J4100" s="2" t="n">
        <x:v>0</x:v>
      </x:c>
      <x:c r="K4100" s="2" t="n">
        <x:v>2</x:v>
      </x:c>
      <x:c r="L4100" s="12" t="n">
        <x:v>2100.979</x:v>
      </x:c>
      <x:c r="M4100" s="13" t="n">
        <x:v>0.6226378935740816</x:v>
      </x:c>
      <x:c r="N4100" s="13" t="n">
        <x:f>H4100/G4100</x:f>
        <x:v>0.12940588798920868</x:v>
      </x:c>
      <x:c r="O4100" s="13" t="n">
        <x:f>F4100/E4100</x:f>
        <x:v>0</x:v>
      </x:c>
      <x:c r="P4100" s="2" t="str">
        <x:f>IF(AND(E4100&gt;='Итоги'!$F$5,N4100&lt;='Итоги'!$B$5,O4100&gt;='Итоги'!$D$5),"Да","Нет")</x:f>
        <x:v>Нет</x:v>
      </x:c>
    </x:row>
    <x:row r="4101" ht="60" customHeight="1">
      <x:c r="A4101" s="14" t="str">
        <x:v>Аптека</x:v>
      </x:c>
      <x:c r="B4101" s="14" t="str">
        <x:v>Профессиональные стоматологические приборы и материалы</x:v>
      </x:c>
      <x:c r="C4101" s="14" t="str">
        <x:v>Профессиональные стоматологические приборы</x:v>
      </x:c>
      <x:c r="D4101" s="14" t="str">
        <x:v>Стоматологические приборы</x:v>
      </x:c>
      <x:c r="E4101" s="2" t="n">
        <x:v>2</x:v>
      </x:c>
      <x:c r="F4101" s="2" t="n">
        <x:v>0</x:v>
      </x:c>
      <x:c r="G4101" s="12" t="n">
        <x:v>199845</x:v>
      </x:c>
      <x:c r="H4101" s="12" t="n">
        <x:v>25869.5235</x:v>
      </x:c>
      <x:c r="I4101" s="13" t="n">
        <x:v>0.1355</x:v>
      </x:c>
      <x:c r="J4101" s="2" t="n">
        <x:v>0</x:v>
      </x:c>
      <x:c r="K4101" s="2" t="n">
        <x:v>1</x:v>
      </x:c>
      <x:c r="L4101" s="12" t="n">
        <x:v>29578.5</x:v>
      </x:c>
      <x:c r="M4101" s="13" t="n">
        <x:v>1</x:v>
      </x:c>
      <x:c r="N4101" s="13" t="n">
        <x:f>H4101/G4101</x:f>
        <x:v>0.12944793965323126</x:v>
      </x:c>
      <x:c r="O4101" s="13" t="n">
        <x:f>F4101/E4101</x:f>
        <x:v>0</x:v>
      </x:c>
      <x:c r="P4101" s="2" t="str">
        <x:f>IF(AND(E4101&gt;='Итоги'!$F$5,N4101&lt;='Итоги'!$B$5,O4101&gt;='Итоги'!$D$5),"Да","Нет")</x:f>
        <x:v>Нет</x:v>
      </x:c>
    </x:row>
    <x:row r="4102" ht="60" customHeight="1">
      <x:c r="A4102" s="14" t="str">
        <x:v>Аптека</x:v>
      </x:c>
      <x:c r="B4102" s="14" t="str">
        <x:v>Ортопедия и компрессионный трикотаж</x:v>
      </x:c>
      <x:c r="C4102" s="14" t="str">
        <x:v>Аппликаторы и массажеры</x:v>
      </x:c>
      <x:c r="D4102" s="14" t="str">
        <x:v>Массажные банки для тела</x:v>
      </x:c>
      <x:c r="E4102" s="2" t="n">
        <x:v>12</x:v>
      </x:c>
      <x:c r="F4102" s="2" t="n">
        <x:v>0</x:v>
      </x:c>
      <x:c r="G4102" s="12" t="n">
        <x:v>2040261.8737</x:v>
      </x:c>
      <x:c r="H4102" s="12" t="n">
        <x:v>264405.4538986</x:v>
      </x:c>
      <x:c r="I4102" s="13" t="n">
        <x:v>0.1356583333333333</x:v>
      </x:c>
      <x:c r="J4102" s="2" t="n">
        <x:v>1</x:v>
      </x:c>
      <x:c r="K4102" s="2" t="n">
        <x:v>5</x:v>
      </x:c>
      <x:c r="L4102" s="12" t="n">
        <x:v>1632.53655</x:v>
      </x:c>
      <x:c r="M4102" s="13" t="n">
        <x:v>0.6156273743047399</x:v>
      </x:c>
      <x:c r="N4102" s="13" t="n">
        <x:f>H4102/G4102</x:f>
        <x:v>0.12959388072037176</x:v>
      </x:c>
      <x:c r="O4102" s="13" t="n">
        <x:f>F4102/E4102</x:f>
        <x:v>0</x:v>
      </x:c>
      <x:c r="P4102" s="2" t="str">
        <x:f>IF(AND(E4102&gt;='Итоги'!$F$5,N4102&lt;='Итоги'!$B$5,O4102&gt;='Итоги'!$D$5),"Да","Нет")</x:f>
        <x:v>Нет</x:v>
      </x:c>
    </x:row>
    <x:row r="4103" ht="60" customHeight="1">
      <x:c r="A4103" s="14" t="str">
        <x:v>Аксессуары</x:v>
      </x:c>
      <x:c r="B4103" s="14" t="str">
        <x:v>Очки и аксессуары к ним</x:v>
      </x:c>
      <x:c r="C4103" s="14" t="str">
        <x:v>Аксессуары к очкам</x:v>
      </x:c>
      <x:c r="D4103" s="14" t="str">
        <x:v>Футляр для очков женский</x:v>
      </x:c>
      <x:c r="E4103" s="2" t="n">
        <x:v>1</x:v>
      </x:c>
      <x:c r="F4103" s="2" t="n">
        <x:v>0</x:v>
      </x:c>
      <x:c r="G4103" s="12" t="n">
        <x:v>91717.91</x:v>
      </x:c>
      <x:c r="H4103" s="12" t="n">
        <x:v>11886.641136</x:v>
      </x:c>
      <x:c r="I4103" s="13" t="n">
        <x:v>0.1296</x:v>
      </x:c>
      <x:c r="J4103" s="2" t="n">
        <x:v>0</x:v>
      </x:c>
      <x:c r="K4103" s="2" t="n">
        <x:v>1</x:v>
      </x:c>
      <x:c r="L4103" s="12" t="n">
        <x:v>833.7992</x:v>
      </x:c>
      <x:c r="M4103" s="13" t="n">
        <x:v>1</x:v>
      </x:c>
      <x:c r="N4103" s="13" t="n">
        <x:f>H4103/G4103</x:f>
        <x:v>0.1296</x:v>
      </x:c>
      <x:c r="O4103" s="13" t="n">
        <x:f>F4103/E4103</x:f>
        <x:v>0</x:v>
      </x:c>
      <x:c r="P4103" s="2" t="str">
        <x:f>IF(AND(E4103&gt;='Итоги'!$F$5,N4103&lt;='Итоги'!$B$5,O4103&gt;='Итоги'!$D$5),"Да","Нет")</x:f>
        <x:v>Нет</x:v>
      </x:c>
    </x:row>
    <x:row r="4104" ht="60" customHeight="1">
      <x:c r="A4104" s="14" t="str">
        <x:v>Товары для красоты и здоровья</x:v>
      </x:c>
      <x:c r="B4104" s="14" t="str">
        <x:v>Декоративная косметика</x:v>
      </x:c>
      <x:c r="C4104" s="14" t="str">
        <x:v>Глаза, ресницы, брови</x:v>
      </x:c>
      <x:c r="D4104" s="14" t="str">
        <x:v>Средство для ухода за ресницами и бровями</x:v>
      </x:c>
      <x:c r="E4104" s="2" t="n">
        <x:v>41</x:v>
      </x:c>
      <x:c r="F4104" s="2" t="n">
        <x:v>0</x:v>
      </x:c>
      <x:c r="G4104" s="12" t="n">
        <x:v>7363710.4969</x:v>
      </x:c>
      <x:c r="H4104" s="12" t="n">
        <x:v>955010.48670691</x:v>
      </x:c>
      <x:c r="I4104" s="13" t="n">
        <x:v>0.1233292682926829</x:v>
      </x:c>
      <x:c r="J4104" s="2" t="n">
        <x:v>5</x:v>
      </x:c>
      <x:c r="K4104" s="2" t="n">
        <x:v>17</x:v>
      </x:c>
      <x:c r="L4104" s="12" t="n">
        <x:v>1451.1948</x:v>
      </x:c>
      <x:c r="M4104" s="13" t="n">
        <x:v>0.508489553748252</x:v>
      </x:c>
      <x:c r="N4104" s="13" t="n">
        <x:f>H4104/G4104</x:f>
        <x:v>0.1296914764790052</x:v>
      </x:c>
      <x:c r="O4104" s="13" t="n">
        <x:f>F4104/E4104</x:f>
        <x:v>0</x:v>
      </x:c>
      <x:c r="P4104" s="2" t="str">
        <x:f>IF(AND(E4104&gt;='Итоги'!$F$5,N4104&lt;='Итоги'!$B$5,O4104&gt;='Итоги'!$D$5),"Да","Нет")</x:f>
        <x:v>Нет</x:v>
      </x:c>
    </x:row>
    <x:row r="4105" ht="60" customHeight="1">
      <x:c r="A4105" s="14" t="str">
        <x:v>Мебель</x:v>
      </x:c>
      <x:c r="B4105" s="14" t="str">
        <x:v>Мягкая мебель</x:v>
      </x:c>
      <x:c r="C4105" s="14" t="str">
        <x:v>Кресло-мешок, наполнитель для кресла-мешка</x:v>
      </x:c>
      <x:c r="D4105" s="14" t="str">
        <x:v>Кресла-мешки</x:v>
      </x:c>
      <x:c r="E4105" s="2" t="n">
        <x:v>38</x:v>
      </x:c>
      <x:c r="F4105" s="2" t="n">
        <x:v>0</x:v>
      </x:c>
      <x:c r="G4105" s="12" t="n">
        <x:v>4514446.2683</x:v>
      </x:c>
      <x:c r="H4105" s="12" t="n">
        <x:v>586362.95785162</x:v>
      </x:c>
      <x:c r="I4105" s="13" t="n">
        <x:v>0.1003473684210526</x:v>
      </x:c>
      <x:c r="J4105" s="2" t="n">
        <x:v>12</x:v>
      </x:c>
      <x:c r="K4105" s="2" t="n">
        <x:v>6</x:v>
      </x:c>
      <x:c r="L4105" s="12" t="n">
        <x:v>5183.58095</x:v>
      </x:c>
      <x:c r="M4105" s="13" t="n">
        <x:v>0.9038424705487818</x:v>
      </x:c>
      <x:c r="N4105" s="13" t="n">
        <x:f>H4105/G4105</x:f>
        <x:v>0.12988590914659975</x:v>
      </x:c>
      <x:c r="O4105" s="13" t="n">
        <x:f>F4105/E4105</x:f>
        <x:v>0</x:v>
      </x:c>
      <x:c r="P4105" s="2" t="str">
        <x:f>IF(AND(E4105&gt;='Итоги'!$F$5,N4105&lt;='Итоги'!$B$5,O4105&gt;='Итоги'!$D$5),"Да","Нет")</x:f>
        <x:v>Нет</x:v>
      </x:c>
    </x:row>
    <x:row r="4106" ht="60" customHeight="1">
      <x:c r="A4106" s="14" t="str">
        <x:v>Строительство и ремонт (DIY)</x:v>
      </x:c>
      <x:c r="B4106" s="14" t="str">
        <x:v>Промышленно-строительное оборудование</x:v>
      </x:c>
      <x:c r="C4106" s="14" t="str">
        <x:v>Комплектующие для промышленно-строительного оборудования</x:v>
      </x:c>
      <x:c r="D4106" s="14" t="str">
        <x:v>Оборудование для порошковой покраски</x:v>
      </x:c>
      <x:c r="E4106" s="2" t="n">
        <x:v>1</x:v>
      </x:c>
      <x:c r="F4106" s="2" t="n">
        <x:v>0</x:v>
      </x:c>
      <x:c r="G4106" s="12" t="n">
        <x:v>30312.6</x:v>
      </x:c>
      <x:c r="H4106" s="12" t="n">
        <x:v>3937.6067399999993</x:v>
      </x:c>
      <x:c r="I4106" s="13" t="n">
        <x:v>0.1299</x:v>
      </x:c>
      <x:c r="J4106" s="2" t="n">
        <x:v>0</x:v>
      </x:c>
      <x:c r="K4106" s="2" t="n">
        <x:v>1</x:v>
      </x:c>
      <x:c r="L4106" s="12" t="n">
        <x:v>2165.1857</x:v>
      </x:c>
      <x:c r="M4106" s="13" t="n">
        <x:v>1</x:v>
      </x:c>
      <x:c r="N4106" s="13" t="n">
        <x:f>H4106/G4106</x:f>
        <x:v>0.1299</x:v>
      </x:c>
      <x:c r="O4106" s="13" t="n">
        <x:f>F4106/E4106</x:f>
        <x:v>0</x:v>
      </x:c>
      <x:c r="P4106" s="2" t="str">
        <x:f>IF(AND(E4106&gt;='Итоги'!$F$5,N4106&lt;='Итоги'!$B$5,O4106&gt;='Итоги'!$D$5),"Да","Нет")</x:f>
        <x:v>Нет</x:v>
      </x:c>
    </x:row>
    <x:row r="4107" ht="60" customHeight="1">
      <x:c r="A4107" s="14" t="str">
        <x:v>Строительство и ремонт (DIY)</x:v>
      </x:c>
      <x:c r="B4107" s="14" t="str">
        <x:v>Сад и огород</x:v>
      </x:c>
      <x:c r="C4107" s="14" t="str">
        <x:v>Садовый инструмент</x:v>
      </x:c>
      <x:c r="D4107" s="14" t="str">
        <x:v>Вилы, кирка садовые</x:v>
      </x:c>
      <x:c r="E4107" s="2" t="n">
        <x:v>4</x:v>
      </x:c>
      <x:c r="F4107" s="2" t="n">
        <x:v>0</x:v>
      </x:c>
      <x:c r="G4107" s="12" t="n">
        <x:v>531357.45</x:v>
      </x:c>
      <x:c r="H4107" s="12" t="n">
        <x:v>69028.382355</x:v>
      </x:c>
      <x:c r="I4107" s="13" t="n">
        <x:v>0.1242</x:v>
      </x:c>
      <x:c r="J4107" s="2" t="n">
        <x:v>1</x:v>
      </x:c>
      <x:c r="K4107" s="2" t="n">
        <x:v>2</x:v>
      </x:c>
      <x:c r="L4107" s="12" t="n">
        <x:v>1135.114</x:v>
      </x:c>
      <x:c r="M4107" s="13" t="n">
        <x:v>0.8321928487122935</x:v>
      </x:c>
      <x:c r="N4107" s="13" t="n">
        <x:f>H4107/G4107</x:f>
        <x:v>0.12990950320730424</x:v>
      </x:c>
      <x:c r="O4107" s="13" t="n">
        <x:f>F4107/E4107</x:f>
        <x:v>0</x:v>
      </x:c>
      <x:c r="P4107" s="2" t="str">
        <x:f>IF(AND(E4107&gt;='Итоги'!$F$5,N4107&lt;='Итоги'!$B$5,O4107&gt;='Итоги'!$D$5),"Да","Нет")</x:f>
        <x:v>Нет</x:v>
      </x:c>
    </x:row>
    <x:row r="4108" ht="60" customHeight="1">
      <x:c r="A4108" s="14" t="str">
        <x:v>Одежда</x:v>
      </x:c>
      <x:c r="B4108" s="14" t="str">
        <x:v>Спецодежда и одежда для мероприятий</x:v>
      </x:c>
      <x:c r="C4108" s="14" t="str">
        <x:v>Спецодежда женская</x:v>
      </x:c>
      <x:c r="D4108" s="14" t="str">
        <x:v>Комплект одежды для повара женский</x:v>
      </x:c>
      <x:c r="E4108" s="2" t="n">
        <x:v>2</x:v>
      </x:c>
      <x:c r="F4108" s="2" t="n">
        <x:v>0</x:v>
      </x:c>
      <x:c r="G4108" s="12" t="n">
        <x:v>189079.9735</x:v>
      </x:c>
      <x:c r="H4108" s="12" t="n">
        <x:v>24565.67326136</x:v>
      </x:c>
      <x:c r="I4108" s="13" t="n">
        <x:v>0.12845</x:v>
      </x:c>
      <x:c r="J4108" s="2" t="n">
        <x:v>0</x:v>
      </x:c>
      <x:c r="K4108" s="2" t="n">
        <x:v>1</x:v>
      </x:c>
      <x:c r="L4108" s="12" t="n">
        <x:v>926.45175</x:v>
      </x:c>
      <x:c r="M4108" s="13" t="n">
        <x:v>1</x:v>
      </x:c>
      <x:c r="N4108" s="13" t="n">
        <x:f>H4108/G4108</x:f>
        <x:v>0.12992213192456367</x:v>
      </x:c>
      <x:c r="O4108" s="13" t="n">
        <x:f>F4108/E4108</x:f>
        <x:v>0</x:v>
      </x:c>
      <x:c r="P4108" s="2" t="str">
        <x:f>IF(AND(E4108&gt;='Итоги'!$F$5,N4108&lt;='Итоги'!$B$5,O4108&gt;='Итоги'!$D$5),"Да","Нет")</x:f>
        <x:v>Нет</x:v>
      </x:c>
    </x:row>
    <x:row r="4109" ht="60" customHeight="1">
      <x:c r="A4109" s="14" t="str">
        <x:v>Товары для дома</x:v>
      </x:c>
      <x:c r="B4109" s="14" t="str">
        <x:v>Кухня</x:v>
      </x:c>
      <x:c r="C4109" s="14" t="str">
        <x:v>Столовые приборы</x:v>
      </x:c>
      <x:c r="D4109" s="14" t="str">
        <x:v>Набор чайных, кофейных ложек</x:v>
      </x:c>
      <x:c r="E4109" s="2" t="n">
        <x:v>3</x:v>
      </x:c>
      <x:c r="F4109" s="2" t="n">
        <x:v>0</x:v>
      </x:c>
      <x:c r="G4109" s="12" t="n">
        <x:v>240381.4974</x:v>
      </x:c>
      <x:c r="H4109" s="12" t="n">
        <x:v>31245.993756690004</x:v>
      </x:c>
      <x:c r="I4109" s="13" t="n">
        <x:v>0.0825666666666666</x:v>
      </x:c>
      <x:c r="J4109" s="2" t="n">
        <x:v>1</x:v>
      </x:c>
      <x:c r="K4109" s="2" t="n">
        <x:v>2</x:v>
      </x:c>
      <x:c r="L4109" s="12" t="n">
        <x:v>3825</x:v>
      </x:c>
      <x:c r="M4109" s="13" t="n">
        <x:v>0.5765668040139267</x:v>
      </x:c>
      <x:c r="N4109" s="13" t="n">
        <x:f>H4109/G4109</x:f>
        <x:v>0.1299850200396081</x:v>
      </x:c>
      <x:c r="O4109" s="13" t="n">
        <x:f>F4109/E4109</x:f>
        <x:v>0</x:v>
      </x:c>
      <x:c r="P4109" s="2" t="str">
        <x:f>IF(AND(E4109&gt;='Итоги'!$F$5,N4109&lt;='Итоги'!$B$5,O4109&gt;='Итоги'!$D$5),"Да","Нет")</x:f>
        <x:v>Нет</x:v>
      </x:c>
    </x:row>
    <x:row r="4110" ht="60" customHeight="1">
      <x:c r="A4110" s="14" t="str">
        <x:v>Бытовая химия и гигиена рта</x:v>
      </x:c>
      <x:c r="B4110" s="14" t="str">
        <x:v>Бытовая химия</x:v>
      </x:c>
      <x:c r="C4110" s="14" t="str">
        <x:v>Товары для защиты от насекомых и грызунов</x:v>
      </x:c>
      <x:c r="D4110" s="14" t="str">
        <x:v>Средство от комаров для детей</x:v>
      </x:c>
      <x:c r="E4110" s="2" t="n">
        <x:v>2</x:v>
      </x:c>
      <x:c r="F4110" s="2" t="n">
        <x:v>0</x:v>
      </x:c>
      <x:c r="G4110" s="12" t="n">
        <x:v>633696.746</x:v>
      </x:c>
      <x:c r="H4110" s="12" t="n">
        <x:v>82471.1721177</x:v>
      </x:c>
      <x:c r="I4110" s="13" t="n">
        <x:v>0.07825</x:v>
      </x:c>
      <x:c r="J4110" s="2" t="n">
        <x:v>1</x:v>
      </x:c>
      <x:c r="K4110" s="2" t="n">
        <x:v>2</x:v>
      </x:c>
      <x:c r="L4110" s="12" t="n">
        <x:v>1068.2693</x:v>
      </x:c>
      <x:c r="M4110" s="13" t="n">
        <x:v>0.8315844276088487</x:v>
      </x:c>
      <x:c r="N4110" s="13" t="n">
        <x:f>H4110/G4110</x:f>
        <x:v>0.1301429629207848</x:v>
      </x:c>
      <x:c r="O4110" s="13" t="n">
        <x:f>F4110/E4110</x:f>
        <x:v>0</x:v>
      </x:c>
      <x:c r="P4110" s="2" t="str">
        <x:f>IF(AND(E4110&gt;='Итоги'!$F$5,N4110&lt;='Итоги'!$B$5,O4110&gt;='Итоги'!$D$5),"Да","Нет")</x:f>
        <x:v>Нет</x:v>
      </x:c>
    </x:row>
    <x:row r="4111" ht="60" customHeight="1">
      <x:c r="A4111" s="14" t="str">
        <x:v>Товары для красоты и здоровья</x:v>
      </x:c>
      <x:c r="B4111" s="14" t="str">
        <x:v>Декоративная косметика</x:v>
      </x:c>
      <x:c r="C4111" s="14" t="str">
        <x:v>Маникюр и педикюр</x:v>
      </x:c>
      <x:c r="D4111" s="14" t="str">
        <x:v>Лак для ногтей</x:v>
      </x:c>
      <x:c r="E4111" s="2" t="n">
        <x:v>12</x:v>
      </x:c>
      <x:c r="F4111" s="2" t="n">
        <x:v>0</x:v>
      </x:c>
      <x:c r="G4111" s="12" t="n">
        <x:v>1029679.82</x:v>
      </x:c>
      <x:c r="H4111" s="12" t="n">
        <x:v>134197.574032</x:v>
      </x:c>
      <x:c r="I4111" s="13" t="n">
        <x:v>0.0812083333333333</x:v>
      </x:c>
      <x:c r="J4111" s="2" t="n">
        <x:v>1</x:v>
      </x:c>
      <x:c r="K4111" s="2" t="n">
        <x:v>6</x:v>
      </x:c>
      <x:c r="L4111" s="12" t="n">
        <x:v>1495.63295</x:v>
      </x:c>
      <x:c r="M4111" s="13" t="n">
        <x:v>0.3164402697529801</x:v>
      </x:c>
      <x:c r="N4111" s="13" t="n">
        <x:f>H4111/G4111</x:f>
        <x:v>0.13032942029688413</x:v>
      </x:c>
      <x:c r="O4111" s="13" t="n">
        <x:f>F4111/E4111</x:f>
        <x:v>0</x:v>
      </x:c>
      <x:c r="P4111" s="2" t="str">
        <x:f>IF(AND(E4111&gt;='Итоги'!$F$5,N4111&lt;='Итоги'!$B$5,O4111&gt;='Итоги'!$D$5),"Да","Нет")</x:f>
        <x:v>Нет</x:v>
      </x:c>
    </x:row>
    <x:row r="4112" ht="60" customHeight="1">
      <x:c r="A4112" s="14" t="str">
        <x:v>Бакалея и кондитерские изделия</x:v>
      </x:c>
      <x:c r="B4112" s="14" t="str">
        <x:v>Бакалея</x:v>
      </x:c>
      <x:c r="C4112" s="14" t="str">
        <x:v>Приправы, специи, травы</x:v>
      </x:c>
      <x:c r="D4112" s="14" t="str">
        <x:v>Приправы, специи для настаивания домашнего алкоголя</x:v>
      </x:c>
      <x:c r="E4112" s="2" t="n">
        <x:v>29</x:v>
      </x:c>
      <x:c r="F4112" s="2" t="n">
        <x:v>0</x:v>
      </x:c>
      <x:c r="G4112" s="12" t="n">
        <x:v>4120769.2035</x:v>
      </x:c>
      <x:c r="H4112" s="12" t="n">
        <x:v>537289.9607252</x:v>
      </x:c>
      <x:c r="I4112" s="13" t="n">
        <x:v>0.1328</x:v>
      </x:c>
      <x:c r="J4112" s="2" t="n">
        <x:v>0</x:v>
      </x:c>
      <x:c r="K4112" s="2" t="n">
        <x:v>11</x:v>
      </x:c>
      <x:c r="L4112" s="12" t="n">
        <x:v>1558.3777</x:v>
      </x:c>
      <x:c r="M4112" s="13" t="n">
        <x:v>0.5003432975690069</x:v>
      </x:c>
      <x:c r="N4112" s="13" t="n">
        <x:f>H4112/G4112</x:f>
        <x:v>0.13038584162123168</x:v>
      </x:c>
      <x:c r="O4112" s="13" t="n">
        <x:f>F4112/E4112</x:f>
        <x:v>0</x:v>
      </x:c>
      <x:c r="P4112" s="2" t="str">
        <x:f>IF(AND(E4112&gt;='Итоги'!$F$5,N4112&lt;='Итоги'!$B$5,O4112&gt;='Итоги'!$D$5),"Да","Нет")</x:f>
        <x:v>Нет</x:v>
      </x:c>
    </x:row>
    <x:row r="4113" ht="60" customHeight="1">
      <x:c r="A4113" s="14" t="str">
        <x:v>Бытовая химия и гигиена рта</x:v>
      </x:c>
      <x:c r="B4113" s="14" t="str">
        <x:v>Гигиена рта</x:v>
      </x:c>
      <x:c r="C4113" s="14" t="str">
        <x:v>Гигиена рта</x:v>
      </x:c>
      <x:c r="D4113" s="14" t="str">
        <x:v>Щетки для чистки языка</x:v>
      </x:c>
      <x:c r="E4113" s="2" t="n">
        <x:v>3</x:v>
      </x:c>
      <x:c r="F4113" s="2" t="n">
        <x:v>0</x:v>
      </x:c>
      <x:c r="G4113" s="12" t="n">
        <x:v>371405.7561</x:v>
      </x:c>
      <x:c r="H4113" s="12" t="n">
        <x:v>48426.63797313</x:v>
      </x:c>
      <x:c r="I4113" s="13" t="n">
        <x:v>0.1174666666666666</x:v>
      </x:c>
      <x:c r="J4113" s="2" t="n">
        <x:v>1</x:v>
      </x:c>
      <x:c r="K4113" s="2" t="n">
        <x:v>1</x:v>
      </x:c>
      <x:c r="L4113" s="12" t="n">
        <x:v>811.2543</x:v>
      </x:c>
      <x:c r="M4113" s="13" t="n">
        <x:v>1</x:v>
      </x:c>
      <x:c r="N4113" s="13" t="n">
        <x:f>H4113/G4113</x:f>
        <x:v>0.130387419090218</x:v>
      </x:c>
      <x:c r="O4113" s="13" t="n">
        <x:f>F4113/E4113</x:f>
        <x:v>0</x:v>
      </x:c>
      <x:c r="P4113" s="2" t="str">
        <x:f>IF(AND(E4113&gt;='Итоги'!$F$5,N4113&lt;='Итоги'!$B$5,O4113&gt;='Итоги'!$D$5),"Да","Нет")</x:f>
        <x:v>Нет</x:v>
      </x:c>
    </x:row>
    <x:row r="4114" ht="60" customHeight="1">
      <x:c r="A4114" s="14" t="str">
        <x:v>Спорт и отдых</x:v>
      </x:c>
      <x:c r="B4114" s="14" t="str">
        <x:v>Водные виды спорта</x:v>
      </x:c>
      <x:c r="C4114" s="14" t="str">
        <x:v>Плавание</x:v>
      </x:c>
      <x:c r="D4114" s="14" t="str">
        <x:v>Нарукавники надувные</x:v>
      </x:c>
      <x:c r="E4114" s="2" t="n">
        <x:v>1</x:v>
      </x:c>
      <x:c r="F4114" s="2" t="n">
        <x:v>0</x:v>
      </x:c>
      <x:c r="G4114" s="12" t="n">
        <x:v>23993</x:v>
      </x:c>
      <x:c r="H4114" s="12" t="n">
        <x:v>3131.0865000000003</x:v>
      </x:c>
      <x:c r="I4114" s="13" t="n">
        <x:v>0.1305</x:v>
      </x:c>
      <x:c r="J4114" s="2" t="n">
        <x:v>0</x:v>
      </x:c>
      <x:c r="K4114" s="2" t="n">
        <x:v>1</x:v>
      </x:c>
      <x:c r="L4114" s="12" t="n">
        <x:v>1090.5909</x:v>
      </x:c>
      <x:c r="M4114" s="13" t="n">
        <x:v>1</x:v>
      </x:c>
      <x:c r="N4114" s="13" t="n">
        <x:f>H4114/G4114</x:f>
        <x:v>0.1305</x:v>
      </x:c>
      <x:c r="O4114" s="13" t="n">
        <x:f>F4114/E4114</x:f>
        <x:v>0</x:v>
      </x:c>
      <x:c r="P4114" s="2" t="str">
        <x:f>IF(AND(E4114&gt;='Итоги'!$F$5,N4114&lt;='Итоги'!$B$5,O4114&gt;='Итоги'!$D$5),"Да","Нет")</x:f>
        <x:v>Нет</x:v>
      </x:c>
    </x:row>
    <x:row r="4115" ht="60" customHeight="1">
      <x:c r="A4115" s="14" t="str">
        <x:v>Спорт и отдых</x:v>
      </x:c>
      <x:c r="B4115" s="14" t="str">
        <x:v>Единоборства</x:v>
      </x:c>
      <x:c r="C4115" s="14" t="str">
        <x:v>Смешанные единоборства</x:v>
      </x:c>
      <x:c r="D4115" s="14" t="str">
        <x:v>Защита для единоборств</x:v>
      </x:c>
      <x:c r="E4115" s="2" t="n">
        <x:v>1</x:v>
      </x:c>
      <x:c r="F4115" s="2" t="n">
        <x:v>0</x:v>
      </x:c>
      <x:c r="G4115" s="12" t="n">
        <x:v>142031.029</x:v>
      </x:c>
      <x:c r="H4115" s="12" t="n">
        <x:v>18535.0492845</x:v>
      </x:c>
      <x:c r="I4115" s="13" t="n">
        <x:v>0.1305</x:v>
      </x:c>
      <x:c r="J4115" s="2" t="n">
        <x:v>0</x:v>
      </x:c>
      <x:c r="K4115" s="2" t="n">
        <x:v>1</x:v>
      </x:c>
      <x:c r="L4115" s="12" t="n">
        <x:v>1613.989</x:v>
      </x:c>
      <x:c r="M4115" s="13" t="n">
        <x:v>1</x:v>
      </x:c>
      <x:c r="N4115" s="13" t="n">
        <x:f>H4115/G4115</x:f>
        <x:v>0.1305</x:v>
      </x:c>
      <x:c r="O4115" s="13" t="n">
        <x:f>F4115/E4115</x:f>
        <x:v>0</x:v>
      </x:c>
      <x:c r="P4115" s="2" t="str">
        <x:f>IF(AND(E4115&gt;='Итоги'!$F$5,N4115&lt;='Итоги'!$B$5,O4115&gt;='Итоги'!$D$5),"Да","Нет")</x:f>
        <x:v>Нет</x:v>
      </x:c>
    </x:row>
    <x:row r="4116" ht="60" customHeight="1">
      <x:c r="A4116" s="14" t="str">
        <x:v>Строительство и ремонт (DIY)</x:v>
      </x:c>
      <x:c r="B4116" s="14" t="str">
        <x:v>Ремонт и строительство</x:v>
      </x:c>
      <x:c r="C4116" s="14" t="str">
        <x:v>Скобяные изделия</x:v>
      </x:c>
      <x:c r="D4116" s="14" t="str">
        <x:v>Заклепка (вытяжная, резьбовая)</x:v>
      </x:c>
      <x:c r="E4116" s="2" t="n">
        <x:v>1</x:v>
      </x:c>
      <x:c r="F4116" s="2" t="n">
        <x:v>0</x:v>
      </x:c>
      <x:c r="G4116" s="12" t="n">
        <x:v>115895</x:v>
      </x:c>
      <x:c r="H4116" s="12" t="n">
        <x:v>15124.2975</x:v>
      </x:c>
      <x:c r="I4116" s="13" t="n">
        <x:v>0.1305</x:v>
      </x:c>
      <x:c r="J4116" s="2" t="n">
        <x:v>0</x:v>
      </x:c>
      <x:c r="K4116" s="2" t="n">
        <x:v>1</x:v>
      </x:c>
      <x:c r="L4116" s="12" t="n">
        <x:v>1783</x:v>
      </x:c>
      <x:c r="M4116" s="13" t="n">
        <x:v>1</x:v>
      </x:c>
      <x:c r="N4116" s="13" t="n">
        <x:f>H4116/G4116</x:f>
        <x:v>0.1305</x:v>
      </x:c>
      <x:c r="O4116" s="13" t="n">
        <x:f>F4116/E4116</x:f>
        <x:v>0</x:v>
      </x:c>
      <x:c r="P4116" s="2" t="str">
        <x:f>IF(AND(E4116&gt;='Итоги'!$F$5,N4116&lt;='Итоги'!$B$5,O4116&gt;='Итоги'!$D$5),"Да","Нет")</x:f>
        <x:v>Нет</x:v>
      </x:c>
    </x:row>
    <x:row r="4117" ht="60" customHeight="1">
      <x:c r="A4117" s="14" t="str">
        <x:v>Строительство и ремонт (DIY)</x:v>
      </x:c>
      <x:c r="B4117" s="14" t="str">
        <x:v>Ремонт и строительство</x:v>
      </x:c>
      <x:c r="C4117" s="14" t="str">
        <x:v>Электротовары</x:v>
      </x:c>
      <x:c r="D4117" s="14" t="str">
        <x:v>Греющие кабели</x:v>
      </x:c>
      <x:c r="E4117" s="2" t="n">
        <x:v>26</x:v>
      </x:c>
      <x:c r="F4117" s="2" t="n">
        <x:v>0</x:v>
      </x:c>
      <x:c r="G4117" s="12" t="n">
        <x:v>3315003.1554</x:v>
      </x:c>
      <x:c r="H4117" s="12" t="n">
        <x:v>432987.05276574</x:v>
      </x:c>
      <x:c r="I4117" s="13" t="n">
        <x:v>0.1263423076923077</x:v>
      </x:c>
      <x:c r="J4117" s="2" t="n">
        <x:v>7</x:v>
      </x:c>
      <x:c r="K4117" s="2" t="n">
        <x:v>7</x:v>
      </x:c>
      <x:c r="L4117" s="12" t="n">
        <x:v>1610.39445</x:v>
      </x:c>
      <x:c r="M4117" s="13" t="n">
        <x:v>0.6489684248099645</x:v>
      </x:c>
      <x:c r="N4117" s="13" t="n">
        <x:f>H4117/G4117</x:f>
        <x:v>0.1306143712293071</x:v>
      </x:c>
      <x:c r="O4117" s="13" t="n">
        <x:f>F4117/E4117</x:f>
        <x:v>0</x:v>
      </x:c>
      <x:c r="P4117" s="2" t="str">
        <x:f>IF(AND(E4117&gt;='Итоги'!$F$5,N4117&lt;='Итоги'!$B$5,O4117&gt;='Итоги'!$D$5),"Да","Нет")</x:f>
        <x:v>Нет</x:v>
      </x:c>
    </x:row>
    <x:row r="4118" ht="60" customHeight="1">
      <x:c r="A4118" s="14" t="str">
        <x:v>Аксессуары для электроники</x:v>
      </x:c>
      <x:c r="B4118" s="14" t="str">
        <x:v>Аксессуары для мобильных устройств Access</x:v>
      </x:c>
      <x:c r="C4118" s="14" t="str">
        <x:v>Наушники и аксессуары для наушников Access</x:v>
      </x:c>
      <x:c r="D4118" s="14" t="str">
        <x:v>Моногарнитура Bluetooth</x:v>
      </x:c>
      <x:c r="E4118" s="2" t="n">
        <x:v>67</x:v>
      </x:c>
      <x:c r="F4118" s="2" t="n">
        <x:v>0</x:v>
      </x:c>
      <x:c r="G4118" s="12" t="n">
        <x:v>9838830.5569</x:v>
      </x:c>
      <x:c r="H4118" s="12" t="n">
        <x:v>1285579.57606444</x:v>
      </x:c>
      <x:c r="I4118" s="13" t="n">
        <x:v>0.1286238805970149</x:v>
      </x:c>
      <x:c r="J4118" s="2" t="n">
        <x:v>13</x:v>
      </x:c>
      <x:c r="K4118" s="2" t="n">
        <x:v>32</x:v>
      </x:c>
      <x:c r="L4118" s="12" t="n">
        <x:v>2064.1153</x:v>
      </x:c>
      <x:c r="M4118" s="13" t="n">
        <x:v>0.4733046687275448</x:v>
      </x:c>
      <x:c r="N4118" s="13" t="n">
        <x:f>H4118/G4118</x:f>
        <x:v>0.13066385975748504</x:v>
      </x:c>
      <x:c r="O4118" s="13" t="n">
        <x:f>F4118/E4118</x:f>
        <x:v>0</x:v>
      </x:c>
      <x:c r="P4118" s="2" t="str">
        <x:f>IF(AND(E4118&gt;='Итоги'!$F$5,N4118&lt;='Итоги'!$B$5,O4118&gt;='Итоги'!$D$5),"Да","Нет")</x:f>
        <x:v>Нет</x:v>
      </x:c>
    </x:row>
    <x:row r="4119" ht="60" customHeight="1">
      <x:c r="A4119" s="14" t="str">
        <x:v>Товары для дома</x:v>
      </x:c>
      <x:c r="B4119" s="14" t="str">
        <x:v>Ванная комната</x:v>
      </x:c>
      <x:c r="C4119" s="14" t="str">
        <x:v>Аксессуары для ванной</x:v>
      </x:c>
      <x:c r="D4119" s="14" t="str">
        <x:v>Подушка для ванной</x:v>
      </x:c>
      <x:c r="E4119" s="2" t="n">
        <x:v>2</x:v>
      </x:c>
      <x:c r="F4119" s="2" t="n">
        <x:v>0</x:v>
      </x:c>
      <x:c r="G4119" s="12" t="n">
        <x:v>367122.3282</x:v>
      </x:c>
      <x:c r="H4119" s="12" t="n">
        <x:v>47974.56912966</x:v>
      </x:c>
      <x:c r="I4119" s="13" t="n">
        <x:v>0.16</x:v>
      </x:c>
      <x:c r="J4119" s="2" t="n">
        <x:v>0</x:v>
      </x:c>
      <x:c r="K4119" s="2" t="n">
        <x:v>2</x:v>
      </x:c>
      <x:c r="L4119" s="12" t="n">
        <x:v>917.73195</x:v>
      </x:c>
      <x:c r="M4119" s="13" t="n">
        <x:v>0.748076653758811</x:v>
      </x:c>
      <x:c r="N4119" s="13" t="n">
        <x:f>H4119/G4119</x:f>
        <x:v>0.13067733952570854</x:v>
      </x:c>
      <x:c r="O4119" s="13" t="n">
        <x:f>F4119/E4119</x:f>
        <x:v>0</x:v>
      </x:c>
      <x:c r="P4119" s="2" t="str">
        <x:f>IF(AND(E4119&gt;='Итоги'!$F$5,N4119&lt;='Итоги'!$B$5,O4119&gt;='Итоги'!$D$5),"Да","Нет")</x:f>
        <x:v>Нет</x:v>
      </x:c>
    </x:row>
    <x:row r="4120" ht="60" customHeight="1">
      <x:c r="A4120" s="14" t="str">
        <x:v>Товары для животных</x:v>
      </x:c>
      <x:c r="B4120" s="14" t="str">
        <x:v>Спальное место животного</x:v>
      </x:c>
      <x:c r="C4120" s="14" t="str">
        <x:v>Аквариум Оборудование</x:v>
      </x:c>
      <x:c r="D4120" s="14" t="str">
        <x:v>Погружная помпа для аквариума</x:v>
      </x:c>
      <x:c r="E4120" s="2" t="n">
        <x:v>7</x:v>
      </x:c>
      <x:c r="F4120" s="2" t="n">
        <x:v>0</x:v>
      </x:c>
      <x:c r="G4120" s="12" t="n">
        <x:v>514404.5111</x:v>
      </x:c>
      <x:c r="H4120" s="12" t="n">
        <x:v>67254.63367846</x:v>
      </x:c>
      <x:c r="I4120" s="13" t="n">
        <x:v>0.1541428571428571</x:v>
      </x:c>
      <x:c r="J4120" s="2" t="n">
        <x:v>0</x:v>
      </x:c>
      <x:c r="K4120" s="2" t="n">
        <x:v>4</x:v>
      </x:c>
      <x:c r="L4120" s="12" t="n">
        <x:v>1442.8431</x:v>
      </x:c>
      <x:c r="M4120" s="13" t="n">
        <x:v>0.5715420820694277</x:v>
      </x:c>
      <x:c r="N4120" s="13" t="n">
        <x:f>H4120/G4120</x:f>
        <x:v>0.13074269806585295</x:v>
      </x:c>
      <x:c r="O4120" s="13" t="n">
        <x:f>F4120/E4120</x:f>
        <x:v>0</x:v>
      </x:c>
      <x:c r="P4120" s="2" t="str">
        <x:f>IF(AND(E4120&gt;='Итоги'!$F$5,N4120&lt;='Итоги'!$B$5,O4120&gt;='Итоги'!$D$5),"Да","Нет")</x:f>
        <x:v>Нет</x:v>
      </x:c>
    </x:row>
    <x:row r="4121" ht="60" customHeight="1">
      <x:c r="A4121" s="14" t="str">
        <x:v>Товары для животных</x:v>
      </x:c>
      <x:c r="B4121" s="14" t="str">
        <x:v>Гигиена и уход животных</x:v>
      </x:c>
      <x:c r="C4121" s="14" t="str">
        <x:v>Расческа, щетка для животных</x:v>
      </x:c>
      <x:c r="D4121" s="14" t="str">
        <x:v>Пуходерка</x:v>
      </x:c>
      <x:c r="E4121" s="2" t="n">
        <x:v>3</x:v>
      </x:c>
      <x:c r="F4121" s="2" t="n">
        <x:v>0</x:v>
      </x:c>
      <x:c r="G4121" s="12" t="n">
        <x:v>234533.88</x:v>
      </x:c>
      <x:c r="H4121" s="12" t="n">
        <x:v>30701.20491</x:v>
      </x:c>
      <x:c r="I4121" s="13" t="n">
        <x:v>0.1499</x:v>
      </x:c>
      <x:c r="J4121" s="2" t="n">
        <x:v>0</x:v>
      </x:c>
      <x:c r="K4121" s="2" t="n">
        <x:v>3</x:v>
      </x:c>
      <x:c r="L4121" s="12" t="n">
        <x:v>989.5902</x:v>
      </x:c>
      <x:c r="M4121" s="13" t="n">
        <x:v>0.5108034284854709</x:v>
      </x:c>
      <x:c r="N4121" s="13" t="n">
        <x:f>H4121/G4121</x:f>
        <x:v>0.13090306999568677</x:v>
      </x:c>
      <x:c r="O4121" s="13" t="n">
        <x:f>F4121/E4121</x:f>
        <x:v>0</x:v>
      </x:c>
      <x:c r="P4121" s="2" t="str">
        <x:f>IF(AND(E4121&gt;='Итоги'!$F$5,N4121&lt;='Итоги'!$B$5,O4121&gt;='Итоги'!$D$5),"Да","Нет")</x:f>
        <x:v>Нет</x:v>
      </x:c>
    </x:row>
    <x:row r="4122" ht="60" customHeight="1">
      <x:c r="A4122" s="14" t="str">
        <x:v>Товары для детей и спорта</x:v>
      </x:c>
      <x:c r="B4122" s="14" t="str">
        <x:v>КГТ и аксессуары для детей</x:v>
      </x:c>
      <x:c r="C4122" s="14" t="str">
        <x:v>Автокресла и аксессуары</x:v>
      </x:c>
      <x:c r="D4122" s="14" t="str">
        <x:v>Детское автокресло группы 0 (0-13 кг)</x:v>
      </x:c>
      <x:c r="E4122" s="2" t="n">
        <x:v>36</x:v>
      </x:c>
      <x:c r="F4122" s="2" t="n">
        <x:v>0</x:v>
      </x:c>
      <x:c r="G4122" s="12" t="n">
        <x:v>4670025.7345</x:v>
      </x:c>
      <x:c r="H4122" s="12" t="n">
        <x:v>612114.63656923</x:v>
      </x:c>
      <x:c r="I4122" s="13" t="n">
        <x:v>0.1223416666666666</x:v>
      </x:c>
      <x:c r="J4122" s="2" t="n">
        <x:v>10</x:v>
      </x:c>
      <x:c r="K4122" s="2" t="n">
        <x:v>1</x:v>
      </x:c>
      <x:c r="L4122" s="12" t="n">
        <x:v>5057.2897</x:v>
      </x:c>
      <x:c r="M4122" s="13" t="n">
        <x:v>1</x:v>
      </x:c>
      <x:c r="N4122" s="13" t="n">
        <x:f>H4122/G4122</x:f>
        <x:v>0.1310730756893284</x:v>
      </x:c>
      <x:c r="O4122" s="13" t="n">
        <x:f>F4122/E4122</x:f>
        <x:v>0</x:v>
      </x:c>
      <x:c r="P4122" s="2" t="str">
        <x:f>IF(AND(E4122&gt;='Итоги'!$F$5,N4122&lt;='Итоги'!$B$5,O4122&gt;='Итоги'!$D$5),"Да","Нет")</x:f>
        <x:v>Нет</x:v>
      </x:c>
    </x:row>
    <x:row r="4123" ht="60" customHeight="1">
      <x:c r="A4123" s="14" t="str">
        <x:v>Бытовая химия и гигиена рта</x:v>
      </x:c>
      <x:c r="B4123" s="14" t="str">
        <x:v>Бытовая химия</x:v>
      </x:c>
      <x:c r="C4123" s="14" t="str">
        <x:v>Товары для защиты от насекомых и грызунов</x:v>
      </x:c>
      <x:c r="D4123" s="14" t="str">
        <x:v>Отпугиватель насекомых</x:v>
      </x:c>
      <x:c r="E4123" s="2" t="n">
        <x:v>14</x:v>
      </x:c>
      <x:c r="F4123" s="2" t="n">
        <x:v>0</x:v>
      </x:c>
      <x:c r="G4123" s="12" t="n">
        <x:v>2109045.7389</x:v>
      </x:c>
      <x:c r="H4123" s="12" t="n">
        <x:v>276470.80082743</x:v>
      </x:c>
      <x:c r="I4123" s="13" t="n">
        <x:v>0.0863857142857142</x:v>
      </x:c>
      <x:c r="J4123" s="2" t="n">
        <x:v>5</x:v>
      </x:c>
      <x:c r="K4123" s="2" t="n">
        <x:v>8</x:v>
      </x:c>
      <x:c r="L4123" s="12" t="n">
        <x:v>1126.71495</x:v>
      </x:c>
      <x:c r="M4123" s="13" t="n">
        <x:v>0.7399372970042513</x:v>
      </x:c>
      <x:c r="N4123" s="13" t="n">
        <x:f>H4123/G4123</x:f>
        <x:v>0.13108810099662743</x:v>
      </x:c>
      <x:c r="O4123" s="13" t="n">
        <x:f>F4123/E4123</x:f>
        <x:v>0</x:v>
      </x:c>
      <x:c r="P4123" s="2" t="str">
        <x:f>IF(AND(E4123&gt;='Итоги'!$F$5,N4123&lt;='Итоги'!$B$5,O4123&gt;='Итоги'!$D$5),"Да","Нет")</x:f>
        <x:v>Нет</x:v>
      </x:c>
    </x:row>
    <x:row r="4124" ht="60" customHeight="1">
      <x:c r="A4124" s="14" t="str">
        <x:v>Аксессуары</x:v>
      </x:c>
      <x:c r="B4124" s="14" t="str">
        <x:v>Бижутерия и часы бижутерные</x:v>
      </x:c>
      <x:c r="C4124" s="14" t="str">
        <x:v>Украшение для волос</x:v>
      </x:c>
      <x:c r="D4124" s="14" t="str">
        <x:v>Ободок, повязка детские</x:v>
      </x:c>
      <x:c r="E4124" s="2" t="n">
        <x:v>1</x:v>
      </x:c>
      <x:c r="F4124" s="2" t="n">
        <x:v>0</x:v>
      </x:c>
      <x:c r="G4124" s="12" t="n">
        <x:v>6290</x:v>
      </x:c>
      <x:c r="H4124" s="12" t="n">
        <x:v>824.6189999999999</x:v>
      </x:c>
      <x:c r="I4124" s="13" t="n">
        <x:v>0.1311</x:v>
      </x:c>
      <x:c r="J4124" s="2" t="n">
        <x:v>0</x:v>
      </x:c>
      <x:c r="K4124" s="2" t="n">
        <x:v>1</x:v>
      </x:c>
      <x:c r="L4124" s="12" t="n">
        <x:v>1048.3333</x:v>
      </x:c>
      <x:c r="M4124" s="13" t="n">
        <x:v>1</x:v>
      </x:c>
      <x:c r="N4124" s="13" t="n">
        <x:f>H4124/G4124</x:f>
        <x:v>0.1311</x:v>
      </x:c>
      <x:c r="O4124" s="13" t="n">
        <x:f>F4124/E4124</x:f>
        <x:v>0</x:v>
      </x:c>
      <x:c r="P4124" s="2" t="str">
        <x:f>IF(AND(E4124&gt;='Итоги'!$F$5,N4124&lt;='Итоги'!$B$5,O4124&gt;='Итоги'!$D$5),"Да","Нет")</x:f>
        <x:v>Нет</x:v>
      </x:c>
    </x:row>
    <x:row r="4125" ht="60" customHeight="1">
      <x:c r="A4125" s="14" t="str">
        <x:v>Товары для дома</x:v>
      </x:c>
      <x:c r="B4125" s="14" t="str">
        <x:v>Кухня</x:v>
      </x:c>
      <x:c r="C4125" s="14" t="str">
        <x:v>Кухонная утварь и принадлежности</x:v>
      </x:c>
      <x:c r="D4125" s="14" t="str">
        <x:v>Коврик для кухонных полок, ящиков</x:v>
      </x:c>
      <x:c r="E4125" s="2" t="n">
        <x:v>11</x:v>
      </x:c>
      <x:c r="F4125" s="2" t="n">
        <x:v>0</x:v>
      </x:c>
      <x:c r="G4125" s="12" t="n">
        <x:v>1352848.8102</x:v>
      </x:c>
      <x:c r="H4125" s="12" t="n">
        <x:v>177531.20624982</x:v>
      </x:c>
      <x:c r="I4125" s="13" t="n">
        <x:v>0.0978818181818181</x:v>
      </x:c>
      <x:c r="J4125" s="2" t="n">
        <x:v>1</x:v>
      </x:c>
      <x:c r="K4125" s="2" t="n">
        <x:v>5</x:v>
      </x:c>
      <x:c r="L4125" s="12" t="n">
        <x:v>949.0096</x:v>
      </x:c>
      <x:c r="M4125" s="13" t="n">
        <x:v>0.3675621850356564</x:v>
      </x:c>
      <x:c r="N4125" s="13" t="n">
        <x:f>H4125/G4125</x:f>
        <x:v>0.13122767667110893</x:v>
      </x:c>
      <x:c r="O4125" s="13" t="n">
        <x:f>F4125/E4125</x:f>
        <x:v>0</x:v>
      </x:c>
      <x:c r="P4125" s="2" t="str">
        <x:f>IF(AND(E4125&gt;='Итоги'!$F$5,N4125&lt;='Итоги'!$B$5,O4125&gt;='Итоги'!$D$5),"Да","Нет")</x:f>
        <x:v>Нет</x:v>
      </x:c>
    </x:row>
    <x:row r="4126" ht="60" customHeight="1">
      <x:c r="A4126" s="14" t="str">
        <x:v>Школьные принадлежности и канцелярия</x:v>
      </x:c>
      <x:c r="B4126" s="14" t="str">
        <x:v>Товары для школы, канцелярия, оборудование</x:v>
      </x:c>
      <x:c r="C4126" s="14" t="str">
        <x:v>Папка</x:v>
      </x:c>
      <x:c r="D4126" s="14" t="str">
        <x:v>Папка - планшет</x:v>
      </x:c>
      <x:c r="E4126" s="2" t="n">
        <x:v>1</x:v>
      </x:c>
      <x:c r="F4126" s="2" t="n">
        <x:v>0</x:v>
      </x:c>
      <x:c r="G4126" s="12" t="n">
        <x:v>114922</x:v>
      </x:c>
      <x:c r="H4126" s="12" t="n">
        <x:v>15089.2586</x:v>
      </x:c>
      <x:c r="I4126" s="13" t="n">
        <x:v>0.1313</x:v>
      </x:c>
      <x:c r="J4126" s="2" t="n">
        <x:v>0</x:v>
      </x:c>
      <x:c r="K4126" s="2" t="n">
        <x:v>1</x:v>
      </x:c>
      <x:c r="L4126" s="12" t="n">
        <x:v>1137.8416</x:v>
      </x:c>
      <x:c r="M4126" s="13" t="n">
        <x:v>1</x:v>
      </x:c>
      <x:c r="N4126" s="13" t="n">
        <x:f>H4126/G4126</x:f>
        <x:v>0.1313</x:v>
      </x:c>
      <x:c r="O4126" s="13" t="n">
        <x:f>F4126/E4126</x:f>
        <x:v>0</x:v>
      </x:c>
      <x:c r="P4126" s="2" t="str">
        <x:f>IF(AND(E4126&gt;='Итоги'!$F$5,N4126&lt;='Итоги'!$B$5,O4126&gt;='Итоги'!$D$5),"Да","Нет")</x:f>
        <x:v>Нет</x:v>
      </x:c>
    </x:row>
    <x:row r="4127" ht="60" customHeight="1">
      <x:c r="A4127" s="14" t="str">
        <x:v>Аксессуары</x:v>
      </x:c>
      <x:c r="B4127" s="14" t="str">
        <x:v>Сумки и рюкзаки</x:v>
      </x:c>
      <x:c r="C4127" s="14" t="str">
        <x:v>Сумка женская</x:v>
      </x:c>
      <x:c r="D4127" s="14" t="str">
        <x:v>Женский Комплект сумок</x:v>
      </x:c>
      <x:c r="E4127" s="2" t="n">
        <x:v>1</x:v>
      </x:c>
      <x:c r="F4127" s="2" t="n">
        <x:v>0</x:v>
      </x:c>
      <x:c r="G4127" s="12" t="n">
        <x:v>257861.76</x:v>
      </x:c>
      <x:c r="H4127" s="12" t="n">
        <x:v>33908.82144</x:v>
      </x:c>
      <x:c r="I4127" s="13" t="n">
        <x:v>0.1315</x:v>
      </x:c>
      <x:c r="J4127" s="2" t="n">
        <x:v>0</x:v>
      </x:c>
      <x:c r="K4127" s="2" t="n">
        <x:v>1</x:v>
      </x:c>
      <x:c r="L4127" s="12" t="n">
        <x:v>1233.7883</x:v>
      </x:c>
      <x:c r="M4127" s="13" t="n">
        <x:v>1</x:v>
      </x:c>
      <x:c r="N4127" s="13" t="n">
        <x:f>H4127/G4127</x:f>
        <x:v>0.1315</x:v>
      </x:c>
      <x:c r="O4127" s="13" t="n">
        <x:f>F4127/E4127</x:f>
        <x:v>0</x:v>
      </x:c>
      <x:c r="P4127" s="2" t="str">
        <x:f>IF(AND(E4127&gt;='Итоги'!$F$5,N4127&lt;='Итоги'!$B$5,O4127&gt;='Итоги'!$D$5),"Да","Нет")</x:f>
        <x:v>Нет</x:v>
      </x:c>
    </x:row>
    <x:row r="4128" ht="60" customHeight="1">
      <x:c r="A4128" s="14" t="str">
        <x:v>Личная гигиена и детская продукция</x:v>
      </x:c>
      <x:c r="B4128" s="14" t="str">
        <x:v>Детская продукция</x:v>
      </x:c>
      <x:c r="C4128" s="14" t="str">
        <x:v>Гигиена детская NewBorn</x:v>
      </x:c>
      <x:c r="D4128" s="14" t="str">
        <x:v>Клеенка, подстилка детская</x:v>
      </x:c>
      <x:c r="E4128" s="2" t="n">
        <x:v>3</x:v>
      </x:c>
      <x:c r="F4128" s="2" t="n">
        <x:v>0</x:v>
      </x:c>
      <x:c r="G4128" s="12" t="n">
        <x:v>563332.3359000001</x:v>
      </x:c>
      <x:c r="H4128" s="12" t="n">
        <x:v>74110.8055729</x:v>
      </x:c>
      <x:c r="I4128" s="13" t="n">
        <x:v>0.1411333333333333</x:v>
      </x:c>
      <x:c r="J4128" s="2" t="n">
        <x:v>0</x:v>
      </x:c>
      <x:c r="K4128" s="2" t="n">
        <x:v>2</x:v>
      </x:c>
      <x:c r="L4128" s="12" t="n">
        <x:v>1578.7931</x:v>
      </x:c>
      <x:c r="M4128" s="13" t="n">
        <x:v>0.5780411404571032</x:v>
      </x:c>
      <x:c r="N4128" s="13" t="n">
        <x:f>H4128/G4128</x:f>
        <x:v>0.13155787596410193</x:v>
      </x:c>
      <x:c r="O4128" s="13" t="n">
        <x:f>F4128/E4128</x:f>
        <x:v>0</x:v>
      </x:c>
      <x:c r="P4128" s="2" t="str">
        <x:f>IF(AND(E4128&gt;='Итоги'!$F$5,N4128&lt;='Итоги'!$B$5,O4128&gt;='Итоги'!$D$5),"Да","Нет")</x:f>
        <x:v>Нет</x:v>
      </x:c>
    </x:row>
    <x:row r="4129" ht="60" customHeight="1">
      <x:c r="A4129" s="14" t="str">
        <x:v>Товары для дома</x:v>
      </x:c>
      <x:c r="B4129" s="14" t="str">
        <x:v>Домашний текстиль</x:v>
      </x:c>
      <x:c r="C4129" s="14" t="str">
        <x:v>Столовый текстиль</x:v>
      </x:c>
      <x:c r="D4129" s="14" t="str">
        <x:v>Салфетка текстильная</x:v>
      </x:c>
      <x:c r="E4129" s="2" t="n">
        <x:v>3</x:v>
      </x:c>
      <x:c r="F4129" s="2" t="n">
        <x:v>0</x:v>
      </x:c>
      <x:c r="G4129" s="12" t="n">
        <x:v>449586.3471</x:v>
      </x:c>
      <x:c r="H4129" s="12" t="n">
        <x:v>59179.57130472</x:v>
      </x:c>
      <x:c r="I4129" s="13" t="n">
        <x:v>0.1236999999999999</x:v>
      </x:c>
      <x:c r="J4129" s="2" t="n">
        <x:v>0</x:v>
      </x:c>
      <x:c r="K4129" s="2" t="n">
        <x:v>2</x:v>
      </x:c>
      <x:c r="L4129" s="12" t="n">
        <x:v>994.7164</x:v>
      </x:c>
      <x:c r="M4129" s="13" t="n">
        <x:v>0.8517615127107582</x:v>
      </x:c>
      <x:c r="N4129" s="13" t="n">
        <x:f>H4129/G4129</x:f>
        <x:v>0.13163115758841512</x:v>
      </x:c>
      <x:c r="O4129" s="13" t="n">
        <x:f>F4129/E4129</x:f>
        <x:v>0</x:v>
      </x:c>
      <x:c r="P4129" s="2" t="str">
        <x:f>IF(AND(E4129&gt;='Итоги'!$F$5,N4129&lt;='Итоги'!$B$5,O4129&gt;='Итоги'!$D$5),"Да","Нет")</x:f>
        <x:v>Нет</x:v>
      </x:c>
    </x:row>
    <x:row r="4130" ht="60" customHeight="1">
      <x:c r="A4130" s="14" t="str">
        <x:v>Спорт и отдых</x:v>
      </x:c>
      <x:c r="B4130" s="14" t="str">
        <x:v>Колесный транспорт</x:v>
      </x:c>
      <x:c r="C4130" s="14" t="str">
        <x:v>Самокат</x:v>
      </x:c>
      <x:c r="D4130" s="14" t="str">
        <x:v>Сумка, чехол для самоката</x:v>
      </x:c>
      <x:c r="E4130" s="2" t="n">
        <x:v>3</x:v>
      </x:c>
      <x:c r="F4130" s="2" t="n">
        <x:v>0</x:v>
      </x:c>
      <x:c r="G4130" s="12" t="n">
        <x:v>354970.372</x:v>
      </x:c>
      <x:c r="H4130" s="12" t="n">
        <x:v>46832.7346648</x:v>
      </x:c>
      <x:c r="I4130" s="13" t="n">
        <x:v>0.1068333333333333</x:v>
      </x:c>
      <x:c r="J4130" s="2" t="n">
        <x:v>1</x:v>
      </x:c>
      <x:c r="K4130" s="2" t="n">
        <x:v>3</x:v>
      </x:c>
      <x:c r="L4130" s="12" t="n">
        <x:v>852.8136</x:v>
      </x:c>
      <x:c r="M4130" s="13" t="n">
        <x:v>0.5337121487987172</x:v>
      </x:c>
      <x:c r="N4130" s="13" t="n">
        <x:f>H4130/G4130</x:f>
        <x:v>0.13193420735632552</x:v>
      </x:c>
      <x:c r="O4130" s="13" t="n">
        <x:f>F4130/E4130</x:f>
        <x:v>0</x:v>
      </x:c>
      <x:c r="P4130" s="2" t="str">
        <x:f>IF(AND(E4130&gt;='Итоги'!$F$5,N4130&lt;='Итоги'!$B$5,O4130&gt;='Итоги'!$D$5),"Да","Нет")</x:f>
        <x:v>Нет</x:v>
      </x:c>
    </x:row>
    <x:row r="4131" ht="60" customHeight="1">
      <x:c r="A4131" s="14" t="str">
        <x:v>Хобби и творчество</x:v>
      </x:c>
      <x:c r="B4131" s="14" t="str">
        <x:v>Взрослое творчество и хобби</x:v>
      </x:c>
      <x:c r="C4131" s="14" t="str">
        <x:v>Расходные материалы для творчества, хобби</x:v>
      </x:c>
      <x:c r="D4131" s="14" t="str">
        <x:v>Природные материалы для рукоделия</x:v>
      </x:c>
      <x:c r="E4131" s="2" t="n">
        <x:v>3</x:v>
      </x:c>
      <x:c r="F4131" s="2" t="n">
        <x:v>0</x:v>
      </x:c>
      <x:c r="G4131" s="12" t="n">
        <x:v>206169.09</x:v>
      </x:c>
      <x:c r="H4131" s="12" t="n">
        <x:v>27254.194525</x:v>
      </x:c>
      <x:c r="I4131" s="13" t="n">
        <x:v>0.1238666666666666</x:v>
      </x:c>
      <x:c r="J4131" s="2" t="n">
        <x:v>0</x:v>
      </x:c>
      <x:c r="K4131" s="2" t="n">
        <x:v>1</x:v>
      </x:c>
      <x:c r="L4131" s="12" t="n">
        <x:v>1543.1346</x:v>
      </x:c>
      <x:c r="M4131" s="13" t="n">
        <x:v>1</x:v>
      </x:c>
      <x:c r="N4131" s="13" t="n">
        <x:f>H4131/G4131</x:f>
        <x:v>0.13219340748411898</x:v>
      </x:c>
      <x:c r="O4131" s="13" t="n">
        <x:f>F4131/E4131</x:f>
        <x:v>0</x:v>
      </x:c>
      <x:c r="P4131" s="2" t="str">
        <x:f>IF(AND(E4131&gt;='Итоги'!$F$5,N4131&lt;='Итоги'!$B$5,O4131&gt;='Итоги'!$D$5),"Да","Нет")</x:f>
        <x:v>Нет</x:v>
      </x:c>
    </x:row>
    <x:row r="4132" ht="60" customHeight="1">
      <x:c r="A4132" s="14" t="str">
        <x:v>Товары для животных</x:v>
      </x:c>
      <x:c r="B4132" s="14" t="str">
        <x:v>Спальное место животного</x:v>
      </x:c>
      <x:c r="C4132" s="14" t="str">
        <x:v>Аквариум Оборудование</x:v>
      </x:c>
      <x:c r="D4132" s="14" t="str">
        <x:v>Скребок для аквариума</x:v>
      </x:c>
      <x:c r="E4132" s="2" t="n">
        <x:v>2</x:v>
      </x:c>
      <x:c r="F4132" s="2" t="n">
        <x:v>0</x:v>
      </x:c>
      <x:c r="G4132" s="12" t="n">
        <x:v>157905.3653</x:v>
      </x:c>
      <x:c r="H4132" s="12" t="n">
        <x:v>20877.29484341</x:v>
      </x:c>
      <x:c r="I4132" s="13" t="n">
        <x:v>0.1201</x:v>
      </x:c>
      <x:c r="J4132" s="2" t="n">
        <x:v>0</x:v>
      </x:c>
      <x:c r="K4132" s="2" t="n">
        <x:v>2</x:v>
      </x:c>
      <x:c r="L4132" s="12" t="n">
        <x:v>1096.06375</x:v>
      </x:c>
      <x:c r="M4132" s="13" t="n">
        <x:v>0.5548639834595918</x:v>
      </x:c>
      <x:c r="N4132" s="13" t="n">
        <x:f>H4132/G4132</x:f>
        <x:v>0.13221396754787787</x:v>
      </x:c>
      <x:c r="O4132" s="13" t="n">
        <x:f>F4132/E4132</x:f>
        <x:v>0</x:v>
      </x:c>
      <x:c r="P4132" s="2" t="str">
        <x:f>IF(AND(E4132&gt;='Итоги'!$F$5,N4132&lt;='Итоги'!$B$5,O4132&gt;='Итоги'!$D$5),"Да","Нет")</x:f>
        <x:v>Нет</x:v>
      </x:c>
    </x:row>
    <x:row r="4133" ht="60" customHeight="1">
      <x:c r="A4133" s="14" t="str">
        <x:v>Товары для животных</x:v>
      </x:c>
      <x:c r="B4133" s="14" t="str">
        <x:v>Гигиена и уход животных</x:v>
      </x:c>
      <x:c r="C4133" s="14" t="str">
        <x:v>Товары для груминга</x:v>
      </x:c>
      <x:c r="D4133" s="14" t="str">
        <x:v>Когтерез</x:v>
      </x:c>
      <x:c r="E4133" s="2" t="n">
        <x:v>27</x:v>
      </x:c>
      <x:c r="F4133" s="2" t="n">
        <x:v>0</x:v>
      </x:c>
      <x:c r="G4133" s="12" t="n">
        <x:v>4723980.9635</x:v>
      </x:c>
      <x:c r="H4133" s="12" t="n">
        <x:v>625919.04312184</x:v>
      </x:c>
      <x:c r="I4133" s="13" t="n">
        <x:v>0.1395259259259259</x:v>
      </x:c>
      <x:c r="J4133" s="2" t="n">
        <x:v>1</x:v>
      </x:c>
      <x:c r="K4133" s="2" t="n">
        <x:v>22</x:v>
      </x:c>
      <x:c r="L4133" s="12" t="n">
        <x:v>1225.8413</x:v>
      </x:c>
      <x:c r="M4133" s="13" t="n">
        <x:v>0.2841756984992981</x:v>
      </x:c>
      <x:c r="N4133" s="13" t="n">
        <x:f>H4133/G4133</x:f>
        <x:v>0.13249821452669366</x:v>
      </x:c>
      <x:c r="O4133" s="13" t="n">
        <x:f>F4133/E4133</x:f>
        <x:v>0</x:v>
      </x:c>
      <x:c r="P4133" s="2" t="str">
        <x:f>IF(AND(E4133&gt;='Итоги'!$F$5,N4133&lt;='Итоги'!$B$5,O4133&gt;='Итоги'!$D$5),"Да","Нет")</x:f>
        <x:v>Нет</x:v>
      </x:c>
    </x:row>
    <x:row r="4134" ht="60" customHeight="1">
      <x:c r="A4134" s="14" t="str">
        <x:v>Товары для животных</x:v>
      </x:c>
      <x:c r="B4134" s="14" t="str">
        <x:v>Спальное место животного</x:v>
      </x:c>
      <x:c r="C4134" s="14" t="str">
        <x:v>Аквариум Оборудование</x:v>
      </x:c>
      <x:c r="D4134" s="14" t="str">
        <x:v>Тесты для аквариумной воды</x:v>
      </x:c>
      <x:c r="E4134" s="2" t="n">
        <x:v>2</x:v>
      </x:c>
      <x:c r="F4134" s="2" t="n">
        <x:v>0</x:v>
      </x:c>
      <x:c r="G4134" s="12" t="n">
        <x:v>492074.42</x:v>
      </x:c>
      <x:c r="H4134" s="12" t="n">
        <x:v>65239.568832</x:v>
      </x:c>
      <x:c r="I4134" s="13" t="n">
        <x:v>0.1326</x:v>
      </x:c>
      <x:c r="J4134" s="2" t="n">
        <x:v>0</x:v>
      </x:c>
      <x:c r="K4134" s="2" t="n">
        <x:v>1</x:v>
      </x:c>
      <x:c r="L4134" s="12" t="n">
        <x:v>1901.15175</x:v>
      </x:c>
      <x:c r="M4134" s="13" t="n">
        <x:v>1</x:v>
      </x:c>
      <x:c r="N4134" s="13" t="n">
        <x:f>H4134/G4134</x:f>
        <x:v>0.13258069548098028</x:v>
      </x:c>
      <x:c r="O4134" s="13" t="n">
        <x:f>F4134/E4134</x:f>
        <x:v>0</x:v>
      </x:c>
      <x:c r="P4134" s="2" t="str">
        <x:f>IF(AND(E4134&gt;='Итоги'!$F$5,N4134&lt;='Итоги'!$B$5,O4134&gt;='Итоги'!$D$5),"Да","Нет")</x:f>
        <x:v>Нет</x:v>
      </x:c>
    </x:row>
    <x:row r="4135" ht="60" customHeight="1">
      <x:c r="A4135" s="14" t="str">
        <x:v>Строительство и ремонт (DIY)</x:v>
      </x:c>
      <x:c r="B4135" s="14" t="str">
        <x:v>Инструменты</x:v>
      </x:c>
      <x:c r="C4135" s="14" t="str">
        <x:v>Измерительный инструмент</x:v>
      </x:c>
      <x:c r="D4135" s="14" t="str">
        <x:v>Рулетка измерительная, мерная лента</x:v>
      </x:c>
      <x:c r="E4135" s="2" t="n">
        <x:v>11</x:v>
      </x:c>
      <x:c r="F4135" s="2" t="n">
        <x:v>0</x:v>
      </x:c>
      <x:c r="G4135" s="12" t="n">
        <x:v>1759078.817</x:v>
      </x:c>
      <x:c r="H4135" s="12" t="n">
        <x:v>233277.54180648</x:v>
      </x:c>
      <x:c r="I4135" s="13" t="n">
        <x:v>0.1021545454545454</x:v>
      </x:c>
      <x:c r="J4135" s="2" t="n">
        <x:v>4</x:v>
      </x:c>
      <x:c r="K4135" s="2" t="n">
        <x:v>5</x:v>
      </x:c>
      <x:c r="L4135" s="12" t="n">
        <x:v>791.7048</x:v>
      </x:c>
      <x:c r="M4135" s="13" t="n">
        <x:v>0.5450054072250248</x:v>
      </x:c>
      <x:c r="N4135" s="13" t="n">
        <x:f>H4135/G4135</x:f>
        <x:v>0.13261346765821466</x:v>
      </x:c>
      <x:c r="O4135" s="13" t="n">
        <x:f>F4135/E4135</x:f>
        <x:v>0</x:v>
      </x:c>
      <x:c r="P4135" s="2" t="str">
        <x:f>IF(AND(E4135&gt;='Итоги'!$F$5,N4135&lt;='Итоги'!$B$5,O4135&gt;='Итоги'!$D$5),"Да","Нет")</x:f>
        <x:v>Нет</x:v>
      </x:c>
    </x:row>
    <x:row r="4136" ht="60" customHeight="1">
      <x:c r="A4136" s="14" t="str">
        <x:v>Спорт и отдых</x:v>
      </x:c>
      <x:c r="B4136" s="14" t="str">
        <x:v>Туризм</x:v>
      </x:c>
      <x:c r="C4136" s="14" t="str">
        <x:v>Снаряжение для альпинизма и скалолазания</x:v>
      </x:c>
      <x:c r="D4136" s="14" t="str">
        <x:v>Каски для альпинизма</x:v>
      </x:c>
      <x:c r="E4136" s="2" t="n">
        <x:v>5</x:v>
      </x:c>
      <x:c r="F4136" s="2" t="n">
        <x:v>0</x:v>
      </x:c>
      <x:c r="G4136" s="12" t="n">
        <x:v>490176</x:v>
      </x:c>
      <x:c r="H4136" s="12" t="n">
        <x:v>65053.3557</x:v>
      </x:c>
      <x:c r="I4136" s="13" t="n">
        <x:v>0.11032</x:v>
      </x:c>
      <x:c r="J4136" s="2" t="n">
        <x:v>1</x:v>
      </x:c>
      <x:c r="K4136" s="2" t="n">
        <x:v>2</x:v>
      </x:c>
      <x:c r="L4136" s="12" t="n">
        <x:v>2505.7105</x:v>
      </x:c>
      <x:c r="M4136" s="13" t="n">
        <x:v>0.989458888236062</x:v>
      </x:c>
      <x:c r="N4136" s="13" t="n">
        <x:f>H4136/G4136</x:f>
        <x:v>0.13271428160497453</x:v>
      </x:c>
      <x:c r="O4136" s="13" t="n">
        <x:f>F4136/E4136</x:f>
        <x:v>0</x:v>
      </x:c>
      <x:c r="P4136" s="2" t="str">
        <x:f>IF(AND(E4136&gt;='Итоги'!$F$5,N4136&lt;='Итоги'!$B$5,O4136&gt;='Итоги'!$D$5),"Да","Нет")</x:f>
        <x:v>Нет</x:v>
      </x:c>
    </x:row>
    <x:row r="4137" ht="60" customHeight="1">
      <x:c r="A4137" s="14" t="str">
        <x:v>Спорт и отдых</x:v>
      </x:c>
      <x:c r="B4137" s="14" t="str">
        <x:v>Товары для охоты</x:v>
      </x:c>
      <x:c r="C4137" s="14" t="str">
        <x:v>Оптика для охоты</x:v>
      </x:c>
      <x:c r="D4137" s="14" t="str">
        <x:v>Бинокль туристический</x:v>
      </x:c>
      <x:c r="E4137" s="2" t="n">
        <x:v>78</x:v>
      </x:c>
      <x:c r="F4137" s="2" t="n">
        <x:v>0</x:v>
      </x:c>
      <x:c r="G4137" s="12" t="n">
        <x:v>13441840.6966</x:v>
      </x:c>
      <x:c r="H4137" s="12" t="n">
        <x:v>1785427.83397961</x:v>
      </x:c>
      <x:c r="I4137" s="13" t="n">
        <x:v>0.1155666666666666</x:v>
      </x:c>
      <x:c r="J4137" s="2" t="n">
        <x:v>19</x:v>
      </x:c>
      <x:c r="K4137" s="2" t="n">
        <x:v>30</x:v>
      </x:c>
      <x:c r="L4137" s="12" t="n">
        <x:v>2215.2734</x:v>
      </x:c>
      <x:c r="M4137" s="13" t="n">
        <x:v>0.3944273301602996</x:v>
      </x:c>
      <x:c r="N4137" s="13" t="n">
        <x:f>H4137/G4137</x:f>
        <x:v>0.13282614146968866</x:v>
      </x:c>
      <x:c r="O4137" s="13" t="n">
        <x:f>F4137/E4137</x:f>
        <x:v>0</x:v>
      </x:c>
      <x:c r="P4137" s="2" t="str">
        <x:f>IF(AND(E4137&gt;='Итоги'!$F$5,N4137&lt;='Итоги'!$B$5,O4137&gt;='Итоги'!$D$5),"Да","Нет")</x:f>
        <x:v>Нет</x:v>
      </x:c>
    </x:row>
    <x:row r="4138" ht="60" customHeight="1">
      <x:c r="A4138" s="14" t="str">
        <x:v>Спорт и отдых</x:v>
      </x:c>
      <x:c r="B4138" s="14" t="str">
        <x:v>Тренажеры и фитнес</x:v>
      </x:c>
      <x:c r="C4138" s="14" t="str">
        <x:v>Кросстренинг и тяжёлая атлетика</x:v>
      </x:c>
      <x:c r="D4138" s="14" t="str">
        <x:v>Канат тренировочный</x:v>
      </x:c>
      <x:c r="E4138" s="2" t="n">
        <x:v>4</x:v>
      </x:c>
      <x:c r="F4138" s="2" t="n">
        <x:v>0</x:v>
      </x:c>
      <x:c r="G4138" s="12" t="n">
        <x:v>408658.8927</x:v>
      </x:c>
      <x:c r="H4138" s="12" t="n">
        <x:v>54296.86317429</x:v>
      </x:c>
      <x:c r="I4138" s="13" t="n">
        <x:v>0.1231</x:v>
      </x:c>
      <x:c r="J4138" s="2" t="n">
        <x:v>0</x:v>
      </x:c>
      <x:c r="K4138" s="2" t="n">
        <x:v>2</x:v>
      </x:c>
      <x:c r="L4138" s="12" t="n">
        <x:v>2476.9803</x:v>
      </x:c>
      <x:c r="M4138" s="13" t="n">
        <x:v>0.5403908314363227</x:v>
      </x:c>
      <x:c r="N4138" s="13" t="n">
        <x:f>H4138/G4138</x:f>
        <x:v>0.1328659773327135</x:v>
      </x:c>
      <x:c r="O4138" s="13" t="n">
        <x:f>F4138/E4138</x:f>
        <x:v>0</x:v>
      </x:c>
      <x:c r="P4138" s="2" t="str">
        <x:f>IF(AND(E4138&gt;='Итоги'!$F$5,N4138&lt;='Итоги'!$B$5,O4138&gt;='Итоги'!$D$5),"Да","Нет")</x:f>
        <x:v>Нет</x:v>
      </x:c>
    </x:row>
    <x:row r="4139" ht="60" customHeight="1">
      <x:c r="A4139" s="14" t="str">
        <x:v>Аксессуары для электроники</x:v>
      </x:c>
      <x:c r="B4139" s="14" t="str">
        <x:v>Аксессуары для КБТ Access</x:v>
      </x:c>
      <x:c r="C4139" s="14" t="str">
        <x:v>Аксессуары для стиральной машины Access</x:v>
      </x:c>
      <x:c r="D4139" s="14" t="str">
        <x:v>Антивибрационные подставки для стиральных машин</x:v>
      </x:c>
      <x:c r="E4139" s="2" t="n">
        <x:v>4</x:v>
      </x:c>
      <x:c r="F4139" s="2" t="n">
        <x:v>0</x:v>
      </x:c>
      <x:c r="G4139" s="12" t="n">
        <x:v>469524.9812</x:v>
      </x:c>
      <x:c r="H4139" s="12" t="n">
        <x:v>62548.55111356</x:v>
      </x:c>
      <x:c r="I4139" s="13" t="n">
        <x:v>0.1358</x:v>
      </x:c>
      <x:c r="J4139" s="2" t="n">
        <x:v>1</x:v>
      </x:c>
      <x:c r="K4139" s="2" t="n">
        <x:v>4</x:v>
      </x:c>
      <x:c r="L4139" s="12" t="n">
        <x:v>1050.50285</x:v>
      </x:c>
      <x:c r="M4139" s="13" t="n">
        <x:v>0.3652043309000403</x:v>
      </x:c>
      <x:c r="N4139" s="13" t="n">
        <x:f>H4139/G4139</x:f>
        <x:v>0.1332166628359156</x:v>
      </x:c>
      <x:c r="O4139" s="13" t="n">
        <x:f>F4139/E4139</x:f>
        <x:v>0</x:v>
      </x:c>
      <x:c r="P4139" s="2" t="str">
        <x:f>IF(AND(E4139&gt;='Итоги'!$F$5,N4139&lt;='Итоги'!$B$5,O4139&gt;='Итоги'!$D$5),"Да","Нет")</x:f>
        <x:v>Нет</x:v>
      </x:c>
    </x:row>
    <x:row r="4140" ht="60" customHeight="1">
      <x:c r="A4140" s="14" t="str">
        <x:v>Хобби и творчество</x:v>
      </x:c>
      <x:c r="B4140" s="14" t="str">
        <x:v>Детское творчество и хобби</x:v>
      </x:c>
      <x:c r="C4140" s="14" t="str">
        <x:v>Лепка для детей</x:v>
      </x:c>
      <x:c r="D4140" s="14" t="str">
        <x:v>Набор для создания слепков</x:v>
      </x:c>
      <x:c r="E4140" s="2" t="n">
        <x:v>6</x:v>
      </x:c>
      <x:c r="F4140" s="2" t="n">
        <x:v>0</x:v>
      </x:c>
      <x:c r="G4140" s="12" t="n">
        <x:v>356867.32</x:v>
      </x:c>
      <x:c r="H4140" s="12" t="n">
        <x:v>47544.024016</x:v>
      </x:c>
      <x:c r="I4140" s="13" t="n">
        <x:v>0.1327666666666666</x:v>
      </x:c>
      <x:c r="J4140" s="2" t="n">
        <x:v>1</x:v>
      </x:c>
      <x:c r="K4140" s="2" t="n">
        <x:v>4</x:v>
      </x:c>
      <x:c r="L4140" s="12" t="n">
        <x:v>1092.3194</x:v>
      </x:c>
      <x:c r="M4140" s="13" t="n">
        <x:v>0.3515265001009339</x:v>
      </x:c>
      <x:c r="N4140" s="13" t="n">
        <x:f>H4140/G4140</x:f>
        <x:v>0.1332260516765727</x:v>
      </x:c>
      <x:c r="O4140" s="13" t="n">
        <x:f>F4140/E4140</x:f>
        <x:v>0</x:v>
      </x:c>
      <x:c r="P4140" s="2" t="str">
        <x:f>IF(AND(E4140&gt;='Итоги'!$F$5,N4140&lt;='Итоги'!$B$5,O4140&gt;='Итоги'!$D$5),"Да","Нет")</x:f>
        <x:v>Нет</x:v>
      </x:c>
    </x:row>
    <x:row r="4141" ht="60" customHeight="1">
      <x:c r="A4141" s="14" t="str">
        <x:v>Автотовары</x:v>
      </x:c>
      <x:c r="B4141" s="14" t="str">
        <x:v>Универсальные авто и мото аксессуары</x:v>
      </x:c>
      <x:c r="C4141" s="14" t="str">
        <x:v>Автотовары в дорогу</x:v>
      </x:c>
      <x:c r="D4141" s="14" t="str">
        <x:v>Автомобильная щетка, скребок, водосгон</x:v>
      </x:c>
      <x:c r="E4141" s="2" t="n">
        <x:v>14</x:v>
      </x:c>
      <x:c r="F4141" s="2" t="n">
        <x:v>0</x:v>
      </x:c>
      <x:c r="G4141" s="12" t="n">
        <x:v>1937514.2482</x:v>
      </x:c>
      <x:c r="H4141" s="12" t="n">
        <x:v>258350.19195725</x:v>
      </x:c>
      <x:c r="I4141" s="13" t="n">
        <x:v>0.1472857142857142</x:v>
      </x:c>
      <x:c r="J4141" s="2" t="n">
        <x:v>0</x:v>
      </x:c>
      <x:c r="K4141" s="2" t="n">
        <x:v>9</x:v>
      </x:c>
      <x:c r="L4141" s="12" t="n">
        <x:v>1070.2768999999998</x:v>
      </x:c>
      <x:c r="M4141" s="13" t="n">
        <x:v>0.3350299378717106</x:v>
      </x:c>
      <x:c r="N4141" s="13" t="n">
        <x:f>H4141/G4141</x:f>
        <x:v>0.13334105398051338</x:v>
      </x:c>
      <x:c r="O4141" s="13" t="n">
        <x:f>F4141/E4141</x:f>
        <x:v>0</x:v>
      </x:c>
      <x:c r="P4141" s="2" t="str">
        <x:f>IF(AND(E4141&gt;='Итоги'!$F$5,N4141&lt;='Итоги'!$B$5,O4141&gt;='Итоги'!$D$5),"Да","Нет")</x:f>
        <x:v>Нет</x:v>
      </x:c>
    </x:row>
    <x:row r="4142" ht="60" customHeight="1">
      <x:c r="A4142" s="14" t="str">
        <x:v>Товары для детей и спорта</x:v>
      </x:c>
      <x:c r="B4142" s="14" t="str">
        <x:v>Текстиль детский</x:v>
      </x:c>
      <x:c r="C4142" s="14" t="str">
        <x:v>Остальной текстиль для малышей</x:v>
      </x:c>
      <x:c r="D4142" s="14" t="str">
        <x:v>Комплект в коляску</x:v>
      </x:c>
      <x:c r="E4142" s="2" t="n">
        <x:v>4</x:v>
      </x:c>
      <x:c r="F4142" s="2" t="n">
        <x:v>0</x:v>
      </x:c>
      <x:c r="G4142" s="12" t="n">
        <x:v>407774.0256</x:v>
      </x:c>
      <x:c r="H4142" s="12" t="n">
        <x:v>54418.89542076</x:v>
      </x:c>
      <x:c r="I4142" s="13" t="n">
        <x:v>0.1409</x:v>
      </x:c>
      <x:c r="J4142" s="2" t="n">
        <x:v>0</x:v>
      </x:c>
      <x:c r="K4142" s="2" t="n">
        <x:v>1</x:v>
      </x:c>
      <x:c r="L4142" s="12" t="n">
        <x:v>957.57765</x:v>
      </x:c>
      <x:c r="M4142" s="13" t="n">
        <x:v>1</x:v>
      </x:c>
      <x:c r="N4142" s="13" t="n">
        <x:f>H4142/G4142</x:f>
        <x:v>0.13345356007089434</x:v>
      </x:c>
      <x:c r="O4142" s="13" t="n">
        <x:f>F4142/E4142</x:f>
        <x:v>0</x:v>
      </x:c>
      <x:c r="P4142" s="2" t="str">
        <x:f>IF(AND(E4142&gt;='Итоги'!$F$5,N4142&lt;='Итоги'!$B$5,O4142&gt;='Итоги'!$D$5),"Да","Нет")</x:f>
        <x:v>Нет</x:v>
      </x:c>
    </x:row>
    <x:row r="4143" ht="60" customHeight="1">
      <x:c r="A4143" s="14" t="str">
        <x:v>Аксессуары для электроники</x:v>
      </x:c>
      <x:c r="B4143" s="14" t="str">
        <x:v>Аксессуары для мобильных устройств Access</x:v>
      </x:c>
      <x:c r="C4143" s="14" t="str">
        <x:v>Аксессуары для планшетных компьютеров, электронных книг Access</x:v>
      </x:c>
      <x:c r="D4143" s="14" t="str">
        <x:v>Чехол с клавиатурой для планшетного компьютера Apple</x:v>
      </x:c>
      <x:c r="E4143" s="2" t="n">
        <x:v>1</x:v>
      </x:c>
      <x:c r="F4143" s="2" t="n">
        <x:v>0</x:v>
      </x:c>
      <x:c r="G4143" s="12" t="n">
        <x:v>140309</x:v>
      </x:c>
      <x:c r="H4143" s="12" t="n">
        <x:v>18731.2515</x:v>
      </x:c>
      <x:c r="I4143" s="13" t="n">
        <x:v>0.1335</x:v>
      </x:c>
      <x:c r="J4143" s="2" t="n">
        <x:v>0</x:v>
      </x:c>
      <x:c r="K4143" s="2" t="n">
        <x:v>1</x:v>
      </x:c>
      <x:c r="L4143" s="12" t="n">
        <x:v>1753.8625</x:v>
      </x:c>
      <x:c r="M4143" s="13" t="n">
        <x:v>1</x:v>
      </x:c>
      <x:c r="N4143" s="13" t="n">
        <x:f>H4143/G4143</x:f>
        <x:v>0.13349999999999998</x:v>
      </x:c>
      <x:c r="O4143" s="13" t="n">
        <x:f>F4143/E4143</x:f>
        <x:v>0</x:v>
      </x:c>
      <x:c r="P4143" s="2" t="str">
        <x:f>IF(AND(E4143&gt;='Итоги'!$F$5,N4143&lt;='Итоги'!$B$5,O4143&gt;='Итоги'!$D$5),"Да","Нет")</x:f>
        <x:v>Нет</x:v>
      </x:c>
    </x:row>
    <x:row r="4144" ht="60" customHeight="1">
      <x:c r="A4144" s="14" t="str">
        <x:v>Товары для дома</x:v>
      </x:c>
      <x:c r="B4144" s="14" t="str">
        <x:v>Кухня</x:v>
      </x:c>
      <x:c r="C4144" s="14" t="str">
        <x:v>Кухонная навеска</x:v>
      </x:c>
      <x:c r="D4144" s="14" t="str">
        <x:v>Набор кухонной навески</x:v>
      </x:c>
      <x:c r="E4144" s="2" t="n">
        <x:v>62</x:v>
      </x:c>
      <x:c r="F4144" s="2" t="n">
        <x:v>0</x:v>
      </x:c>
      <x:c r="G4144" s="12" t="n">
        <x:v>10177440.813</x:v>
      </x:c>
      <x:c r="H4144" s="12" t="n">
        <x:v>1358898.65443189</x:v>
      </x:c>
      <x:c r="I4144" s="13" t="n">
        <x:v>0.1399338709677419</x:v>
      </x:c>
      <x:c r="J4144" s="2" t="n">
        <x:v>3</x:v>
      </x:c>
      <x:c r="K4144" s="2" t="n">
        <x:v>18</x:v>
      </x:c>
      <x:c r="L4144" s="12" t="n">
        <x:v>1265.6500999999998</x:v>
      </x:c>
      <x:c r="M4144" s="13" t="n">
        <x:v>0.6575215920639126</x:v>
      </x:c>
      <x:c r="N4144" s="13" t="n">
        <x:f>H4144/G4144</x:f>
        <x:v>0.1335206639272342</x:v>
      </x:c>
      <x:c r="O4144" s="13" t="n">
        <x:f>F4144/E4144</x:f>
        <x:v>0</x:v>
      </x:c>
      <x:c r="P4144" s="2" t="str">
        <x:f>IF(AND(E4144&gt;='Итоги'!$F$5,N4144&lt;='Итоги'!$B$5,O4144&gt;='Итоги'!$D$5),"Да","Нет")</x:f>
        <x:v>Нет</x:v>
      </x:c>
    </x:row>
    <x:row r="4145" ht="60" customHeight="1">
      <x:c r="A4145" s="14" t="str">
        <x:v>Хобби и творчество</x:v>
      </x:c>
      <x:c r="B4145" s="14" t="str">
        <x:v>Детское творчество и хобби</x:v>
      </x:c>
      <x:c r="C4145" s="14" t="str">
        <x:v>Рисование для детей</x:v>
      </x:c>
      <x:c r="D4145" s="14" t="str">
        <x:v>Набор для рисования</x:v>
      </x:c>
      <x:c r="E4145" s="2" t="n">
        <x:v>17</x:v>
      </x:c>
      <x:c r="F4145" s="2" t="n">
        <x:v>0</x:v>
      </x:c>
      <x:c r="G4145" s="12" t="n">
        <x:v>1466776.1341</x:v>
      </x:c>
      <x:c r="H4145" s="12" t="n">
        <x:v>195923.36210487</x:v>
      </x:c>
      <x:c r="I4145" s="13" t="n">
        <x:v>0.1215588235294117</x:v>
      </x:c>
      <x:c r="J4145" s="2" t="n">
        <x:v>2</x:v>
      </x:c>
      <x:c r="K4145" s="2" t="n">
        <x:v>5</x:v>
      </x:c>
      <x:c r="L4145" s="12" t="n">
        <x:v>989.6735</x:v>
      </x:c>
      <x:c r="M4145" s="13" t="n">
        <x:v>0.6547434408518442</x:v>
      </x:c>
      <x:c r="N4145" s="13" t="n">
        <x:f>H4145/G4145</x:f>
        <x:v>0.1335741409680672</x:v>
      </x:c>
      <x:c r="O4145" s="13" t="n">
        <x:f>F4145/E4145</x:f>
        <x:v>0</x:v>
      </x:c>
      <x:c r="P4145" s="2" t="str">
        <x:f>IF(AND(E4145&gt;='Итоги'!$F$5,N4145&lt;='Итоги'!$B$5,O4145&gt;='Итоги'!$D$5),"Да","Нет")</x:f>
        <x:v>Нет</x:v>
      </x:c>
    </x:row>
    <x:row r="4146" ht="60" customHeight="1">
      <x:c r="A4146" s="14" t="str">
        <x:v>Товары для дома</x:v>
      </x:c>
      <x:c r="B4146" s="14" t="str">
        <x:v>Аксессуары для уборки и стирки</x:v>
      </x:c>
      <x:c r="C4146" s="14" t="str">
        <x:v>Принадлежности для сушки, глажения</x:v>
      </x:c>
      <x:c r="D4146" s="14" t="str">
        <x:v>Чехол для гладильной доски</x:v>
      </x:c>
      <x:c r="E4146" s="2" t="n">
        <x:v>23</x:v>
      </x:c>
      <x:c r="F4146" s="2" t="n">
        <x:v>0</x:v>
      </x:c>
      <x:c r="G4146" s="12" t="n">
        <x:v>2786552.8701</x:v>
      </x:c>
      <x:c r="H4146" s="12" t="n">
        <x:v>372430.27920531</x:v>
      </x:c>
      <x:c r="I4146" s="13" t="n">
        <x:v>0.1358478260869565</x:v>
      </x:c>
      <x:c r="J4146" s="2" t="n">
        <x:v>2</x:v>
      </x:c>
      <x:c r="K4146" s="2" t="n">
        <x:v>10</x:v>
      </x:c>
      <x:c r="L4146" s="12" t="n">
        <x:v>932.5846</x:v>
      </x:c>
      <x:c r="M4146" s="13" t="n">
        <x:v>0.3802823907884338</x:v>
      </x:c>
      <x:c r="N4146" s="13" t="n">
        <x:f>H4146/G4146</x:f>
        <x:v>0.13365268723286228</x:v>
      </x:c>
      <x:c r="O4146" s="13" t="n">
        <x:f>F4146/E4146</x:f>
        <x:v>0</x:v>
      </x:c>
      <x:c r="P4146" s="2" t="str">
        <x:f>IF(AND(E4146&gt;='Итоги'!$F$5,N4146&lt;='Итоги'!$B$5,O4146&gt;='Итоги'!$D$5),"Да","Нет")</x:f>
        <x:v>Нет</x:v>
      </x:c>
    </x:row>
    <x:row r="4147" ht="60" customHeight="1">
      <x:c r="A4147" s="14" t="str">
        <x:v>Автотовары</x:v>
      </x:c>
      <x:c r="B4147" s="14" t="str">
        <x:v>Масла и автохимия</x:v>
      </x:c>
      <x:c r="C4147" s="14" t="str">
        <x:v>Технические автомобильные жидкости</x:v>
      </x:c>
      <x:c r="D4147" s="14" t="str">
        <x:v>Автохимия - Вода дистиллированная</x:v>
      </x:c>
      <x:c r="E4147" s="2" t="n">
        <x:v>7</x:v>
      </x:c>
      <x:c r="F4147" s="2" t="n">
        <x:v>0</x:v>
      </x:c>
      <x:c r="G4147" s="12" t="n">
        <x:v>887584.8192</x:v>
      </x:c>
      <x:c r="H4147" s="12" t="n">
        <x:v>118693.78770785</x:v>
      </x:c>
      <x:c r="I4147" s="13" t="n">
        <x:v>0.1379428571428571</x:v>
      </x:c>
      <x:c r="J4147" s="2" t="n">
        <x:v>0</x:v>
      </x:c>
      <x:c r="K4147" s="2" t="n">
        <x:v>5</x:v>
      </x:c>
      <x:c r="L4147" s="12" t="n">
        <x:v>752.0085</x:v>
      </x:c>
      <x:c r="M4147" s="13" t="n">
        <x:v>0.3858280387317376</x:v>
      </x:c>
      <x:c r="N4147" s="13" t="n">
        <x:f>H4147/G4147</x:f>
        <x:v>0.13372669872253037</x:v>
      </x:c>
      <x:c r="O4147" s="13" t="n">
        <x:f>F4147/E4147</x:f>
        <x:v>0</x:v>
      </x:c>
      <x:c r="P4147" s="2" t="str">
        <x:f>IF(AND(E4147&gt;='Итоги'!$F$5,N4147&lt;='Итоги'!$B$5,O4147&gt;='Итоги'!$D$5),"Да","Нет")</x:f>
        <x:v>Нет</x:v>
      </x:c>
    </x:row>
    <x:row r="4148" ht="60" customHeight="1">
      <x:c r="A4148" s="14" t="str">
        <x:v>Строительство и ремонт (DIY)</x:v>
      </x:c>
      <x:c r="B4148" s="14" t="str">
        <x:v>Инструменты</x:v>
      </x:c>
      <x:c r="C4148" s="14" t="str">
        <x:v>Оснастка для инструмента</x:v>
      </x:c>
      <x:c r="D4148" s="14" t="str">
        <x:v>Фрезы, ножи, лезвия</x:v>
      </x:c>
      <x:c r="E4148" s="2" t="n">
        <x:v>22</x:v>
      </x:c>
      <x:c r="F4148" s="2" t="n">
        <x:v>0</x:v>
      </x:c>
      <x:c r="G4148" s="12" t="n">
        <x:v>3965734.0173</x:v>
      </x:c>
      <x:c r="H4148" s="12" t="n">
        <x:v>530413.56240703</x:v>
      </x:c>
      <x:c r="I4148" s="13" t="n">
        <x:v>0.1218045454545454</x:v>
      </x:c>
      <x:c r="J4148" s="2" t="n">
        <x:v>0</x:v>
      </x:c>
      <x:c r="K4148" s="2" t="n">
        <x:v>10</x:v>
      </x:c>
      <x:c r="L4148" s="12" t="n">
        <x:v>1131.17475</x:v>
      </x:c>
      <x:c r="M4148" s="13" t="n">
        <x:v>0.5839702510045592</x:v>
      </x:c>
      <x:c r="N4148" s="13" t="n">
        <x:f>H4148/G4148</x:f>
        <x:v>0.1337491521350574</x:v>
      </x:c>
      <x:c r="O4148" s="13" t="n">
        <x:f>F4148/E4148</x:f>
        <x:v>0</x:v>
      </x:c>
      <x:c r="P4148" s="2" t="str">
        <x:f>IF(AND(E4148&gt;='Итоги'!$F$5,N4148&lt;='Итоги'!$B$5,O4148&gt;='Итоги'!$D$5),"Да","Нет")</x:f>
        <x:v>Нет</x:v>
      </x:c>
    </x:row>
    <x:row r="4149" ht="60" customHeight="1">
      <x:c r="A4149" s="14" t="str">
        <x:v>Аксессуары</x:v>
      </x:c>
      <x:c r="B4149" s="14" t="str">
        <x:v>Бижутерия и часы бижутерные</x:v>
      </x:c>
      <x:c r="C4149" s="14" t="str">
        <x:v>Бижутерия</x:v>
      </x:c>
      <x:c r="D4149" s="14" t="str">
        <x:v>Бижу комплект украшений</x:v>
      </x:c>
      <x:c r="E4149" s="2" t="n">
        <x:v>3</x:v>
      </x:c>
      <x:c r="F4149" s="2" t="n">
        <x:v>0</x:v>
      </x:c>
      <x:c r="G4149" s="12" t="n">
        <x:v>310767.4012</x:v>
      </x:c>
      <x:c r="H4149" s="12" t="n">
        <x:v>41583.126051</x:v>
      </x:c>
      <x:c r="I4149" s="13" t="n">
        <x:v>0.1514333333333333</x:v>
      </x:c>
      <x:c r="J4149" s="2" t="n">
        <x:v>1</x:v>
      </x:c>
      <x:c r="K4149" s="2" t="n">
        <x:v>3</x:v>
      </x:c>
      <x:c r="L4149" s="12" t="n">
        <x:v>1059</x:v>
      </x:c>
      <x:c r="M4149" s="13" t="n">
        <x:v>0.4019743728513054</x:v>
      </x:c>
      <x:c r="N4149" s="13" t="n">
        <x:f>H4149/G4149</x:f>
        <x:v>0.13380787653541054</x:v>
      </x:c>
      <x:c r="O4149" s="13" t="n">
        <x:f>F4149/E4149</x:f>
        <x:v>0</x:v>
      </x:c>
      <x:c r="P4149" s="2" t="str">
        <x:f>IF(AND(E4149&gt;='Итоги'!$F$5,N4149&lt;='Итоги'!$B$5,O4149&gt;='Итоги'!$D$5),"Да","Нет")</x:f>
        <x:v>Нет</x:v>
      </x:c>
    </x:row>
    <x:row r="4150" ht="60" customHeight="1">
      <x:c r="A4150" s="14" t="str">
        <x:v>Товары для дома</x:v>
      </x:c>
      <x:c r="B4150" s="14" t="str">
        <x:v>Кухня</x:v>
      </x:c>
      <x:c r="C4150" s="14" t="str">
        <x:v>Питьевое стекло, аксессуар для бара, сосуд для жидкости</x:v>
      </x:c>
      <x:c r="D4150" s="14" t="str">
        <x:v>Набор для коньяка, бренди</x:v>
      </x:c>
      <x:c r="E4150" s="2" t="n">
        <x:v>2</x:v>
      </x:c>
      <x:c r="F4150" s="2" t="n">
        <x:v>0</x:v>
      </x:c>
      <x:c r="G4150" s="12" t="n">
        <x:v>277728.9172</x:v>
      </x:c>
      <x:c r="H4150" s="12" t="n">
        <x:v>37164.46200144</x:v>
      </x:c>
      <x:c r="I4150" s="13" t="n">
        <x:v>0.1215</x:v>
      </x:c>
      <x:c r="J4150" s="2" t="n">
        <x:v>0</x:v>
      </x:c>
      <x:c r="K4150" s="2" t="n">
        <x:v>2</x:v>
      </x:c>
      <x:c r="L4150" s="12" t="n">
        <x:v>6178.02645</x:v>
      </x:c>
      <x:c r="M4150" s="13" t="n">
        <x:v>0.6093747878551841</x:v>
      </x:c>
      <x:c r="N4150" s="13" t="n">
        <x:f>H4150/G4150</x:f>
        <x:v>0.13381560111249372</x:v>
      </x:c>
      <x:c r="O4150" s="13" t="n">
        <x:f>F4150/E4150</x:f>
        <x:v>0</x:v>
      </x:c>
      <x:c r="P4150" s="2" t="str">
        <x:f>IF(AND(E4150&gt;='Итоги'!$F$5,N4150&lt;='Итоги'!$B$5,O4150&gt;='Итоги'!$D$5),"Да","Нет")</x:f>
        <x:v>Нет</x:v>
      </x:c>
    </x:row>
    <x:row r="4151" ht="60" customHeight="1">
      <x:c r="A4151" s="14" t="str">
        <x:v>Товары для красоты и здоровья</x:v>
      </x:c>
      <x:c r="B4151" s="14" t="str">
        <x:v>Косметическая техника</x:v>
      </x:c>
      <x:c r="C4151" s="14" t="str">
        <x:v>Массажная техника</x:v>
      </x:c>
      <x:c r="D4151" s="14" t="str">
        <x:v>Механический массажер для головы</x:v>
      </x:c>
      <x:c r="E4151" s="2" t="n">
        <x:v>1</x:v>
      </x:c>
      <x:c r="F4151" s="2" t="n">
        <x:v>0</x:v>
      </x:c>
      <x:c r="G4151" s="12" t="n">
        <x:v>197490.7643</x:v>
      </x:c>
      <x:c r="H4151" s="12" t="n">
        <x:v>26444.01333977</x:v>
      </x:c>
      <x:c r="I4151" s="13" t="n">
        <x:v>0.1339</x:v>
      </x:c>
      <x:c r="J4151" s="2" t="n">
        <x:v>0</x:v>
      </x:c>
      <x:c r="K4151" s="2" t="n">
        <x:v>1</x:v>
      </x:c>
      <x:c r="L4151" s="12" t="n">
        <x:v>128.0744</x:v>
      </x:c>
      <x:c r="M4151" s="13" t="n">
        <x:v>1</x:v>
      </x:c>
      <x:c r="N4151" s="13" t="n">
        <x:f>H4151/G4151</x:f>
        <x:v>0.1339</x:v>
      </x:c>
      <x:c r="O4151" s="13" t="n">
        <x:f>F4151/E4151</x:f>
        <x:v>0</x:v>
      </x:c>
      <x:c r="P4151" s="2" t="str">
        <x:f>IF(AND(E4151&gt;='Итоги'!$F$5,N4151&lt;='Итоги'!$B$5,O4151&gt;='Итоги'!$D$5),"Да","Нет")</x:f>
        <x:v>Нет</x:v>
      </x:c>
    </x:row>
    <x:row r="4152" ht="60" customHeight="1">
      <x:c r="A4152" s="14" t="str">
        <x:v>Товары для дома</x:v>
      </x:c>
      <x:c r="B4152" s="14" t="str">
        <x:v>Кухня</x:v>
      </x:c>
      <x:c r="C4152" s="14" t="str">
        <x:v>Посуда для чая и кофе</x:v>
      </x:c>
      <x:c r="D4152" s="14" t="str">
        <x:v>Подстаканник</x:v>
      </x:c>
      <x:c r="E4152" s="2" t="n">
        <x:v>6</x:v>
      </x:c>
      <x:c r="F4152" s="2" t="n">
        <x:v>0</x:v>
      </x:c>
      <x:c r="G4152" s="12" t="n">
        <x:v>475468.7394</x:v>
      </x:c>
      <x:c r="H4152" s="12" t="n">
        <x:v>63688.67895688</x:v>
      </x:c>
      <x:c r="I4152" s="13" t="n">
        <x:v>0.1067666666666666</x:v>
      </x:c>
      <x:c r="J4152" s="2" t="n">
        <x:v>1</x:v>
      </x:c>
      <x:c r="K4152" s="2" t="n">
        <x:v>2</x:v>
      </x:c>
      <x:c r="L4152" s="12" t="n">
        <x:v>2733.85635</x:v>
      </x:c>
      <x:c r="M4152" s="13" t="n">
        <x:v>0.7576349600913427</x:v>
      </x:c>
      <x:c r="N4152" s="13" t="n">
        <x:f>H4152/G4152</x:f>
        <x:v>0.13394924561654578</x:v>
      </x:c>
      <x:c r="O4152" s="13" t="n">
        <x:f>F4152/E4152</x:f>
        <x:v>0</x:v>
      </x:c>
      <x:c r="P4152" s="2" t="str">
        <x:f>IF(AND(E4152&gt;='Итоги'!$F$5,N4152&lt;='Итоги'!$B$5,O4152&gt;='Итоги'!$D$5),"Да","Нет")</x:f>
        <x:v>Нет</x:v>
      </x:c>
    </x:row>
    <x:row r="4153" ht="60" customHeight="1">
      <x:c r="A4153" s="14" t="str">
        <x:v>Строительство и ремонт (DIY)</x:v>
      </x:c>
      <x:c r="B4153" s="14" t="str">
        <x:v>Сад и огород</x:v>
      </x:c>
      <x:c r="C4153" s="14" t="str">
        <x:v>Садовый инструмент</x:v>
      </x:c>
      <x:c r="D4153" s="14" t="str">
        <x:v>Грабли</x:v>
      </x:c>
      <x:c r="E4153" s="2" t="n">
        <x:v>8</x:v>
      </x:c>
      <x:c r="F4153" s="2" t="n">
        <x:v>0</x:v>
      </x:c>
      <x:c r="G4153" s="12" t="n">
        <x:v>1051602.9314</x:v>
      </x:c>
      <x:c r="H4153" s="12" t="n">
        <x:v>140880.64594212</x:v>
      </x:c>
      <x:c r="I4153" s="13" t="n">
        <x:v>0.1433</x:v>
      </x:c>
      <x:c r="J4153" s="2" t="n">
        <x:v>1</x:v>
      </x:c>
      <x:c r="K4153" s="2" t="n">
        <x:v>3</x:v>
      </x:c>
      <x:c r="L4153" s="12" t="n">
        <x:v>2362.36845</x:v>
      </x:c>
      <x:c r="M4153" s="13" t="n">
        <x:v>0.8611252098683528</x:v>
      </x:c>
      <x:c r="N4153" s="13" t="n">
        <x:f>H4153/G4153</x:f>
        <x:v>0.1339675287463924</x:v>
      </x:c>
      <x:c r="O4153" s="13" t="n">
        <x:f>F4153/E4153</x:f>
        <x:v>0</x:v>
      </x:c>
      <x:c r="P4153" s="2" t="str">
        <x:f>IF(AND(E4153&gt;='Итоги'!$F$5,N4153&lt;='Итоги'!$B$5,O4153&gt;='Итоги'!$D$5),"Да","Нет")</x:f>
        <x:v>Нет</x:v>
      </x:c>
    </x:row>
    <x:row r="4154" ht="60" customHeight="1">
      <x:c r="A4154" s="14" t="str">
        <x:v>Аксессуары</x:v>
      </x:c>
      <x:c r="B4154" s="14" t="str">
        <x:v>Ювелирные изделия</x:v>
      </x:c>
      <x:c r="C4154" s="14" t="str">
        <x:v>Брошь ювелирная</x:v>
      </x:c>
      <x:c r="D4154" s="14" t="str">
        <x:v>Серебро значок</x:v>
      </x:c>
      <x:c r="E4154" s="2" t="n">
        <x:v>1</x:v>
      </x:c>
      <x:c r="F4154" s="2" t="n">
        <x:v>0</x:v>
      </x:c>
      <x:c r="G4154" s="12" t="n">
        <x:v>83933.3</x:v>
      </x:c>
      <x:c r="H4154" s="12" t="n">
        <x:v>11247.0622</x:v>
      </x:c>
      <x:c r="I4154" s="13" t="n">
        <x:v>0.134</x:v>
      </x:c>
      <x:c r="J4154" s="2" t="n">
        <x:v>0</x:v>
      </x:c>
      <x:c r="K4154" s="2" t="n">
        <x:v>1</x:v>
      </x:c>
      <x:c r="L4154" s="12" t="n">
        <x:v>1422.5983</x:v>
      </x:c>
      <x:c r="M4154" s="13" t="n">
        <x:v>1</x:v>
      </x:c>
      <x:c r="N4154" s="13" t="n">
        <x:f>H4154/G4154</x:f>
        <x:v>0.134</x:v>
      </x:c>
      <x:c r="O4154" s="13" t="n">
        <x:f>F4154/E4154</x:f>
        <x:v>0</x:v>
      </x:c>
      <x:c r="P4154" s="2" t="str">
        <x:f>IF(AND(E4154&gt;='Итоги'!$F$5,N4154&lt;='Итоги'!$B$5,O4154&gt;='Итоги'!$D$5),"Да","Нет")</x:f>
        <x:v>Нет</x:v>
      </x:c>
    </x:row>
    <x:row r="4155" ht="60" customHeight="1">
      <x:c r="A4155" s="14" t="str">
        <x:v>Аптека</x:v>
      </x:c>
      <x:c r="B4155" s="14" t="str">
        <x:v>Товары для взрослых</x:v>
      </x:c>
      <x:c r="C4155" s="14" t="str">
        <x:v>Секс игрушки</x:v>
      </x:c>
      <x:c r="D4155" s="14" t="str">
        <x:v>Массажер простаты</x:v>
      </x:c>
      <x:c r="E4155" s="2" t="n">
        <x:v>30</x:v>
      </x:c>
      <x:c r="F4155" s="2" t="n">
        <x:v>0</x:v>
      </x:c>
      <x:c r="G4155" s="12" t="n">
        <x:v>5454245.0481</x:v>
      </x:c>
      <x:c r="H4155" s="12" t="n">
        <x:v>731268.49424908</x:v>
      </x:c>
      <x:c r="I4155" s="13" t="n">
        <x:v>0.1335733333333333</x:v>
      </x:c>
      <x:c r="J4155" s="2" t="n">
        <x:v>3</x:v>
      </x:c>
      <x:c r="K4155" s="2" t="n">
        <x:v>17</x:v>
      </x:c>
      <x:c r="L4155" s="12" t="n">
        <x:v>1575.0142</x:v>
      </x:c>
      <x:c r="M4155" s="13" t="n">
        <x:v>0.4437985209966349</x:v>
      </x:c>
      <x:c r="N4155" s="13" t="n">
        <x:f>H4155/G4155</x:f>
        <x:v>0.1340732746329062</x:v>
      </x:c>
      <x:c r="O4155" s="13" t="n">
        <x:f>F4155/E4155</x:f>
        <x:v>0</x:v>
      </x:c>
      <x:c r="P4155" s="2" t="str">
        <x:f>IF(AND(E4155&gt;='Итоги'!$F$5,N4155&lt;='Итоги'!$B$5,O4155&gt;='Итоги'!$D$5),"Да","Нет")</x:f>
        <x:v>Нет</x:v>
      </x:c>
    </x:row>
    <x:row r="4156" ht="60" customHeight="1">
      <x:c r="A4156" s="14" t="str">
        <x:v>Мелкая бытовая техника</x:v>
      </x:c>
      <x:c r="B4156" s="14" t="str">
        <x:v>Мелкая бытовая техника SDA</x:v>
      </x:c>
      <x:c r="C4156" s="14" t="str">
        <x:v>Электронные товары для красоты и здоровья SDA</x:v>
      </x:c>
      <x:c r="D4156" s="14" t="str">
        <x:v>Стайлер</x:v>
      </x:c>
      <x:c r="E4156" s="2" t="n">
        <x:v>62</x:v>
      </x:c>
      <x:c r="F4156" s="2" t="n">
        <x:v>0</x:v>
      </x:c>
      <x:c r="G4156" s="12" t="n">
        <x:v>11801677.9052</x:v>
      </x:c>
      <x:c r="H4156" s="12" t="n">
        <x:v>1584036.61128483</x:v>
      </x:c>
      <x:c r="I4156" s="13" t="n">
        <x:v>0.1321403225806451</x:v>
      </x:c>
      <x:c r="J4156" s="2" t="n">
        <x:v>13</x:v>
      </x:c>
      <x:c r="K4156" s="2" t="n">
        <x:v>26</x:v>
      </x:c>
      <x:c r="L4156" s="12" t="n">
        <x:v>2348.9974</x:v>
      </x:c>
      <x:c r="M4156" s="13" t="n">
        <x:v>0.4721428765010487</x:v>
      </x:c>
      <x:c r="N4156" s="13" t="n">
        <x:f>H4156/G4156</x:f>
        <x:v>0.13422130514059183</x:v>
      </x:c>
      <x:c r="O4156" s="13" t="n">
        <x:f>F4156/E4156</x:f>
        <x:v>0</x:v>
      </x:c>
      <x:c r="P4156" s="2" t="str">
        <x:f>IF(AND(E4156&gt;='Итоги'!$F$5,N4156&lt;='Итоги'!$B$5,O4156&gt;='Итоги'!$D$5),"Да","Нет")</x:f>
        <x:v>Нет</x:v>
      </x:c>
    </x:row>
    <x:row r="4157" ht="60" customHeight="1">
      <x:c r="A4157" s="14" t="str">
        <x:v>Мебель</x:v>
      </x:c>
      <x:c r="B4157" s="14" t="str">
        <x:v>Корпусная мебель и мебель для хранения</x:v>
      </x:c>
      <x:c r="C4157" s="14" t="str">
        <x:v>Мебельный корпус, фасады</x:v>
      </x:c>
      <x:c r="D4157" s="14" t="str">
        <x:v>Мебельный корпус</x:v>
      </x:c>
      <x:c r="E4157" s="2" t="n">
        <x:v>3</x:v>
      </x:c>
      <x:c r="F4157" s="2" t="n">
        <x:v>0</x:v>
      </x:c>
      <x:c r="G4157" s="12" t="n">
        <x:v>493978.6497</x:v>
      </x:c>
      <x:c r="H4157" s="12" t="n">
        <x:v>66440.06478307</x:v>
      </x:c>
      <x:c r="I4157" s="13" t="n">
        <x:v>0.1324</x:v>
      </x:c>
      <x:c r="J4157" s="2" t="n">
        <x:v>0</x:v>
      </x:c>
      <x:c r="K4157" s="2" t="n">
        <x:v>1</x:v>
      </x:c>
      <x:c r="L4157" s="12" t="n">
        <x:v>1636.1864</x:v>
      </x:c>
      <x:c r="M4157" s="13" t="n">
        <x:v>1</x:v>
      </x:c>
      <x:c r="N4157" s="13" t="n">
        <x:f>H4157/G4157</x:f>
        <x:v>0.13449987124629773</x:v>
      </x:c>
      <x:c r="O4157" s="13" t="n">
        <x:f>F4157/E4157</x:f>
        <x:v>0</x:v>
      </x:c>
      <x:c r="P4157" s="2" t="str">
        <x:f>IF(AND(E4157&gt;='Итоги'!$F$5,N4157&lt;='Итоги'!$B$5,O4157&gt;='Итоги'!$D$5),"Да","Нет")</x:f>
        <x:v>Нет</x:v>
      </x:c>
    </x:row>
    <x:row r="4158" ht="60" customHeight="1">
      <x:c r="A4158" s="14" t="str">
        <x:v>Товары для дома</x:v>
      </x:c>
      <x:c r="B4158" s="14" t="str">
        <x:v>Домашний текстиль</x:v>
      </x:c>
      <x:c r="C4158" s="14" t="str">
        <x:v>Покрывало</x:v>
      </x:c>
      <x:c r="D4158" s="14" t="str">
        <x:v>Покрывало - 2-х спальное</x:v>
      </x:c>
      <x:c r="E4158" s="2" t="n">
        <x:v>31</x:v>
      </x:c>
      <x:c r="F4158" s="2" t="n">
        <x:v>0</x:v>
      </x:c>
      <x:c r="G4158" s="12" t="n">
        <x:v>2807232.2769</x:v>
      </x:c>
      <x:c r="H4158" s="12" t="n">
        <x:v>377779.6831290701</x:v>
      </x:c>
      <x:c r="I4158" s="13" t="n">
        <x:v>0.1129258064516129</x:v>
      </x:c>
      <x:c r="J4158" s="2" t="n">
        <x:v>3</x:v>
      </x:c>
      <x:c r="K4158" s="2" t="n">
        <x:v>10</x:v>
      </x:c>
      <x:c r="L4158" s="12" t="n">
        <x:v>2593.9628</x:v>
      </x:c>
      <x:c r="M4158" s="13" t="n">
        <x:v>0.412115662825578</x:v>
      </x:c>
      <x:c r="N4158" s="13" t="n">
        <x:f>H4158/G4158</x:f>
        <x:v>0.13457371740761281</x:v>
      </x:c>
      <x:c r="O4158" s="13" t="n">
        <x:f>F4158/E4158</x:f>
        <x:v>0</x:v>
      </x:c>
      <x:c r="P4158" s="2" t="str">
        <x:f>IF(AND(E4158&gt;='Итоги'!$F$5,N4158&lt;='Итоги'!$B$5,O4158&gt;='Итоги'!$D$5),"Да","Нет")</x:f>
        <x:v>Нет</x:v>
      </x:c>
    </x:row>
    <x:row r="4159" ht="60" customHeight="1">
      <x:c r="A4159" s="14" t="str">
        <x:v>Аксессуары для электроники</x:v>
      </x:c>
      <x:c r="B4159" s="14" t="str">
        <x:v>Средства связи Access</x:v>
      </x:c>
      <x:c r="C4159" s="14" t="str">
        <x:v>Аксессуар к мобильным устройствам Access</x:v>
      </x:c>
      <x:c r="D4159" s="14" t="str">
        <x:v>Набор аксессуаров для электроники</x:v>
      </x:c>
      <x:c r="E4159" s="2" t="n">
        <x:v>2</x:v>
      </x:c>
      <x:c r="F4159" s="2" t="n">
        <x:v>0</x:v>
      </x:c>
      <x:c r="G4159" s="12" t="n">
        <x:v>67281</x:v>
      </x:c>
      <x:c r="H4159" s="12" t="n">
        <x:v>9057.9009</x:v>
      </x:c>
      <x:c r="I4159" s="13" t="n">
        <x:v>0.1064</x:v>
      </x:c>
      <x:c r="J4159" s="2" t="n">
        <x:v>0</x:v>
      </x:c>
      <x:c r="K4159" s="2" t="n">
        <x:v>2</x:v>
      </x:c>
      <x:c r="L4159" s="12" t="n">
        <x:v>794.5154</x:v>
      </x:c>
      <x:c r="M4159" s="13" t="n">
        <x:v>0.9342756498862976</x:v>
      </x:c>
      <x:c r="N4159" s="13" t="n">
        <x:f>H4159/G4159</x:f>
        <x:v>0.13462791724260936</x:v>
      </x:c>
      <x:c r="O4159" s="13" t="n">
        <x:f>F4159/E4159</x:f>
        <x:v>0</x:v>
      </x:c>
      <x:c r="P4159" s="2" t="str">
        <x:f>IF(AND(E4159&gt;='Итоги'!$F$5,N4159&lt;='Итоги'!$B$5,O4159&gt;='Итоги'!$D$5),"Да","Нет")</x:f>
        <x:v>Нет</x:v>
      </x:c>
    </x:row>
    <x:row r="4160" ht="60" customHeight="1">
      <x:c r="A4160" s="14" t="str">
        <x:v>Школьные принадлежности и канцелярия</x:v>
      </x:c>
      <x:c r="B4160" s="14" t="str">
        <x:v>Товары для школы, канцелярия, оборудование</x:v>
      </x:c>
      <x:c r="C4160" s="14" t="str">
        <x:v>Бумага офисная и бумажная продукция</x:v>
      </x:c>
      <x:c r="D4160" s="14" t="str">
        <x:v>Книга учета</x:v>
      </x:c>
      <x:c r="E4160" s="2" t="n">
        <x:v>2</x:v>
      </x:c>
      <x:c r="F4160" s="2" t="n">
        <x:v>0</x:v>
      </x:c>
      <x:c r="G4160" s="12" t="n">
        <x:v>180698</x:v>
      </x:c>
      <x:c r="H4160" s="12" t="n">
        <x:v>24350.2958</x:v>
      </x:c>
      <x:c r="I4160" s="13" t="n">
        <x:v>0.1347</x:v>
      </x:c>
      <x:c r="J4160" s="2" t="n">
        <x:v>0</x:v>
      </x:c>
      <x:c r="K4160" s="2" t="n">
        <x:v>1</x:v>
      </x:c>
      <x:c r="L4160" s="12" t="n">
        <x:v>1261.4101</x:v>
      </x:c>
      <x:c r="M4160" s="13" t="n">
        <x:v>1</x:v>
      </x:c>
      <x:c r="N4160" s="13" t="n">
        <x:f>H4160/G4160</x:f>
        <x:v>0.1347568639387265</x:v>
      </x:c>
      <x:c r="O4160" s="13" t="n">
        <x:f>F4160/E4160</x:f>
        <x:v>0</x:v>
      </x:c>
      <x:c r="P4160" s="2" t="str">
        <x:f>IF(AND(E4160&gt;='Итоги'!$F$5,N4160&lt;='Итоги'!$B$5,O4160&gt;='Итоги'!$D$5),"Да","Нет")</x:f>
        <x:v>Нет</x:v>
      </x:c>
    </x:row>
    <x:row r="4161" ht="60" customHeight="1">
      <x:c r="A4161" s="14" t="str">
        <x:v>Одежда</x:v>
      </x:c>
      <x:c r="B4161" s="14" t="str">
        <x:v>Верхняя одежда</x:v>
      </x:c>
      <x:c r="C4161" s="14" t="str">
        <x:v>Верхняя одежда мужская</x:v>
      </x:c>
      <x:c r="D4161" s="14" t="str">
        <x:v>Брюки утепленные мужские</x:v>
      </x:c>
      <x:c r="E4161" s="2" t="n">
        <x:v>4</x:v>
      </x:c>
      <x:c r="F4161" s="2" t="n">
        <x:v>0</x:v>
      </x:c>
      <x:c r="G4161" s="12" t="n">
        <x:v>125906.5</x:v>
      </x:c>
      <x:c r="H4161" s="12" t="n">
        <x:v>17002.857204</x:v>
      </x:c>
      <x:c r="I4161" s="13" t="n">
        <x:v>0.0549</x:v>
      </x:c>
      <x:c r="J4161" s="2" t="n">
        <x:v>3</x:v>
      </x:c>
      <x:c r="K4161" s="2" t="n">
        <x:v>2</x:v>
      </x:c>
      <x:c r="L4161" s="12" t="n">
        <x:v>2066.0539</x:v>
      </x:c>
      <x:c r="M4161" s="13" t="n">
        <x:v>0.6149522860217702</x:v>
      </x:c>
      <x:c r="N4161" s="13" t="n">
        <x:f>H4161/G4161</x:f>
        <x:v>0.13504352201038072</x:v>
      </x:c>
      <x:c r="O4161" s="13" t="n">
        <x:f>F4161/E4161</x:f>
        <x:v>0</x:v>
      </x:c>
      <x:c r="P4161" s="2" t="str">
        <x:f>IF(AND(E4161&gt;='Итоги'!$F$5,N4161&lt;='Итоги'!$B$5,O4161&gt;='Итоги'!$D$5),"Да","Нет")</x:f>
        <x:v>Нет</x:v>
      </x:c>
    </x:row>
    <x:row r="4162" ht="60" customHeight="1">
      <x:c r="A4162" s="14" t="str">
        <x:v>Товары для дома</x:v>
      </x:c>
      <x:c r="B4162" s="14" t="str">
        <x:v>Кухня</x:v>
      </x:c>
      <x:c r="C4162" s="14" t="str">
        <x:v>Нож, ножницы кухонные</x:v>
      </x:c>
      <x:c r="D4162" s="14" t="str">
        <x:v>Нож кухонный</x:v>
      </x:c>
      <x:c r="E4162" s="2" t="n">
        <x:v>88</x:v>
      </x:c>
      <x:c r="F4162" s="2" t="n">
        <x:v>0</x:v>
      </x:c>
      <x:c r="G4162" s="12" t="n">
        <x:v>12756946.0274</x:v>
      </x:c>
      <x:c r="H4162" s="12" t="n">
        <x:v>1723337.66416955</x:v>
      </x:c>
      <x:c r="I4162" s="13" t="n">
        <x:v>0.1369647727272727</x:v>
      </x:c>
      <x:c r="J4162" s="2" t="n">
        <x:v>8</x:v>
      </x:c>
      <x:c r="K4162" s="2" t="n">
        <x:v>13</x:v>
      </x:c>
      <x:c r="L4162" s="12" t="n">
        <x:v>1765.63985</x:v>
      </x:c>
      <x:c r="M4162" s="13" t="n">
        <x:v>0.7384414731995184</x:v>
      </x:c>
      <x:c r="N4162" s="13" t="n">
        <x:f>H4162/G4162</x:f>
        <x:v>0.1350901430850362</x:v>
      </x:c>
      <x:c r="O4162" s="13" t="n">
        <x:f>F4162/E4162</x:f>
        <x:v>0</x:v>
      </x:c>
      <x:c r="P4162" s="2" t="str">
        <x:f>IF(AND(E4162&gt;='Итоги'!$F$5,N4162&lt;='Итоги'!$B$5,O4162&gt;='Итоги'!$D$5),"Да","Нет")</x:f>
        <x:v>Нет</x:v>
      </x:c>
    </x:row>
    <x:row r="4163" ht="60" customHeight="1">
      <x:c r="A4163" s="14" t="str">
        <x:v>Аксессуары для электроники</x:v>
      </x:c>
      <x:c r="B4163" s="14" t="str">
        <x:v>Электропитание Access</x:v>
      </x:c>
      <x:c r="C4163" s="14" t="str">
        <x:v>Аккумуляторы и батарейки Access</x:v>
      </x:c>
      <x:c r="D4163" s="14" t="str">
        <x:v>Аккумулятор для мобильного телефона</x:v>
      </x:c>
      <x:c r="E4163" s="2" t="n">
        <x:v>29</x:v>
      </x:c>
      <x:c r="F4163" s="2" t="n">
        <x:v>0</x:v>
      </x:c>
      <x:c r="G4163" s="12" t="n">
        <x:v>3546911.2698</x:v>
      </x:c>
      <x:c r="H4163" s="12" t="n">
        <x:v>479159.68187216</x:v>
      </x:c>
      <x:c r="I4163" s="13" t="n">
        <x:v>0.1270241379310344</x:v>
      </x:c>
      <x:c r="J4163" s="2" t="n">
        <x:v>5</x:v>
      </x:c>
      <x:c r="K4163" s="2" t="n">
        <x:v>4</x:v>
      </x:c>
      <x:c r="L4163" s="12" t="n">
        <x:v>925.4999</x:v>
      </x:c>
      <x:c r="M4163" s="13" t="n">
        <x:v>0.7900417987783519</x:v>
      </x:c>
      <x:c r="N4163" s="13" t="n">
        <x:f>H4163/G4163</x:f>
        <x:v>0.1350920971584323</x:v>
      </x:c>
      <x:c r="O4163" s="13" t="n">
        <x:f>F4163/E4163</x:f>
        <x:v>0</x:v>
      </x:c>
      <x:c r="P4163" s="2" t="str">
        <x:f>IF(AND(E4163&gt;='Итоги'!$F$5,N4163&lt;='Итоги'!$B$5,O4163&gt;='Итоги'!$D$5),"Да","Нет")</x:f>
        <x:v>Нет</x:v>
      </x:c>
    </x:row>
    <x:row r="4164" ht="60" customHeight="1">
      <x:c r="A4164" s="14" t="str">
        <x:v>Товары для дома</x:v>
      </x:c>
      <x:c r="B4164" s="14" t="str">
        <x:v>Интерьер и декор</x:v>
      </x:c>
      <x:c r="C4164" s="14" t="str">
        <x:v>Часы, барометр</x:v>
      </x:c>
      <x:c r="D4164" s="14" t="str">
        <x:v>Часы настенные</x:v>
      </x:c>
      <x:c r="E4164" s="2" t="n">
        <x:v>56</x:v>
      </x:c>
      <x:c r="F4164" s="2" t="n">
        <x:v>0</x:v>
      </x:c>
      <x:c r="G4164" s="12" t="n">
        <x:v>6016827.6736</x:v>
      </x:c>
      <x:c r="H4164" s="12" t="n">
        <x:v>813511.84039677</x:v>
      </x:c>
      <x:c r="I4164" s="13" t="n">
        <x:v>0.1419839285714285</x:v>
      </x:c>
      <x:c r="J4164" s="2" t="n">
        <x:v>3</x:v>
      </x:c>
      <x:c r="K4164" s="2" t="n">
        <x:v>24</x:v>
      </x:c>
      <x:c r="L4164" s="12" t="n">
        <x:v>1461.3778</x:v>
      </x:c>
      <x:c r="M4164" s="13" t="n">
        <x:v>0.3698522547295311</x:v>
      </x:c>
      <x:c r="N4164" s="13" t="n">
        <x:f>H4164/G4164</x:f>
        <x:v>0.135206106029297</x:v>
      </x:c>
      <x:c r="O4164" s="13" t="n">
        <x:f>F4164/E4164</x:f>
        <x:v>0</x:v>
      </x:c>
      <x:c r="P4164" s="2" t="str">
        <x:f>IF(AND(E4164&gt;='Итоги'!$F$5,N4164&lt;='Итоги'!$B$5,O4164&gt;='Итоги'!$D$5),"Да","Нет")</x:f>
        <x:v>Нет</x:v>
      </x:c>
    </x:row>
    <x:row r="4165" ht="60" customHeight="1">
      <x:c r="A4165" s="14" t="str">
        <x:v>Спорт и отдых</x:v>
      </x:c>
      <x:c r="B4165" s="14" t="str">
        <x:v>Товары для охоты</x:v>
      </x:c>
      <x:c r="C4165" s="14" t="str">
        <x:v>Аксессуары для охоты</x:v>
      </x:c>
      <x:c r="D4165" s="14" t="str">
        <x:v>Капкан для охоты</x:v>
      </x:c>
      <x:c r="E4165" s="2" t="n">
        <x:v>2</x:v>
      </x:c>
      <x:c r="F4165" s="2" t="n">
        <x:v>0</x:v>
      </x:c>
      <x:c r="G4165" s="12" t="n">
        <x:v>351595.2744</x:v>
      </x:c>
      <x:c r="H4165" s="12" t="n">
        <x:v>47579.87592828</x:v>
      </x:c>
      <x:c r="I4165" s="13" t="n">
        <x:v>0.1412</x:v>
      </x:c>
      <x:c r="J4165" s="2" t="n">
        <x:v>0</x:v>
      </x:c>
      <x:c r="K4165" s="2" t="n">
        <x:v>1</x:v>
      </x:c>
      <x:c r="L4165" s="12" t="n">
        <x:v>986.32665</x:v>
      </x:c>
      <x:c r="M4165" s="13" t="n">
        <x:v>1</x:v>
      </x:c>
      <x:c r="N4165" s="13" t="n">
        <x:f>H4165/G4165</x:f>
        <x:v>0.13532569801876723</x:v>
      </x:c>
      <x:c r="O4165" s="13" t="n">
        <x:f>F4165/E4165</x:f>
        <x:v>0</x:v>
      </x:c>
      <x:c r="P4165" s="2" t="str">
        <x:f>IF(AND(E4165&gt;='Итоги'!$F$5,N4165&lt;='Итоги'!$B$5,O4165&gt;='Итоги'!$D$5),"Да","Нет")</x:f>
        <x:v>Нет</x:v>
      </x:c>
    </x:row>
    <x:row r="4166" ht="60" customHeight="1">
      <x:c r="A4166" s="14" t="str">
        <x:v>Товары для дома</x:v>
      </x:c>
      <x:c r="B4166" s="14" t="str">
        <x:v>Кухня</x:v>
      </x:c>
      <x:c r="C4166" s="14" t="str">
        <x:v>Нож, ножницы кухонные</x:v>
      </x:c>
      <x:c r="D4166" s="14" t="str">
        <x:v>Ножницы кухонные</x:v>
      </x:c>
      <x:c r="E4166" s="2" t="n">
        <x:v>7</x:v>
      </x:c>
      <x:c r="F4166" s="2" t="n">
        <x:v>0</x:v>
      </x:c>
      <x:c r="G4166" s="12" t="n">
        <x:v>997440.7827</x:v>
      </x:c>
      <x:c r="H4166" s="12" t="n">
        <x:v>134991.31860223</x:v>
      </x:c>
      <x:c r="I4166" s="13" t="n">
        <x:v>0.1363285714285714</x:v>
      </x:c>
      <x:c r="J4166" s="2" t="n">
        <x:v>1</x:v>
      </x:c>
      <x:c r="K4166" s="2" t="n">
        <x:v>6</x:v>
      </x:c>
      <x:c r="L4166" s="12" t="n">
        <x:v>964.2782</x:v>
      </x:c>
      <x:c r="M4166" s="13" t="n">
        <x:v>0.2530295559169138</x:v>
      </x:c>
      <x:c r="N4166" s="13" t="n">
        <x:f>H4166/G4166</x:f>
        <x:v>0.13533767712687492</x:v>
      </x:c>
      <x:c r="O4166" s="13" t="n">
        <x:f>F4166/E4166</x:f>
        <x:v>0</x:v>
      </x:c>
      <x:c r="P4166" s="2" t="str">
        <x:f>IF(AND(E4166&gt;='Итоги'!$F$5,N4166&lt;='Итоги'!$B$5,O4166&gt;='Итоги'!$D$5),"Да","Нет")</x:f>
        <x:v>Нет</x:v>
      </x:c>
    </x:row>
    <x:row r="4167" ht="60" customHeight="1">
      <x:c r="A4167" s="14" t="str">
        <x:v>Детская одежда</x:v>
      </x:c>
      <x:c r="B4167" s="14" t="str">
        <x:v>Детская одежда</x:v>
      </x:c>
      <x:c r="C4167" s="14" t="str">
        <x:v>Белье и ЧНИ для мальчиков</x:v>
      </x:c>
      <x:c r="D4167" s="14" t="str">
        <x:v>Майка бельевая для мальчика</x:v>
      </x:c>
      <x:c r="E4167" s="2" t="n">
        <x:v>2</x:v>
      </x:c>
      <x:c r="F4167" s="2" t="n">
        <x:v>0</x:v>
      </x:c>
      <x:c r="G4167" s="12" t="n">
        <x:v>44221.17</x:v>
      </x:c>
      <x:c r="H4167" s="12" t="n">
        <x:v>5989.518265999999</x:v>
      </x:c>
      <x:c r="I4167" s="13" t="n">
        <x:v>0.135</x:v>
      </x:c>
      <x:c r="J4167" s="2" t="n">
        <x:v>0</x:v>
      </x:c>
      <x:c r="K4167" s="2" t="n">
        <x:v>1</x:v>
      </x:c>
      <x:c r="L4167" s="12" t="n">
        <x:v>865.7165</x:v>
      </x:c>
      <x:c r="M4167" s="13" t="n">
        <x:v>1</x:v>
      </x:c>
      <x:c r="N4167" s="13" t="n">
        <x:f>H4167/G4167</x:f>
        <x:v>0.1354445905886253</x:v>
      </x:c>
      <x:c r="O4167" s="13" t="n">
        <x:f>F4167/E4167</x:f>
        <x:v>0</x:v>
      </x:c>
      <x:c r="P4167" s="2" t="str">
        <x:f>IF(AND(E4167&gt;='Итоги'!$F$5,N4167&lt;='Итоги'!$B$5,O4167&gt;='Итоги'!$D$5),"Да","Нет")</x:f>
        <x:v>Нет</x:v>
      </x:c>
    </x:row>
    <x:row r="4168" ht="60" customHeight="1">
      <x:c r="A4168" s="14" t="str">
        <x:v>Спорт и отдых</x:v>
      </x:c>
      <x:c r="B4168" s="14" t="str">
        <x:v>Туризм</x:v>
      </x:c>
      <x:c r="C4168" s="14" t="str">
        <x:v>Аксессуары для туризма</x:v>
      </x:c>
      <x:c r="D4168" s="14" t="str">
        <x:v>Компас</x:v>
      </x:c>
      <x:c r="E4168" s="2" t="n">
        <x:v>1</x:v>
      </x:c>
      <x:c r="F4168" s="2" t="n">
        <x:v>0</x:v>
      </x:c>
      <x:c r="G4168" s="12" t="n">
        <x:v>85899.82</x:v>
      </x:c>
      <x:c r="H4168" s="12" t="n">
        <x:v>11639.425610000002</x:v>
      </x:c>
      <x:c r="I4168" s="13" t="n">
        <x:v>0.1355</x:v>
      </x:c>
      <x:c r="J4168" s="2" t="n">
        <x:v>0</x:v>
      </x:c>
      <x:c r="K4168" s="2" t="n">
        <x:v>1</x:v>
      </x:c>
      <x:c r="L4168" s="12" t="n">
        <x:v>2684.3694</x:v>
      </x:c>
      <x:c r="M4168" s="13" t="n">
        <x:v>1</x:v>
      </x:c>
      <x:c r="N4168" s="13" t="n">
        <x:f>H4168/G4168</x:f>
        <x:v>0.1355</x:v>
      </x:c>
      <x:c r="O4168" s="13" t="n">
        <x:f>F4168/E4168</x:f>
        <x:v>0</x:v>
      </x:c>
      <x:c r="P4168" s="2" t="str">
        <x:f>IF(AND(E4168&gt;='Итоги'!$F$5,N4168&lt;='Итоги'!$B$5,O4168&gt;='Итоги'!$D$5),"Да","Нет")</x:f>
        <x:v>Нет</x:v>
      </x:c>
    </x:row>
    <x:row r="4169" ht="60" customHeight="1">
      <x:c r="A4169" s="14" t="str">
        <x:v>Строительство и ремонт (DIY)</x:v>
      </x:c>
      <x:c r="B4169" s="14" t="str">
        <x:v>Сад и огород</x:v>
      </x:c>
      <x:c r="C4169" s="14" t="str">
        <x:v>Садовый инструмент</x:v>
      </x:c>
      <x:c r="D4169" s="14" t="str">
        <x:v>Тяпка, мотыга</x:v>
      </x:c>
      <x:c r="E4169" s="2" t="n">
        <x:v>27</x:v>
      </x:c>
      <x:c r="F4169" s="2" t="n">
        <x:v>0</x:v>
      </x:c>
      <x:c r="G4169" s="12" t="n">
        <x:v>4428840.8749</x:v>
      </x:c>
      <x:c r="H4169" s="12" t="n">
        <x:v>600117.72684681</x:v>
      </x:c>
      <x:c r="I4169" s="13" t="n">
        <x:v>0.1209666666666666</x:v>
      </x:c>
      <x:c r="J4169" s="2" t="n">
        <x:v>4</x:v>
      </x:c>
      <x:c r="K4169" s="2" t="n">
        <x:v>5</x:v>
      </x:c>
      <x:c r="L4169" s="12" t="n">
        <x:v>1024.5915</x:v>
      </x:c>
      <x:c r="M4169" s="13" t="n">
        <x:v>0.7710924570928751</x:v>
      </x:c>
      <x:c r="N4169" s="13" t="n">
        <x:f>H4169/G4169</x:f>
        <x:v>0.13550221012633698</x:v>
      </x:c>
      <x:c r="O4169" s="13" t="n">
        <x:f>F4169/E4169</x:f>
        <x:v>0</x:v>
      </x:c>
      <x:c r="P4169" s="2" t="str">
        <x:f>IF(AND(E4169&gt;='Итоги'!$F$5,N4169&lt;='Итоги'!$B$5,O4169&gt;='Итоги'!$D$5),"Да","Нет")</x:f>
        <x:v>Нет</x:v>
      </x:c>
    </x:row>
    <x:row r="4170" ht="60" customHeight="1">
      <x:c r="A4170" s="14" t="str">
        <x:v>Детская одежда</x:v>
      </x:c>
      <x:c r="B4170" s="14" t="str">
        <x:v>Детская обувь</x:v>
      </x:c>
      <x:c r="C4170" s="14" t="str">
        <x:v>Обувь для мальчика</x:v>
      </x:c>
      <x:c r="D4170" s="14" t="str">
        <x:v>Аквасоки (тапочки для плавания) для мальчика</x:v>
      </x:c>
      <x:c r="E4170" s="2" t="n">
        <x:v>7</x:v>
      </x:c>
      <x:c r="F4170" s="2" t="n">
        <x:v>0</x:v>
      </x:c>
      <x:c r="G4170" s="12" t="n">
        <x:v>48257.5</x:v>
      </x:c>
      <x:c r="H4170" s="12" t="n">
        <x:v>6543.92045</x:v>
      </x:c>
      <x:c r="I4170" s="13" t="n">
        <x:v>0.1391714285714285</x:v>
      </x:c>
      <x:c r="J4170" s="2" t="n">
        <x:v>1</x:v>
      </x:c>
      <x:c r="K4170" s="2" t="n">
        <x:v>1</x:v>
      </x:c>
      <x:c r="L4170" s="12" t="n">
        <x:v>1706.5</x:v>
      </x:c>
      <x:c r="M4170" s="13" t="n">
        <x:v>1</x:v>
      </x:c>
      <x:c r="N4170" s="13" t="n">
        <x:f>H4170/G4170</x:f>
        <x:v>0.13560421592498575</x:v>
      </x:c>
      <x:c r="O4170" s="13" t="n">
        <x:f>F4170/E4170</x:f>
        <x:v>0</x:v>
      </x:c>
      <x:c r="P4170" s="2" t="str">
        <x:f>IF(AND(E4170&gt;='Итоги'!$F$5,N4170&lt;='Итоги'!$B$5,O4170&gt;='Итоги'!$D$5),"Да","Нет")</x:f>
        <x:v>Нет</x:v>
      </x:c>
    </x:row>
    <x:row r="4171" ht="60" customHeight="1">
      <x:c r="A4171" s="14" t="str">
        <x:v>Товары для дома</x:v>
      </x:c>
      <x:c r="B4171" s="14" t="str">
        <x:v>Кухня</x:v>
      </x:c>
      <x:c r="C4171" s="14" t="str">
        <x:v>Кухонная утварь и принадлежности</x:v>
      </x:c>
      <x:c r="D4171" s="14" t="str">
        <x:v>Аксессуары для выпечки и запекания</x:v>
      </x:c>
      <x:c r="E4171" s="2" t="n">
        <x:v>12</x:v>
      </x:c>
      <x:c r="F4171" s="2" t="n">
        <x:v>0</x:v>
      </x:c>
      <x:c r="G4171" s="12" t="n">
        <x:v>1449158.8241</x:v>
      </x:c>
      <x:c r="H4171" s="12" t="n">
        <x:v>196729.95946174</x:v>
      </x:c>
      <x:c r="I4171" s="13" t="n">
        <x:v>0.1411666666666666</x:v>
      </x:c>
      <x:c r="J4171" s="2" t="n">
        <x:v>0</x:v>
      </x:c>
      <x:c r="K4171" s="2" t="n">
        <x:v>7</x:v>
      </x:c>
      <x:c r="L4171" s="12" t="n">
        <x:v>1572.72735</x:v>
      </x:c>
      <x:c r="M4171" s="13" t="n">
        <x:v>0.3104437138416483</x:v>
      </x:c>
      <x:c r="N4171" s="13" t="n">
        <x:f>H4171/G4171</x:f>
        <x:v>0.1357545882411606</x:v>
      </x:c>
      <x:c r="O4171" s="13" t="n">
        <x:f>F4171/E4171</x:f>
        <x:v>0</x:v>
      </x:c>
      <x:c r="P4171" s="2" t="str">
        <x:f>IF(AND(E4171&gt;='Итоги'!$F$5,N4171&lt;='Итоги'!$B$5,O4171&gt;='Итоги'!$D$5),"Да","Нет")</x:f>
        <x:v>Нет</x:v>
      </x:c>
    </x:row>
    <x:row r="4172" ht="60" customHeight="1">
      <x:c r="A4172" s="14" t="str">
        <x:v>Аксессуары</x:v>
      </x:c>
      <x:c r="B4172" s="14" t="str">
        <x:v>Ювелирные изделия</x:v>
      </x:c>
      <x:c r="C4172" s="14" t="str">
        <x:v>Подвеска ювелирная</x:v>
      </x:c>
      <x:c r="D4172" s="14" t="str">
        <x:v>Серебро амулет/оберег</x:v>
      </x:c>
      <x:c r="E4172" s="2" t="n">
        <x:v>2</x:v>
      </x:c>
      <x:c r="F4172" s="2" t="n">
        <x:v>0</x:v>
      </x:c>
      <x:c r="G4172" s="12" t="n">
        <x:v>194567.13</x:v>
      </x:c>
      <x:c r="H4172" s="12" t="n">
        <x:v>26431.952673</x:v>
      </x:c>
      <x:c r="I4172" s="13" t="n">
        <x:v>0.13185</x:v>
      </x:c>
      <x:c r="J4172" s="2" t="n">
        <x:v>0</x:v>
      </x:c>
      <x:c r="K4172" s="2" t="n">
        <x:v>2</x:v>
      </x:c>
      <x:c r="L4172" s="12" t="n">
        <x:v>1271.2353</x:v>
      </x:c>
      <x:c r="M4172" s="13" t="n">
        <x:v>0.7185814993519203</x:v>
      </x:c>
      <x:c r="N4172" s="13" t="n">
        <x:f>H4172/G4172</x:f>
        <x:v>0.13585004143814014</x:v>
      </x:c>
      <x:c r="O4172" s="13" t="n">
        <x:f>F4172/E4172</x:f>
        <x:v>0</x:v>
      </x:c>
      <x:c r="P4172" s="2" t="str">
        <x:f>IF(AND(E4172&gt;='Итоги'!$F$5,N4172&lt;='Итоги'!$B$5,O4172&gt;='Итоги'!$D$5),"Да","Нет")</x:f>
        <x:v>Нет</x:v>
      </x:c>
    </x:row>
    <x:row r="4173" ht="60" customHeight="1">
      <x:c r="A4173" s="14" t="str">
        <x:v>Школьные принадлежности и канцелярия</x:v>
      </x:c>
      <x:c r="B4173" s="14" t="str">
        <x:v>Товары для школы, канцелярия, оборудование</x:v>
      </x:c>
      <x:c r="C4173" s="14" t="str">
        <x:v>Ежедневник, планинг</x:v>
      </x:c>
      <x:c r="D4173" s="14" t="str">
        <x:v>Ежедневник датированный</x:v>
      </x:c>
      <x:c r="E4173" s="2" t="n">
        <x:v>4</x:v>
      </x:c>
      <x:c r="F4173" s="2" t="n">
        <x:v>0</x:v>
      </x:c>
      <x:c r="G4173" s="12" t="n">
        <x:v>252572</x:v>
      </x:c>
      <x:c r="H4173" s="12" t="n">
        <x:v>34314.0026</x:v>
      </x:c>
      <x:c r="I4173" s="13" t="n">
        <x:v>0.1192999999999999</x:v>
      </x:c>
      <x:c r="J4173" s="2" t="n">
        <x:v>1</x:v>
      </x:c>
      <x:c r="K4173" s="2" t="n">
        <x:v>3</x:v>
      </x:c>
      <x:c r="L4173" s="12" t="n">
        <x:v>2024.58275</x:v>
      </x:c>
      <x:c r="M4173" s="13" t="n">
        <x:v>0.5467233105807453</x:v>
      </x:c>
      <x:c r="N4173" s="13" t="n">
        <x:f>H4173/G4173</x:f>
        <x:v>0.1358583002074656</x:v>
      </x:c>
      <x:c r="O4173" s="13" t="n">
        <x:f>F4173/E4173</x:f>
        <x:v>0</x:v>
      </x:c>
      <x:c r="P4173" s="2" t="str">
        <x:f>IF(AND(E4173&gt;='Итоги'!$F$5,N4173&lt;='Итоги'!$B$5,O4173&gt;='Итоги'!$D$5),"Да","Нет")</x:f>
        <x:v>Нет</x:v>
      </x:c>
    </x:row>
    <x:row r="4174" ht="60" customHeight="1">
      <x:c r="A4174" s="14" t="str">
        <x:v>Аксессуары</x:v>
      </x:c>
      <x:c r="B4174" s="14" t="str">
        <x:v>Аксессуары</x:v>
      </x:c>
      <x:c r="C4174" s="14" t="str">
        <x:v>Аксессуары и уход для обуви</x:v>
      </x:c>
      <x:c r="D4174" s="14" t="str">
        <x:v>Набор для ухода за обувью</x:v>
      </x:c>
      <x:c r="E4174" s="2" t="n">
        <x:v>3</x:v>
      </x:c>
      <x:c r="F4174" s="2" t="n">
        <x:v>0</x:v>
      </x:c>
      <x:c r="G4174" s="12" t="n">
        <x:v>243826.63300000003</x:v>
      </x:c>
      <x:c r="H4174" s="12" t="n">
        <x:v>33146.6485477</x:v>
      </x:c>
      <x:c r="I4174" s="13" t="n">
        <x:v>0.1168333333333333</x:v>
      </x:c>
      <x:c r="J4174" s="2" t="n">
        <x:v>0</x:v>
      </x:c>
      <x:c r="K4174" s="2" t="n">
        <x:v>3</x:v>
      </x:c>
      <x:c r="L4174" s="12" t="n">
        <x:v>1639</x:v>
      </x:c>
      <x:c r="M4174" s="13" t="n">
        <x:v>0.6132662423304677</x:v>
      </x:c>
      <x:c r="N4174" s="13" t="n">
        <x:f>H4174/G4174</x:f>
        <x:v>0.13594351092770082</x:v>
      </x:c>
      <x:c r="O4174" s="13" t="n">
        <x:f>F4174/E4174</x:f>
        <x:v>0</x:v>
      </x:c>
      <x:c r="P4174" s="2" t="str">
        <x:f>IF(AND(E4174&gt;='Итоги'!$F$5,N4174&lt;='Итоги'!$B$5,O4174&gt;='Итоги'!$D$5),"Да","Нет")</x:f>
        <x:v>Нет</x:v>
      </x:c>
    </x:row>
    <x:row r="4175" ht="60" customHeight="1">
      <x:c r="A4175" s="14" t="str">
        <x:v>Хобби и творчество</x:v>
      </x:c>
      <x:c r="B4175" s="14" t="str">
        <x:v>Взрослое творчество и хобби</x:v>
      </x:c>
      <x:c r="C4175" s="14" t="str">
        <x:v>Ювелирное оборудование</x:v>
      </x:c>
      <x:c r="D4175" s="14" t="str">
        <x:v>Ювелирный ручной инструмент</x:v>
      </x:c>
      <x:c r="E4175" s="2" t="n">
        <x:v>2</x:v>
      </x:c>
      <x:c r="F4175" s="2" t="n">
        <x:v>0</x:v>
      </x:c>
      <x:c r="G4175" s="12" t="n">
        <x:v>55575</x:v>
      </x:c>
      <x:c r="H4175" s="12" t="n">
        <x:v>7556.702400000001</x:v>
      </x:c>
      <x:c r="I4175" s="13" t="n">
        <x:v>0.07215</x:v>
      </x:c>
      <x:c r="J4175" s="2" t="n">
        <x:v>1</x:v>
      </x:c>
      <x:c r="K4175" s="2" t="n">
        <x:v>2</x:v>
      </x:c>
      <x:c r="L4175" s="12" t="n">
        <x:v>2256.41665</x:v>
      </x:c>
      <x:c r="M4175" s="13" t="n">
        <x:v>0.9422941970310392</x:v>
      </x:c>
      <x:c r="N4175" s="13" t="n">
        <x:f>H4175/G4175</x:f>
        <x:v>0.13597305263157897</x:v>
      </x:c>
      <x:c r="O4175" s="13" t="n">
        <x:f>F4175/E4175</x:f>
        <x:v>0</x:v>
      </x:c>
      <x:c r="P4175" s="2" t="str">
        <x:f>IF(AND(E4175&gt;='Итоги'!$F$5,N4175&lt;='Итоги'!$B$5,O4175&gt;='Итоги'!$D$5),"Да","Нет")</x:f>
        <x:v>Нет</x:v>
      </x:c>
    </x:row>
    <x:row r="4176" ht="60" customHeight="1">
      <x:c r="A4176" s="14" t="str">
        <x:v>Товары для детей и спорта</x:v>
      </x:c>
      <x:c r="B4176" s="14" t="str">
        <x:v>Кормление детское</x:v>
      </x:c>
      <x:c r="C4176" s="14" t="str">
        <x:v>Кормление детское</x:v>
      </x:c>
      <x:c r="D4176" s="14" t="str">
        <x:v>Держатель-сушилка для детской бутылочки</x:v>
      </x:c>
      <x:c r="E4176" s="2" t="n">
        <x:v>1</x:v>
      </x:c>
      <x:c r="F4176" s="2" t="n">
        <x:v>0</x:v>
      </x:c>
      <x:c r="G4176" s="12" t="n">
        <x:v>110021.0214</x:v>
      </x:c>
      <x:c r="H4176" s="12" t="n">
        <x:v>14962.8589104</x:v>
      </x:c>
      <x:c r="I4176" s="13" t="n">
        <x:v>0.136</x:v>
      </x:c>
      <x:c r="J4176" s="2" t="n">
        <x:v>0</x:v>
      </x:c>
      <x:c r="K4176" s="2" t="n">
        <x:v>1</x:v>
      </x:c>
      <x:c r="L4176" s="12" t="n">
        <x:v>991.1804</x:v>
      </x:c>
      <x:c r="M4176" s="13" t="n">
        <x:v>1</x:v>
      </x:c>
      <x:c r="N4176" s="13" t="n">
        <x:f>H4176/G4176</x:f>
        <x:v>0.136</x:v>
      </x:c>
      <x:c r="O4176" s="13" t="n">
        <x:f>F4176/E4176</x:f>
        <x:v>0</x:v>
      </x:c>
      <x:c r="P4176" s="2" t="str">
        <x:f>IF(AND(E4176&gt;='Итоги'!$F$5,N4176&lt;='Итоги'!$B$5,O4176&gt;='Итоги'!$D$5),"Да","Нет")</x:f>
        <x:v>Нет</x:v>
      </x:c>
    </x:row>
    <x:row r="4177" ht="60" customHeight="1">
      <x:c r="A4177" s="14" t="str">
        <x:v>Школьные принадлежности и канцелярия</x:v>
      </x:c>
      <x:c r="B4177" s="14" t="str">
        <x:v>Товары для школы, канцелярия, оборудование</x:v>
      </x:c>
      <x:c r="C4177" s="14" t="str">
        <x:v>Демонстрационное оборудование и аксессуары</x:v>
      </x:c>
      <x:c r="D4177" s="14" t="str">
        <x:v>Доска текстильная информационная</x:v>
      </x:c>
      <x:c r="E4177" s="2" t="n">
        <x:v>1</x:v>
      </x:c>
      <x:c r="F4177" s="2" t="n">
        <x:v>0</x:v>
      </x:c>
      <x:c r="G4177" s="12" t="n">
        <x:v>88212.14</x:v>
      </x:c>
      <x:c r="H4177" s="12" t="n">
        <x:v>12023.314682</x:v>
      </x:c>
      <x:c r="I4177" s="13" t="n">
        <x:v>0.1363</x:v>
      </x:c>
      <x:c r="J4177" s="2" t="n">
        <x:v>0</x:v>
      </x:c>
      <x:c r="K4177" s="2" t="n">
        <x:v>1</x:v>
      </x:c>
      <x:c r="L4177" s="12" t="n">
        <x:v>767.0621</x:v>
      </x:c>
      <x:c r="M4177" s="13" t="n">
        <x:v>1</x:v>
      </x:c>
      <x:c r="N4177" s="13" t="n">
        <x:f>H4177/G4177</x:f>
        <x:v>0.1363</x:v>
      </x:c>
      <x:c r="O4177" s="13" t="n">
        <x:f>F4177/E4177</x:f>
        <x:v>0</x:v>
      </x:c>
      <x:c r="P4177" s="2" t="str">
        <x:f>IF(AND(E4177&gt;='Итоги'!$F$5,N4177&lt;='Итоги'!$B$5,O4177&gt;='Итоги'!$D$5),"Да","Нет")</x:f>
        <x:v>Нет</x:v>
      </x:c>
    </x:row>
    <x:row r="4178" ht="60" customHeight="1">
      <x:c r="A4178" s="14" t="str">
        <x:v>Спорт и отдых</x:v>
      </x:c>
      <x:c r="B4178" s="14" t="str">
        <x:v>Туризм</x:v>
      </x:c>
      <x:c r="C4178" s="14" t="str">
        <x:v>Фонарь, лампа туристические</x:v>
      </x:c>
      <x:c r="D4178" s="14" t="str">
        <x:v>Налобный фонарь</x:v>
      </x:c>
      <x:c r="E4178" s="2" t="n">
        <x:v>141</x:v>
      </x:c>
      <x:c r="F4178" s="2" t="n">
        <x:v>0</x:v>
      </x:c>
      <x:c r="G4178" s="12" t="n">
        <x:v>23319818.174</x:v>
      </x:c>
      <x:c r="H4178" s="12" t="n">
        <x:v>3179257.74392873</x:v>
      </x:c>
      <x:c r="I4178" s="13" t="n">
        <x:v>0.1341099290780142</x:v>
      </x:c>
      <x:c r="J4178" s="2" t="n">
        <x:v>40</x:v>
      </x:c>
      <x:c r="K4178" s="2" t="n">
        <x:v>63</x:v>
      </x:c>
      <x:c r="L4178" s="12" t="n">
        <x:v>1551.6176</x:v>
      </x:c>
      <x:c r="M4178" s="13" t="n">
        <x:v>0.3091097207454581</x:v>
      </x:c>
      <x:c r="N4178" s="13" t="n">
        <x:f>H4178/G4178</x:f>
        <x:v>0.1363328701882155</x:v>
      </x:c>
      <x:c r="O4178" s="13" t="n">
        <x:f>F4178/E4178</x:f>
        <x:v>0</x:v>
      </x:c>
      <x:c r="P4178" s="2" t="str">
        <x:f>IF(AND(E4178&gt;='Итоги'!$F$5,N4178&lt;='Итоги'!$B$5,O4178&gt;='Итоги'!$D$5),"Да","Нет")</x:f>
        <x:v>Нет</x:v>
      </x:c>
    </x:row>
    <x:row r="4179" ht="60" customHeight="1">
      <x:c r="A4179" s="14" t="str">
        <x:v>Аптека</x:v>
      </x:c>
      <x:c r="B4179" s="14" t="str">
        <x:v>Товары для взрослых</x:v>
      </x:c>
      <x:c r="C4179" s="14" t="str">
        <x:v>Эротические белье и обувь</x:v>
      </x:c>
      <x:c r="D4179" s="14" t="str">
        <x:v>Эротическое белье</x:v>
      </x:c>
      <x:c r="E4179" s="2" t="n">
        <x:v>3</x:v>
      </x:c>
      <x:c r="F4179" s="2" t="n">
        <x:v>0</x:v>
      </x:c>
      <x:c r="G4179" s="12" t="n">
        <x:v>259073.2891</x:v>
      </x:c>
      <x:c r="H4179" s="12" t="n">
        <x:v>35320.51799419</x:v>
      </x:c>
      <x:c r="I4179" s="13" t="n">
        <x:v>0.1368666666666666</x:v>
      </x:c>
      <x:c r="J4179" s="2" t="n">
        <x:v>0</x:v>
      </x:c>
      <x:c r="K4179" s="2" t="n">
        <x:v>3</x:v>
      </x:c>
      <x:c r="L4179" s="12" t="n">
        <x:v>1040.8092</x:v>
      </x:c>
      <x:c r="M4179" s="13" t="n">
        <x:v>0.3374642499955044</x:v>
      </x:c>
      <x:c r="N4179" s="13" t="n">
        <x:f>H4179/G4179</x:f>
        <x:v>0.1363340779626131</x:v>
      </x:c>
      <x:c r="O4179" s="13" t="n">
        <x:f>F4179/E4179</x:f>
        <x:v>0</x:v>
      </x:c>
      <x:c r="P4179" s="2" t="str">
        <x:f>IF(AND(E4179&gt;='Итоги'!$F$5,N4179&lt;='Итоги'!$B$5,O4179&gt;='Итоги'!$D$5),"Да","Нет")</x:f>
        <x:v>Нет</x:v>
      </x:c>
    </x:row>
    <x:row r="4180" ht="60" customHeight="1">
      <x:c r="A4180" s="14" t="str">
        <x:v>Хобби и творчество</x:v>
      </x:c>
      <x:c r="B4180" s="14" t="str">
        <x:v>Детское творчество и хобби</x:v>
      </x:c>
      <x:c r="C4180" s="14" t="str">
        <x:v>Хобби для развития и обучения</x:v>
      </x:c>
      <x:c r="D4180" s="14" t="str">
        <x:v>Микроскоп, телескоп детский</x:v>
      </x:c>
      <x:c r="E4180" s="2" t="n">
        <x:v>5</x:v>
      </x:c>
      <x:c r="F4180" s="2" t="n">
        <x:v>0</x:v>
      </x:c>
      <x:c r="G4180" s="12" t="n">
        <x:v>517391.3878</x:v>
      </x:c>
      <x:c r="H4180" s="12" t="n">
        <x:v>70586.9408194</x:v>
      </x:c>
      <x:c r="I4180" s="13" t="n">
        <x:v>0.13734</x:v>
      </x:c>
      <x:c r="J4180" s="2" t="n">
        <x:v>0</x:v>
      </x:c>
      <x:c r="K4180" s="2" t="n">
        <x:v>5</x:v>
      </x:c>
      <x:c r="L4180" s="12" t="n">
        <x:v>1200.5681</x:v>
      </x:c>
      <x:c r="M4180" s="13" t="n">
        <x:v>0.2377717969429254</x:v>
      </x:c>
      <x:c r="N4180" s="13" t="n">
        <x:f>H4180/G4180</x:f>
        <x:v>0.136428519074395</x:v>
      </x:c>
      <x:c r="O4180" s="13" t="n">
        <x:f>F4180/E4180</x:f>
        <x:v>0</x:v>
      </x:c>
      <x:c r="P4180" s="2" t="str">
        <x:f>IF(AND(E4180&gt;='Итоги'!$F$5,N4180&lt;='Итоги'!$B$5,O4180&gt;='Итоги'!$D$5),"Да","Нет")</x:f>
        <x:v>Нет</x:v>
      </x:c>
    </x:row>
    <x:row r="4181" ht="60" customHeight="1">
      <x:c r="A4181" s="14" t="str">
        <x:v>Бакалея и кондитерские изделия</x:v>
      </x:c>
      <x:c r="B4181" s="14" t="str">
        <x:v>Молекулярная кухня</x:v>
      </x:c>
      <x:c r="C4181" s="14" t="str">
        <x:v>Молекулярная кухня</x:v>
      </x:c>
      <x:c r="D4181" s="14" t="str">
        <x:v>Текстуры для молекулярной кухни</x:v>
      </x:c>
      <x:c r="E4181" s="2" t="n">
        <x:v>1</x:v>
      </x:c>
      <x:c r="F4181" s="2" t="n">
        <x:v>0</x:v>
      </x:c>
      <x:c r="G4181" s="12" t="n">
        <x:v>82778</x:v>
      </x:c>
      <x:c r="H4181" s="12" t="n">
        <x:v>11299.197</x:v>
      </x:c>
      <x:c r="I4181" s="13" t="n">
        <x:v>0.1365</x:v>
      </x:c>
      <x:c r="J4181" s="2" t="n">
        <x:v>0</x:v>
      </x:c>
      <x:c r="K4181" s="2" t="n">
        <x:v>1</x:v>
      </x:c>
      <x:c r="L4181" s="12" t="n">
        <x:v>2299.3889</x:v>
      </x:c>
      <x:c r="M4181" s="13" t="n">
        <x:v>1</x:v>
      </x:c>
      <x:c r="N4181" s="13" t="n">
        <x:f>H4181/G4181</x:f>
        <x:v>0.1365</x:v>
      </x:c>
      <x:c r="O4181" s="13" t="n">
        <x:f>F4181/E4181</x:f>
        <x:v>0</x:v>
      </x:c>
      <x:c r="P4181" s="2" t="str">
        <x:f>IF(AND(E4181&gt;='Итоги'!$F$5,N4181&lt;='Итоги'!$B$5,O4181&gt;='Итоги'!$D$5),"Да","Нет")</x:f>
        <x:v>Нет</x:v>
      </x:c>
    </x:row>
    <x:row r="4182" ht="60" customHeight="1">
      <x:c r="A4182" s="14" t="str">
        <x:v>Аксессуары для электроники</x:v>
      </x:c>
      <x:c r="B4182" s="14" t="str">
        <x:v>Фото и видео Access</x:v>
      </x:c>
      <x:c r="C4182" s="14" t="str">
        <x:v>Аксессуар к фото и видео Access</x:v>
      </x:c>
      <x:c r="D4182" s="14" t="str">
        <x:v>Штатив для фото/видео устройств</x:v>
      </x:c>
      <x:c r="E4182" s="2" t="n">
        <x:v>54</x:v>
      </x:c>
      <x:c r="F4182" s="2" t="n">
        <x:v>0</x:v>
      </x:c>
      <x:c r="G4182" s="12" t="n">
        <x:v>8018691.5918</x:v>
      </x:c>
      <x:c r="H4182" s="12" t="n">
        <x:v>1094678.67107073</x:v>
      </x:c>
      <x:c r="I4182" s="13" t="n">
        <x:v>0.1202277777777777</x:v>
      </x:c>
      <x:c r="J4182" s="2" t="n">
        <x:v>2</x:v>
      </x:c>
      <x:c r="K4182" s="2" t="n">
        <x:v>21</x:v>
      </x:c>
      <x:c r="L4182" s="12" t="n">
        <x:v>2040.4107</x:v>
      </x:c>
      <x:c r="M4182" s="13" t="n">
        <x:v>0.4580983890010693</x:v>
      </x:c>
      <x:c r="N4182" s="13" t="n">
        <x:f>H4182/G4182</x:f>
        <x:v>0.13651587151576702</x:v>
      </x:c>
      <x:c r="O4182" s="13" t="n">
        <x:f>F4182/E4182</x:f>
        <x:v>0</x:v>
      </x:c>
      <x:c r="P4182" s="2" t="str">
        <x:f>IF(AND(E4182&gt;='Итоги'!$F$5,N4182&lt;='Итоги'!$B$5,O4182&gt;='Итоги'!$D$5),"Да","Нет")</x:f>
        <x:v>Нет</x:v>
      </x:c>
    </x:row>
    <x:row r="4183" ht="60" customHeight="1">
      <x:c r="A4183" s="14" t="str">
        <x:v>Школьные принадлежности и канцелярия</x:v>
      </x:c>
      <x:c r="B4183" s="14" t="str">
        <x:v>Товары для школы, канцелярия, оборудование</x:v>
      </x:c>
      <x:c r="C4183" s="14" t="str">
        <x:v>Демонстрационное оборудование и аксессуары</x:v>
      </x:c>
      <x:c r="D4183" s="14" t="str">
        <x:v>Лазерная указка</x:v>
      </x:c>
      <x:c r="E4183" s="2" t="n">
        <x:v>2</x:v>
      </x:c>
      <x:c r="F4183" s="2" t="n">
        <x:v>0</x:v>
      </x:c>
      <x:c r="G4183" s="12" t="n">
        <x:v>276825.32</x:v>
      </x:c>
      <x:c r="H4183" s="12" t="n">
        <x:v>37851.016736000005</x:v>
      </x:c>
      <x:c r="I4183" s="13" t="n">
        <x:v>0.1397</x:v>
      </x:c>
      <x:c r="J4183" s="2" t="n">
        <x:v>0</x:v>
      </x:c>
      <x:c r="K4183" s="2" t="n">
        <x:v>2</x:v>
      </x:c>
      <x:c r="L4183" s="12" t="n">
        <x:v>2184.69675</x:v>
      </x:c>
      <x:c r="M4183" s="13" t="n">
        <x:v>0.5982617486001641</x:v>
      </x:c>
      <x:c r="N4183" s="13" t="n">
        <x:f>H4183/G4183</x:f>
        <x:v>0.13673249519227507</x:v>
      </x:c>
      <x:c r="O4183" s="13" t="n">
        <x:f>F4183/E4183</x:f>
        <x:v>0</x:v>
      </x:c>
      <x:c r="P4183" s="2" t="str">
        <x:f>IF(AND(E4183&gt;='Итоги'!$F$5,N4183&lt;='Итоги'!$B$5,O4183&gt;='Итоги'!$D$5),"Да","Нет")</x:f>
        <x:v>Нет</x:v>
      </x:c>
    </x:row>
    <x:row r="4184" ht="60" customHeight="1">
      <x:c r="A4184" s="14" t="str">
        <x:v>Мелкая бытовая техника</x:v>
      </x:c>
      <x:c r="B4184" s="14" t="str">
        <x:v>SDA Климатическая техника</x:v>
      </x:c>
      <x:c r="C4184" s="14" t="str">
        <x:v>Климатическая техника SDA</x:v>
      </x:c>
      <x:c r="D4184" s="14" t="str">
        <x:v>Вентилятор приточно-вытяжной бытовой</x:v>
      </x:c>
      <x:c r="E4184" s="2" t="n">
        <x:v>5</x:v>
      </x:c>
      <x:c r="F4184" s="2" t="n">
        <x:v>0</x:v>
      </x:c>
      <x:c r="G4184" s="12" t="n">
        <x:v>1178007.7919</x:v>
      </x:c>
      <x:c r="H4184" s="12" t="n">
        <x:v>161262.67065264</x:v>
      </x:c>
      <x:c r="I4184" s="13" t="n">
        <x:v>0.08566</x:v>
      </x:c>
      <x:c r="J4184" s="2" t="n">
        <x:v>2</x:v>
      </x:c>
      <x:c r="K4184" s="2" t="n">
        <x:v>4</x:v>
      </x:c>
      <x:c r="L4184" s="12" t="n">
        <x:v>1749.2609</x:v>
      </x:c>
      <x:c r="M4184" s="13" t="n">
        <x:v>0.8354362922444435</x:v>
      </x:c>
      <x:c r="N4184" s="13" t="n">
        <x:f>H4184/G4184</x:f>
        <x:v>0.13689440066651903</x:v>
      </x:c>
      <x:c r="O4184" s="13" t="n">
        <x:f>F4184/E4184</x:f>
        <x:v>0</x:v>
      </x:c>
      <x:c r="P4184" s="2" t="str">
        <x:f>IF(AND(E4184&gt;='Итоги'!$F$5,N4184&lt;='Итоги'!$B$5,O4184&gt;='Итоги'!$D$5),"Да","Нет")</x:f>
        <x:v>Нет</x:v>
      </x:c>
    </x:row>
    <x:row r="4185" ht="60" customHeight="1">
      <x:c r="A4185" s="14" t="str">
        <x:v>Товары для красоты и здоровья</x:v>
      </x:c>
      <x:c r="B4185" s="14" t="str">
        <x:v>Косметика для ухода за кожей</x:v>
      </x:c>
      <x:c r="C4185" s="14" t="str">
        <x:v>Ванно-банные принадлежности</x:v>
      </x:c>
      <x:c r="D4185" s="14" t="str">
        <x:v>Щетка для тела, для сухого массажа</x:v>
      </x:c>
      <x:c r="E4185" s="2" t="n">
        <x:v>4</x:v>
      </x:c>
      <x:c r="F4185" s="2" t="n">
        <x:v>0</x:v>
      </x:c>
      <x:c r="G4185" s="12" t="n">
        <x:v>774168.3709</x:v>
      </x:c>
      <x:c r="H4185" s="12" t="n">
        <x:v>106106.78934532</x:v>
      </x:c>
      <x:c r="I4185" s="13" t="n">
        <x:v>0.138225</x:v>
      </x:c>
      <x:c r="J4185" s="2" t="n">
        <x:v>0</x:v>
      </x:c>
      <x:c r="K4185" s="2" t="n">
        <x:v>1</x:v>
      </x:c>
      <x:c r="L4185" s="12" t="n">
        <x:v>1388.7512000000002</x:v>
      </x:c>
      <x:c r="M4185" s="13" t="n">
        <x:v>1</x:v>
      </x:c>
      <x:c r="N4185" s="13" t="n">
        <x:f>H4185/G4185</x:f>
        <x:v>0.13705906019121764</x:v>
      </x:c>
      <x:c r="O4185" s="13" t="n">
        <x:f>F4185/E4185</x:f>
        <x:v>0</x:v>
      </x:c>
      <x:c r="P4185" s="2" t="str">
        <x:f>IF(AND(E4185&gt;='Итоги'!$F$5,N4185&lt;='Итоги'!$B$5,O4185&gt;='Итоги'!$D$5),"Да","Нет")</x:f>
        <x:v>Нет</x:v>
      </x:c>
    </x:row>
    <x:row r="4186" ht="60" customHeight="1">
      <x:c r="A4186" s="14" t="str">
        <x:v>Спорт и отдых</x:v>
      </x:c>
      <x:c r="B4186" s="14" t="str">
        <x:v>Единоборства</x:v>
      </x:c>
      <x:c r="C4186" s="14" t="str">
        <x:v>Бокс</x:v>
      </x:c>
      <x:c r="D4186" s="14" t="str">
        <x:v>Аксессуары для бокса</x:v>
      </x:c>
      <x:c r="E4186" s="2" t="n">
        <x:v>7</x:v>
      </x:c>
      <x:c r="F4186" s="2" t="n">
        <x:v>0</x:v>
      </x:c>
      <x:c r="G4186" s="12" t="n">
        <x:v>771943.3444000001</x:v>
      </x:c>
      <x:c r="H4186" s="12" t="n">
        <x:v>105856.81318551</x:v>
      </x:c>
      <x:c r="I4186" s="13" t="n">
        <x:v>0.1224999999999999</x:v>
      </x:c>
      <x:c r="J4186" s="2" t="n">
        <x:v>1</x:v>
      </x:c>
      <x:c r="K4186" s="2" t="n">
        <x:v>6</x:v>
      </x:c>
      <x:c r="L4186" s="12" t="n">
        <x:v>1894.3889</x:v>
      </x:c>
      <x:c r="M4186" s="13" t="n">
        <x:v>0.3266404352459107</x:v>
      </x:c>
      <x:c r="N4186" s="13" t="n">
        <x:f>H4186/G4186</x:f>
        <x:v>0.1371302880625108</x:v>
      </x:c>
      <x:c r="O4186" s="13" t="n">
        <x:f>F4186/E4186</x:f>
        <x:v>0</x:v>
      </x:c>
      <x:c r="P4186" s="2" t="str">
        <x:f>IF(AND(E4186&gt;='Итоги'!$F$5,N4186&lt;='Итоги'!$B$5,O4186&gt;='Итоги'!$D$5),"Да","Нет")</x:f>
        <x:v>Нет</x:v>
      </x:c>
    </x:row>
    <x:row r="4187" ht="60" customHeight="1">
      <x:c r="A4187" s="14" t="str">
        <x:v>Товары для дома</x:v>
      </x:c>
      <x:c r="B4187" s="14" t="str">
        <x:v>Кухня</x:v>
      </x:c>
      <x:c r="C4187" s="14" t="str">
        <x:v>Подставка для кухонных принадлежностей</x:v>
      </x:c>
      <x:c r="D4187" s="14" t="str">
        <x:v>Подставка, держатель для кухонных принадлежностей</x:v>
      </x:c>
      <x:c r="E4187" s="2" t="n">
        <x:v>69</x:v>
      </x:c>
      <x:c r="F4187" s="2" t="n">
        <x:v>0</x:v>
      </x:c>
      <x:c r="G4187" s="12" t="n">
        <x:v>9401846.4939</x:v>
      </x:c>
      <x:c r="H4187" s="12" t="n">
        <x:v>1289575.65532886</x:v>
      </x:c>
      <x:c r="I4187" s="13" t="n">
        <x:v>0.1274014492753623</x:v>
      </x:c>
      <x:c r="J4187" s="2" t="n">
        <x:v>6</x:v>
      </x:c>
      <x:c r="K4187" s="2" t="n">
        <x:v>35</x:v>
      </x:c>
      <x:c r="L4187" s="12" t="n">
        <x:v>1215.0655</x:v>
      </x:c>
      <x:c r="M4187" s="13" t="n">
        <x:v>0.2578899484875794</x:v>
      </x:c>
      <x:c r="N4187" s="13" t="n">
        <x:f>H4187/G4187</x:f>
        <x:v>0.1371619560227396</x:v>
      </x:c>
      <x:c r="O4187" s="13" t="n">
        <x:f>F4187/E4187</x:f>
        <x:v>0</x:v>
      </x:c>
      <x:c r="P4187" s="2" t="str">
        <x:f>IF(AND(E4187&gt;='Итоги'!$F$5,N4187&lt;='Итоги'!$B$5,O4187&gt;='Итоги'!$D$5),"Да","Нет")</x:f>
        <x:v>Нет</x:v>
      </x:c>
    </x:row>
    <x:row r="4188" ht="60" customHeight="1">
      <x:c r="A4188" s="14" t="str">
        <x:v>Строительство и ремонт (DIY)</x:v>
      </x:c>
      <x:c r="B4188" s="14" t="str">
        <x:v>Ремонт и строительство</x:v>
      </x:c>
      <x:c r="C4188" s="14" t="str">
        <x:v>Аксессуары для ремонта</x:v>
      </x:c>
      <x:c r="D4188" s="14" t="str">
        <x:v>Распылитель строительный</x:v>
      </x:c>
      <x:c r="E4188" s="2" t="n">
        <x:v>2</x:v>
      </x:c>
      <x:c r="F4188" s="2" t="n">
        <x:v>0</x:v>
      </x:c>
      <x:c r="G4188" s="12" t="n">
        <x:v>361370.33</x:v>
      </x:c>
      <x:c r="H4188" s="12" t="n">
        <x:v>49604.092284</x:v>
      </x:c>
      <x:c r="I4188" s="13" t="n">
        <x:v>0.13465</x:v>
      </x:c>
      <x:c r="J4188" s="2" t="n">
        <x:v>0</x:v>
      </x:c>
      <x:c r="K4188" s="2" t="n">
        <x:v>1</x:v>
      </x:c>
      <x:c r="L4188" s="12" t="n">
        <x:v>2474.2181</x:v>
      </x:c>
      <x:c r="M4188" s="13" t="n">
        <x:v>1</x:v>
      </x:c>
      <x:c r="N4188" s="13" t="n">
        <x:f>H4188/G4188</x:f>
        <x:v>0.13726664356755575</x:v>
      </x:c>
      <x:c r="O4188" s="13" t="n">
        <x:f>F4188/E4188</x:f>
        <x:v>0</x:v>
      </x:c>
      <x:c r="P4188" s="2" t="str">
        <x:f>IF(AND(E4188&gt;='Итоги'!$F$5,N4188&lt;='Итоги'!$B$5,O4188&gt;='Итоги'!$D$5),"Да","Нет")</x:f>
        <x:v>Нет</x:v>
      </x:c>
    </x:row>
    <x:row r="4189" ht="60" customHeight="1">
      <x:c r="A4189" s="14" t="str">
        <x:v>Хобби и творчество</x:v>
      </x:c>
      <x:c r="B4189" s="14" t="str">
        <x:v>Взрослое творчество и хобби</x:v>
      </x:c>
      <x:c r="C4189" s="14" t="str">
        <x:v>Валяние</x:v>
      </x:c>
      <x:c r="D4189" s="14" t="str">
        <x:v>Набор для валяния</x:v>
      </x:c>
      <x:c r="E4189" s="2" t="n">
        <x:v>3</x:v>
      </x:c>
      <x:c r="F4189" s="2" t="n">
        <x:v>0</x:v>
      </x:c>
      <x:c r="G4189" s="12" t="n">
        <x:v>320674.838</x:v>
      </x:c>
      <x:c r="H4189" s="12" t="n">
        <x:v>44158.5688312</x:v>
      </x:c>
      <x:c r="I4189" s="13" t="n">
        <x:v>0.1443333333333333</x:v>
      </x:c>
      <x:c r="J4189" s="2" t="n">
        <x:v>0</x:v>
      </x:c>
      <x:c r="K4189" s="2" t="n">
        <x:v>3</x:v>
      </x:c>
      <x:c r="L4189" s="12" t="n">
        <x:v>930.8064</x:v>
      </x:c>
      <x:c r="M4189" s="13" t="n">
        <x:v>0.3773443490443113</x:v>
      </x:c>
      <x:c r="N4189" s="13" t="n">
        <x:f>H4189/G4189</x:f>
        <x:v>0.13770512556148856</x:v>
      </x:c>
      <x:c r="O4189" s="13" t="n">
        <x:f>F4189/E4189</x:f>
        <x:v>0</x:v>
      </x:c>
      <x:c r="P4189" s="2" t="str">
        <x:f>IF(AND(E4189&gt;='Итоги'!$F$5,N4189&lt;='Итоги'!$B$5,O4189&gt;='Итоги'!$D$5),"Да","Нет")</x:f>
        <x:v>Нет</x:v>
      </x:c>
    </x:row>
    <x:row r="4190" ht="60" customHeight="1">
      <x:c r="A4190" s="14" t="str">
        <x:v>Аптека</x:v>
      </x:c>
      <x:c r="B4190" s="14" t="str">
        <x:v>Товары для взрослых</x:v>
      </x:c>
      <x:c r="C4190" s="14" t="str">
        <x:v>Секс игрушки</x:v>
      </x:c>
      <x:c r="D4190" s="14" t="str">
        <x:v>Вакуумная и гидропомпа 18+</x:v>
      </x:c>
      <x:c r="E4190" s="2" t="n">
        <x:v>14</x:v>
      </x:c>
      <x:c r="F4190" s="2" t="n">
        <x:v>0</x:v>
      </x:c>
      <x:c r="G4190" s="12" t="n">
        <x:v>2411163.6577</x:v>
      </x:c>
      <x:c r="H4190" s="12" t="n">
        <x:v>332501.56769656</x:v>
      </x:c>
      <x:c r="I4190" s="13" t="n">
        <x:v>0.1273071428571428</x:v>
      </x:c>
      <x:c r="J4190" s="2" t="n">
        <x:v>2</x:v>
      </x:c>
      <x:c r="K4190" s="2" t="n">
        <x:v>8</x:v>
      </x:c>
      <x:c r="L4190" s="12" t="n">
        <x:v>2016.0046</x:v>
      </x:c>
      <x:c r="M4190" s="13" t="n">
        <x:v>0.5295838351420918</x:v>
      </x:c>
      <x:c r="N4190" s="13" t="n">
        <x:f>H4190/G4190</x:f>
        <x:v>0.13790087065833267</x:v>
      </x:c>
      <x:c r="O4190" s="13" t="n">
        <x:f>F4190/E4190</x:f>
        <x:v>0</x:v>
      </x:c>
      <x:c r="P4190" s="2" t="str">
        <x:f>IF(AND(E4190&gt;='Итоги'!$F$5,N4190&lt;='Итоги'!$B$5,O4190&gt;='Итоги'!$D$5),"Да","Нет")</x:f>
        <x:v>Нет</x:v>
      </x:c>
    </x:row>
    <x:row r="4191" ht="60" customHeight="1">
      <x:c r="A4191" s="14" t="str">
        <x:v>Детская одежда</x:v>
      </x:c>
      <x:c r="B4191" s="14" t="str">
        <x:v>Одежда для новорожденных</x:v>
      </x:c>
      <x:c r="C4191" s="14" t="str">
        <x:v>Верхняя одежда для новорожденных</x:v>
      </x:c>
      <x:c r="D4191" s="14" t="str">
        <x:v>Комбинезон-трансформер для новорожденных</x:v>
      </x:c>
      <x:c r="E4191" s="2" t="n">
        <x:v>7</x:v>
      </x:c>
      <x:c r="F4191" s="2" t="n">
        <x:v>0</x:v>
      </x:c>
      <x:c r="G4191" s="12" t="n">
        <x:v>386398.48</x:v>
      </x:c>
      <x:c r="H4191" s="12" t="n">
        <x:v>53287.07483</x:v>
      </x:c>
      <x:c r="I4191" s="13" t="n">
        <x:v>0.1052428571428571</x:v>
      </x:c>
      <x:c r="J4191" s="2" t="n">
        <x:v>1</x:v>
      </x:c>
      <x:c r="K4191" s="2" t="n">
        <x:v>3</x:v>
      </x:c>
      <x:c r="L4191" s="12" t="n">
        <x:v>8044</x:v>
      </x:c>
      <x:c r="M4191" s="13" t="n">
        <x:v>0.6353546214778071</x:v>
      </x:c>
      <x:c r="N4191" s="13" t="n">
        <x:f>H4191/G4191</x:f>
        <x:v>0.13790705085071764</x:v>
      </x:c>
      <x:c r="O4191" s="13" t="n">
        <x:f>F4191/E4191</x:f>
        <x:v>0</x:v>
      </x:c>
      <x:c r="P4191" s="2" t="str">
        <x:f>IF(AND(E4191&gt;='Итоги'!$F$5,N4191&lt;='Итоги'!$B$5,O4191&gt;='Итоги'!$D$5),"Да","Нет")</x:f>
        <x:v>Нет</x:v>
      </x:c>
    </x:row>
    <x:row r="4192" ht="60" customHeight="1">
      <x:c r="A4192" s="14" t="str">
        <x:v>Товары для красоты и здоровья</x:v>
      </x:c>
      <x:c r="B4192" s="14" t="str">
        <x:v>Косметика для ухода за кожей</x:v>
      </x:c>
      <x:c r="C4192" s="14" t="str">
        <x:v>Уход за лицом и телом для мужчин</x:v>
      </x:c>
      <x:c r="D4192" s="14" t="str">
        <x:v>Наборы для ухода за лицом и телом мужские</x:v>
      </x:c>
      <x:c r="E4192" s="2" t="n">
        <x:v>6</x:v>
      </x:c>
      <x:c r="F4192" s="2" t="n">
        <x:v>0</x:v>
      </x:c>
      <x:c r="G4192" s="12" t="n">
        <x:v>1164484.4962</x:v>
      </x:c>
      <x:c r="H4192" s="12" t="n">
        <x:v>160968.05629216</x:v>
      </x:c>
      <x:c r="I4192" s="13" t="n">
        <x:v>0.1444</x:v>
      </x:c>
      <x:c r="J4192" s="2" t="n">
        <x:v>1</x:v>
      </x:c>
      <x:c r="K4192" s="2" t="n">
        <x:v>4</x:v>
      </x:c>
      <x:c r="L4192" s="12" t="n">
        <x:v>2592.34275</x:v>
      </x:c>
      <x:c r="M4192" s="13" t="n">
        <x:v>0.4697558012880996</x:v>
      </x:c>
      <x:c r="N4192" s="13" t="n">
        <x:f>H4192/G4192</x:f>
        <x:v>0.13823117166217194</x:v>
      </x:c>
      <x:c r="O4192" s="13" t="n">
        <x:f>F4192/E4192</x:f>
        <x:v>0</x:v>
      </x:c>
      <x:c r="P4192" s="2" t="str">
        <x:f>IF(AND(E4192&gt;='Итоги'!$F$5,N4192&lt;='Итоги'!$B$5,O4192&gt;='Итоги'!$D$5),"Да","Нет")</x:f>
        <x:v>Нет</x:v>
      </x:c>
    </x:row>
    <x:row r="4193" ht="60" customHeight="1">
      <x:c r="A4193" s="14" t="str">
        <x:v>Аптека</x:v>
      </x:c>
      <x:c r="B4193" s="14" t="str">
        <x:v>Профессиональные стоматологические приборы и материалы</x:v>
      </x:c>
      <x:c r="C4193" s="14" t="str">
        <x:v>Профессиональные стоматологические приборы</x:v>
      </x:c>
      <x:c r="D4193" s="14" t="str">
        <x:v>Полимеризационная лампа стоматологическая</x:v>
      </x:c>
      <x:c r="E4193" s="2" t="n">
        <x:v>4</x:v>
      </x:c>
      <x:c r="F4193" s="2" t="n">
        <x:v>0</x:v>
      </x:c>
      <x:c r="G4193" s="12" t="n">
        <x:v>618170.35</x:v>
      </x:c>
      <x:c r="H4193" s="12" t="n">
        <x:v>85622.795958</x:v>
      </x:c>
      <x:c r="I4193" s="13" t="n">
        <x:v>0.138025</x:v>
      </x:c>
      <x:c r="J4193" s="2" t="n">
        <x:v>0</x:v>
      </x:c>
      <x:c r="K4193" s="2" t="n">
        <x:v>1</x:v>
      </x:c>
      <x:c r="L4193" s="12" t="n">
        <x:v>2327.0485</x:v>
      </x:c>
      <x:c r="M4193" s="13" t="n">
        <x:v>1</x:v>
      </x:c>
      <x:c r="N4193" s="13" t="n">
        <x:f>H4193/G4193</x:f>
        <x:v>0.13851003361452066</x:v>
      </x:c>
      <x:c r="O4193" s="13" t="n">
        <x:f>F4193/E4193</x:f>
        <x:v>0</x:v>
      </x:c>
      <x:c r="P4193" s="2" t="str">
        <x:f>IF(AND(E4193&gt;='Итоги'!$F$5,N4193&lt;='Итоги'!$B$5,O4193&gt;='Итоги'!$D$5),"Да","Нет")</x:f>
        <x:v>Нет</x:v>
      </x:c>
    </x:row>
    <x:row r="4194" ht="60" customHeight="1">
      <x:c r="A4194" s="14" t="str">
        <x:v>Мелкая бытовая техника</x:v>
      </x:c>
      <x:c r="B4194" s="14" t="str">
        <x:v>Мелкая бытовая техника SDA</x:v>
      </x:c>
      <x:c r="C4194" s="14" t="str">
        <x:v>Электронная техника для дома SDA</x:v>
      </x:c>
      <x:c r="D4194" s="14" t="str">
        <x:v>Электробиде</x:v>
      </x:c>
      <x:c r="E4194" s="2" t="n">
        <x:v>4</x:v>
      </x:c>
      <x:c r="F4194" s="2" t="n">
        <x:v>0</x:v>
      </x:c>
      <x:c r="G4194" s="12" t="n">
        <x:v>1253570.2569</x:v>
      </x:c>
      <x:c r="H4194" s="12" t="n">
        <x:v>174189.9929</x:v>
      </x:c>
      <x:c r="I4194" s="13" t="n">
        <x:v>0.083825</x:v>
      </x:c>
      <x:c r="J4194" s="2" t="n">
        <x:v>2</x:v>
      </x:c>
      <x:c r="K4194" s="2" t="n">
        <x:v>4</x:v>
      </x:c>
      <x:c r="L4194" s="12" t="n">
        <x:v>13125.4531</x:v>
      </x:c>
      <x:c r="M4194" s="13" t="n">
        <x:v>0.5834080666595943</x:v>
      </x:c>
      <x:c r="N4194" s="13" t="n">
        <x:f>H4194/G4194</x:f>
        <x:v>0.13895510996787755</x:v>
      </x:c>
      <x:c r="O4194" s="13" t="n">
        <x:f>F4194/E4194</x:f>
        <x:v>0</x:v>
      </x:c>
      <x:c r="P4194" s="2" t="str">
        <x:f>IF(AND(E4194&gt;='Итоги'!$F$5,N4194&lt;='Итоги'!$B$5,O4194&gt;='Итоги'!$D$5),"Да","Нет")</x:f>
        <x:v>Нет</x:v>
      </x:c>
    </x:row>
    <x:row r="4195" ht="60" customHeight="1">
      <x:c r="A4195" s="14" t="str">
        <x:v>Товары для детей и спорта</x:v>
      </x:c>
      <x:c r="B4195" s="14" t="str">
        <x:v>Спорт детский</x:v>
      </x:c>
      <x:c r="C4195" s="14" t="str">
        <x:v>Игровой комплекс для детей</x:v>
      </x:c>
      <x:c r="D4195" s="14" t="str">
        <x:v>Спорткомплекс домашний детский</x:v>
      </x:c>
      <x:c r="E4195" s="2" t="n">
        <x:v>16</x:v>
      </x:c>
      <x:c r="F4195" s="2" t="n">
        <x:v>0</x:v>
      </x:c>
      <x:c r="G4195" s="12" t="n">
        <x:v>2092070.3612</x:v>
      </x:c>
      <x:c r="H4195" s="12" t="n">
        <x:v>290742.23469462</x:v>
      </x:c>
      <x:c r="I4195" s="13" t="n">
        <x:v>0.140625</x:v>
      </x:c>
      <x:c r="J4195" s="2" t="n">
        <x:v>3</x:v>
      </x:c>
      <x:c r="K4195" s="2" t="n">
        <x:v>7</x:v>
      </x:c>
      <x:c r="L4195" s="12" t="n">
        <x:v>7462.17225</x:v>
      </x:c>
      <x:c r="M4195" s="13" t="n">
        <x:v>0.4345727279356478</x:v>
      </x:c>
      <x:c r="N4195" s="13" t="n">
        <x:f>H4195/G4195</x:f>
        <x:v>0.13897344950092974</x:v>
      </x:c>
      <x:c r="O4195" s="13" t="n">
        <x:f>F4195/E4195</x:f>
        <x:v>0</x:v>
      </x:c>
      <x:c r="P4195" s="2" t="str">
        <x:f>IF(AND(E4195&gt;='Итоги'!$F$5,N4195&lt;='Итоги'!$B$5,O4195&gt;='Итоги'!$D$5),"Да","Нет")</x:f>
        <x:v>Нет</x:v>
      </x:c>
    </x:row>
    <x:row r="4196" ht="60" customHeight="1">
      <x:c r="A4196" s="14" t="str">
        <x:v>Аксессуары</x:v>
      </x:c>
      <x:c r="B4196" s="14" t="str">
        <x:v>Чемоданы, дорожные сумки</x:v>
      </x:c>
      <x:c r="C4196" s="14" t="str">
        <x:v>Дорожные сумки, тележки</x:v>
      </x:c>
      <x:c r="D4196" s="14" t="str">
        <x:v>Сумка для активного отдыха</x:v>
      </x:c>
      <x:c r="E4196" s="2" t="n">
        <x:v>1</x:v>
      </x:c>
      <x:c r="F4196" s="2" t="n">
        <x:v>0</x:v>
      </x:c>
      <x:c r="G4196" s="12" t="n">
        <x:v>101390.0762</x:v>
      </x:c>
      <x:c r="H4196" s="12" t="n">
        <x:v>14093.2205918</x:v>
      </x:c>
      <x:c r="I4196" s="13" t="n">
        <x:v>0.139</x:v>
      </x:c>
      <x:c r="J4196" s="2" t="n">
        <x:v>0</x:v>
      </x:c>
      <x:c r="K4196" s="2" t="n">
        <x:v>1</x:v>
      </x:c>
      <x:c r="L4196" s="12" t="n">
        <x:v>2982.0611</x:v>
      </x:c>
      <x:c r="M4196" s="13" t="n">
        <x:v>1</x:v>
      </x:c>
      <x:c r="N4196" s="13" t="n">
        <x:f>H4196/G4196</x:f>
        <x:v>0.139</x:v>
      </x:c>
      <x:c r="O4196" s="13" t="n">
        <x:f>F4196/E4196</x:f>
        <x:v>0</x:v>
      </x:c>
      <x:c r="P4196" s="2" t="str">
        <x:f>IF(AND(E4196&gt;='Итоги'!$F$5,N4196&lt;='Итоги'!$B$5,O4196&gt;='Итоги'!$D$5),"Да","Нет")</x:f>
        <x:v>Нет</x:v>
      </x:c>
    </x:row>
    <x:row r="4197" ht="60" customHeight="1">
      <x:c r="A4197" s="14" t="str">
        <x:v>Спорт и отдых</x:v>
      </x:c>
      <x:c r="B4197" s="14" t="str">
        <x:v>Туризм</x:v>
      </x:c>
      <x:c r="C4197" s="14" t="str">
        <x:v>Фонарь, лампа туристические</x:v>
      </x:c>
      <x:c r="D4197" s="14" t="str">
        <x:v>Карманный фонарь, фонарь-брелок</x:v>
      </x:c>
      <x:c r="E4197" s="2" t="n">
        <x:v>6</x:v>
      </x:c>
      <x:c r="F4197" s="2" t="n">
        <x:v>0</x:v>
      </x:c>
      <x:c r="G4197" s="12" t="n">
        <x:v>961555.5832</x:v>
      </x:c>
      <x:c r="H4197" s="12" t="n">
        <x:v>133702.28895581</x:v>
      </x:c>
      <x:c r="I4197" s="13" t="n">
        <x:v>0.1303</x:v>
      </x:c>
      <x:c r="J4197" s="2" t="n">
        <x:v>2</x:v>
      </x:c>
      <x:c r="K4197" s="2" t="n">
        <x:v>3</x:v>
      </x:c>
      <x:c r="L4197" s="12" t="n">
        <x:v>1273.4467</x:v>
      </x:c>
      <x:c r="M4197" s="13" t="n">
        <x:v>0.6213710508669843</x:v>
      </x:c>
      <x:c r="N4197" s="13" t="n">
        <x:f>H4197/G4197</x:f>
        <x:v>0.13904790455363664</x:v>
      </x:c>
      <x:c r="O4197" s="13" t="n">
        <x:f>F4197/E4197</x:f>
        <x:v>0</x:v>
      </x:c>
      <x:c r="P4197" s="2" t="str">
        <x:f>IF(AND(E4197&gt;='Итоги'!$F$5,N4197&lt;='Итоги'!$B$5,O4197&gt;='Итоги'!$D$5),"Да","Нет")</x:f>
        <x:v>Нет</x:v>
      </x:c>
    </x:row>
    <x:row r="4198" ht="60" customHeight="1">
      <x:c r="A4198" s="14" t="str">
        <x:v>Спорт и отдых</x:v>
      </x:c>
      <x:c r="B4198" s="14" t="str">
        <x:v>Колесный транспорт</x:v>
      </x:c>
      <x:c r="C4198" s="14" t="str">
        <x:v>Велосипед</x:v>
      </x:c>
      <x:c r="D4198" s="14" t="str">
        <x:v>Велосипед Fatbike</x:v>
      </x:c>
      <x:c r="E4198" s="2" t="n">
        <x:v>4</x:v>
      </x:c>
      <x:c r="F4198" s="2" t="n">
        <x:v>0</x:v>
      </x:c>
      <x:c r="G4198" s="12" t="n">
        <x:v>674396</x:v>
      </x:c>
      <x:c r="H4198" s="12" t="n">
        <x:v>93780.6585</x:v>
      </x:c>
      <x:c r="I4198" s="13" t="n">
        <x:v>0.1093249999999999</x:v>
      </x:c>
      <x:c r="J4198" s="2" t="n">
        <x:v>1</x:v>
      </x:c>
      <x:c r="K4198" s="2" t="n">
        <x:v>2</x:v>
      </x:c>
      <x:c r="L4198" s="12" t="n">
        <x:v>19068</x:v>
      </x:c>
      <x:c r="M4198" s="13" t="n">
        <x:v>0.9722151376935806</x:v>
      </x:c>
      <x:c r="N4198" s="13" t="n">
        <x:f>H4198/G4198</x:f>
        <x:v>0.13905874071020588</x:v>
      </x:c>
      <x:c r="O4198" s="13" t="n">
        <x:f>F4198/E4198</x:f>
        <x:v>0</x:v>
      </x:c>
      <x:c r="P4198" s="2" t="str">
        <x:f>IF(AND(E4198&gt;='Итоги'!$F$5,N4198&lt;='Итоги'!$B$5,O4198&gt;='Итоги'!$D$5),"Да","Нет")</x:f>
        <x:v>Нет</x:v>
      </x:c>
    </x:row>
    <x:row r="4199" ht="60" customHeight="1">
      <x:c r="A4199" s="14" t="str">
        <x:v>Товары для дома</x:v>
      </x:c>
      <x:c r="B4199" s="14" t="str">
        <x:v>Кухня</x:v>
      </x:c>
      <x:c r="C4199" s="14" t="str">
        <x:v>Кухонные приборы</x:v>
      </x:c>
      <x:c r="D4199" s="14" t="str">
        <x:v>Таймер кухонный</x:v>
      </x:c>
      <x:c r="E4199" s="2" t="n">
        <x:v>1</x:v>
      </x:c>
      <x:c r="F4199" s="2" t="n">
        <x:v>0</x:v>
      </x:c>
      <x:c r="G4199" s="12" t="n">
        <x:v>125637.26</x:v>
      </x:c>
      <x:c r="H4199" s="12" t="n">
        <x:v>17476.142866</x:v>
      </x:c>
      <x:c r="I4199" s="13" t="n">
        <x:v>0.1391</x:v>
      </x:c>
      <x:c r="J4199" s="2" t="n">
        <x:v>0</x:v>
      </x:c>
      <x:c r="K4199" s="2" t="n">
        <x:v>1</x:v>
      </x:c>
      <x:c r="L4199" s="12" t="n">
        <x:v>682.8112</x:v>
      </x:c>
      <x:c r="M4199" s="13" t="n">
        <x:v>1</x:v>
      </x:c>
      <x:c r="N4199" s="13" t="n">
        <x:f>H4199/G4199</x:f>
        <x:v>0.1391</x:v>
      </x:c>
      <x:c r="O4199" s="13" t="n">
        <x:f>F4199/E4199</x:f>
        <x:v>0</x:v>
      </x:c>
      <x:c r="P4199" s="2" t="str">
        <x:f>IF(AND(E4199&gt;='Итоги'!$F$5,N4199&lt;='Итоги'!$B$5,O4199&gt;='Итоги'!$D$5),"Да","Нет")</x:f>
        <x:v>Нет</x:v>
      </x:c>
    </x:row>
    <x:row r="4200" ht="60" customHeight="1">
      <x:c r="A4200" s="14" t="str">
        <x:v>Детская одежда</x:v>
      </x:c>
      <x:c r="B4200" s="14" t="str">
        <x:v>Детская одежда</x:v>
      </x:c>
      <x:c r="C4200" s="14" t="str">
        <x:v>Одежда для девочки</x:v>
      </x:c>
      <x:c r="D4200" s="14" t="str">
        <x:v>Комплект флисовый для девочки</x:v>
      </x:c>
      <x:c r="E4200" s="2" t="n">
        <x:v>3</x:v>
      </x:c>
      <x:c r="F4200" s="2" t="n">
        <x:v>0</x:v>
      </x:c>
      <x:c r="G4200" s="12" t="n">
        <x:v>279511.91000000003</x:v>
      </x:c>
      <x:c r="H4200" s="12" t="n">
        <x:v>38923.90992</x:v>
      </x:c>
      <x:c r="I4200" s="13" t="n">
        <x:v>0.119</x:v>
      </x:c>
      <x:c r="J4200" s="2" t="n">
        <x:v>2</x:v>
      </x:c>
      <x:c r="K4200" s="2" t="n">
        <x:v>1</x:v>
      </x:c>
      <x:c r="L4200" s="12" t="n">
        <x:v>864.3035</x:v>
      </x:c>
      <x:c r="M4200" s="13" t="n">
        <x:v>1</x:v>
      </x:c>
      <x:c r="N4200" s="13" t="n">
        <x:f>H4200/G4200</x:f>
        <x:v>0.1392567133185845</x:v>
      </x:c>
      <x:c r="O4200" s="13" t="n">
        <x:f>F4200/E4200</x:f>
        <x:v>0</x:v>
      </x:c>
      <x:c r="P4200" s="2" t="str">
        <x:f>IF(AND(E4200&gt;='Итоги'!$F$5,N4200&lt;='Итоги'!$B$5,O4200&gt;='Итоги'!$D$5),"Да","Нет")</x:f>
        <x:v>Нет</x:v>
      </x:c>
    </x:row>
    <x:row r="4201" ht="60" customHeight="1">
      <x:c r="A4201" s="14" t="str">
        <x:v>Товары для дома</x:v>
      </x:c>
      <x:c r="B4201" s="14" t="str">
        <x:v>Ванная комната</x:v>
      </x:c>
      <x:c r="C4201" s="14" t="str">
        <x:v>Коврик для ванной</x:v>
      </x:c>
      <x:c r="D4201" s="14" t="str">
        <x:v>Коврик для ванной комнаты, для туалетной комнаты</x:v>
      </x:c>
      <x:c r="E4201" s="2" t="n">
        <x:v>58</x:v>
      </x:c>
      <x:c r="F4201" s="2" t="n">
        <x:v>0</x:v>
      </x:c>
      <x:c r="G4201" s="12" t="n">
        <x:v>6508961.1355</x:v>
      </x:c>
      <x:c r="H4201" s="12" t="n">
        <x:v>906455.02965923</x:v>
      </x:c>
      <x:c r="I4201" s="13" t="n">
        <x:v>0.1214689655172413</x:v>
      </x:c>
      <x:c r="J4201" s="2" t="n">
        <x:v>6</x:v>
      </x:c>
      <x:c r="K4201" s="2" t="n">
        <x:v>25</x:v>
      </x:c>
      <x:c r="L4201" s="12" t="n">
        <x:v>1106.13025</x:v>
      </x:c>
      <x:c r="M4201" s="13" t="n">
        <x:v>0.3746761776313266</x:v>
      </x:c>
      <x:c r="N4201" s="13" t="n">
        <x:f>H4201/G4201</x:f>
        <x:v>0.13926262744378773</x:v>
      </x:c>
      <x:c r="O4201" s="13" t="n">
        <x:f>F4201/E4201</x:f>
        <x:v>0</x:v>
      </x:c>
      <x:c r="P4201" s="2" t="str">
        <x:f>IF(AND(E4201&gt;='Итоги'!$F$5,N4201&lt;='Итоги'!$B$5,O4201&gt;='Итоги'!$D$5),"Да","Нет")</x:f>
        <x:v>Нет</x:v>
      </x:c>
    </x:row>
    <x:row r="4202" ht="60" customHeight="1">
      <x:c r="A4202" s="14" t="str">
        <x:v>Товары для дома</x:v>
      </x:c>
      <x:c r="B4202" s="14" t="str">
        <x:v>Ванная комната</x:v>
      </x:c>
      <x:c r="C4202" s="14" t="str">
        <x:v>Держатели для ванной</x:v>
      </x:c>
      <x:c r="D4202" s="14" t="str">
        <x:v>Держатель, подставка для ванной</x:v>
      </x:c>
      <x:c r="E4202" s="2" t="n">
        <x:v>18</x:v>
      </x:c>
      <x:c r="F4202" s="2" t="n">
        <x:v>0</x:v>
      </x:c>
      <x:c r="G4202" s="12" t="n">
        <x:v>1699720.0156</x:v>
      </x:c>
      <x:c r="H4202" s="12" t="n">
        <x:v>237004.57597126</x:v>
      </x:c>
      <x:c r="I4202" s="13" t="n">
        <x:v>0.1460944444444444</x:v>
      </x:c>
      <x:c r="J4202" s="2" t="n">
        <x:v>1</x:v>
      </x:c>
      <x:c r="K4202" s="2" t="n">
        <x:v>11</x:v>
      </x:c>
      <x:c r="L4202" s="12" t="n">
        <x:v>1118.7991</x:v>
      </x:c>
      <x:c r="M4202" s="13" t="n">
        <x:v>0.3497344584073509</x:v>
      </x:c>
      <x:c r="N4202" s="13" t="n">
        <x:f>H4202/G4202</x:f>
        <x:v>0.13943742133765338</x:v>
      </x:c>
      <x:c r="O4202" s="13" t="n">
        <x:f>F4202/E4202</x:f>
        <x:v>0</x:v>
      </x:c>
      <x:c r="P4202" s="2" t="str">
        <x:f>IF(AND(E4202&gt;='Итоги'!$F$5,N4202&lt;='Итоги'!$B$5,O4202&gt;='Итоги'!$D$5),"Да","Нет")</x:f>
        <x:v>Нет</x:v>
      </x:c>
    </x:row>
    <x:row r="4203" ht="60" customHeight="1">
      <x:c r="A4203" s="14" t="str">
        <x:v>Аксессуары для электроники</x:v>
      </x:c>
      <x:c r="B4203" s="14" t="str">
        <x:v>Электропитание Access</x:v>
      </x:c>
      <x:c r="C4203" s="14" t="str">
        <x:v>Кабели и переходники Access</x:v>
      </x:c>
      <x:c r="D4203" s="14" t="str">
        <x:v>Аксессуары к кабелям</x:v>
      </x:c>
      <x:c r="E4203" s="2" t="n">
        <x:v>22</x:v>
      </x:c>
      <x:c r="F4203" s="2" t="n">
        <x:v>0</x:v>
      </x:c>
      <x:c r="G4203" s="12" t="n">
        <x:v>2624419.0729</x:v>
      </x:c>
      <x:c r="H4203" s="12" t="n">
        <x:v>366106.3216502</x:v>
      </x:c>
      <x:c r="I4203" s="13" t="n">
        <x:v>0.1495227272727272</x:v>
      </x:c>
      <x:c r="J4203" s="2" t="n">
        <x:v>0</x:v>
      </x:c>
      <x:c r="K4203" s="2" t="n">
        <x:v>9</x:v>
      </x:c>
      <x:c r="L4203" s="12" t="n">
        <x:v>1422.2148499999998</x:v>
      </x:c>
      <x:c r="M4203" s="13" t="n">
        <x:v>0.3503379709415157</x:v>
      </x:c>
      <x:c r="N4203" s="13" t="n">
        <x:f>H4203/G4203</x:f>
        <x:v>0.13949994702852472</x:v>
      </x:c>
      <x:c r="O4203" s="13" t="n">
        <x:f>F4203/E4203</x:f>
        <x:v>0</x:v>
      </x:c>
      <x:c r="P4203" s="2" t="str">
        <x:f>IF(AND(E4203&gt;='Итоги'!$F$5,N4203&lt;='Итоги'!$B$5,O4203&gt;='Итоги'!$D$5),"Да","Нет")</x:f>
        <x:v>Нет</x:v>
      </x:c>
    </x:row>
    <x:row r="4204" ht="60" customHeight="1">
      <x:c r="A4204" s="14" t="str">
        <x:v>Спорт и отдых</x:v>
      </x:c>
      <x:c r="B4204" s="14" t="str">
        <x:v>Товары для рыбалки</x:v>
      </x:c>
      <x:c r="C4204" s="14" t="str">
        <x:v>Оснастка рыболовная</x:v>
      </x:c>
      <x:c r="D4204" s="14" t="str">
        <x:v>Оснастка донная</x:v>
      </x:c>
      <x:c r="E4204" s="2" t="n">
        <x:v>1</x:v>
      </x:c>
      <x:c r="F4204" s="2" t="n">
        <x:v>0</x:v>
      </x:c>
      <x:c r="G4204" s="12" t="n">
        <x:v>100762.41</x:v>
      </x:c>
      <x:c r="H4204" s="12" t="n">
        <x:v>14056.356195000002</x:v>
      </x:c>
      <x:c r="I4204" s="13" t="n">
        <x:v>0.1395</x:v>
      </x:c>
      <x:c r="J4204" s="2" t="n">
        <x:v>0</x:v>
      </x:c>
      <x:c r="K4204" s="2" t="n">
        <x:v>1</x:v>
      </x:c>
      <x:c r="L4204" s="12" t="n">
        <x:v>769.1787</x:v>
      </x:c>
      <x:c r="M4204" s="13" t="n">
        <x:v>1</x:v>
      </x:c>
      <x:c r="N4204" s="13" t="n">
        <x:f>H4204/G4204</x:f>
        <x:v>0.1395</x:v>
      </x:c>
      <x:c r="O4204" s="13" t="n">
        <x:f>F4204/E4204</x:f>
        <x:v>0</x:v>
      </x:c>
      <x:c r="P4204" s="2" t="str">
        <x:f>IF(AND(E4204&gt;='Итоги'!$F$5,N4204&lt;='Итоги'!$B$5,O4204&gt;='Итоги'!$D$5),"Да","Нет")</x:f>
        <x:v>Нет</x:v>
      </x:c>
    </x:row>
    <x:row r="4205" ht="60" customHeight="1">
      <x:c r="A4205" s="14" t="str">
        <x:v>Мебель</x:v>
      </x:c>
      <x:c r="B4205" s="14" t="str">
        <x:v>Корпусная мебель и мебель для хранения</x:v>
      </x:c>
      <x:c r="C4205" s="14" t="str">
        <x:v>Мебель для кухни</x:v>
      </x:c>
      <x:c r="D4205" s="14" t="str">
        <x:v>Кухонные системы для хранения</x:v>
      </x:c>
      <x:c r="E4205" s="2" t="n">
        <x:v>3</x:v>
      </x:c>
      <x:c r="F4205" s="2" t="n">
        <x:v>0</x:v>
      </x:c>
      <x:c r="G4205" s="12" t="n">
        <x:v>742501</x:v>
      </x:c>
      <x:c r="H4205" s="12" t="n">
        <x:v>103631.1889</x:v>
      </x:c>
      <x:c r="I4205" s="13" t="n">
        <x:v>0.1368333333333333</x:v>
      </x:c>
      <x:c r="J4205" s="2" t="n">
        <x:v>0</x:v>
      </x:c>
      <x:c r="K4205" s="2" t="n">
        <x:v>1</x:v>
      </x:c>
      <x:c r="L4205" s="12" t="n">
        <x:v>14263.8125</x:v>
      </x:c>
      <x:c r="M4205" s="13" t="n">
        <x:v>1</x:v>
      </x:c>
      <x:c r="N4205" s="13" t="n">
        <x:f>H4205/G4205</x:f>
        <x:v>0.1395704368074925</x:v>
      </x:c>
      <x:c r="O4205" s="13" t="n">
        <x:f>F4205/E4205</x:f>
        <x:v>0</x:v>
      </x:c>
      <x:c r="P4205" s="2" t="str">
        <x:f>IF(AND(E4205&gt;='Итоги'!$F$5,N4205&lt;='Итоги'!$B$5,O4205&gt;='Итоги'!$D$5),"Да","Нет")</x:f>
        <x:v>Нет</x:v>
      </x:c>
    </x:row>
    <x:row r="4206" ht="60" customHeight="1">
      <x:c r="A4206" s="14" t="str">
        <x:v>Аптека</x:v>
      </x:c>
      <x:c r="B4206" s="14" t="str">
        <x:v>Медицинская техника</x:v>
      </x:c>
      <x:c r="C4206" s="14" t="str">
        <x:v>Медицинская техника</x:v>
      </x:c>
      <x:c r="D4206" s="14" t="str">
        <x:v>Усилитель звука</x:v>
      </x:c>
      <x:c r="E4206" s="2" t="n">
        <x:v>5</x:v>
      </x:c>
      <x:c r="F4206" s="2" t="n">
        <x:v>0</x:v>
      </x:c>
      <x:c r="G4206" s="12" t="n">
        <x:v>850141.53</x:v>
      </x:c>
      <x:c r="H4206" s="12" t="n">
        <x:v>118783.2311</x:v>
      </x:c>
      <x:c r="I4206" s="13" t="n">
        <x:v>0.10796</x:v>
      </x:c>
      <x:c r="J4206" s="2" t="n">
        <x:v>2</x:v>
      </x:c>
      <x:c r="K4206" s="2" t="n">
        <x:v>4</x:v>
      </x:c>
      <x:c r="L4206" s="12" t="n">
        <x:v>1840.2299</x:v>
      </x:c>
      <x:c r="M4206" s="13" t="n">
        <x:v>0.2936393426162818</x:v>
      </x:c>
      <x:c r="N4206" s="13" t="n">
        <x:f>H4206/G4206</x:f>
        <x:v>0.13972171327755273</x:v>
      </x:c>
      <x:c r="O4206" s="13" t="n">
        <x:f>F4206/E4206</x:f>
        <x:v>0</x:v>
      </x:c>
      <x:c r="P4206" s="2" t="str">
        <x:f>IF(AND(E4206&gt;='Итоги'!$F$5,N4206&lt;='Итоги'!$B$5,O4206&gt;='Итоги'!$D$5),"Да","Нет")</x:f>
        <x:v>Нет</x:v>
      </x:c>
    </x:row>
    <x:row r="4207" ht="60" customHeight="1">
      <x:c r="A4207" s="14" t="str">
        <x:v>Аксессуары</x:v>
      </x:c>
      <x:c r="B4207" s="14" t="str">
        <x:v>Очки и аксессуары к ним</x:v>
      </x:c>
      <x:c r="C4207" s="14" t="str">
        <x:v>Очки и оправы</x:v>
      </x:c>
      <x:c r="D4207" s="14" t="str">
        <x:v>Солнцезащитные очки детские</x:v>
      </x:c>
      <x:c r="E4207" s="2" t="n">
        <x:v>11</x:v>
      </x:c>
      <x:c r="F4207" s="2" t="n">
        <x:v>0</x:v>
      </x:c>
      <x:c r="G4207" s="12" t="n">
        <x:v>829873.0372</x:v>
      </x:c>
      <x:c r="H4207" s="12" t="n">
        <x:v>115984.615533</x:v>
      </x:c>
      <x:c r="I4207" s="13" t="n">
        <x:v>0.1571363636363636</x:v>
      </x:c>
      <x:c r="J4207" s="2" t="n">
        <x:v>2</x:v>
      </x:c>
      <x:c r="K4207" s="2" t="n">
        <x:v>1</x:v>
      </x:c>
      <x:c r="L4207" s="12" t="n">
        <x:v>2379.5818</x:v>
      </x:c>
      <x:c r="M4207" s="13" t="n">
        <x:v>1</x:v>
      </x:c>
      <x:c r="N4207" s="13" t="n">
        <x:f>H4207/G4207</x:f>
        <x:v>0.13976187962960365</x:v>
      </x:c>
      <x:c r="O4207" s="13" t="n">
        <x:f>F4207/E4207</x:f>
        <x:v>0</x:v>
      </x:c>
      <x:c r="P4207" s="2" t="str">
        <x:f>IF(AND(E4207&gt;='Итоги'!$F$5,N4207&lt;='Итоги'!$B$5,O4207&gt;='Итоги'!$D$5),"Да","Нет")</x:f>
        <x:v>Нет</x:v>
      </x:c>
    </x:row>
    <x:row r="4208" ht="60" customHeight="1">
      <x:c r="A4208" s="14" t="str">
        <x:v>Аксессуары для электроники</x:v>
      </x:c>
      <x:c r="B4208" s="14" t="str">
        <x:v>Аксессуары для мобильных устройств Access</x:v>
      </x:c>
      <x:c r="C4208" s="14" t="str">
        <x:v>Аксессуары для смартфонов Access</x:v>
      </x:c>
      <x:c r="D4208" s="14" t="str">
        <x:v>Штатив, монопод для смартфона</x:v>
      </x:c>
      <x:c r="E4208" s="2" t="n">
        <x:v>47</x:v>
      </x:c>
      <x:c r="F4208" s="2" t="n">
        <x:v>0</x:v>
      </x:c>
      <x:c r="G4208" s="12" t="n">
        <x:v>6736918.1918</x:v>
      </x:c>
      <x:c r="H4208" s="12" t="n">
        <x:v>941748.71853654</x:v>
      </x:c>
      <x:c r="I4208" s="13" t="n">
        <x:v>0.1407744680851063</x:v>
      </x:c>
      <x:c r="J4208" s="2" t="n">
        <x:v>4</x:v>
      </x:c>
      <x:c r="K4208" s="2" t="n">
        <x:v>18</x:v>
      </x:c>
      <x:c r="L4208" s="12" t="n">
        <x:v>1117.6949</x:v>
      </x:c>
      <x:c r="M4208" s="13" t="n">
        <x:v>0.6075722004880647</x:v>
      </x:c>
      <x:c r="N4208" s="13" t="n">
        <x:f>H4208/G4208</x:f>
        <x:v>0.13978924661469272</x:v>
      </x:c>
      <x:c r="O4208" s="13" t="n">
        <x:f>F4208/E4208</x:f>
        <x:v>0</x:v>
      </x:c>
      <x:c r="P4208" s="2" t="str">
        <x:f>IF(AND(E4208&gt;='Итоги'!$F$5,N4208&lt;='Итоги'!$B$5,O4208&gt;='Итоги'!$D$5),"Да","Нет")</x:f>
        <x:v>Нет</x:v>
      </x:c>
    </x:row>
    <x:row r="4209" ht="60" customHeight="1">
      <x:c r="A4209" s="14" t="str">
        <x:v>Товары для красоты и здоровья</x:v>
      </x:c>
      <x:c r="B4209" s="14" t="str">
        <x:v>Косметическая техника</x:v>
      </x:c>
      <x:c r="C4209" s="14" t="str">
        <x:v>Массажная техника</x:v>
      </x:c>
      <x:c r="D4209" s="14" t="str">
        <x:v>Электромассажер для глаз, лица</x:v>
      </x:c>
      <x:c r="E4209" s="2" t="n">
        <x:v>46</x:v>
      </x:c>
      <x:c r="F4209" s="2" t="n">
        <x:v>0</x:v>
      </x:c>
      <x:c r="G4209" s="12" t="n">
        <x:v>7544275.6079</x:v>
      </x:c>
      <x:c r="H4209" s="12" t="n">
        <x:v>1055283.20514547</x:v>
      </x:c>
      <x:c r="I4209" s="13" t="n">
        <x:v>0.1445630434782608</x:v>
      </x:c>
      <x:c r="J4209" s="2" t="n">
        <x:v>4</x:v>
      </x:c>
      <x:c r="K4209" s="2" t="n">
        <x:v>24</x:v>
      </x:c>
      <x:c r="L4209" s="12" t="n">
        <x:v>3881.88795</x:v>
      </x:c>
      <x:c r="M4209" s="13" t="n">
        <x:v>0.5077674937125357</x:v>
      </x:c>
      <x:c r="N4209" s="13" t="n">
        <x:f>H4209/G4209</x:f>
        <x:v>0.13987866562568693</x:v>
      </x:c>
      <x:c r="O4209" s="13" t="n">
        <x:f>F4209/E4209</x:f>
        <x:v>0</x:v>
      </x:c>
      <x:c r="P4209" s="2" t="str">
        <x:f>IF(AND(E4209&gt;='Итоги'!$F$5,N4209&lt;='Итоги'!$B$5,O4209&gt;='Итоги'!$D$5),"Да","Нет")</x:f>
        <x:v>Нет</x:v>
      </x:c>
    </x:row>
    <x:row r="4210" ht="60" customHeight="1">
      <x:c r="A4210" s="14" t="str">
        <x:v>Товары для дома</x:v>
      </x:c>
      <x:c r="B4210" s="14" t="str">
        <x:v>Домашний текстиль</x:v>
      </x:c>
      <x:c r="C4210" s="14" t="str">
        <x:v>Халат, тюрбан, чалма банные</x:v>
      </x:c>
      <x:c r="D4210" s="14" t="str">
        <x:v>Халат банный мужской</x:v>
      </x:c>
      <x:c r="E4210" s="2" t="n">
        <x:v>4</x:v>
      </x:c>
      <x:c r="F4210" s="2" t="n">
        <x:v>0</x:v>
      </x:c>
      <x:c r="G4210" s="12" t="n">
        <x:v>335743.7</x:v>
      </x:c>
      <x:c r="H4210" s="12" t="n">
        <x:v>46974.71805</x:v>
      </x:c>
      <x:c r="I4210" s="13" t="n">
        <x:v>0.207575</x:v>
      </x:c>
      <x:c r="J4210" s="2" t="n">
        <x:v>1</x:v>
      </x:c>
      <x:c r="K4210" s="2" t="n">
        <x:v>3</x:v>
      </x:c>
      <x:c r="L4210" s="12" t="n">
        <x:v>2782.645</x:v>
      </x:c>
      <x:c r="M4210" s="13" t="n">
        <x:v>0.5696964678711767</x:v>
      </x:c>
      <x:c r="N4210" s="13" t="n">
        <x:f>H4210/G4210</x:f>
        <x:v>0.13991243335317982</x:v>
      </x:c>
      <x:c r="O4210" s="13" t="n">
        <x:f>F4210/E4210</x:f>
        <x:v>0</x:v>
      </x:c>
      <x:c r="P4210" s="2" t="str">
        <x:f>IF(AND(E4210&gt;='Итоги'!$F$5,N4210&lt;='Итоги'!$B$5,O4210&gt;='Итоги'!$D$5),"Да","Нет")</x:f>
        <x:v>Нет</x:v>
      </x:c>
    </x:row>
    <x:row r="4211" ht="60" customHeight="1">
      <x:c r="A4211" s="14" t="str">
        <x:v>Аптека</x:v>
      </x:c>
      <x:c r="B4211" s="14" t="str">
        <x:v>Средства реабилитации</x:v>
      </x:c>
      <x:c r="C4211" s="14" t="str">
        <x:v>Средства реабилитации</x:v>
      </x:c>
      <x:c r="D4211" s="14" t="str">
        <x:v>Текстиль для реабилитации</x:v>
      </x:c>
      <x:c r="E4211" s="2" t="n">
        <x:v>4</x:v>
      </x:c>
      <x:c r="F4211" s="2" t="n">
        <x:v>0</x:v>
      </x:c>
      <x:c r="G4211" s="12" t="n">
        <x:v>435899.63</x:v>
      </x:c>
      <x:c r="H4211" s="12" t="n">
        <x:v>61003.488992</x:v>
      </x:c>
      <x:c r="I4211" s="13" t="n">
        <x:v>0.13345</x:v>
      </x:c>
      <x:c r="J4211" s="2" t="n">
        <x:v>0</x:v>
      </x:c>
      <x:c r="K4211" s="2" t="n">
        <x:v>1</x:v>
      </x:c>
      <x:c r="L4211" s="12" t="n">
        <x:v>2328.0401</x:v>
      </x:c>
      <x:c r="M4211" s="13" t="n">
        <x:v>1</x:v>
      </x:c>
      <x:c r="N4211" s="13" t="n">
        <x:f>H4211/G4211</x:f>
        <x:v>0.13994847619393483</x:v>
      </x:c>
      <x:c r="O4211" s="13" t="n">
        <x:f>F4211/E4211</x:f>
        <x:v>0</x:v>
      </x:c>
      <x:c r="P4211" s="2" t="str">
        <x:f>IF(AND(E4211&gt;='Итоги'!$F$5,N4211&lt;='Итоги'!$B$5,O4211&gt;='Итоги'!$D$5),"Да","Нет")</x:f>
        <x:v>Нет</x:v>
      </x:c>
    </x:row>
    <x:row r="4212" ht="60" customHeight="1">
      <x:c r="A4212" s="14" t="str">
        <x:v>Строительство и ремонт (DIY)</x:v>
      </x:c>
      <x:c r="B4212" s="14" t="str">
        <x:v>Инструменты</x:v>
      </x:c>
      <x:c r="C4212" s="14" t="str">
        <x:v>Техника для строительства, ремонта</x:v>
      </x:c>
      <x:c r="D4212" s="14" t="str">
        <x:v>Краги для сварки</x:v>
      </x:c>
      <x:c r="E4212" s="2" t="n">
        <x:v>4</x:v>
      </x:c>
      <x:c r="F4212" s="2" t="n">
        <x:v>0</x:v>
      </x:c>
      <x:c r="G4212" s="12" t="n">
        <x:v>510822.0433</x:v>
      </x:c>
      <x:c r="H4212" s="12" t="n">
        <x:v>71519.36182138999</x:v>
      </x:c>
      <x:c r="I4212" s="13" t="n">
        <x:v>0.13795</x:v>
      </x:c>
      <x:c r="J4212" s="2" t="n">
        <x:v>0</x:v>
      </x:c>
      <x:c r="K4212" s="2" t="n">
        <x:v>2</x:v>
      </x:c>
      <x:c r="L4212" s="12" t="n">
        <x:v>820.3471999999999</x:v>
      </x:c>
      <x:c r="M4212" s="13" t="n">
        <x:v>0.7194012177430245</x:v>
      </x:c>
      <x:c r="N4212" s="13" t="n">
        <x:f>H4212/G4212</x:f>
        <x:v>0.14000837035019548</x:v>
      </x:c>
      <x:c r="O4212" s="13" t="n">
        <x:f>F4212/E4212</x:f>
        <x:v>0</x:v>
      </x:c>
      <x:c r="P4212" s="2" t="str">
        <x:f>IF(AND(E4212&gt;='Итоги'!$F$5,N4212&lt;='Итоги'!$B$5,O4212&gt;='Итоги'!$D$5),"Да","Нет")</x:f>
        <x:v>Нет</x:v>
      </x:c>
    </x:row>
    <x:row r="4213" ht="60" customHeight="1">
      <x:c r="A4213" s="14" t="str">
        <x:v>Хобби и творчество</x:v>
      </x:c>
      <x:c r="B4213" s="14" t="str">
        <x:v>Взрослое творчество и хобби</x:v>
      </x:c>
      <x:c r="C4213" s="14" t="str">
        <x:v>Скрапбукинг</x:v>
      </x:c>
      <x:c r="D4213" s="14" t="str">
        <x:v>Сургуч, сургучная печать для скрапбукинга</x:v>
      </x:c>
      <x:c r="E4213" s="2" t="n">
        <x:v>1</x:v>
      </x:c>
      <x:c r="F4213" s="2" t="n">
        <x:v>0</x:v>
      </x:c>
      <x:c r="G4213" s="12" t="n">
        <x:v>117312</x:v>
      </x:c>
      <x:c r="H4213" s="12" t="n">
        <x:v>16435.4112</x:v>
      </x:c>
      <x:c r="I4213" s="13" t="n">
        <x:v>0.1401</x:v>
      </x:c>
      <x:c r="J4213" s="2" t="n">
        <x:v>0</x:v>
      </x:c>
      <x:c r="K4213" s="2" t="n">
        <x:v>1</x:v>
      </x:c>
      <x:c r="L4213" s="12" t="n">
        <x:v>787.3289</x:v>
      </x:c>
      <x:c r="M4213" s="13" t="n">
        <x:v>1</x:v>
      </x:c>
      <x:c r="N4213" s="13" t="n">
        <x:f>H4213/G4213</x:f>
        <x:v>0.1401</x:v>
      </x:c>
      <x:c r="O4213" s="13" t="n">
        <x:f>F4213/E4213</x:f>
        <x:v>0</x:v>
      </x:c>
      <x:c r="P4213" s="2" t="str">
        <x:f>IF(AND(E4213&gt;='Итоги'!$F$5,N4213&lt;='Итоги'!$B$5,O4213&gt;='Итоги'!$D$5),"Да","Нет")</x:f>
        <x:v>Нет</x:v>
      </x:c>
    </x:row>
    <x:row r="4214" ht="60" customHeight="1">
      <x:c r="A4214" s="14" t="str">
        <x:v>Спорт и отдых</x:v>
      </x:c>
      <x:c r="B4214" s="14" t="str">
        <x:v>Товары для рыбалки</x:v>
      </x:c>
      <x:c r="C4214" s="14" t="str">
        <x:v>Приманки рыболовные</x:v>
      </x:c>
      <x:c r="D4214" s="14" t="str">
        <x:v>Блесна рыболовная</x:v>
      </x:c>
      <x:c r="E4214" s="2" t="n">
        <x:v>51</x:v>
      </x:c>
      <x:c r="F4214" s="2" t="n">
        <x:v>0</x:v>
      </x:c>
      <x:c r="G4214" s="12" t="n">
        <x:v>7629560.8618</x:v>
      </x:c>
      <x:c r="H4214" s="12" t="n">
        <x:v>1072616.29054224</x:v>
      </x:c>
      <x:c r="I4214" s="13" t="n">
        <x:v>0.1262039215686274</x:v>
      </x:c>
      <x:c r="J4214" s="2" t="n">
        <x:v>1</x:v>
      </x:c>
      <x:c r="K4214" s="2" t="n">
        <x:v>17</x:v>
      </x:c>
      <x:c r="L4214" s="12" t="n">
        <x:v>980.0492</x:v>
      </x:c>
      <x:c r="M4214" s="13" t="n">
        <x:v>0.5091600722067655</x:v>
      </x:c>
      <x:c r="N4214" s="13" t="n">
        <x:f>H4214/G4214</x:f>
        <x:v>0.14058689745993894</x:v>
      </x:c>
      <x:c r="O4214" s="13" t="n">
        <x:f>F4214/E4214</x:f>
        <x:v>0</x:v>
      </x:c>
      <x:c r="P4214" s="2" t="str">
        <x:f>IF(AND(E4214&gt;='Итоги'!$F$5,N4214&lt;='Итоги'!$B$5,O4214&gt;='Итоги'!$D$5),"Да","Нет")</x:f>
        <x:v>Нет</x:v>
      </x:c>
    </x:row>
    <x:row r="4215" ht="60" customHeight="1">
      <x:c r="A4215" s="14" t="str">
        <x:v>Школьные принадлежности и канцелярия</x:v>
      </x:c>
      <x:c r="B4215" s="14" t="str">
        <x:v>Товары для школы, канцелярия, оборудование</x:v>
      </x:c>
      <x:c r="C4215" s="14" t="str">
        <x:v>Ранец, рюкзак, сумка школьные</x:v>
      </x:c>
      <x:c r="D4215" s="14" t="str">
        <x:v>Рюкзак школьный</x:v>
      </x:c>
      <x:c r="E4215" s="2" t="n">
        <x:v>258</x:v>
      </x:c>
      <x:c r="F4215" s="2" t="n">
        <x:v>0</x:v>
      </x:c>
      <x:c r="G4215" s="12" t="n">
        <x:v>24341851.9228</x:v>
      </x:c>
      <x:c r="H4215" s="12" t="n">
        <x:v>3422909.09234114</x:v>
      </x:c>
      <x:c r="I4215" s="13" t="n">
        <x:v>0.1321872093023255</x:v>
      </x:c>
      <x:c r="J4215" s="2" t="n">
        <x:v>28</x:v>
      </x:c>
      <x:c r="K4215" s="2" t="n">
        <x:v>70</x:v>
      </x:c>
      <x:c r="L4215" s="12" t="n">
        <x:v>1722.51495</x:v>
      </x:c>
      <x:c r="M4215" s="13" t="n">
        <x:v>0.6044299163909955</x:v>
      </x:c>
      <x:c r="N4215" s="13" t="n">
        <x:f>H4215/G4215</x:f>
        <x:v>0.14061826943968234</x:v>
      </x:c>
      <x:c r="O4215" s="13" t="n">
        <x:f>F4215/E4215</x:f>
        <x:v>0</x:v>
      </x:c>
      <x:c r="P4215" s="2" t="str">
        <x:f>IF(AND(E4215&gt;='Итоги'!$F$5,N4215&lt;='Итоги'!$B$5,O4215&gt;='Итоги'!$D$5),"Да","Нет")</x:f>
        <x:v>Нет</x:v>
      </x:c>
    </x:row>
    <x:row r="4216" ht="60" customHeight="1">
      <x:c r="A4216" s="14" t="str">
        <x:v>Школьные принадлежности и канцелярия</x:v>
      </x:c>
      <x:c r="B4216" s="14" t="str">
        <x:v>Товары для школы, канцелярия, оборудование</x:v>
      </x:c>
      <x:c r="C4216" s="14" t="str">
        <x:v>Чертежные принадлежности</x:v>
      </x:c>
      <x:c r="D4216" s="14" t="str">
        <x:v>Циркуль, рейсфедер</x:v>
      </x:c>
      <x:c r="E4216" s="2" t="n">
        <x:v>1</x:v>
      </x:c>
      <x:c r="F4216" s="2" t="n">
        <x:v>0</x:v>
      </x:c>
      <x:c r="G4216" s="12" t="n">
        <x:v>83210.1699</x:v>
      </x:c>
      <x:c r="H4216" s="12" t="n">
        <x:v>11707.67090493</x:v>
      </x:c>
      <x:c r="I4216" s="13" t="n">
        <x:v>0.1407</x:v>
      </x:c>
      <x:c r="J4216" s="2" t="n">
        <x:v>0</x:v>
      </x:c>
      <x:c r="K4216" s="2" t="n">
        <x:v>1</x:v>
      </x:c>
      <x:c r="L4216" s="12" t="n">
        <x:v>1002.5322</x:v>
      </x:c>
      <x:c r="M4216" s="13" t="n">
        <x:v>1</x:v>
      </x:c>
      <x:c r="N4216" s="13" t="n">
        <x:f>H4216/G4216</x:f>
        <x:v>0.14070000000000002</x:v>
      </x:c>
      <x:c r="O4216" s="13" t="n">
        <x:f>F4216/E4216</x:f>
        <x:v>0</x:v>
      </x:c>
      <x:c r="P4216" s="2" t="str">
        <x:f>IF(AND(E4216&gt;='Итоги'!$F$5,N4216&lt;='Итоги'!$B$5,O4216&gt;='Итоги'!$D$5),"Да","Нет")</x:f>
        <x:v>Нет</x:v>
      </x:c>
    </x:row>
    <x:row r="4217" ht="60" customHeight="1">
      <x:c r="A4217" s="14" t="str">
        <x:v>Хобби и творчество</x:v>
      </x:c>
      <x:c r="B4217" s="14" t="str">
        <x:v>Взрослое творчество и хобби</x:v>
      </x:c>
      <x:c r="C4217" s="14" t="str">
        <x:v>Расходные материалы для творчества, хобби</x:v>
      </x:c>
      <x:c r="D4217" s="14" t="str">
        <x:v>Наполнитель для рукоделия</x:v>
      </x:c>
      <x:c r="E4217" s="2" t="n">
        <x:v>2</x:v>
      </x:c>
      <x:c r="F4217" s="2" t="n">
        <x:v>0</x:v>
      </x:c>
      <x:c r="G4217" s="12" t="n">
        <x:v>219630.5236</x:v>
      </x:c>
      <x:c r="H4217" s="12" t="n">
        <x:v>30917.422559</x:v>
      </x:c>
      <x:c r="I4217" s="13" t="n">
        <x:v>0.14315</x:v>
      </x:c>
      <x:c r="J4217" s="2" t="n">
        <x:v>0</x:v>
      </x:c>
      <x:c r="K4217" s="2" t="n">
        <x:v>1</x:v>
      </x:c>
      <x:c r="L4217" s="12" t="n">
        <x:v>1066.247</x:v>
      </x:c>
      <x:c r="M4217" s="13" t="n">
        <x:v>1</x:v>
      </x:c>
      <x:c r="N4217" s="13" t="n">
        <x:f>H4217/G4217</x:f>
        <x:v>0.14077015367548848</x:v>
      </x:c>
      <x:c r="O4217" s="13" t="n">
        <x:f>F4217/E4217</x:f>
        <x:v>0</x:v>
      </x:c>
      <x:c r="P4217" s="2" t="str">
        <x:f>IF(AND(E4217&gt;='Итоги'!$F$5,N4217&lt;='Итоги'!$B$5,O4217&gt;='Итоги'!$D$5),"Да","Нет")</x:f>
        <x:v>Нет</x:v>
      </x:c>
    </x:row>
    <x:row r="4218" ht="60" customHeight="1">
      <x:c r="A4218" s="14" t="str">
        <x:v>Аптека</x:v>
      </x:c>
      <x:c r="B4218" s="14" t="str">
        <x:v>Товары для взрослых</x:v>
      </x:c>
      <x:c r="C4218" s="14" t="str">
        <x:v>Товары для БДСМ</x:v>
      </x:c>
      <x:c r="D4218" s="14" t="str">
        <x:v>Зажимы и стимуляторы для сосков БДСМ</x:v>
      </x:c>
      <x:c r="E4218" s="2" t="n">
        <x:v>2</x:v>
      </x:c>
      <x:c r="F4218" s="2" t="n">
        <x:v>0</x:v>
      </x:c>
      <x:c r="G4218" s="12" t="n">
        <x:v>189317.56</x:v>
      </x:c>
      <x:c r="H4218" s="12" t="n">
        <x:v>26655.011148</x:v>
      </x:c>
      <x:c r="I4218" s="13" t="n">
        <x:v>0.1423</x:v>
      </x:c>
      <x:c r="J4218" s="2" t="n">
        <x:v>0</x:v>
      </x:c>
      <x:c r="K4218" s="2" t="n">
        <x:v>2</x:v>
      </x:c>
      <x:c r="L4218" s="12" t="n">
        <x:v>2206.61485</x:v>
      </x:c>
      <x:c r="M4218" s="13" t="n">
        <x:v>0.5395989679985311</x:v>
      </x:c>
      <x:c r="N4218" s="13" t="n">
        <x:f>H4218/G4218</x:f>
        <x:v>0.14079523921605583</x:v>
      </x:c>
      <x:c r="O4218" s="13" t="n">
        <x:f>F4218/E4218</x:f>
        <x:v>0</x:v>
      </x:c>
      <x:c r="P4218" s="2" t="str">
        <x:f>IF(AND(E4218&gt;='Итоги'!$F$5,N4218&lt;='Итоги'!$B$5,O4218&gt;='Итоги'!$D$5),"Да","Нет")</x:f>
        <x:v>Нет</x:v>
      </x:c>
    </x:row>
    <x:row r="4219" ht="60" customHeight="1">
      <x:c r="A4219" s="14" t="str">
        <x:v>Аксессуары для электроники</x:v>
      </x:c>
      <x:c r="B4219" s="14" t="str">
        <x:v>Компьютеры Access</x:v>
      </x:c>
      <x:c r="C4219" s="14" t="str">
        <x:v>Аксессуар к компьютерной технике Access</x:v>
      </x:c>
      <x:c r="D4219" s="14" t="str">
        <x:v>Подставка для монитора</x:v>
      </x:c>
      <x:c r="E4219" s="2" t="n">
        <x:v>28</x:v>
      </x:c>
      <x:c r="F4219" s="2" t="n">
        <x:v>0</x:v>
      </x:c>
      <x:c r="G4219" s="12" t="n">
        <x:v>4440511.123</x:v>
      </x:c>
      <x:c r="H4219" s="12" t="n">
        <x:v>625567.5588955199</x:v>
      </x:c>
      <x:c r="I4219" s="13" t="n">
        <x:v>0.1425571428571428</x:v>
      </x:c>
      <x:c r="J4219" s="2" t="n">
        <x:v>1</x:v>
      </x:c>
      <x:c r="K4219" s="2" t="n">
        <x:v>6</x:v>
      </x:c>
      <x:c r="L4219" s="12" t="n">
        <x:v>4365.365949999999</x:v>
      </x:c>
      <x:c r="M4219" s="13" t="n">
        <x:v>0.7961621075979907</x:v>
      </x:c>
      <x:c r="N4219" s="13" t="n">
        <x:f>H4219/G4219</x:f>
        <x:v>0.14087737685316007</x:v>
      </x:c>
      <x:c r="O4219" s="13" t="n">
        <x:f>F4219/E4219</x:f>
        <x:v>0</x:v>
      </x:c>
      <x:c r="P4219" s="2" t="str">
        <x:f>IF(AND(E4219&gt;='Итоги'!$F$5,N4219&lt;='Итоги'!$B$5,O4219&gt;='Итоги'!$D$5),"Да","Нет")</x:f>
        <x:v>Нет</x:v>
      </x:c>
    </x:row>
    <x:row r="4220" ht="60" customHeight="1">
      <x:c r="A4220" s="14" t="str">
        <x:v>Спорт и отдых</x:v>
      </x:c>
      <x:c r="B4220" s="14" t="str">
        <x:v>Водные виды спорта</x:v>
      </x:c>
      <x:c r="C4220" s="14" t="str">
        <x:v>Снорклинг</x:v>
      </x:c>
      <x:c r="D4220" s="14" t="str">
        <x:v>Маска для снорклинга</x:v>
      </x:c>
      <x:c r="E4220" s="2" t="n">
        <x:v>3</x:v>
      </x:c>
      <x:c r="F4220" s="2" t="n">
        <x:v>0</x:v>
      </x:c>
      <x:c r="G4220" s="12" t="n">
        <x:v>466458</x:v>
      </x:c>
      <x:c r="H4220" s="12" t="n">
        <x:v>65733.378</x:v>
      </x:c>
      <x:c r="I4220" s="13" t="n">
        <x:v>0.1394</x:v>
      </x:c>
      <x:c r="J4220" s="2" t="n">
        <x:v>0</x:v>
      </x:c>
      <x:c r="K4220" s="2" t="n">
        <x:v>2</x:v>
      </x:c>
      <x:c r="L4220" s="12" t="n">
        <x:v>1252.6194</x:v>
      </x:c>
      <x:c r="M4220" s="13" t="n">
        <x:v>0.8195678925005038</x:v>
      </x:c>
      <x:c r="N4220" s="13" t="n">
        <x:f>H4220/G4220</x:f>
        <x:v>0.1409202500546673</x:v>
      </x:c>
      <x:c r="O4220" s="13" t="n">
        <x:f>F4220/E4220</x:f>
        <x:v>0</x:v>
      </x:c>
      <x:c r="P4220" s="2" t="str">
        <x:f>IF(AND(E4220&gt;='Итоги'!$F$5,N4220&lt;='Итоги'!$B$5,O4220&gt;='Итоги'!$D$5),"Да","Нет")</x:f>
        <x:v>Нет</x:v>
      </x:c>
    </x:row>
    <x:row r="4221" ht="60" customHeight="1">
      <x:c r="A4221" s="14" t="str">
        <x:v>Мебель</x:v>
      </x:c>
      <x:c r="B4221" s="14" t="str">
        <x:v>Корпусная мебель и мебель для хранения</x:v>
      </x:c>
      <x:c r="C4221" s="14" t="str">
        <x:v>Мебель для кухни</x:v>
      </x:c>
      <x:c r="D4221" s="14" t="str">
        <x:v>Полка для кухонной мебели</x:v>
      </x:c>
      <x:c r="E4221" s="2" t="n">
        <x:v>1</x:v>
      </x:c>
      <x:c r="F4221" s="2" t="n">
        <x:v>0</x:v>
      </x:c>
      <x:c r="G4221" s="12" t="n">
        <x:v>225100.8</x:v>
      </x:c>
      <x:c r="H4221" s="12" t="n">
        <x:v>31784.23296</x:v>
      </x:c>
      <x:c r="I4221" s="13" t="n">
        <x:v>0.1412</x:v>
      </x:c>
      <x:c r="J4221" s="2" t="n">
        <x:v>0</x:v>
      </x:c>
      <x:c r="K4221" s="2" t="n">
        <x:v>1</x:v>
      </x:c>
      <x:c r="L4221" s="12" t="n">
        <x:v>1830.0878</x:v>
      </x:c>
      <x:c r="M4221" s="13" t="n">
        <x:v>1</x:v>
      </x:c>
      <x:c r="N4221" s="13" t="n">
        <x:f>H4221/G4221</x:f>
        <x:v>0.14120000000000002</x:v>
      </x:c>
      <x:c r="O4221" s="13" t="n">
        <x:f>F4221/E4221</x:f>
        <x:v>0</x:v>
      </x:c>
      <x:c r="P4221" s="2" t="str">
        <x:f>IF(AND(E4221&gt;='Итоги'!$F$5,N4221&lt;='Итоги'!$B$5,O4221&gt;='Итоги'!$D$5),"Да","Нет")</x:f>
        <x:v>Нет</x:v>
      </x:c>
    </x:row>
    <x:row r="4222" ht="60" customHeight="1">
      <x:c r="A4222" s="14" t="str">
        <x:v>Аксессуары для электроники</x:v>
      </x:c>
      <x:c r="B4222" s="14" t="str">
        <x:v>Аксессуары для МБТ (кухня) Access</x:v>
      </x:c>
      <x:c r="C4222" s="14" t="str">
        <x:v>Аксессуары для микроволновой печи Access</x:v>
      </x:c>
      <x:c r="D4222" s="14" t="str">
        <x:v>Аксессуары для микроволновой печи</x:v>
      </x:c>
      <x:c r="E4222" s="2" t="n">
        <x:v>9</x:v>
      </x:c>
      <x:c r="F4222" s="2" t="n">
        <x:v>0</x:v>
      </x:c>
      <x:c r="G4222" s="12" t="n">
        <x:v>1271680.5464</x:v>
      </x:c>
      <x:c r="H4222" s="12" t="n">
        <x:v>179712.85497363</x:v>
      </x:c>
      <x:c r="I4222" s="13" t="n">
        <x:v>0.1382666666666666</x:v>
      </x:c>
      <x:c r="J4222" s="2" t="n">
        <x:v>0</x:v>
      </x:c>
      <x:c r="K4222" s="2" t="n">
        <x:v>3</x:v>
      </x:c>
      <x:c r="L4222" s="12" t="n">
        <x:v>956.5881</x:v>
      </x:c>
      <x:c r="M4222" s="13" t="n">
        <x:v>0.7068165486564528</x:v>
      </x:c>
      <x:c r="N4222" s="13" t="n">
        <x:f>H4222/G4222</x:f>
        <x:v>0.14131918230752136</x:v>
      </x:c>
      <x:c r="O4222" s="13" t="n">
        <x:f>F4222/E4222</x:f>
        <x:v>0</x:v>
      </x:c>
      <x:c r="P4222" s="2" t="str">
        <x:f>IF(AND(E4222&gt;='Итоги'!$F$5,N4222&lt;='Итоги'!$B$5,O4222&gt;='Итоги'!$D$5),"Да","Нет")</x:f>
        <x:v>Нет</x:v>
      </x:c>
    </x:row>
    <x:row r="4223" ht="60" customHeight="1">
      <x:c r="A4223" s="14" t="str">
        <x:v>Строительство и ремонт (DIY)</x:v>
      </x:c>
      <x:c r="B4223" s="14" t="str">
        <x:v>Ремонт и строительство</x:v>
      </x:c>
      <x:c r="C4223" s="14" t="str">
        <x:v>Скобяные изделия</x:v>
      </x:c>
      <x:c r="D4223" s="14" t="str">
        <x:v>Профили</x:v>
      </x:c>
      <x:c r="E4223" s="2" t="n">
        <x:v>5</x:v>
      </x:c>
      <x:c r="F4223" s="2" t="n">
        <x:v>0</x:v>
      </x:c>
      <x:c r="G4223" s="12" t="n">
        <x:v>1135941.2132</x:v>
      </x:c>
      <x:c r="H4223" s="12" t="n">
        <x:v>160638.10064152</x:v>
      </x:c>
      <x:c r="I4223" s="13" t="n">
        <x:v>0.1367</x:v>
      </x:c>
      <x:c r="J4223" s="2" t="n">
        <x:v>0</x:v>
      </x:c>
      <x:c r="K4223" s="2" t="n">
        <x:v>1</x:v>
      </x:c>
      <x:c r="L4223" s="12" t="n">
        <x:v>1523.9621</x:v>
      </x:c>
      <x:c r="M4223" s="13" t="n">
        <x:v>1</x:v>
      </x:c>
      <x:c r="N4223" s="13" t="n">
        <x:f>H4223/G4223</x:f>
        <x:v>0.14141409676385883</x:v>
      </x:c>
      <x:c r="O4223" s="13" t="n">
        <x:f>F4223/E4223</x:f>
        <x:v>0</x:v>
      </x:c>
      <x:c r="P4223" s="2" t="str">
        <x:f>IF(AND(E4223&gt;='Итоги'!$F$5,N4223&lt;='Итоги'!$B$5,O4223&gt;='Итоги'!$D$5),"Да","Нет")</x:f>
        <x:v>Нет</x:v>
      </x:c>
    </x:row>
    <x:row r="4224" ht="60" customHeight="1">
      <x:c r="A4224" s="14" t="str">
        <x:v>Игрушки</x:v>
      </x:c>
      <x:c r="B4224" s="14" t="str">
        <x:v>Игрушки</x:v>
      </x:c>
      <x:c r="C4224" s="14" t="str">
        <x:v>Интерактивные игрушки</x:v>
      </x:c>
      <x:c r="D4224" s="14" t="str">
        <x:v>Электронная игрушка</x:v>
      </x:c>
      <x:c r="E4224" s="2" t="n">
        <x:v>11</x:v>
      </x:c>
      <x:c r="F4224" s="2" t="n">
        <x:v>0</x:v>
      </x:c>
      <x:c r="G4224" s="12" t="n">
        <x:v>1318867.6549</x:v>
      </x:c>
      <x:c r="H4224" s="12" t="n">
        <x:v>186754.00256698</x:v>
      </x:c>
      <x:c r="I4224" s="13" t="n">
        <x:v>0.1487</x:v>
      </x:c>
      <x:c r="J4224" s="2" t="n">
        <x:v>0</x:v>
      </x:c>
      <x:c r="K4224" s="2" t="n">
        <x:v>6</x:v>
      </x:c>
      <x:c r="L4224" s="12" t="n">
        <x:v>1595.5725</x:v>
      </x:c>
      <x:c r="M4224" s="13" t="n">
        <x:v>0.447592923980503</x:v>
      </x:c>
      <x:c r="N4224" s="13" t="n">
        <x:f>H4224/G4224</x:f>
        <x:v>0.14160177624580547</x:v>
      </x:c>
      <x:c r="O4224" s="13" t="n">
        <x:f>F4224/E4224</x:f>
        <x:v>0</x:v>
      </x:c>
      <x:c r="P4224" s="2" t="str">
        <x:f>IF(AND(E4224&gt;='Итоги'!$F$5,N4224&lt;='Итоги'!$B$5,O4224&gt;='Итоги'!$D$5),"Да","Нет")</x:f>
        <x:v>Нет</x:v>
      </x:c>
    </x:row>
    <x:row r="4225" ht="60" customHeight="1">
      <x:c r="A4225" s="14" t="str">
        <x:v>Аксессуары для электроники</x:v>
      </x:c>
      <x:c r="B4225" s="14" t="str">
        <x:v>Аксессуары для мобильных устройств Access</x:v>
      </x:c>
      <x:c r="C4225" s="14" t="str">
        <x:v>Аксессуары для зарядки и передачи информации Access</x:v>
      </x:c>
      <x:c r="D4225" s="14" t="str">
        <x:v>Беспроводное зарядное устройство для смартфона</x:v>
      </x:c>
      <x:c r="E4225" s="2" t="n">
        <x:v>82</x:v>
      </x:c>
      <x:c r="F4225" s="2" t="n">
        <x:v>0</x:v>
      </x:c>
      <x:c r="G4225" s="12" t="n">
        <x:v>10583776.526</x:v>
      </x:c>
      <x:c r="H4225" s="12" t="n">
        <x:v>1498970.38409802</x:v>
      </x:c>
      <x:c r="I4225" s="13" t="n">
        <x:v>0.1437743902439024</x:v>
      </x:c>
      <x:c r="J4225" s="2" t="n">
        <x:v>19</x:v>
      </x:c>
      <x:c r="K4225" s="2" t="n">
        <x:v>29</x:v>
      </x:c>
      <x:c r="L4225" s="12" t="n">
        <x:v>1967.86115</x:v>
      </x:c>
      <x:c r="M4225" s="13" t="n">
        <x:v>0.5110568589116107</x:v>
      </x:c>
      <x:c r="N4225" s="13" t="n">
        <x:f>H4225/G4225</x:f>
        <x:v>0.14162906599696848</x:v>
      </x:c>
      <x:c r="O4225" s="13" t="n">
        <x:f>F4225/E4225</x:f>
        <x:v>0</x:v>
      </x:c>
      <x:c r="P4225" s="2" t="str">
        <x:f>IF(AND(E4225&gt;='Итоги'!$F$5,N4225&lt;='Итоги'!$B$5,O4225&gt;='Итоги'!$D$5),"Да","Нет")</x:f>
        <x:v>Нет</x:v>
      </x:c>
    </x:row>
    <x:row r="4226" ht="60" customHeight="1">
      <x:c r="A4226" s="14" t="str">
        <x:v>Аптека</x:v>
      </x:c>
      <x:c r="B4226" s="14" t="str">
        <x:v>Товары для взрослых</x:v>
      </x:c>
      <x:c r="C4226" s="14" t="str">
        <x:v>Секс игрушки</x:v>
      </x:c>
      <x:c r="D4226" s="14" t="str">
        <x:v>Фаллоимитатор</x:v>
      </x:c>
      <x:c r="E4226" s="2" t="n">
        <x:v>83</x:v>
      </x:c>
      <x:c r="F4226" s="2" t="n">
        <x:v>0</x:v>
      </x:c>
      <x:c r="G4226" s="12" t="n">
        <x:v>18258304.4914</x:v>
      </x:c>
      <x:c r="H4226" s="12" t="n">
        <x:v>2587396.55497257</x:v>
      </x:c>
      <x:c r="I4226" s="13" t="n">
        <x:v>0.160344578313253</x:v>
      </x:c>
      <x:c r="J4226" s="2" t="n">
        <x:v>3</x:v>
      </x:c>
      <x:c r="K4226" s="2" t="n">
        <x:v>35</x:v>
      </x:c>
      <x:c r="L4226" s="12" t="n">
        <x:v>1833.9319</x:v>
      </x:c>
      <x:c r="M4226" s="13" t="n">
        <x:v>0.512320756054099</x:v>
      </x:c>
      <x:c r="N4226" s="13" t="n">
        <x:f>H4226/G4226</x:f>
        <x:v>0.14171066958551828</x:v>
      </x:c>
      <x:c r="O4226" s="13" t="n">
        <x:f>F4226/E4226</x:f>
        <x:v>0</x:v>
      </x:c>
      <x:c r="P4226" s="2" t="str">
        <x:f>IF(AND(E4226&gt;='Итоги'!$F$5,N4226&lt;='Итоги'!$B$5,O4226&gt;='Итоги'!$D$5),"Да","Нет")</x:f>
        <x:v>Нет</x:v>
      </x:c>
    </x:row>
    <x:row r="4227" ht="60" customHeight="1">
      <x:c r="A4227" s="14" t="str">
        <x:v>Автотовары</x:v>
      </x:c>
      <x:c r="B4227" s="14" t="str">
        <x:v>Универсальные авто и мото аксессуары</x:v>
      </x:c>
      <x:c r="C4227" s="14" t="str">
        <x:v>Аксессуар для салона авто</x:v>
      </x:c>
      <x:c r="D4227" s="14" t="str">
        <x:v>Брелок автомобильный</x:v>
      </x:c>
      <x:c r="E4227" s="2" t="n">
        <x:v>2</x:v>
      </x:c>
      <x:c r="F4227" s="2" t="n">
        <x:v>0</x:v>
      </x:c>
      <x:c r="G4227" s="12" t="n">
        <x:v>180437.24</x:v>
      </x:c>
      <x:c r="H4227" s="12" t="n">
        <x:v>25571.5405</x:v>
      </x:c>
      <x:c r="I4227" s="13" t="n">
        <x:v>0.1422999999999999</x:v>
      </x:c>
      <x:c r="J4227" s="2" t="n">
        <x:v>0</x:v>
      </x:c>
      <x:c r="K4227" s="2" t="n">
        <x:v>2</x:v>
      </x:c>
      <x:c r="L4227" s="12" t="n">
        <x:v>1371.1051</x:v>
      </x:c>
      <x:c r="M4227" s="13" t="n">
        <x:v>0.519083532867162</x:v>
      </x:c>
      <x:c r="N4227" s="13" t="n">
        <x:f>H4227/G4227</x:f>
        <x:v>0.14171986060083827</x:v>
      </x:c>
      <x:c r="O4227" s="13" t="n">
        <x:f>F4227/E4227</x:f>
        <x:v>0</x:v>
      </x:c>
      <x:c r="P4227" s="2" t="str">
        <x:f>IF(AND(E4227&gt;='Итоги'!$F$5,N4227&lt;='Итоги'!$B$5,O4227&gt;='Итоги'!$D$5),"Да","Нет")</x:f>
        <x:v>Нет</x:v>
      </x:c>
    </x:row>
    <x:row r="4228" ht="60" customHeight="1">
      <x:c r="A4228" s="14" t="str">
        <x:v>Спорт и отдых</x:v>
      </x:c>
      <x:c r="B4228" s="14" t="str">
        <x:v>Товары для рыбалки</x:v>
      </x:c>
      <x:c r="C4228" s="14" t="str">
        <x:v>Приманки рыболовные</x:v>
      </x:c>
      <x:c r="D4228" s="14" t="str">
        <x:v>Мягкая приманка для рыбалки</x:v>
      </x:c>
      <x:c r="E4228" s="2" t="n">
        <x:v>3</x:v>
      </x:c>
      <x:c r="F4228" s="2" t="n">
        <x:v>0</x:v>
      </x:c>
      <x:c r="G4228" s="12" t="n">
        <x:v>513314.3639</x:v>
      </x:c>
      <x:c r="H4228" s="12" t="n">
        <x:v>72775.91005601</x:v>
      </x:c>
      <x:c r="I4228" s="13" t="n">
        <x:v>0.1273666666666666</x:v>
      </x:c>
      <x:c r="J4228" s="2" t="n">
        <x:v>0</x:v>
      </x:c>
      <x:c r="K4228" s="2" t="n">
        <x:v>3</x:v>
      </x:c>
      <x:c r="L4228" s="12" t="n">
        <x:v>835.3286</x:v>
      </x:c>
      <x:c r="M4228" s="13" t="n">
        <x:v>0.4898244264775385</x:v>
      </x:c>
      <x:c r="N4228" s="13" t="n">
        <x:f>H4228/G4228</x:f>
        <x:v>0.14177649248519306</x:v>
      </x:c>
      <x:c r="O4228" s="13" t="n">
        <x:f>F4228/E4228</x:f>
        <x:v>0</x:v>
      </x:c>
      <x:c r="P4228" s="2" t="str">
        <x:f>IF(AND(E4228&gt;='Итоги'!$F$5,N4228&lt;='Итоги'!$B$5,O4228&gt;='Итоги'!$D$5),"Да","Нет")</x:f>
        <x:v>Нет</x:v>
      </x:c>
    </x:row>
    <x:row r="4229" ht="60" customHeight="1">
      <x:c r="A4229" s="14" t="str">
        <x:v>Аксессуары</x:v>
      </x:c>
      <x:c r="B4229" s="14" t="str">
        <x:v>Галантерея</x:v>
      </x:c>
      <x:c r="C4229" s="14" t="str">
        <x:v>Галантерея женская</x:v>
      </x:c>
      <x:c r="D4229" s="14" t="str">
        <x:v>Обложка для документов авторская</x:v>
      </x:c>
      <x:c r="E4229" s="2" t="n">
        <x:v>3</x:v>
      </x:c>
      <x:c r="F4229" s="2" t="n">
        <x:v>0</x:v>
      </x:c>
      <x:c r="G4229" s="12" t="n">
        <x:v>226629.1545</x:v>
      </x:c>
      <x:c r="H4229" s="12" t="n">
        <x:v>32138.30168545</x:v>
      </x:c>
      <x:c r="I4229" s="13" t="n">
        <x:v>0.1397333333333333</x:v>
      </x:c>
      <x:c r="J4229" s="2" t="n">
        <x:v>0</x:v>
      </x:c>
      <x:c r="K4229" s="2" t="n">
        <x:v>3</x:v>
      </x:c>
      <x:c r="L4229" s="12" t="n">
        <x:v>988.6694</x:v>
      </x:c>
      <x:c r="M4229" s="13" t="n">
        <x:v>0.5103002072048061</x:v>
      </x:c>
      <x:c r="N4229" s="13" t="n">
        <x:f>H4229/G4229</x:f>
        <x:v>0.14181009392350707</x:v>
      </x:c>
      <x:c r="O4229" s="13" t="n">
        <x:f>F4229/E4229</x:f>
        <x:v>0</x:v>
      </x:c>
      <x:c r="P4229" s="2" t="str">
        <x:f>IF(AND(E4229&gt;='Итоги'!$F$5,N4229&lt;='Итоги'!$B$5,O4229&gt;='Итоги'!$D$5),"Да","Нет")</x:f>
        <x:v>Нет</x:v>
      </x:c>
    </x:row>
    <x:row r="4230" ht="60" customHeight="1">
      <x:c r="A4230" s="14" t="str">
        <x:v>Аксессуары</x:v>
      </x:c>
      <x:c r="B4230" s="14" t="str">
        <x:v>Аксессуары</x:v>
      </x:c>
      <x:c r="C4230" s="14" t="str">
        <x:v>Мелкие аксессуары</x:v>
      </x:c>
      <x:c r="D4230" s="14" t="str">
        <x:v>Унисекс зонт-трость</x:v>
      </x:c>
      <x:c r="E4230" s="2" t="n">
        <x:v>105</x:v>
      </x:c>
      <x:c r="F4230" s="2" t="n">
        <x:v>0</x:v>
      </x:c>
      <x:c r="G4230" s="12" t="n">
        <x:v>15983844.0299</x:v>
      </x:c>
      <x:c r="H4230" s="12" t="n">
        <x:v>2267317.32520181</x:v>
      </x:c>
      <x:c r="I4230" s="13" t="n">
        <x:v>0.1377466666666666</x:v>
      </x:c>
      <x:c r="J4230" s="2" t="n">
        <x:v>6</x:v>
      </x:c>
      <x:c r="K4230" s="2" t="n">
        <x:v>51</x:v>
      </x:c>
      <x:c r="L4230" s="12" t="n">
        <x:v>1042.4387</x:v>
      </x:c>
      <x:c r="M4230" s="13" t="n">
        <x:v>0.4499836414222692</x:v>
      </x:c>
      <x:c r="N4230" s="13" t="n">
        <x:f>H4230/G4230</x:f>
        <x:v>0.14185056616921923</x:v>
      </x:c>
      <x:c r="O4230" s="13" t="n">
        <x:f>F4230/E4230</x:f>
        <x:v>0</x:v>
      </x:c>
      <x:c r="P4230" s="2" t="str">
        <x:f>IF(AND(E4230&gt;='Итоги'!$F$5,N4230&lt;='Итоги'!$B$5,O4230&gt;='Итоги'!$D$5),"Да","Нет")</x:f>
        <x:v>Нет</x:v>
      </x:c>
    </x:row>
    <x:row r="4231" ht="60" customHeight="1">
      <x:c r="A4231" s="14" t="str">
        <x:v>Хобби и творчество</x:v>
      </x:c>
      <x:c r="B4231" s="14" t="str">
        <x:v>Взрослое творчество и хобби</x:v>
      </x:c>
      <x:c r="C4231" s="14" t="str">
        <x:v>Живопись и аэрография</x:v>
      </x:c>
      <x:c r="D4231" s="14" t="str">
        <x:v>Наборы для каллиграфии</x:v>
      </x:c>
      <x:c r="E4231" s="2" t="n">
        <x:v>1</x:v>
      </x:c>
      <x:c r="F4231" s="2" t="n">
        <x:v>0</x:v>
      </x:c>
      <x:c r="G4231" s="12" t="n">
        <x:v>86467.6398</x:v>
      </x:c>
      <x:c r="H4231" s="12" t="n">
        <x:v>12278.4048516</x:v>
      </x:c>
      <x:c r="I4231" s="13" t="n">
        <x:v>0.142</x:v>
      </x:c>
      <x:c r="J4231" s="2" t="n">
        <x:v>0</x:v>
      </x:c>
      <x:c r="K4231" s="2" t="n">
        <x:v>1</x:v>
      </x:c>
      <x:c r="L4231" s="12" t="n">
        <x:v>815.7325</x:v>
      </x:c>
      <x:c r="M4231" s="13" t="n">
        <x:v>1</x:v>
      </x:c>
      <x:c r="N4231" s="13" t="n">
        <x:f>H4231/G4231</x:f>
        <x:v>0.142</x:v>
      </x:c>
      <x:c r="O4231" s="13" t="n">
        <x:f>F4231/E4231</x:f>
        <x:v>0</x:v>
      </x:c>
      <x:c r="P4231" s="2" t="str">
        <x:f>IF(AND(E4231&gt;='Итоги'!$F$5,N4231&lt;='Итоги'!$B$5,O4231&gt;='Итоги'!$D$5),"Да","Нет")</x:f>
        <x:v>Нет</x:v>
      </x:c>
    </x:row>
    <x:row r="4232" ht="60" customHeight="1">
      <x:c r="A4232" s="14" t="str">
        <x:v>Одежда</x:v>
      </x:c>
      <x:c r="B4232" s="14" t="str">
        <x:v>Основная одежда женская</x:v>
      </x:c>
      <x:c r="C4232" s="14" t="str">
        <x:v>Основная одежда женская верха</x:v>
      </x:c>
      <x:c r="D4232" s="14" t="str">
        <x:v>Болеро женское</x:v>
      </x:c>
      <x:c r="E4232" s="2" t="n">
        <x:v>8</x:v>
      </x:c>
      <x:c r="F4232" s="2" t="n">
        <x:v>0</x:v>
      </x:c>
      <x:c r="G4232" s="12" t="n">
        <x:v>563054.6969</x:v>
      </x:c>
      <x:c r="H4232" s="12" t="n">
        <x:v>80015.2294692</x:v>
      </x:c>
      <x:c r="I4232" s="13" t="n">
        <x:v>0.068</x:v>
      </x:c>
      <x:c r="J4232" s="2" t="n">
        <x:v>5</x:v>
      </x:c>
      <x:c r="K4232" s="2" t="n">
        <x:v>6</x:v>
      </x:c>
      <x:c r="L4232" s="12" t="n">
        <x:v>1104.43565</x:v>
      </x:c>
      <x:c r="M4232" s="13" t="n">
        <x:v>0.3590921115003312</x:v>
      </x:c>
      <x:c r="N4232" s="13" t="n">
        <x:f>H4232/G4232</x:f>
        <x:v>0.14210915903861276</x:v>
      </x:c>
      <x:c r="O4232" s="13" t="n">
        <x:f>F4232/E4232</x:f>
        <x:v>0</x:v>
      </x:c>
      <x:c r="P4232" s="2" t="str">
        <x:f>IF(AND(E4232&gt;='Итоги'!$F$5,N4232&lt;='Итоги'!$B$5,O4232&gt;='Итоги'!$D$5),"Да","Нет")</x:f>
        <x:v>Нет</x:v>
      </x:c>
    </x:row>
    <x:row r="4233" ht="60" customHeight="1">
      <x:c r="A4233" s="14" t="str">
        <x:v>Строительство и ремонт (DIY)</x:v>
      </x:c>
      <x:c r="B4233" s="14" t="str">
        <x:v>Ремонт и строительство</x:v>
      </x:c>
      <x:c r="C4233" s="14" t="str">
        <x:v>Электротовары</x:v>
      </x:c>
      <x:c r="D4233" s="14" t="str">
        <x:v>Звонок</x:v>
      </x:c>
      <x:c r="E4233" s="2" t="n">
        <x:v>20</x:v>
      </x:c>
      <x:c r="F4233" s="2" t="n">
        <x:v>0</x:v>
      </x:c>
      <x:c r="G4233" s="12" t="n">
        <x:v>3450447.0588</x:v>
      </x:c>
      <x:c r="H4233" s="12" t="n">
        <x:v>490975.77638623</x:v>
      </x:c>
      <x:c r="I4233" s="13" t="n">
        <x:v>0.160185</x:v>
      </x:c>
      <x:c r="J4233" s="2" t="n">
        <x:v>1</x:v>
      </x:c>
      <x:c r="K4233" s="2" t="n">
        <x:v>10</x:v>
      </x:c>
      <x:c r="L4233" s="12" t="n">
        <x:v>996.6332</x:v>
      </x:c>
      <x:c r="M4233" s="13" t="n">
        <x:v>0.3174497506943172</x:v>
      </x:c>
      <x:c r="N4233" s="13" t="n">
        <x:f>H4233/G4233</x:f>
        <x:v>0.14229338054442778</x:v>
      </x:c>
      <x:c r="O4233" s="13" t="n">
        <x:f>F4233/E4233</x:f>
        <x:v>0</x:v>
      </x:c>
      <x:c r="P4233" s="2" t="str">
        <x:f>IF(AND(E4233&gt;='Итоги'!$F$5,N4233&lt;='Итоги'!$B$5,O4233&gt;='Итоги'!$D$5),"Да","Нет")</x:f>
        <x:v>Нет</x:v>
      </x:c>
    </x:row>
    <x:row r="4234" ht="60" customHeight="1">
      <x:c r="A4234" s="14" t="str">
        <x:v>Бакалея и кондитерские изделия</x:v>
      </x:c>
      <x:c r="B4234" s="14" t="str">
        <x:v>Бакалея</x:v>
      </x:c>
      <x:c r="C4234" s="14" t="str">
        <x:v>Снэки, чипсы, готовые завтраки</x:v>
      </x:c>
      <x:c r="D4234" s="14" t="str">
        <x:v>Чурчхела</x:v>
      </x:c>
      <x:c r="E4234" s="2" t="n">
        <x:v>3</x:v>
      </x:c>
      <x:c r="F4234" s="2" t="n">
        <x:v>0</x:v>
      </x:c>
      <x:c r="G4234" s="12" t="n">
        <x:v>129151.6381</x:v>
      </x:c>
      <x:c r="H4234" s="12" t="n">
        <x:v>18404.16645907</x:v>
      </x:c>
      <x:c r="I4234" s="13" t="n">
        <x:v>0.1447</x:v>
      </x:c>
      <x:c r="J4234" s="2" t="n">
        <x:v>0</x:v>
      </x:c>
      <x:c r="K4234" s="2" t="n">
        <x:v>2</x:v>
      </x:c>
      <x:c r="L4234" s="12" t="n">
        <x:v>929.1857</x:v>
      </x:c>
      <x:c r="M4234" s="13" t="n">
        <x:v>0.6396147065207065</x:v>
      </x:c>
      <x:c r="N4234" s="13" t="n">
        <x:f>H4234/G4234</x:f>
        <x:v>0.1425004493154005</x:v>
      </x:c>
      <x:c r="O4234" s="13" t="n">
        <x:f>F4234/E4234</x:f>
        <x:v>0</x:v>
      </x:c>
      <x:c r="P4234" s="2" t="str">
        <x:f>IF(AND(E4234&gt;='Итоги'!$F$5,N4234&lt;='Итоги'!$B$5,O4234&gt;='Итоги'!$D$5),"Да","Нет")</x:f>
        <x:v>Нет</x:v>
      </x:c>
    </x:row>
    <x:row r="4235" ht="60" customHeight="1">
      <x:c r="A4235" s="14" t="str">
        <x:v>Строительство и ремонт (DIY)</x:v>
      </x:c>
      <x:c r="B4235" s="14" t="str">
        <x:v>Освещение</x:v>
      </x:c>
      <x:c r="C4235" s="14" t="str">
        <x:v>Светильник домашний</x:v>
      </x:c>
      <x:c r="D4235" s="14" t="str">
        <x:v>Светильник-ночник</x:v>
      </x:c>
      <x:c r="E4235" s="2" t="n">
        <x:v>112</x:v>
      </x:c>
      <x:c r="F4235" s="2" t="n">
        <x:v>0</x:v>
      </x:c>
      <x:c r="G4235" s="12" t="n">
        <x:v>21063259.2842</x:v>
      </x:c>
      <x:c r="H4235" s="12" t="n">
        <x:v>3003035.70499626</x:v>
      </x:c>
      <x:c r="I4235" s="13" t="n">
        <x:v>0.1531821428571428</x:v>
      </x:c>
      <x:c r="J4235" s="2" t="n">
        <x:v>5</x:v>
      </x:c>
      <x:c r="K4235" s="2" t="n">
        <x:v>49</x:v>
      </x:c>
      <x:c r="L4235" s="12" t="n">
        <x:v>1188.0171</x:v>
      </x:c>
      <x:c r="M4235" s="13" t="n">
        <x:v>0.5331393464744367</x:v>
      </x:c>
      <x:c r="N4235" s="13" t="n">
        <x:f>H4235/G4235</x:f>
        <x:v>0.1425722232479425</x:v>
      </x:c>
      <x:c r="O4235" s="13" t="n">
        <x:f>F4235/E4235</x:f>
        <x:v>0</x:v>
      </x:c>
      <x:c r="P4235" s="2" t="str">
        <x:f>IF(AND(E4235&gt;='Итоги'!$F$5,N4235&lt;='Итоги'!$B$5,O4235&gt;='Итоги'!$D$5),"Да","Нет")</x:f>
        <x:v>Нет</x:v>
      </x:c>
    </x:row>
    <x:row r="4236" ht="60" customHeight="1">
      <x:c r="A4236" s="14" t="str">
        <x:v>Автотовары</x:v>
      </x:c>
      <x:c r="B4236" s="14" t="str">
        <x:v>Авто и мото запчасти</x:v>
      </x:c>
      <x:c r="C4236" s="14" t="str">
        <x:v>Двигатель</x:v>
      </x:c>
      <x:c r="D4236" s="14" t="str">
        <x:v>Прочие насосы для авто</x:v>
      </x:c>
      <x:c r="E4236" s="2" t="n">
        <x:v>2</x:v>
      </x:c>
      <x:c r="F4236" s="2" t="n">
        <x:v>0</x:v>
      </x:c>
      <x:c r="G4236" s="12" t="n">
        <x:v>314469.71</x:v>
      </x:c>
      <x:c r="H4236" s="12" t="n">
        <x:v>44837.42280800001</x:v>
      </x:c>
      <x:c r="I4236" s="13" t="n">
        <x:v>0.0724</x:v>
      </x:c>
      <x:c r="J4236" s="2" t="n">
        <x:v>1</x:v>
      </x:c>
      <x:c r="K4236" s="2" t="n">
        <x:v>2</x:v>
      </x:c>
      <x:c r="L4236" s="12" t="n">
        <x:v>2968.4363</x:v>
      </x:c>
      <x:c r="M4236" s="13" t="n">
        <x:v>0.9846757896014848</x:v>
      </x:c>
      <x:c r="N4236" s="13" t="n">
        <x:f>H4236/G4236</x:f>
        <x:v>0.14258105433429505</x:v>
      </x:c>
      <x:c r="O4236" s="13" t="n">
        <x:f>F4236/E4236</x:f>
        <x:v>0</x:v>
      </x:c>
      <x:c r="P4236" s="2" t="str">
        <x:f>IF(AND(E4236&gt;='Итоги'!$F$5,N4236&lt;='Итоги'!$B$5,O4236&gt;='Итоги'!$D$5),"Да","Нет")</x:f>
        <x:v>Нет</x:v>
      </x:c>
    </x:row>
    <x:row r="4237" ht="60" customHeight="1">
      <x:c r="A4237" s="14" t="str">
        <x:v>Товары для животных</x:v>
      </x:c>
      <x:c r="B4237" s="14" t="str">
        <x:v>Спальное место животного</x:v>
      </x:c>
      <x:c r="C4237" s="14" t="str">
        <x:v>Аквариум Мебель</x:v>
      </x:c>
      <x:c r="D4237" s="14" t="str">
        <x:v>Комплект аксессуаров для аквариума</x:v>
      </x:c>
      <x:c r="E4237" s="2" t="n">
        <x:v>1</x:v>
      </x:c>
      <x:c r="F4237" s="2" t="n">
        <x:v>0</x:v>
      </x:c>
      <x:c r="G4237" s="12" t="n">
        <x:v>97981</x:v>
      </x:c>
      <x:c r="H4237" s="12" t="n">
        <x:v>13981.8887</x:v>
      </x:c>
      <x:c r="I4237" s="13" t="n">
        <x:v>0.1427</x:v>
      </x:c>
      <x:c r="J4237" s="2" t="n">
        <x:v>0</x:v>
      </x:c>
      <x:c r="K4237" s="2" t="n">
        <x:v>1</x:v>
      </x:c>
      <x:c r="L4237" s="12" t="n">
        <x:v>859.4825</x:v>
      </x:c>
      <x:c r="M4237" s="13" t="n">
        <x:v>1</x:v>
      </x:c>
      <x:c r="N4237" s="13" t="n">
        <x:f>H4237/G4237</x:f>
        <x:v>0.1427</x:v>
      </x:c>
      <x:c r="O4237" s="13" t="n">
        <x:f>F4237/E4237</x:f>
        <x:v>0</x:v>
      </x:c>
      <x:c r="P4237" s="2" t="str">
        <x:f>IF(AND(E4237&gt;='Итоги'!$F$5,N4237&lt;='Итоги'!$B$5,O4237&gt;='Итоги'!$D$5),"Да","Нет")</x:f>
        <x:v>Нет</x:v>
      </x:c>
    </x:row>
    <x:row r="4238" ht="60" customHeight="1">
      <x:c r="A4238" s="14" t="str">
        <x:v>Хобби и творчество</x:v>
      </x:c>
      <x:c r="B4238" s="14" t="str">
        <x:v>Детское творчество и хобби</x:v>
      </x:c>
      <x:c r="C4238" s="14" t="str">
        <x:v>Рисование для детей</x:v>
      </x:c>
      <x:c r="D4238" s="14" t="str">
        <x:v>Палитра</x:v>
      </x:c>
      <x:c r="E4238" s="2" t="n">
        <x:v>1</x:v>
      </x:c>
      <x:c r="F4238" s="2" t="n">
        <x:v>0</x:v>
      </x:c>
      <x:c r="G4238" s="12" t="n">
        <x:v>94824.4735</x:v>
      </x:c>
      <x:c r="H4238" s="12" t="n">
        <x:v>13531.452368449998</x:v>
      </x:c>
      <x:c r="I4238" s="13" t="n">
        <x:v>0.1427</x:v>
      </x:c>
      <x:c r="J4238" s="2" t="n">
        <x:v>0</x:v>
      </x:c>
      <x:c r="K4238" s="2" t="n">
        <x:v>1</x:v>
      </x:c>
      <x:c r="L4238" s="12" t="n">
        <x:v>1200.3098</x:v>
      </x:c>
      <x:c r="M4238" s="13" t="n">
        <x:v>1</x:v>
      </x:c>
      <x:c r="N4238" s="13" t="n">
        <x:f>H4238/G4238</x:f>
        <x:v>0.1427</x:v>
      </x:c>
      <x:c r="O4238" s="13" t="n">
        <x:f>F4238/E4238</x:f>
        <x:v>0</x:v>
      </x:c>
      <x:c r="P4238" s="2" t="str">
        <x:f>IF(AND(E4238&gt;='Итоги'!$F$5,N4238&lt;='Итоги'!$B$5,O4238&gt;='Итоги'!$D$5),"Да","Нет")</x:f>
        <x:v>Нет</x:v>
      </x:c>
    </x:row>
    <x:row r="4239" ht="60" customHeight="1">
      <x:c r="A4239" s="14" t="str">
        <x:v>Детская одежда</x:v>
      </x:c>
      <x:c r="B4239" s="14" t="str">
        <x:v>Детская одежда</x:v>
      </x:c>
      <x:c r="C4239" s="14" t="str">
        <x:v>Карнавальные костюмы детские</x:v>
      </x:c>
      <x:c r="D4239" s="14" t="str">
        <x:v>Кигуруми для девочки</x:v>
      </x:c>
      <x:c r="E4239" s="2" t="n">
        <x:v>1</x:v>
      </x:c>
      <x:c r="F4239" s="2" t="n">
        <x:v>0</x:v>
      </x:c>
      <x:c r="G4239" s="12" t="n">
        <x:v>116349.25</x:v>
      </x:c>
      <x:c r="H4239" s="12" t="n">
        <x:v>16637.94275</x:v>
      </x:c>
      <x:c r="I4239" s="13" t="n">
        <x:v>0.143</x:v>
      </x:c>
      <x:c r="J4239" s="2" t="n">
        <x:v>0</x:v>
      </x:c>
      <x:c r="K4239" s="2" t="n">
        <x:v>1</x:v>
      </x:c>
      <x:c r="L4239" s="12" t="n">
        <x:v>1638.7218</x:v>
      </x:c>
      <x:c r="M4239" s="13" t="n">
        <x:v>1</x:v>
      </x:c>
      <x:c r="N4239" s="13" t="n">
        <x:f>H4239/G4239</x:f>
        <x:v>0.143</x:v>
      </x:c>
      <x:c r="O4239" s="13" t="n">
        <x:f>F4239/E4239</x:f>
        <x:v>0</x:v>
      </x:c>
      <x:c r="P4239" s="2" t="str">
        <x:f>IF(AND(E4239&gt;='Итоги'!$F$5,N4239&lt;='Итоги'!$B$5,O4239&gt;='Итоги'!$D$5),"Да","Нет")</x:f>
        <x:v>Нет</x:v>
      </x:c>
    </x:row>
    <x:row r="4240" ht="60" customHeight="1">
      <x:c r="A4240" s="14" t="str">
        <x:v>Товары для красоты и здоровья</x:v>
      </x:c>
      <x:c r="B4240" s="14" t="str">
        <x:v>Косметика для ухода за волосами</x:v>
      </x:c>
      <x:c r="C4240" s="14" t="str">
        <x:v>Уход за волосами для мужчин</x:v>
      </x:c>
      <x:c r="D4240" s="14" t="str">
        <x:v>Сухой шампунь для волос мужской</x:v>
      </x:c>
      <x:c r="E4240" s="2" t="n">
        <x:v>1</x:v>
      </x:c>
      <x:c r="F4240" s="2" t="n">
        <x:v>0</x:v>
      </x:c>
      <x:c r="G4240" s="12" t="n">
        <x:v>317111.3404</x:v>
      </x:c>
      <x:c r="H4240" s="12" t="n">
        <x:v>45378.63281124</x:v>
      </x:c>
      <x:c r="I4240" s="13" t="n">
        <x:v>0.1431</x:v>
      </x:c>
      <x:c r="J4240" s="2" t="n">
        <x:v>0</x:v>
      </x:c>
      <x:c r="K4240" s="2" t="n">
        <x:v>1</x:v>
      </x:c>
      <x:c r="L4240" s="12" t="n">
        <x:v>1539.3754</x:v>
      </x:c>
      <x:c r="M4240" s="13" t="n">
        <x:v>1</x:v>
      </x:c>
      <x:c r="N4240" s="13" t="n">
        <x:f>H4240/G4240</x:f>
        <x:v>0.1431</x:v>
      </x:c>
      <x:c r="O4240" s="13" t="n">
        <x:f>F4240/E4240</x:f>
        <x:v>0</x:v>
      </x:c>
      <x:c r="P4240" s="2" t="str">
        <x:f>IF(AND(E4240&gt;='Итоги'!$F$5,N4240&lt;='Итоги'!$B$5,O4240&gt;='Итоги'!$D$5),"Да","Нет")</x:f>
        <x:v>Нет</x:v>
      </x:c>
    </x:row>
    <x:row r="4241" ht="60" customHeight="1">
      <x:c r="A4241" s="14" t="str">
        <x:v>Автотовары</x:v>
      </x:c>
      <x:c r="B4241" s="14" t="str">
        <x:v>Универсальные авто и мото аксессуары</x:v>
      </x:c>
      <x:c r="C4241" s="14" t="str">
        <x:v>Аксессуар для салона авто</x:v>
      </x:c>
      <x:c r="D4241" s="14" t="str">
        <x:v>Держатель автомобильный для мобильных устройств</x:v>
      </x:c>
      <x:c r="E4241" s="2" t="n">
        <x:v>94</x:v>
      </x:c>
      <x:c r="F4241" s="2" t="n">
        <x:v>0</x:v>
      </x:c>
      <x:c r="G4241" s="12" t="n">
        <x:v>15992255.6447</x:v>
      </x:c>
      <x:c r="H4241" s="12" t="n">
        <x:v>2290209.95515392</x:v>
      </x:c>
      <x:c r="I4241" s="13" t="n">
        <x:v>0.1386244680851063</x:v>
      </x:c>
      <x:c r="J4241" s="2" t="n">
        <x:v>13</x:v>
      </x:c>
      <x:c r="K4241" s="2" t="n">
        <x:v>50</x:v>
      </x:c>
      <x:c r="L4241" s="12" t="n">
        <x:v>1119.73185</x:v>
      </x:c>
      <x:c r="M4241" s="13" t="n">
        <x:v>0.3707291922803188</x:v>
      </x:c>
      <x:c r="N4241" s="13" t="n">
        <x:f>H4241/G4241</x:f>
        <x:v>0.1432074377771043</x:v>
      </x:c>
      <x:c r="O4241" s="13" t="n">
        <x:f>F4241/E4241</x:f>
        <x:v>0</x:v>
      </x:c>
      <x:c r="P4241" s="2" t="str">
        <x:f>IF(AND(E4241&gt;='Итоги'!$F$5,N4241&lt;='Итоги'!$B$5,O4241&gt;='Итоги'!$D$5),"Да","Нет")</x:f>
        <x:v>Нет</x:v>
      </x:c>
    </x:row>
    <x:row r="4242" ht="60" customHeight="1">
      <x:c r="A4242" s="14" t="str">
        <x:v>Товары для дома</x:v>
      </x:c>
      <x:c r="B4242" s="14" t="str">
        <x:v>Кухня</x:v>
      </x:c>
      <x:c r="C4242" s="14" t="str">
        <x:v>Кухонная утварь и принадлежности</x:v>
      </x:c>
      <x:c r="D4242" s="14" t="str">
        <x:v>Удалитель сердцевины фруктов</x:v>
      </x:c>
      <x:c r="E4242" s="2" t="n">
        <x:v>4</x:v>
      </x:c>
      <x:c r="F4242" s="2" t="n">
        <x:v>0</x:v>
      </x:c>
      <x:c r="G4242" s="12" t="n">
        <x:v>297951.3744</x:v>
      </x:c>
      <x:c r="H4242" s="12" t="n">
        <x:v>42690.34248864</x:v>
      </x:c>
      <x:c r="I4242" s="13" t="n">
        <x:v>0.1468499999999999</x:v>
      </x:c>
      <x:c r="J4242" s="2" t="n">
        <x:v>1</x:v>
      </x:c>
      <x:c r="K4242" s="2" t="n">
        <x:v>3</x:v>
      </x:c>
      <x:c r="L4242" s="12" t="n">
        <x:v>2049.2741</x:v>
      </x:c>
      <x:c r="M4242" s="13" t="n">
        <x:v>0.6958731934615974</x:v>
      </x:c>
      <x:c r="N4242" s="13" t="n">
        <x:f>H4242/G4242</x:f>
        <x:v>0.14327956222590932</x:v>
      </x:c>
      <x:c r="O4242" s="13" t="n">
        <x:f>F4242/E4242</x:f>
        <x:v>0</x:v>
      </x:c>
      <x:c r="P4242" s="2" t="str">
        <x:f>IF(AND(E4242&gt;='Итоги'!$F$5,N4242&lt;='Итоги'!$B$5,O4242&gt;='Итоги'!$D$5),"Да","Нет")</x:f>
        <x:v>Нет</x:v>
      </x:c>
    </x:row>
    <x:row r="4243" ht="60" customHeight="1">
      <x:c r="A4243" s="14" t="str">
        <x:v>Аксессуары</x:v>
      </x:c>
      <x:c r="B4243" s="14" t="str">
        <x:v>Бижутерия и часы бижутерные</x:v>
      </x:c>
      <x:c r="C4243" s="14" t="str">
        <x:v>Бижутерия</x:v>
      </x:c>
      <x:c r="D4243" s="14" t="str">
        <x:v>Бижу браслет</x:v>
      </x:c>
      <x:c r="E4243" s="2" t="n">
        <x:v>19</x:v>
      </x:c>
      <x:c r="F4243" s="2" t="n">
        <x:v>0</x:v>
      </x:c>
      <x:c r="G4243" s="12" t="n">
        <x:v>1910147.4942</x:v>
      </x:c>
      <x:c r="H4243" s="12" t="n">
        <x:v>274101.8785104</x:v>
      </x:c>
      <x:c r="I4243" s="13" t="n">
        <x:v>0.1423894736842105</x:v>
      </x:c>
      <x:c r="J4243" s="2" t="n">
        <x:v>2</x:v>
      </x:c>
      <x:c r="K4243" s="2" t="n">
        <x:v>10</x:v>
      </x:c>
      <x:c r="L4243" s="12" t="n">
        <x:v>973.8793</x:v>
      </x:c>
      <x:c r="M4243" s="13" t="n">
        <x:v>0.2544573083889345</x:v>
      </x:c>
      <x:c r="N4243" s="13" t="n">
        <x:f>H4243/G4243</x:f>
        <x:v>0.1434977557192243</x:v>
      </x:c>
      <x:c r="O4243" s="13" t="n">
        <x:f>F4243/E4243</x:f>
        <x:v>0</x:v>
      </x:c>
      <x:c r="P4243" s="2" t="str">
        <x:f>IF(AND(E4243&gt;='Итоги'!$F$5,N4243&lt;='Итоги'!$B$5,O4243&gt;='Итоги'!$D$5),"Да","Нет")</x:f>
        <x:v>Нет</x:v>
      </x:c>
    </x:row>
    <x:row r="4244" ht="60" customHeight="1">
      <x:c r="A4244" s="14" t="str">
        <x:v>Аксессуары</x:v>
      </x:c>
      <x:c r="B4244" s="14" t="str">
        <x:v>Галантерея</x:v>
      </x:c>
      <x:c r="C4244" s="14" t="str">
        <x:v>Галантерея женская</x:v>
      </x:c>
      <x:c r="D4244" s="14" t="str">
        <x:v>Женский Кошелек</x:v>
      </x:c>
      <x:c r="E4244" s="2" t="n">
        <x:v>103</x:v>
      </x:c>
      <x:c r="F4244" s="2" t="n">
        <x:v>0</x:v>
      </x:c>
      <x:c r="G4244" s="12" t="n">
        <x:v>12542137.2945</x:v>
      </x:c>
      <x:c r="H4244" s="12" t="n">
        <x:v>1804396.34313491</x:v>
      </x:c>
      <x:c r="I4244" s="13" t="n">
        <x:v>0.1387077669902912</x:v>
      </x:c>
      <x:c r="J4244" s="2" t="n">
        <x:v>11</x:v>
      </x:c>
      <x:c r="K4244" s="2" t="n">
        <x:v>48</x:v>
      </x:c>
      <x:c r="L4244" s="12" t="n">
        <x:v>1299.0836</x:v>
      </x:c>
      <x:c r="M4244" s="13" t="n">
        <x:v>0.2539885440017418</x:v>
      </x:c>
      <x:c r="N4244" s="13" t="n">
        <x:f>H4244/G4244</x:f>
        <x:v>0.1438667350521013</x:v>
      </x:c>
      <x:c r="O4244" s="13" t="n">
        <x:f>F4244/E4244</x:f>
        <x:v>0</x:v>
      </x:c>
      <x:c r="P4244" s="2" t="str">
        <x:f>IF(AND(E4244&gt;='Итоги'!$F$5,N4244&lt;='Итоги'!$B$5,O4244&gt;='Итоги'!$D$5),"Да","Нет")</x:f>
        <x:v>Нет</x:v>
      </x:c>
    </x:row>
    <x:row r="4245" ht="60" customHeight="1">
      <x:c r="A4245" s="14" t="str">
        <x:v>Строительство и ремонт (DIY)</x:v>
      </x:c>
      <x:c r="B4245" s="14" t="str">
        <x:v>Сад и огород</x:v>
      </x:c>
      <x:c r="C4245" s="14" t="str">
        <x:v>Аксессуары для садовых растений</x:v>
      </x:c>
      <x:c r="D4245" s="14" t="str">
        <x:v>Парник, теплица для садовых растений</x:v>
      </x:c>
      <x:c r="E4245" s="2" t="n">
        <x:v>24</x:v>
      </x:c>
      <x:c r="F4245" s="2" t="n">
        <x:v>0</x:v>
      </x:c>
      <x:c r="G4245" s="12" t="n">
        <x:v>2711269.4583</x:v>
      </x:c>
      <x:c r="H4245" s="12" t="n">
        <x:v>390532.41766182</x:v>
      </x:c>
      <x:c r="I4245" s="13" t="n">
        <x:v>0.1328416666666666</x:v>
      </x:c>
      <x:c r="J4245" s="2" t="n">
        <x:v>7</x:v>
      </x:c>
      <x:c r="K4245" s="2" t="n">
        <x:v>10</x:v>
      </x:c>
      <x:c r="L4245" s="12" t="n">
        <x:v>8655.294600000001</x:v>
      </x:c>
      <x:c r="M4245" s="13" t="n">
        <x:v>0.3071078756672468</x:v>
      </x:c>
      <x:c r="N4245" s="13" t="n">
        <x:f>H4245/G4245</x:f>
        <x:v>0.14404042964681524</x:v>
      </x:c>
      <x:c r="O4245" s="13" t="n">
        <x:f>F4245/E4245</x:f>
        <x:v>0</x:v>
      </x:c>
      <x:c r="P4245" s="2" t="str">
        <x:f>IF(AND(E4245&gt;='Итоги'!$F$5,N4245&lt;='Итоги'!$B$5,O4245&gt;='Итоги'!$D$5),"Да","Нет")</x:f>
        <x:v>Нет</x:v>
      </x:c>
    </x:row>
    <x:row r="4246" ht="60" customHeight="1">
      <x:c r="A4246" s="14" t="str">
        <x:v>Спорт и отдых</x:v>
      </x:c>
      <x:c r="B4246" s="14" t="str">
        <x:v>Колесный транспорт</x:v>
      </x:c>
      <x:c r="C4246" s="14" t="str">
        <x:v>Экипировка для велоспорта</x:v>
      </x:c>
      <x:c r="D4246" s="14" t="str">
        <x:v>Рюкзак для велоспорта</x:v>
      </x:c>
      <x:c r="E4246" s="2" t="n">
        <x:v>39</x:v>
      </x:c>
      <x:c r="F4246" s="2" t="n">
        <x:v>0</x:v>
      </x:c>
      <x:c r="G4246" s="12" t="n">
        <x:v>5818452.0016</x:v>
      </x:c>
      <x:c r="H4246" s="12" t="n">
        <x:v>838199.26401786</x:v>
      </x:c>
      <x:c r="I4246" s="13" t="n">
        <x:v>0.1447641025641025</x:v>
      </x:c>
      <x:c r="J4246" s="2" t="n">
        <x:v>4</x:v>
      </x:c>
      <x:c r="K4246" s="2" t="n">
        <x:v>20</x:v>
      </x:c>
      <x:c r="L4246" s="12" t="n">
        <x:v>1514.547</x:v>
      </x:c>
      <x:c r="M4246" s="13" t="n">
        <x:v>0.472652870942951</x:v>
      </x:c>
      <x:c r="N4246" s="13" t="n">
        <x:f>H4246/G4246</x:f>
        <x:v>0.144058808732523</x:v>
      </x:c>
      <x:c r="O4246" s="13" t="n">
        <x:f>F4246/E4246</x:f>
        <x:v>0</x:v>
      </x:c>
      <x:c r="P4246" s="2" t="str">
        <x:f>IF(AND(E4246&gt;='Итоги'!$F$5,N4246&lt;='Итоги'!$B$5,O4246&gt;='Итоги'!$D$5),"Да","Нет")</x:f>
        <x:v>Нет</x:v>
      </x:c>
    </x:row>
    <x:row r="4247" ht="60" customHeight="1">
      <x:c r="A4247" s="14" t="str">
        <x:v>Товары для красоты и здоровья</x:v>
      </x:c>
      <x:c r="B4247" s="14" t="str">
        <x:v>Косметика для ухода за кожей</x:v>
      </x:c>
      <x:c r="C4247" s="14" t="str">
        <x:v>Набор косметики для ухода за кожей женский</x:v>
      </x:c>
      <x:c r="D4247" s="14" t="str">
        <x:v>Набор косметики для ухода за телом женский</x:v>
      </x:c>
      <x:c r="E4247" s="2" t="n">
        <x:v>34</x:v>
      </x:c>
      <x:c r="F4247" s="2" t="n">
        <x:v>0</x:v>
      </x:c>
      <x:c r="G4247" s="12" t="n">
        <x:v>4922579.1484</x:v>
      </x:c>
      <x:c r="H4247" s="12" t="n">
        <x:v>710169.5495578</x:v>
      </x:c>
      <x:c r="I4247" s="13" t="n">
        <x:v>0.1479147058823529</x:v>
      </x:c>
      <x:c r="J4247" s="2" t="n">
        <x:v>5</x:v>
      </x:c>
      <x:c r="K4247" s="2" t="n">
        <x:v>15</x:v>
      </x:c>
      <x:c r="L4247" s="12" t="n">
        <x:v>1119.2997</x:v>
      </x:c>
      <x:c r="M4247" s="13" t="n">
        <x:v>0.5098017624999859</x:v>
      </x:c>
      <x:c r="N4247" s="13" t="n">
        <x:f>H4247/G4247</x:f>
        <x:v>0.144267776738263</x:v>
      </x:c>
      <x:c r="O4247" s="13" t="n">
        <x:f>F4247/E4247</x:f>
        <x:v>0</x:v>
      </x:c>
      <x:c r="P4247" s="2" t="str">
        <x:f>IF(AND(E4247&gt;='Итоги'!$F$5,N4247&lt;='Итоги'!$B$5,O4247&gt;='Итоги'!$D$5),"Да","Нет")</x:f>
        <x:v>Нет</x:v>
      </x:c>
    </x:row>
    <x:row r="4248" ht="60" customHeight="1">
      <x:c r="A4248" s="14" t="str">
        <x:v>Детская одежда</x:v>
      </x:c>
      <x:c r="B4248" s="14" t="str">
        <x:v>Детская одежда</x:v>
      </x:c>
      <x:c r="C4248" s="14" t="str">
        <x:v>Одежда для мальчика</x:v>
      </x:c>
      <x:c r="D4248" s="14" t="str">
        <x:v>Комбинезон флисовый для мальчика</x:v>
      </x:c>
      <x:c r="E4248" s="2" t="n">
        <x:v>1</x:v>
      </x:c>
      <x:c r="F4248" s="2" t="n">
        <x:v>0</x:v>
      </x:c>
      <x:c r="G4248" s="12" t="n">
        <x:v>129484.0886</x:v>
      </x:c>
      <x:c r="H4248" s="12" t="n">
        <x:v>18697.50239384</x:v>
      </x:c>
      <x:c r="I4248" s="13" t="n">
        <x:v>0.1444</x:v>
      </x:c>
      <x:c r="J4248" s="2" t="n">
        <x:v>0</x:v>
      </x:c>
      <x:c r="K4248" s="2" t="n">
        <x:v>1</x:v>
      </x:c>
      <x:c r="L4248" s="12" t="n">
        <x:v>1523.3422</x:v>
      </x:c>
      <x:c r="M4248" s="13" t="n">
        <x:v>1</x:v>
      </x:c>
      <x:c r="N4248" s="13" t="n">
        <x:f>H4248/G4248</x:f>
        <x:v>0.1444</x:v>
      </x:c>
      <x:c r="O4248" s="13" t="n">
        <x:f>F4248/E4248</x:f>
        <x:v>0</x:v>
      </x:c>
      <x:c r="P4248" s="2" t="str">
        <x:f>IF(AND(E4248&gt;='Итоги'!$F$5,N4248&lt;='Итоги'!$B$5,O4248&gt;='Итоги'!$D$5),"Да","Нет")</x:f>
        <x:v>Нет</x:v>
      </x:c>
    </x:row>
    <x:row r="4249" ht="60" customHeight="1">
      <x:c r="A4249" s="14" t="str">
        <x:v>Аксессуары</x:v>
      </x:c>
      <x:c r="B4249" s="14" t="str">
        <x:v>Аксессуары</x:v>
      </x:c>
      <x:c r="C4249" s="14" t="str">
        <x:v>Аксессуары и уход для обуви</x:v>
      </x:c>
      <x:c r="D4249" s="14" t="str">
        <x:v>Водоотталкивающее средство универсальное</x:v>
      </x:c>
      <x:c r="E4249" s="2" t="n">
        <x:v>6</x:v>
      </x:c>
      <x:c r="F4249" s="2" t="n">
        <x:v>0</x:v>
      </x:c>
      <x:c r="G4249" s="12" t="n">
        <x:v>723830.8063</x:v>
      </x:c>
      <x:c r="H4249" s="12" t="n">
        <x:v>104614.46461339</x:v>
      </x:c>
      <x:c r="I4249" s="13" t="n">
        <x:v>0.1547333333333333</x:v>
      </x:c>
      <x:c r="J4249" s="2" t="n">
        <x:v>1</x:v>
      </x:c>
      <x:c r="K4249" s="2" t="n">
        <x:v>2</x:v>
      </x:c>
      <x:c r="L4249" s="12" t="n">
        <x:v>1496.3575</x:v>
      </x:c>
      <x:c r="M4249" s="13" t="n">
        <x:v>0.6612128137326557</x:v>
      </x:c>
      <x:c r="N4249" s="13" t="n">
        <x:f>H4249/G4249</x:f>
        <x:v>0.14452889225335253</x:v>
      </x:c>
      <x:c r="O4249" s="13" t="n">
        <x:f>F4249/E4249</x:f>
        <x:v>0</x:v>
      </x:c>
      <x:c r="P4249" s="2" t="str">
        <x:f>IF(AND(E4249&gt;='Итоги'!$F$5,N4249&lt;='Итоги'!$B$5,O4249&gt;='Итоги'!$D$5),"Да","Нет")</x:f>
        <x:v>Нет</x:v>
      </x:c>
    </x:row>
    <x:row r="4250" ht="60" customHeight="1">
      <x:c r="A4250" s="14" t="str">
        <x:v>Книги</x:v>
      </x:c>
      <x:c r="B4250" s="14" t="str">
        <x:v>Печатные книги: Нехудожественная литература</x:v>
      </x:c>
      <x:c r="C4250" s="14" t="str">
        <x:v>Печатная книга: Психология</x:v>
      </x:c>
      <x:c r="D4250" s="14" t="str">
        <x:v>Печатная книга: Воспитание детей</x:v>
      </x:c>
      <x:c r="E4250" s="2" t="n">
        <x:v>1</x:v>
      </x:c>
      <x:c r="F4250" s="2" t="n">
        <x:v>0</x:v>
      </x:c>
      <x:c r="G4250" s="12" t="n">
        <x:v>86275.9614</x:v>
      </x:c>
      <x:c r="H4250" s="12" t="n">
        <x:v>12475.50401844</x:v>
      </x:c>
      <x:c r="I4250" s="13" t="n">
        <x:v>0.1446</x:v>
      </x:c>
      <x:c r="J4250" s="2" t="n">
        <x:v>0</x:v>
      </x:c>
      <x:c r="K4250" s="2" t="n">
        <x:v>1</x:v>
      </x:c>
      <x:c r="L4250" s="12" t="n">
        <x:v>750.2258</x:v>
      </x:c>
      <x:c r="M4250" s="13" t="n">
        <x:v>1</x:v>
      </x:c>
      <x:c r="N4250" s="13" t="n">
        <x:f>H4250/G4250</x:f>
        <x:v>0.1446</x:v>
      </x:c>
      <x:c r="O4250" s="13" t="n">
        <x:f>F4250/E4250</x:f>
        <x:v>0</x:v>
      </x:c>
      <x:c r="P4250" s="2" t="str">
        <x:f>IF(AND(E4250&gt;='Итоги'!$F$5,N4250&lt;='Итоги'!$B$5,O4250&gt;='Итоги'!$D$5),"Да","Нет")</x:f>
        <x:v>Нет</x:v>
      </x:c>
    </x:row>
    <x:row r="4251" ht="60" customHeight="1">
      <x:c r="A4251" s="14" t="str">
        <x:v>Игрушки</x:v>
      </x:c>
      <x:c r="B4251" s="14" t="str">
        <x:v>Игрушки</x:v>
      </x:c>
      <x:c r="C4251" s="14" t="str">
        <x:v>Конструктор</x:v>
      </x:c>
      <x:c r="D4251" s="14" t="str">
        <x:v>Конструктор деревянный</x:v>
      </x:c>
      <x:c r="E4251" s="2" t="n">
        <x:v>17</x:v>
      </x:c>
      <x:c r="F4251" s="2" t="n">
        <x:v>0</x:v>
      </x:c>
      <x:c r="G4251" s="12" t="n">
        <x:v>1831854.1667</x:v>
      </x:c>
      <x:c r="H4251" s="12" t="n">
        <x:v>264891.738496</x:v>
      </x:c>
      <x:c r="I4251" s="13" t="n">
        <x:v>0.1415588235294117</x:v>
      </x:c>
      <x:c r="J4251" s="2" t="n">
        <x:v>0</x:v>
      </x:c>
      <x:c r="K4251" s="2" t="n">
        <x:v>11</x:v>
      </x:c>
      <x:c r="L4251" s="12" t="n">
        <x:v>1301.9388</x:v>
      </x:c>
      <x:c r="M4251" s="13" t="n">
        <x:v>0.2174762146146554</x:v>
      </x:c>
      <x:c r="N4251" s="13" t="n">
        <x:f>H4251/G4251</x:f>
        <x:v>0.14460307120036206</x:v>
      </x:c>
      <x:c r="O4251" s="13" t="n">
        <x:f>F4251/E4251</x:f>
        <x:v>0</x:v>
      </x:c>
      <x:c r="P4251" s="2" t="str">
        <x:f>IF(AND(E4251&gt;='Итоги'!$F$5,N4251&lt;='Итоги'!$B$5,O4251&gt;='Итоги'!$D$5),"Да","Нет")</x:f>
        <x:v>Нет</x:v>
      </x:c>
    </x:row>
    <x:row r="4252" ht="60" customHeight="1">
      <x:c r="A4252" s="14" t="str">
        <x:v>Товары для красоты и здоровья</x:v>
      </x:c>
      <x:c r="B4252" s="14" t="str">
        <x:v>Косметические аксессуары</x:v>
      </x:c>
      <x:c r="C4252" s="14" t="str">
        <x:v>Аксессуары для волос</x:v>
      </x:c>
      <x:c r="D4252" s="14" t="str">
        <x:v>Бигуди</x:v>
      </x:c>
      <x:c r="E4252" s="2" t="n">
        <x:v>3</x:v>
      </x:c>
      <x:c r="F4252" s="2" t="n">
        <x:v>0</x:v>
      </x:c>
      <x:c r="G4252" s="12" t="n">
        <x:v>452300.4433</x:v>
      </x:c>
      <x:c r="H4252" s="12" t="n">
        <x:v>65487.88507945</x:v>
      </x:c>
      <x:c r="I4252" s="13" t="n">
        <x:v>0.1622666666666666</x:v>
      </x:c>
      <x:c r="J4252" s="2" t="n">
        <x:v>0</x:v>
      </x:c>
      <x:c r="K4252" s="2" t="n">
        <x:v>3</x:v>
      </x:c>
      <x:c r="L4252" s="12" t="n">
        <x:v>779.029</x:v>
      </x:c>
      <x:c r="M4252" s="13" t="n">
        <x:v>0.4438171860619974</x:v>
      </x:c>
      <x:c r="N4252" s="13" t="n">
        <x:f>H4252/G4252</x:f>
        <x:v>0.14478846096556547</x:v>
      </x:c>
      <x:c r="O4252" s="13" t="n">
        <x:f>F4252/E4252</x:f>
        <x:v>0</x:v>
      </x:c>
      <x:c r="P4252" s="2" t="str">
        <x:f>IF(AND(E4252&gt;='Итоги'!$F$5,N4252&lt;='Итоги'!$B$5,O4252&gt;='Итоги'!$D$5),"Да","Нет")</x:f>
        <x:v>Нет</x:v>
      </x:c>
    </x:row>
    <x:row r="4253" ht="60" customHeight="1">
      <x:c r="A4253" s="14" t="str">
        <x:v>Строительство и ремонт (DIY)</x:v>
      </x:c>
      <x:c r="B4253" s="14" t="str">
        <x:v>Освещение</x:v>
      </x:c>
      <x:c r="C4253" s="14" t="str">
        <x:v>Аксессуары для светильников</x:v>
      </x:c>
      <x:c r="D4253" s="14" t="str">
        <x:v>Пульт для светильника</x:v>
      </x:c>
      <x:c r="E4253" s="2" t="n">
        <x:v>1</x:v>
      </x:c>
      <x:c r="F4253" s="2" t="n">
        <x:v>0</x:v>
      </x:c>
      <x:c r="G4253" s="12" t="n">
        <x:v>128034</x:v>
      </x:c>
      <x:c r="H4253" s="12" t="n">
        <x:v>18539.323200000003</x:v>
      </x:c>
      <x:c r="I4253" s="13" t="n">
        <x:v>0.1448</x:v>
      </x:c>
      <x:c r="J4253" s="2" t="n">
        <x:v>0</x:v>
      </x:c>
      <x:c r="K4253" s="2" t="n">
        <x:v>1</x:v>
      </x:c>
      <x:c r="L4253" s="12" t="n">
        <x:v>1133.0442</x:v>
      </x:c>
      <x:c r="M4253" s="13" t="n">
        <x:v>1</x:v>
      </x:c>
      <x:c r="N4253" s="13" t="n">
        <x:f>H4253/G4253</x:f>
        <x:v>0.1448</x:v>
      </x:c>
      <x:c r="O4253" s="13" t="n">
        <x:f>F4253/E4253</x:f>
        <x:v>0</x:v>
      </x:c>
      <x:c r="P4253" s="2" t="str">
        <x:f>IF(AND(E4253&gt;='Итоги'!$F$5,N4253&lt;='Итоги'!$B$5,O4253&gt;='Итоги'!$D$5),"Да","Нет")</x:f>
        <x:v>Нет</x:v>
      </x:c>
    </x:row>
    <x:row r="4254" ht="60" customHeight="1">
      <x:c r="A4254" s="14" t="str">
        <x:v>Аксессуары</x:v>
      </x:c>
      <x:c r="B4254" s="14" t="str">
        <x:v>Аксессуары</x:v>
      </x:c>
      <x:c r="C4254" s="14" t="str">
        <x:v>Мелкие аксессуары</x:v>
      </x:c>
      <x:c r="D4254" s="14" t="str">
        <x:v>Унисекс зонт складной</x:v>
      </x:c>
      <x:c r="E4254" s="2" t="n">
        <x:v>39</x:v>
      </x:c>
      <x:c r="F4254" s="2" t="n">
        <x:v>0</x:v>
      </x:c>
      <x:c r="G4254" s="12" t="n">
        <x:v>5443037.7842</x:v>
      </x:c>
      <x:c r="H4254" s="12" t="n">
        <x:v>789000.03400778</x:v>
      </x:c>
      <x:c r="I4254" s="13" t="n">
        <x:v>0.1357717948717948</x:v>
      </x:c>
      <x:c r="J4254" s="2" t="n">
        <x:v>3</x:v>
      </x:c>
      <x:c r="K4254" s="2" t="n">
        <x:v>16</x:v>
      </x:c>
      <x:c r="L4254" s="12" t="n">
        <x:v>1082.6434</x:v>
      </x:c>
      <x:c r="M4254" s="13" t="n">
        <x:v>0.5503330847702845</x:v>
      </x:c>
      <x:c r="N4254" s="13" t="n">
        <x:f>H4254/G4254</x:f>
        <x:v>0.14495582527427645</x:v>
      </x:c>
      <x:c r="O4254" s="13" t="n">
        <x:f>F4254/E4254</x:f>
        <x:v>0</x:v>
      </x:c>
      <x:c r="P4254" s="2" t="str">
        <x:f>IF(AND(E4254&gt;='Итоги'!$F$5,N4254&lt;='Итоги'!$B$5,O4254&gt;='Итоги'!$D$5),"Да","Нет")</x:f>
        <x:v>Нет</x:v>
      </x:c>
    </x:row>
    <x:row r="4255" ht="60" customHeight="1">
      <x:c r="A4255" s="14" t="str">
        <x:v>Напитки</x:v>
      </x:c>
      <x:c r="B4255" s="14" t="str">
        <x:v>Напитки горячие</x:v>
      </x:c>
      <x:c r="C4255" s="14" t="str">
        <x:v>Кофе</x:v>
      </x:c>
      <x:c r="D4255" s="14" t="str">
        <x:v>Кофе в дрип-пакетах</x:v>
      </x:c>
      <x:c r="E4255" s="2" t="n">
        <x:v>5</x:v>
      </x:c>
      <x:c r="F4255" s="2" t="n">
        <x:v>0</x:v>
      </x:c>
      <x:c r="G4255" s="12" t="n">
        <x:v>561861.4176</x:v>
      </x:c>
      <x:c r="H4255" s="12" t="n">
        <x:v>81499.91242224</x:v>
      </x:c>
      <x:c r="I4255" s="13" t="n">
        <x:v>0.1561</x:v>
      </x:c>
      <x:c r="J4255" s="2" t="n">
        <x:v>0</x:v>
      </x:c>
      <x:c r="K4255" s="2" t="n">
        <x:v>4</x:v>
      </x:c>
      <x:c r="L4255" s="12" t="n">
        <x:v>1248.253</x:v>
      </x:c>
      <x:c r="M4255" s="13" t="n">
        <x:v>0.5125676741253429</x:v>
      </x:c>
      <x:c r="N4255" s="13" t="n">
        <x:f>H4255/G4255</x:f>
        <x:v>0.1450534061768615</x:v>
      </x:c>
      <x:c r="O4255" s="13" t="n">
        <x:f>F4255/E4255</x:f>
        <x:v>0</x:v>
      </x:c>
      <x:c r="P4255" s="2" t="str">
        <x:f>IF(AND(E4255&gt;='Итоги'!$F$5,N4255&lt;='Итоги'!$B$5,O4255&gt;='Итоги'!$D$5),"Да","Нет")</x:f>
        <x:v>Нет</x:v>
      </x:c>
    </x:row>
    <x:row r="4256" ht="60" customHeight="1">
      <x:c r="A4256" s="14" t="str">
        <x:v>Товары для животных</x:v>
      </x:c>
      <x:c r="B4256" s="14" t="str">
        <x:v>Гигиена и уход животных</x:v>
      </x:c>
      <x:c r="C4256" s="14" t="str">
        <x:v>Туалет для животных</x:v>
      </x:c>
      <x:c r="D4256" s="14" t="str">
        <x:v>Уничтожитель запаха</x:v>
      </x:c>
      <x:c r="E4256" s="2" t="n">
        <x:v>6</x:v>
      </x:c>
      <x:c r="F4256" s="2" t="n">
        <x:v>0</x:v>
      </x:c>
      <x:c r="G4256" s="12" t="n">
        <x:v>968003.8236</x:v>
      </x:c>
      <x:c r="H4256" s="12" t="n">
        <x:v>140551.027271</x:v>
      </x:c>
      <x:c r="I4256" s="13" t="n">
        <x:v>0.1921666666666666</x:v>
      </x:c>
      <x:c r="J4256" s="2" t="n">
        <x:v>1</x:v>
      </x:c>
      <x:c r="K4256" s="2" t="n">
        <x:v>5</x:v>
      </x:c>
      <x:c r="L4256" s="12" t="n">
        <x:v>1369.5135</x:v>
      </x:c>
      <x:c r="M4256" s="13" t="n">
        <x:v>0.4090053199661762</x:v>
      </x:c>
      <x:c r="N4256" s="13" t="n">
        <x:f>H4256/G4256</x:f>
        <x:v>0.14519676869487108</x:v>
      </x:c>
      <x:c r="O4256" s="13" t="n">
        <x:f>F4256/E4256</x:f>
        <x:v>0</x:v>
      </x:c>
      <x:c r="P4256" s="2" t="str">
        <x:f>IF(AND(E4256&gt;='Итоги'!$F$5,N4256&lt;='Итоги'!$B$5,O4256&gt;='Итоги'!$D$5),"Да","Нет")</x:f>
        <x:v>Нет</x:v>
      </x:c>
    </x:row>
    <x:row r="4257" ht="60" customHeight="1">
      <x:c r="A4257" s="14" t="str">
        <x:v>Хобби и творчество</x:v>
      </x:c>
      <x:c r="B4257" s="14" t="str">
        <x:v>Взрослое творчество и хобби</x:v>
      </x:c>
      <x:c r="C4257" s="14" t="str">
        <x:v>Вышивание</x:v>
      </x:c>
      <x:c r="D4257" s="14" t="str">
        <x:v>Нитки для вышивания</x:v>
      </x:c>
      <x:c r="E4257" s="2" t="n">
        <x:v>1</x:v>
      </x:c>
      <x:c r="F4257" s="2" t="n">
        <x:v>0</x:v>
      </x:c>
      <x:c r="G4257" s="12" t="n">
        <x:v>101821.8645</x:v>
      </x:c>
      <x:c r="H4257" s="12" t="n">
        <x:v>14784.5347254</x:v>
      </x:c>
      <x:c r="I4257" s="13" t="n">
        <x:v>0.1452</x:v>
      </x:c>
      <x:c r="J4257" s="2" t="n">
        <x:v>0</x:v>
      </x:c>
      <x:c r="K4257" s="2" t="n">
        <x:v>1</x:v>
      </x:c>
      <x:c r="L4257" s="12" t="n">
        <x:v>2545.5466</x:v>
      </x:c>
      <x:c r="M4257" s="13" t="n">
        <x:v>1</x:v>
      </x:c>
      <x:c r="N4257" s="13" t="n">
        <x:f>H4257/G4257</x:f>
        <x:v>0.14520000000000002</x:v>
      </x:c>
      <x:c r="O4257" s="13" t="n">
        <x:f>F4257/E4257</x:f>
        <x:v>0</x:v>
      </x:c>
      <x:c r="P4257" s="2" t="str">
        <x:f>IF(AND(E4257&gt;='Итоги'!$F$5,N4257&lt;='Итоги'!$B$5,O4257&gt;='Итоги'!$D$5),"Да","Нет")</x:f>
        <x:v>Нет</x:v>
      </x:c>
    </x:row>
    <x:row r="4258" ht="60" customHeight="1">
      <x:c r="A4258" s="14" t="str">
        <x:v>Хобби и творчество</x:v>
      </x:c>
      <x:c r="B4258" s="14" t="str">
        <x:v>Взрослое творчество и хобби</x:v>
      </x:c>
      <x:c r="C4258" s="14" t="str">
        <x:v>Скрапбукинг</x:v>
      </x:c>
      <x:c r="D4258" s="14" t="str">
        <x:v>Набор для скрапбукинга</x:v>
      </x:c>
      <x:c r="E4258" s="2" t="n">
        <x:v>1</x:v>
      </x:c>
      <x:c r="F4258" s="2" t="n">
        <x:v>0</x:v>
      </x:c>
      <x:c r="G4258" s="12" t="n">
        <x:v>98148.03</x:v>
      </x:c>
      <x:c r="H4258" s="12" t="n">
        <x:v>14251.093956</x:v>
      </x:c>
      <x:c r="I4258" s="13" t="n">
        <x:v>0.1452</x:v>
      </x:c>
      <x:c r="J4258" s="2" t="n">
        <x:v>0</x:v>
      </x:c>
      <x:c r="K4258" s="2" t="n">
        <x:v>1</x:v>
      </x:c>
      <x:c r="L4258" s="12" t="n">
        <x:v>672.2468</x:v>
      </x:c>
      <x:c r="M4258" s="13" t="n">
        <x:v>1</x:v>
      </x:c>
      <x:c r="N4258" s="13" t="n">
        <x:f>H4258/G4258</x:f>
        <x:v>0.1452</x:v>
      </x:c>
      <x:c r="O4258" s="13" t="n">
        <x:f>F4258/E4258</x:f>
        <x:v>0</x:v>
      </x:c>
      <x:c r="P4258" s="2" t="str">
        <x:f>IF(AND(E4258&gt;='Итоги'!$F$5,N4258&lt;='Итоги'!$B$5,O4258&gt;='Итоги'!$D$5),"Да","Нет")</x:f>
        <x:v>Нет</x:v>
      </x:c>
    </x:row>
    <x:row r="4259" ht="60" customHeight="1">
      <x:c r="A4259" s="14" t="str">
        <x:v>Хобби и творчество</x:v>
      </x:c>
      <x:c r="B4259" s="14" t="str">
        <x:v>Детское творчество и хобби</x:v>
      </x:c>
      <x:c r="C4259" s="14" t="str">
        <x:v>Спортивная игра для детей</x:v>
      </x:c>
      <x:c r="D4259" s="14" t="str">
        <x:v>Мыльные пузыри</x:v>
      </x:c>
      <x:c r="E4259" s="2" t="n">
        <x:v>5</x:v>
      </x:c>
      <x:c r="F4259" s="2" t="n">
        <x:v>0</x:v>
      </x:c>
      <x:c r="G4259" s="12" t="n">
        <x:v>465134.99</x:v>
      </x:c>
      <x:c r="H4259" s="12" t="n">
        <x:v>67546.305072</x:v>
      </x:c>
      <x:c r="I4259" s="13" t="n">
        <x:v>0.13246</x:v>
      </x:c>
      <x:c r="J4259" s="2" t="n">
        <x:v>0</x:v>
      </x:c>
      <x:c r="K4259" s="2" t="n">
        <x:v>5</x:v>
      </x:c>
      <x:c r="L4259" s="12" t="n">
        <x:v>889.0043</x:v>
      </x:c>
      <x:c r="M4259" s="13" t="n">
        <x:v>0.2688746335768031</x:v>
      </x:c>
      <x:c r="N4259" s="13" t="n">
        <x:f>H4259/G4259</x:f>
        <x:v>0.14521871397376493</x:v>
      </x:c>
      <x:c r="O4259" s="13" t="n">
        <x:f>F4259/E4259</x:f>
        <x:v>0</x:v>
      </x:c>
      <x:c r="P4259" s="2" t="str">
        <x:f>IF(AND(E4259&gt;='Итоги'!$F$5,N4259&lt;='Итоги'!$B$5,O4259&gt;='Итоги'!$D$5),"Да","Нет")</x:f>
        <x:v>Нет</x:v>
      </x:c>
    </x:row>
    <x:row r="4260" ht="60" customHeight="1">
      <x:c r="A4260" s="14" t="str">
        <x:v>Строительство и ремонт (DIY)</x:v>
      </x:c>
      <x:c r="B4260" s="14" t="str">
        <x:v>Ремонт и строительство</x:v>
      </x:c>
      <x:c r="C4260" s="14" t="str">
        <x:v>Отделка пола</x:v>
      </x:c>
      <x:c r="D4260" s="14" t="str">
        <x:v>Паркетная доска</x:v>
      </x:c>
      <x:c r="E4260" s="2" t="n">
        <x:v>1</x:v>
      </x:c>
      <x:c r="F4260" s="2" t="n">
        <x:v>0</x:v>
      </x:c>
      <x:c r="G4260" s="12" t="n">
        <x:v>883043</x:v>
      </x:c>
      <x:c r="H4260" s="12" t="n">
        <x:v>128306.1479</x:v>
      </x:c>
      <x:c r="I4260" s="13" t="n">
        <x:v>0.1453</x:v>
      </x:c>
      <x:c r="J4260" s="2" t="n">
        <x:v>0</x:v>
      </x:c>
      <x:c r="K4260" s="2" t="n">
        <x:v>1</x:v>
      </x:c>
      <x:c r="L4260" s="12" t="n">
        <x:v>3619.0287</x:v>
      </x:c>
      <x:c r="M4260" s="13" t="n">
        <x:v>1</x:v>
      </x:c>
      <x:c r="N4260" s="13" t="n">
        <x:f>H4260/G4260</x:f>
        <x:v>0.14529999999999998</x:v>
      </x:c>
      <x:c r="O4260" s="13" t="n">
        <x:f>F4260/E4260</x:f>
        <x:v>0</x:v>
      </x:c>
      <x:c r="P4260" s="2" t="str">
        <x:f>IF(AND(E4260&gt;='Итоги'!$F$5,N4260&lt;='Итоги'!$B$5,O4260&gt;='Итоги'!$D$5),"Да","Нет")</x:f>
        <x:v>Нет</x:v>
      </x:c>
    </x:row>
    <x:row r="4261" ht="60" customHeight="1">
      <x:c r="A4261" s="14" t="str">
        <x:v>Товары для дома</x:v>
      </x:c>
      <x:c r="B4261" s="14" t="str">
        <x:v>Аксессуары для уборки и стирки</x:v>
      </x:c>
      <x:c r="C4261" s="14" t="str">
        <x:v>Аксессуар для уборки</x:v>
      </x:c>
      <x:c r="D4261" s="14" t="str">
        <x:v>Щетка, щетка-сметка, насадка для щетки</x:v>
      </x:c>
      <x:c r="E4261" s="2" t="n">
        <x:v>49</x:v>
      </x:c>
      <x:c r="F4261" s="2" t="n">
        <x:v>0</x:v>
      </x:c>
      <x:c r="G4261" s="12" t="n">
        <x:v>9756021.46</x:v>
      </x:c>
      <x:c r="H4261" s="12" t="n">
        <x:v>1417557.36798548</x:v>
      </x:c>
      <x:c r="I4261" s="13" t="n">
        <x:v>0.1374673469387755</x:v>
      </x:c>
      <x:c r="J4261" s="2" t="n">
        <x:v>2</x:v>
      </x:c>
      <x:c r="K4261" s="2" t="n">
        <x:v>24</x:v>
      </x:c>
      <x:c r="L4261" s="12" t="n">
        <x:v>1672.6176</x:v>
      </x:c>
      <x:c r="M4261" s="13" t="n">
        <x:v>0.3142486841557234</x:v>
      </x:c>
      <x:c r="N4261" s="13" t="n">
        <x:f>H4261/G4261</x:f>
        <x:v>0.14530076361532315</x:v>
      </x:c>
      <x:c r="O4261" s="13" t="n">
        <x:f>F4261/E4261</x:f>
        <x:v>0</x:v>
      </x:c>
      <x:c r="P4261" s="2" t="str">
        <x:f>IF(AND(E4261&gt;='Итоги'!$F$5,N4261&lt;='Итоги'!$B$5,O4261&gt;='Итоги'!$D$5),"Да","Нет")</x:f>
        <x:v>Нет</x:v>
      </x:c>
    </x:row>
    <x:row r="4262" ht="60" customHeight="1">
      <x:c r="A4262" s="14" t="str">
        <x:v>Товары для красоты и здоровья</x:v>
      </x:c>
      <x:c r="B4262" s="14" t="str">
        <x:v>Косметика для ухода за волосами</x:v>
      </x:c>
      <x:c r="C4262" s="14" t="str">
        <x:v>Стайлинг для мужчин</x:v>
      </x:c>
      <x:c r="D4262" s="14" t="str">
        <x:v>Гель для укладки мужской</x:v>
      </x:c>
      <x:c r="E4262" s="2" t="n">
        <x:v>5</x:v>
      </x:c>
      <x:c r="F4262" s="2" t="n">
        <x:v>0</x:v>
      </x:c>
      <x:c r="G4262" s="12" t="n">
        <x:v>558034.6</x:v>
      </x:c>
      <x:c r="H4262" s="12" t="n">
        <x:v>81094.262659</x:v>
      </x:c>
      <x:c r="I4262" s="13" t="n">
        <x:v>0.13284</x:v>
      </x:c>
      <x:c r="J4262" s="2" t="n">
        <x:v>0</x:v>
      </x:c>
      <x:c r="K4262" s="2" t="n">
        <x:v>3</x:v>
      </x:c>
      <x:c r="L4262" s="12" t="n">
        <x:v>1250.1495</x:v>
      </x:c>
      <x:c r="M4262" s="13" t="n">
        <x:v>0.4596094041480582</x:v>
      </x:c>
      <x:c r="N4262" s="13" t="n">
        <x:f>H4262/G4262</x:f>
        <x:v>0.14532120886231786</x:v>
      </x:c>
      <x:c r="O4262" s="13" t="n">
        <x:f>F4262/E4262</x:f>
        <x:v>0</x:v>
      </x:c>
      <x:c r="P4262" s="2" t="str">
        <x:f>IF(AND(E4262&gt;='Итоги'!$F$5,N4262&lt;='Итоги'!$B$5,O4262&gt;='Итоги'!$D$5),"Да","Нет")</x:f>
        <x:v>Нет</x:v>
      </x:c>
    </x:row>
    <x:row r="4263" ht="60" customHeight="1">
      <x:c r="A4263" s="14" t="str">
        <x:v>Обувь</x:v>
      </x:c>
      <x:c r="B4263" s="14" t="str">
        <x:v>Специальная обувь</x:v>
      </x:c>
      <x:c r="C4263" s="14" t="str">
        <x:v>Спецобувь мужская</x:v>
      </x:c>
      <x:c r="D4263" s="14" t="str">
        <x:v>Рабочее сабо мужское</x:v>
      </x:c>
      <x:c r="E4263" s="2" t="n">
        <x:v>2</x:v>
      </x:c>
      <x:c r="F4263" s="2" t="n">
        <x:v>0</x:v>
      </x:c>
      <x:c r="G4263" s="12" t="n">
        <x:v>291932.67000000004</x:v>
      </x:c>
      <x:c r="H4263" s="12" t="n">
        <x:v>42439.468675</x:v>
      </x:c>
      <x:c r="I4263" s="13" t="n">
        <x:v>0.16025</x:v>
      </x:c>
      <x:c r="J4263" s="2" t="n">
        <x:v>0</x:v>
      </x:c>
      <x:c r="K4263" s="2" t="n">
        <x:v>1</x:v>
      </x:c>
      <x:c r="L4263" s="12" t="n">
        <x:v>1568.06475</x:v>
      </x:c>
      <x:c r="M4263" s="13" t="n">
        <x:v>1</x:v>
      </x:c>
      <x:c r="N4263" s="13" t="n">
        <x:f>H4263/G4263</x:f>
        <x:v>0.14537416684127882</x:v>
      </x:c>
      <x:c r="O4263" s="13" t="n">
        <x:f>F4263/E4263</x:f>
        <x:v>0</x:v>
      </x:c>
      <x:c r="P4263" s="2" t="str">
        <x:f>IF(AND(E4263&gt;='Итоги'!$F$5,N4263&lt;='Итоги'!$B$5,O4263&gt;='Итоги'!$D$5),"Да","Нет")</x:f>
        <x:v>Нет</x:v>
      </x:c>
    </x:row>
    <x:row r="4264" ht="60" customHeight="1">
      <x:c r="A4264" s="14" t="str">
        <x:v>Товары для красоты и здоровья</x:v>
      </x:c>
      <x:c r="B4264" s="14" t="str">
        <x:v>Парфюмерия, ароматерапия</x:v>
      </x:c>
      <x:c r="C4264" s="14" t="str">
        <x:v>Парфюмерия для мужчин</x:v>
      </x:c>
      <x:c r="D4264" s="14" t="str">
        <x:v>Духи мужские</x:v>
      </x:c>
      <x:c r="E4264" s="2" t="n">
        <x:v>5</x:v>
      </x:c>
      <x:c r="F4264" s="2" t="n">
        <x:v>0</x:v>
      </x:c>
      <x:c r="G4264" s="12" t="n">
        <x:v>547902.9781</x:v>
      </x:c>
      <x:c r="H4264" s="12" t="n">
        <x:v>79714.92357008</x:v>
      </x:c>
      <x:c r="I4264" s="13" t="n">
        <x:v>0.14084</x:v>
      </x:c>
      <x:c r="J4264" s="2" t="n">
        <x:v>0</x:v>
      </x:c>
      <x:c r="K4264" s="2" t="n">
        <x:v>3</x:v>
      </x:c>
      <x:c r="L4264" s="12" t="n">
        <x:v>2133.4365</x:v>
      </x:c>
      <x:c r="M4264" s="13" t="n">
        <x:v>0.483146287902975</x:v>
      </x:c>
      <x:c r="N4264" s="13" t="n">
        <x:f>H4264/G4264</x:f>
        <x:v>0.14549094777055752</x:v>
      </x:c>
      <x:c r="O4264" s="13" t="n">
        <x:f>F4264/E4264</x:f>
        <x:v>0</x:v>
      </x:c>
      <x:c r="P4264" s="2" t="str">
        <x:f>IF(AND(E4264&gt;='Итоги'!$F$5,N4264&lt;='Итоги'!$B$5,O4264&gt;='Итоги'!$D$5),"Да","Нет")</x:f>
        <x:v>Нет</x:v>
      </x:c>
    </x:row>
    <x:row r="4265" ht="60" customHeight="1">
      <x:c r="A4265" s="14" t="str">
        <x:v>Товары для дома</x:v>
      </x:c>
      <x:c r="B4265" s="14" t="str">
        <x:v>Интерьер и декор</x:v>
      </x:c>
      <x:c r="C4265" s="14" t="str">
        <x:v>Домашние растения</x:v>
      </x:c>
      <x:c r="D4265" s="14" t="str">
        <x:v>Цветы сухие и стабилизированные</x:v>
      </x:c>
      <x:c r="E4265" s="2" t="n">
        <x:v>29</x:v>
      </x:c>
      <x:c r="F4265" s="2" t="n">
        <x:v>0</x:v>
      </x:c>
      <x:c r="G4265" s="12" t="n">
        <x:v>3733910.3779</x:v>
      </x:c>
      <x:c r="H4265" s="12" t="n">
        <x:v>543262.29308527</x:v>
      </x:c>
      <x:c r="I4265" s="13" t="n">
        <x:v>0.1402655172413793</x:v>
      </x:c>
      <x:c r="J4265" s="2" t="n">
        <x:v>5</x:v>
      </x:c>
      <x:c r="K4265" s="2" t="n">
        <x:v>13</x:v>
      </x:c>
      <x:c r="L4265" s="12" t="n">
        <x:v>1001.0566</x:v>
      </x:c>
      <x:c r="M4265" s="13" t="n">
        <x:v>0.2018293768539355</x:v>
      </x:c>
      <x:c r="N4265" s="13" t="n">
        <x:f>H4265/G4265</x:f>
        <x:v>0.14549419726319401</x:v>
      </x:c>
      <x:c r="O4265" s="13" t="n">
        <x:f>F4265/E4265</x:f>
        <x:v>0</x:v>
      </x:c>
      <x:c r="P4265" s="2" t="str">
        <x:f>IF(AND(E4265&gt;='Итоги'!$F$5,N4265&lt;='Итоги'!$B$5,O4265&gt;='Итоги'!$D$5),"Да","Нет")</x:f>
        <x:v>Нет</x:v>
      </x:c>
    </x:row>
    <x:row r="4266" ht="60" customHeight="1">
      <x:c r="A4266" s="14" t="str">
        <x:v>Бакалея и кондитерские изделия</x:v>
      </x:c>
      <x:c r="B4266" s="14" t="str">
        <x:v>Бакалея</x:v>
      </x:c>
      <x:c r="C4266" s="14" t="str">
        <x:v>Консервы</x:v>
      </x:c>
      <x:c r="D4266" s="14" t="str">
        <x:v>Растительные молочные консервы</x:v>
      </x:c>
      <x:c r="E4266" s="2" t="n">
        <x:v>1</x:v>
      </x:c>
      <x:c r="F4266" s="2" t="n">
        <x:v>0</x:v>
      </x:c>
      <x:c r="G4266" s="12" t="n">
        <x:v>114951.2755</x:v>
      </x:c>
      <x:c r="H4266" s="12" t="n">
        <x:v>16725.41058525</x:v>
      </x:c>
      <x:c r="I4266" s="13" t="n">
        <x:v>0.1455</x:v>
      </x:c>
      <x:c r="J4266" s="2" t="n">
        <x:v>0</x:v>
      </x:c>
      <x:c r="K4266" s="2" t="n">
        <x:v>1</x:v>
      </x:c>
      <x:c r="L4266" s="12" t="n">
        <x:v>1045.0116</x:v>
      </x:c>
      <x:c r="M4266" s="13" t="n">
        <x:v>1</x:v>
      </x:c>
      <x:c r="N4266" s="13" t="n">
        <x:f>H4266/G4266</x:f>
        <x:v>0.1455</x:v>
      </x:c>
      <x:c r="O4266" s="13" t="n">
        <x:f>F4266/E4266</x:f>
        <x:v>0</x:v>
      </x:c>
      <x:c r="P4266" s="2" t="str">
        <x:f>IF(AND(E4266&gt;='Итоги'!$F$5,N4266&lt;='Итоги'!$B$5,O4266&gt;='Итоги'!$D$5),"Да","Нет")</x:f>
        <x:v>Нет</x:v>
      </x:c>
    </x:row>
    <x:row r="4267" ht="60" customHeight="1">
      <x:c r="A4267" s="14" t="str">
        <x:v>Товары для дома</x:v>
      </x:c>
      <x:c r="B4267" s="14" t="str">
        <x:v>Кухня</x:v>
      </x:c>
      <x:c r="C4267" s="14" t="str">
        <x:v>Питьевое стекло, аксессуар для бара, сосуд для жидкости</x:v>
      </x:c>
      <x:c r="D4267" s="14" t="str">
        <x:v>Декантер</x:v>
      </x:c>
      <x:c r="E4267" s="2" t="n">
        <x:v>13</x:v>
      </x:c>
      <x:c r="F4267" s="2" t="n">
        <x:v>0</x:v>
      </x:c>
      <x:c r="G4267" s="12" t="n">
        <x:v>1960809.11</x:v>
      </x:c>
      <x:c r="H4267" s="12" t="n">
        <x:v>285419.831915</x:v>
      </x:c>
      <x:c r="I4267" s="13" t="n">
        <x:v>0.1269384615384615</x:v>
      </x:c>
      <x:c r="J4267" s="2" t="n">
        <x:v>2</x:v>
      </x:c>
      <x:c r="K4267" s="2" t="n">
        <x:v>11</x:v>
      </x:c>
      <x:c r="L4267" s="12" t="n">
        <x:v>2187.616</x:v>
      </x:c>
      <x:c r="M4267" s="13" t="n">
        <x:v>0.2260716495753123</x:v>
      </x:c>
      <x:c r="N4267" s="13" t="n">
        <x:f>H4267/G4267</x:f>
        <x:v>0.14556227348158332</x:v>
      </x:c>
      <x:c r="O4267" s="13" t="n">
        <x:f>F4267/E4267</x:f>
        <x:v>0</x:v>
      </x:c>
      <x:c r="P4267" s="2" t="str">
        <x:f>IF(AND(E4267&gt;='Итоги'!$F$5,N4267&lt;='Итоги'!$B$5,O4267&gt;='Итоги'!$D$5),"Да","Нет")</x:f>
        <x:v>Нет</x:v>
      </x:c>
    </x:row>
    <x:row r="4268" ht="60" customHeight="1">
      <x:c r="A4268" s="14" t="str">
        <x:v>Хобби и творчество</x:v>
      </x:c>
      <x:c r="B4268" s="14" t="str">
        <x:v>Детское творчество и хобби</x:v>
      </x:c>
      <x:c r="C4268" s="14" t="str">
        <x:v>Настольные и обучающие игры</x:v>
      </x:c>
      <x:c r="D4268" s="14" t="str">
        <x:v>Психологическая, трансформационная игра</x:v>
      </x:c>
      <x:c r="E4268" s="2" t="n">
        <x:v>20</x:v>
      </x:c>
      <x:c r="F4268" s="2" t="n">
        <x:v>0</x:v>
      </x:c>
      <x:c r="G4268" s="12" t="n">
        <x:v>2067196.0493</x:v>
      </x:c>
      <x:c r="H4268" s="12" t="n">
        <x:v>301141.42219737</x:v>
      </x:c>
      <x:c r="I4268" s="13" t="n">
        <x:v>0.145045</x:v>
      </x:c>
      <x:c r="J4268" s="2" t="n">
        <x:v>3</x:v>
      </x:c>
      <x:c r="K4268" s="2" t="n">
        <x:v>9</x:v>
      </x:c>
      <x:c r="L4268" s="12" t="n">
        <x:v>1311.96205</x:v>
      </x:c>
      <x:c r="M4268" s="13" t="n">
        <x:v>0.4138737736508889</x:v>
      </x:c>
      <x:c r="N4268" s="13" t="n">
        <x:f>H4268/G4268</x:f>
        <x:v>0.14567627598714855</x:v>
      </x:c>
      <x:c r="O4268" s="13" t="n">
        <x:f>F4268/E4268</x:f>
        <x:v>0</x:v>
      </x:c>
      <x:c r="P4268" s="2" t="str">
        <x:f>IF(AND(E4268&gt;='Итоги'!$F$5,N4268&lt;='Итоги'!$B$5,O4268&gt;='Итоги'!$D$5),"Да","Нет")</x:f>
        <x:v>Нет</x:v>
      </x:c>
    </x:row>
    <x:row r="4269" ht="60" customHeight="1">
      <x:c r="A4269" s="14" t="str">
        <x:v>Аксессуары для электроники</x:v>
      </x:c>
      <x:c r="B4269" s="14" t="str">
        <x:v>Оборудование Access</x:v>
      </x:c>
      <x:c r="C4269" s="14" t="str">
        <x:v>Оборудование и комплектующие для приготовления алкоголя Access</x:v>
      </x:c>
      <x:c r="D4269" s="14" t="str">
        <x:v>Измерение алкоголя, сахара в нем</x:v>
      </x:c>
      <x:c r="E4269" s="2" t="n">
        <x:v>7</x:v>
      </x:c>
      <x:c r="F4269" s="2" t="n">
        <x:v>0</x:v>
      </x:c>
      <x:c r="G4269" s="12" t="n">
        <x:v>1226339.2062</x:v>
      </x:c>
      <x:c r="H4269" s="12" t="n">
        <x:v>178812.36948372</x:v>
      </x:c>
      <x:c r="I4269" s="13" t="n">
        <x:v>0.1373857142857142</x:v>
      </x:c>
      <x:c r="J4269" s="2" t="n">
        <x:v>0</x:v>
      </x:c>
      <x:c r="K4269" s="2" t="n">
        <x:v>3</x:v>
      </x:c>
      <x:c r="L4269" s="12" t="n">
        <x:v>912.1907</x:v>
      </x:c>
      <x:c r="M4269" s="13" t="n">
        <x:v>0.7387929961135413</x:v>
      </x:c>
      <x:c r="N4269" s="13" t="n">
        <x:f>H4269/G4269</x:f>
        <x:v>0.14580987754423796</x:v>
      </x:c>
      <x:c r="O4269" s="13" t="n">
        <x:f>F4269/E4269</x:f>
        <x:v>0</x:v>
      </x:c>
      <x:c r="P4269" s="2" t="str">
        <x:f>IF(AND(E4269&gt;='Итоги'!$F$5,N4269&lt;='Итоги'!$B$5,O4269&gt;='Итоги'!$D$5),"Да","Нет")</x:f>
        <x:v>Нет</x:v>
      </x:c>
    </x:row>
    <x:row r="4270" ht="60" customHeight="1">
      <x:c r="A4270" s="14" t="str">
        <x:v>Детская одежда</x:v>
      </x:c>
      <x:c r="B4270" s="14" t="str">
        <x:v>Детская одежда</x:v>
      </x:c>
      <x:c r="C4270" s="14" t="str">
        <x:v>Одежда спортивная для девочки</x:v>
      </x:c>
      <x:c r="D4270" s="14" t="str">
        <x:v>Топ спортивный для девочки</x:v>
      </x:c>
      <x:c r="E4270" s="2" t="n">
        <x:v>2</x:v>
      </x:c>
      <x:c r="F4270" s="2" t="n">
        <x:v>0</x:v>
      </x:c>
      <x:c r="G4270" s="12" t="n">
        <x:v>116323.27</x:v>
      </x:c>
      <x:c r="H4270" s="12" t="n">
        <x:v>16974.347794</x:v>
      </x:c>
      <x:c r="I4270" s="13" t="n">
        <x:v>0.0911</x:v>
      </x:c>
      <x:c r="J4270" s="2" t="n">
        <x:v>1</x:v>
      </x:c>
      <x:c r="K4270" s="2" t="n">
        <x:v>2</x:v>
      </x:c>
      <x:c r="L4270" s="12" t="n">
        <x:v>2361.31145</x:v>
      </x:c>
      <x:c r="M4270" s="13" t="n">
        <x:v>0.8008996824109226</x:v>
      </x:c>
      <x:c r="N4270" s="13" t="n">
        <x:f>H4270/G4270</x:f>
        <x:v>0.1459239221352701</x:v>
      </x:c>
      <x:c r="O4270" s="13" t="n">
        <x:f>F4270/E4270</x:f>
        <x:v>0</x:v>
      </x:c>
      <x:c r="P4270" s="2" t="str">
        <x:f>IF(AND(E4270&gt;='Итоги'!$F$5,N4270&lt;='Итоги'!$B$5,O4270&gt;='Итоги'!$D$5),"Да","Нет")</x:f>
        <x:v>Нет</x:v>
      </x:c>
    </x:row>
    <x:row r="4271" ht="60" customHeight="1">
      <x:c r="A4271" s="14" t="str">
        <x:v>Аксессуары</x:v>
      </x:c>
      <x:c r="B4271" s="14" t="str">
        <x:v>Галантерея</x:v>
      </x:c>
      <x:c r="C4271" s="14" t="str">
        <x:v>Галантерея женская</x:v>
      </x:c>
      <x:c r="D4271" s="14" t="str">
        <x:v>Женская Визитница/кредитница</x:v>
      </x:c>
      <x:c r="E4271" s="2" t="n">
        <x:v>23</x:v>
      </x:c>
      <x:c r="F4271" s="2" t="n">
        <x:v>0</x:v>
      </x:c>
      <x:c r="G4271" s="12" t="n">
        <x:v>1628894.4083</x:v>
      </x:c>
      <x:c r="H4271" s="12" t="n">
        <x:v>237891.32654899</x:v>
      </x:c>
      <x:c r="I4271" s="13" t="n">
        <x:v>0.0854999999999999</x:v>
      </x:c>
      <x:c r="J4271" s="2" t="n">
        <x:v>13</x:v>
      </x:c>
      <x:c r="K4271" s="2" t="n">
        <x:v>7</x:v>
      </x:c>
      <x:c r="L4271" s="12" t="n">
        <x:v>2990.72</x:v>
      </x:c>
      <x:c r="M4271" s="13" t="n">
        <x:v>0.2215088872314106</x:v>
      </x:c>
      <x:c r="N4271" s="13" t="n">
        <x:f>H4271/G4271</x:f>
        <x:v>0.1460446578592322</x:v>
      </x:c>
      <x:c r="O4271" s="13" t="n">
        <x:f>F4271/E4271</x:f>
        <x:v>0</x:v>
      </x:c>
      <x:c r="P4271" s="2" t="str">
        <x:f>IF(AND(E4271&gt;='Итоги'!$F$5,N4271&lt;='Итоги'!$B$5,O4271&gt;='Итоги'!$D$5),"Да","Нет")</x:f>
        <x:v>Нет</x:v>
      </x:c>
    </x:row>
    <x:row r="4272" ht="60" customHeight="1">
      <x:c r="A4272" s="14" t="str">
        <x:v>Одежда</x:v>
      </x:c>
      <x:c r="B4272" s="14" t="str">
        <x:v>Белье, домашняя одежда и ЧНИ</x:v>
      </x:c>
      <x:c r="C4272" s="14" t="str">
        <x:v>Спортивное белье, носки</x:v>
      </x:c>
      <x:c r="D4272" s="14" t="str">
        <x:v>Спортивные ЧНИ</x:v>
      </x:c>
      <x:c r="E4272" s="2" t="n">
        <x:v>13</x:v>
      </x:c>
      <x:c r="F4272" s="2" t="n">
        <x:v>0</x:v>
      </x:c>
      <x:c r="G4272" s="12" t="n">
        <x:v>1270687.3348</x:v>
      </x:c>
      <x:c r="H4272" s="12" t="n">
        <x:v>185713.84833144</x:v>
      </x:c>
      <x:c r="I4272" s="13" t="n">
        <x:v>0.1123230769230769</x:v>
      </x:c>
      <x:c r="J4272" s="2" t="n">
        <x:v>8</x:v>
      </x:c>
      <x:c r="K4272" s="2" t="n">
        <x:v>7</x:v>
      </x:c>
      <x:c r="L4272" s="12" t="n">
        <x:v>966.1975</x:v>
      </x:c>
      <x:c r="M4272" s="13" t="n">
        <x:v>0.2623618968016804</x:v>
      </x:c>
      <x:c r="N4272" s="13" t="n">
        <x:f>H4272/G4272</x:f>
        <x:v>0.14615227778332304</x:v>
      </x:c>
      <x:c r="O4272" s="13" t="n">
        <x:f>F4272/E4272</x:f>
        <x:v>0</x:v>
      </x:c>
      <x:c r="P4272" s="2" t="str">
        <x:f>IF(AND(E4272&gt;='Итоги'!$F$5,N4272&lt;='Итоги'!$B$5,O4272&gt;='Итоги'!$D$5),"Да","Нет")</x:f>
        <x:v>Нет</x:v>
      </x:c>
    </x:row>
    <x:row r="4273" ht="60" customHeight="1">
      <x:c r="A4273" s="14" t="str">
        <x:v>Одежда</x:v>
      </x:c>
      <x:c r="B4273" s="14" t="str">
        <x:v>Белье, домашняя одежда и ЧНИ</x:v>
      </x:c>
      <x:c r="C4273" s="14" t="str">
        <x:v>Чулочно-носочные изделия женские</x:v>
      </x:c>
      <x:c r="D4273" s="14" t="str">
        <x:v>Носки женские</x:v>
      </x:c>
      <x:c r="E4273" s="2" t="n">
        <x:v>1</x:v>
      </x:c>
      <x:c r="F4273" s="2" t="n">
        <x:v>0</x:v>
      </x:c>
      <x:c r="G4273" s="12" t="n">
        <x:v>113612.6473</x:v>
      </x:c>
      <x:c r="H4273" s="12" t="n">
        <x:v>16610.169035259998</x:v>
      </x:c>
      <x:c r="I4273" s="13" t="n">
        <x:v>0.1462</x:v>
      </x:c>
      <x:c r="J4273" s="2" t="n">
        <x:v>0</x:v>
      </x:c>
      <x:c r="K4273" s="2" t="n">
        <x:v>1</x:v>
      </x:c>
      <x:c r="L4273" s="12" t="n">
        <x:v>817.3572</x:v>
      </x:c>
      <x:c r="M4273" s="13" t="n">
        <x:v>1</x:v>
      </x:c>
      <x:c r="N4273" s="13" t="n">
        <x:f>H4273/G4273</x:f>
        <x:v>0.1462</x:v>
      </x:c>
      <x:c r="O4273" s="13" t="n">
        <x:f>F4273/E4273</x:f>
        <x:v>0</x:v>
      </x:c>
      <x:c r="P4273" s="2" t="str">
        <x:f>IF(AND(E4273&gt;='Итоги'!$F$5,N4273&lt;='Итоги'!$B$5,O4273&gt;='Итоги'!$D$5),"Да","Нет")</x:f>
        <x:v>Нет</x:v>
      </x:c>
    </x:row>
    <x:row r="4274" ht="60" customHeight="1">
      <x:c r="A4274" s="14" t="str">
        <x:v>Строительство и ремонт (DIY)</x:v>
      </x:c>
      <x:c r="B4274" s="14" t="str">
        <x:v>Ремонт и строительство</x:v>
      </x:c>
      <x:c r="C4274" s="14" t="str">
        <x:v>Скобяные изделия</x:v>
      </x:c>
      <x:c r="D4274" s="14" t="str">
        <x:v>Хомут, стяжка строительные</x:v>
      </x:c>
      <x:c r="E4274" s="2" t="n">
        <x:v>11</x:v>
      </x:c>
      <x:c r="F4274" s="2" t="n">
        <x:v>0</x:v>
      </x:c>
      <x:c r="G4274" s="12" t="n">
        <x:v>1494176.8254</x:v>
      </x:c>
      <x:c r="H4274" s="12" t="n">
        <x:v>218512.31370024</x:v>
      </x:c>
      <x:c r="I4274" s="13" t="n">
        <x:v>0.1280454545454545</x:v>
      </x:c>
      <x:c r="J4274" s="2" t="n">
        <x:v>1</x:v>
      </x:c>
      <x:c r="K4274" s="2" t="n">
        <x:v>5</x:v>
      </x:c>
      <x:c r="L4274" s="12" t="n">
        <x:v>1396.193</x:v>
      </x:c>
      <x:c r="M4274" s="13" t="n">
        <x:v>0.5515230115280303</x:v>
      </x:c>
      <x:c r="N4274" s="13" t="n">
        <x:f>H4274/G4274</x:f>
        <x:v>0.14624260662170485</x:v>
      </x:c>
      <x:c r="O4274" s="13" t="n">
        <x:f>F4274/E4274</x:f>
        <x:v>0</x:v>
      </x:c>
      <x:c r="P4274" s="2" t="str">
        <x:f>IF(AND(E4274&gt;='Итоги'!$F$5,N4274&lt;='Итоги'!$B$5,O4274&gt;='Итоги'!$D$5),"Да","Нет")</x:f>
        <x:v>Нет</x:v>
      </x:c>
    </x:row>
    <x:row r="4275" ht="60" customHeight="1">
      <x:c r="A4275" s="14" t="str">
        <x:v>Аксессуары для электроники</x:v>
      </x:c>
      <x:c r="B4275" s="14" t="str">
        <x:v>Аксессуары для мобильных устройств Access</x:v>
      </x:c>
      <x:c r="C4275" s="14" t="str">
        <x:v>Аксессуары для зарядки и передачи информации Access</x:v>
      </x:c>
      <x:c r="D4275" s="14" t="str">
        <x:v>Внешний аккумулятор Apple</x:v>
      </x:c>
      <x:c r="E4275" s="2" t="n">
        <x:v>2</x:v>
      </x:c>
      <x:c r="F4275" s="2" t="n">
        <x:v>0</x:v>
      </x:c>
      <x:c r="G4275" s="12" t="n">
        <x:v>178062.7347</x:v>
      </x:c>
      <x:c r="H4275" s="12" t="n">
        <x:v>26059.90034835</x:v>
      </x:c>
      <x:c r="I4275" s="13" t="n">
        <x:v>0.1405</x:v>
      </x:c>
      <x:c r="J4275" s="2" t="n">
        <x:v>0</x:v>
      </x:c>
      <x:c r="K4275" s="2" t="n">
        <x:v>2</x:v>
      </x:c>
      <x:c r="L4275" s="12" t="n">
        <x:v>4166.0109</x:v>
      </x:c>
      <x:c r="M4275" s="13" t="n">
        <x:v>0.5325130766959967</x:v>
      </x:c>
      <x:c r="N4275" s="13" t="n">
        <x:f>H4275/G4275</x:f>
        <x:v>0.1463523538052794</x:v>
      </x:c>
      <x:c r="O4275" s="13" t="n">
        <x:f>F4275/E4275</x:f>
        <x:v>0</x:v>
      </x:c>
      <x:c r="P4275" s="2" t="str">
        <x:f>IF(AND(E4275&gt;='Итоги'!$F$5,N4275&lt;='Итоги'!$B$5,O4275&gt;='Итоги'!$D$5),"Да","Нет")</x:f>
        <x:v>Нет</x:v>
      </x:c>
    </x:row>
    <x:row r="4276" ht="60" customHeight="1">
      <x:c r="A4276" s="14" t="str">
        <x:v>Товары для дома</x:v>
      </x:c>
      <x:c r="B4276" s="14" t="str">
        <x:v>Интерьер и декор</x:v>
      </x:c>
      <x:c r="C4276" s="14" t="str">
        <x:v>Религиозные товары</x:v>
      </x:c>
      <x:c r="D4276" s="14" t="str">
        <x:v>Крестик нательный религиозный</x:v>
      </x:c>
      <x:c r="E4276" s="2" t="n">
        <x:v>4</x:v>
      </x:c>
      <x:c r="F4276" s="2" t="n">
        <x:v>0</x:v>
      </x:c>
      <x:c r="G4276" s="12" t="n">
        <x:v>470081.96</x:v>
      </x:c>
      <x:c r="H4276" s="12" t="n">
        <x:v>68805.776031</x:v>
      </x:c>
      <x:c r="I4276" s="13" t="n">
        <x:v>0.15655</x:v>
      </x:c>
      <x:c r="J4276" s="2" t="n">
        <x:v>0</x:v>
      </x:c>
      <x:c r="K4276" s="2" t="n">
        <x:v>2</x:v>
      </x:c>
      <x:c r="L4276" s="12" t="n">
        <x:v>1643.9870500000002</x:v>
      </x:c>
      <x:c r="M4276" s="13" t="n">
        <x:v>0.690591317309858</x:v>
      </x:c>
      <x:c r="N4276" s="13" t="n">
        <x:f>H4276/G4276</x:f>
        <x:v>0.14636974375915213</x:v>
      </x:c>
      <x:c r="O4276" s="13" t="n">
        <x:f>F4276/E4276</x:f>
        <x:v>0</x:v>
      </x:c>
      <x:c r="P4276" s="2" t="str">
        <x:f>IF(AND(E4276&gt;='Итоги'!$F$5,N4276&lt;='Итоги'!$B$5,O4276&gt;='Итоги'!$D$5),"Да","Нет")</x:f>
        <x:v>Нет</x:v>
      </x:c>
    </x:row>
    <x:row r="4277" ht="60" customHeight="1">
      <x:c r="A4277" s="14" t="str">
        <x:v>Спорт и отдых</x:v>
      </x:c>
      <x:c r="B4277" s="14" t="str">
        <x:v>Товары для рыбалки</x:v>
      </x:c>
      <x:c r="C4277" s="14" t="str">
        <x:v>Приманки рыболовные</x:v>
      </x:c>
      <x:c r="D4277" s="14" t="str">
        <x:v>Мормышка рыболовная</x:v>
      </x:c>
      <x:c r="E4277" s="2" t="n">
        <x:v>1</x:v>
      </x:c>
      <x:c r="F4277" s="2" t="n">
        <x:v>0</x:v>
      </x:c>
      <x:c r="G4277" s="12" t="n">
        <x:v>113235.0402</x:v>
      </x:c>
      <x:c r="H4277" s="12" t="n">
        <x:v>16577.609885280002</x:v>
      </x:c>
      <x:c r="I4277" s="13" t="n">
        <x:v>0.1464</x:v>
      </x:c>
      <x:c r="J4277" s="2" t="n">
        <x:v>0</x:v>
      </x:c>
      <x:c r="K4277" s="2" t="n">
        <x:v>1</x:v>
      </x:c>
      <x:c r="L4277" s="12" t="n">
        <x:v>905.8803</x:v>
      </x:c>
      <x:c r="M4277" s="13" t="n">
        <x:v>1</x:v>
      </x:c>
      <x:c r="N4277" s="13" t="n">
        <x:f>H4277/G4277</x:f>
        <x:v>0.14640000000000003</x:v>
      </x:c>
      <x:c r="O4277" s="13" t="n">
        <x:f>F4277/E4277</x:f>
        <x:v>0</x:v>
      </x:c>
      <x:c r="P4277" s="2" t="str">
        <x:f>IF(AND(E4277&gt;='Итоги'!$F$5,N4277&lt;='Итоги'!$B$5,O4277&gt;='Итоги'!$D$5),"Да","Нет")</x:f>
        <x:v>Нет</x:v>
      </x:c>
    </x:row>
    <x:row r="4278" ht="60" customHeight="1">
      <x:c r="A4278" s="14" t="str">
        <x:v>Товары для дома</x:v>
      </x:c>
      <x:c r="B4278" s="14" t="str">
        <x:v>Домашний текстиль</x:v>
      </x:c>
      <x:c r="C4278" s="14" t="str">
        <x:v>Столовый текстиль</x:v>
      </x:c>
      <x:c r="D4278" s="14" t="str">
        <x:v>Скатерть силиконовая</x:v>
      </x:c>
      <x:c r="E4278" s="2" t="n">
        <x:v>10</x:v>
      </x:c>
      <x:c r="F4278" s="2" t="n">
        <x:v>0</x:v>
      </x:c>
      <x:c r="G4278" s="12" t="n">
        <x:v>1420344.5915</x:v>
      </x:c>
      <x:c r="H4278" s="12" t="n">
        <x:v>208291.09509715</x:v>
      </x:c>
      <x:c r="I4278" s="13" t="n">
        <x:v>0.1381899999999999</x:v>
      </x:c>
      <x:c r="J4278" s="2" t="n">
        <x:v>0</x:v>
      </x:c>
      <x:c r="K4278" s="2" t="n">
        <x:v>3</x:v>
      </x:c>
      <x:c r="L4278" s="12" t="n">
        <x:v>975.3973</x:v>
      </x:c>
      <x:c r="M4278" s="13" t="n">
        <x:v>0.7853033046875231</x:v>
      </x:c>
      <x:c r="N4278" s="13" t="n">
        <x:f>H4278/G4278</x:f>
        <x:v>0.14664828263765034</x:v>
      </x:c>
      <x:c r="O4278" s="13" t="n">
        <x:f>F4278/E4278</x:f>
        <x:v>0</x:v>
      </x:c>
      <x:c r="P4278" s="2" t="str">
        <x:f>IF(AND(E4278&gt;='Итоги'!$F$5,N4278&lt;='Итоги'!$B$5,O4278&gt;='Итоги'!$D$5),"Да","Нет")</x:f>
        <x:v>Нет</x:v>
      </x:c>
    </x:row>
    <x:row r="4279" ht="60" customHeight="1">
      <x:c r="A4279" s="14" t="str">
        <x:v>Товары для дома</x:v>
      </x:c>
      <x:c r="B4279" s="14" t="str">
        <x:v>Интерьер и декор</x:v>
      </x:c>
      <x:c r="C4279" s="14" t="str">
        <x:v>Ароматы для дома</x:v>
      </x:c>
      <x:c r="D4279" s="14" t="str">
        <x:v>Диффузор, наполнитель для диффузора</x:v>
      </x:c>
      <x:c r="E4279" s="2" t="n">
        <x:v>55</x:v>
      </x:c>
      <x:c r="F4279" s="2" t="n">
        <x:v>0</x:v>
      </x:c>
      <x:c r="G4279" s="12" t="n">
        <x:v>7401281.757</x:v>
      </x:c>
      <x:c r="H4279" s="12" t="n">
        <x:v>1085569.09103394</x:v>
      </x:c>
      <x:c r="I4279" s="13" t="n">
        <x:v>0.1399127272727272</x:v>
      </x:c>
      <x:c r="J4279" s="2" t="n">
        <x:v>7</x:v>
      </x:c>
      <x:c r="K4279" s="2" t="n">
        <x:v>15</x:v>
      </x:c>
      <x:c r="L4279" s="12" t="n">
        <x:v>1327.3689</x:v>
      </x:c>
      <x:c r="M4279" s="13" t="n">
        <x:v>0.5846437913010802</x:v>
      </x:c>
      <x:c r="N4279" s="13" t="n">
        <x:f>H4279/G4279</x:f>
        <x:v>0.14667312050473258</x:v>
      </x:c>
      <x:c r="O4279" s="13" t="n">
        <x:f>F4279/E4279</x:f>
        <x:v>0</x:v>
      </x:c>
      <x:c r="P4279" s="2" t="str">
        <x:f>IF(AND(E4279&gt;='Итоги'!$F$5,N4279&lt;='Итоги'!$B$5,O4279&gt;='Итоги'!$D$5),"Да","Нет")</x:f>
        <x:v>Нет</x:v>
      </x:c>
    </x:row>
    <x:row r="4280" ht="60" customHeight="1">
      <x:c r="A4280" s="14" t="str">
        <x:v>Товары для красоты и здоровья</x:v>
      </x:c>
      <x:c r="B4280" s="14" t="str">
        <x:v>Косметические аксессуары</x:v>
      </x:c>
      <x:c r="C4280" s="14" t="str">
        <x:v>Парикмахерские принадлежности</x:v>
      </x:c>
      <x:c r="D4280" s="14" t="str">
        <x:v>Ножницы и бритвы парикмахерские</x:v>
      </x:c>
      <x:c r="E4280" s="2" t="n">
        <x:v>16</x:v>
      </x:c>
      <x:c r="F4280" s="2" t="n">
        <x:v>0</x:v>
      </x:c>
      <x:c r="G4280" s="12" t="n">
        <x:v>2371750.0718</x:v>
      </x:c>
      <x:c r="H4280" s="12" t="n">
        <x:v>348545.59169805</x:v>
      </x:c>
      <x:c r="I4280" s="13" t="n">
        <x:v>0.15440625</x:v>
      </x:c>
      <x:c r="J4280" s="2" t="n">
        <x:v>1</x:v>
      </x:c>
      <x:c r="K4280" s="2" t="n">
        <x:v>8</x:v>
      </x:c>
      <x:c r="L4280" s="12" t="n">
        <x:v>1314.9727</x:v>
      </x:c>
      <x:c r="M4280" s="13" t="n">
        <x:v>0.5776323361762404</x:v>
      </x:c>
      <x:c r="N4280" s="13" t="n">
        <x:f>H4280/G4280</x:f>
        <x:v>0.14695713340214095</x:v>
      </x:c>
      <x:c r="O4280" s="13" t="n">
        <x:f>F4280/E4280</x:f>
        <x:v>0</x:v>
      </x:c>
      <x:c r="P4280" s="2" t="str">
        <x:f>IF(AND(E4280&gt;='Итоги'!$F$5,N4280&lt;='Итоги'!$B$5,O4280&gt;='Итоги'!$D$5),"Да","Нет")</x:f>
        <x:v>Нет</x:v>
      </x:c>
    </x:row>
    <x:row r="4281" ht="60" customHeight="1">
      <x:c r="A4281" s="14" t="str">
        <x:v>Хобби и творчество</x:v>
      </x:c>
      <x:c r="B4281" s="14" t="str">
        <x:v>Взрослое творчество и хобби</x:v>
      </x:c>
      <x:c r="C4281" s="14" t="str">
        <x:v>Шитье</x:v>
      </x:c>
      <x:c r="D4281" s="14" t="str">
        <x:v>Пуговицы, застежки</x:v>
      </x:c>
      <x:c r="E4281" s="2" t="n">
        <x:v>2</x:v>
      </x:c>
      <x:c r="F4281" s="2" t="n">
        <x:v>0</x:v>
      </x:c>
      <x:c r="G4281" s="12" t="n">
        <x:v>221437.2957</x:v>
      </x:c>
      <x:c r="H4281" s="12" t="n">
        <x:v>32572.235273010003</x:v>
      </x:c>
      <x:c r="I4281" s="13" t="n">
        <x:v>0.1408</x:v>
      </x:c>
      <x:c r="J4281" s="2" t="n">
        <x:v>0</x:v>
      </x:c>
      <x:c r="K4281" s="2" t="n">
        <x:v>2</x:v>
      </x:c>
      <x:c r="L4281" s="12" t="n">
        <x:v>834.0799999999999</x:v>
      </x:c>
      <x:c r="M4281" s="13" t="n">
        <x:v>0.55380018669547</x:v>
      </x:c>
      <x:c r="N4281" s="13" t="n">
        <x:f>H4281/G4281</x:f>
        <x:v>0.14709462184337002</x:v>
      </x:c>
      <x:c r="O4281" s="13" t="n">
        <x:f>F4281/E4281</x:f>
        <x:v>0</x:v>
      </x:c>
      <x:c r="P4281" s="2" t="str">
        <x:f>IF(AND(E4281&gt;='Итоги'!$F$5,N4281&lt;='Итоги'!$B$5,O4281&gt;='Итоги'!$D$5),"Да","Нет")</x:f>
        <x:v>Нет</x:v>
      </x:c>
    </x:row>
    <x:row r="4282" ht="60" customHeight="1">
      <x:c r="A4282" s="14" t="str">
        <x:v>Автотовары</x:v>
      </x:c>
      <x:c r="B4282" s="14" t="str">
        <x:v>Автоинструменты и гаражное оборудование</x:v>
      </x:c>
      <x:c r="C4282" s="14" t="str">
        <x:v>Инструменты для авто</x:v>
      </x:c>
      <x:c r="D4282" s="14" t="str">
        <x:v>Мотоинструмент</x:v>
      </x:c>
      <x:c r="E4282" s="2" t="n">
        <x:v>2</x:v>
      </x:c>
      <x:c r="F4282" s="2" t="n">
        <x:v>0</x:v>
      </x:c>
      <x:c r="G4282" s="12" t="n">
        <x:v>542001.3354</x:v>
      </x:c>
      <x:c r="H4282" s="12" t="n">
        <x:v>79758.00203609999</x:v>
      </x:c>
      <x:c r="I4282" s="13" t="n">
        <x:v>0.1481</x:v>
      </x:c>
      <x:c r="J4282" s="2" t="n">
        <x:v>0</x:v>
      </x:c>
      <x:c r="K4282" s="2" t="n">
        <x:v>2</x:v>
      </x:c>
      <x:c r="L4282" s="12" t="n">
        <x:v>1182.72355</x:v>
      </x:c>
      <x:c r="M4282" s="13" t="n">
        <x:v>0.7954303933251896</x:v>
      </x:c>
      <x:c r="N4282" s="13" t="n">
        <x:f>H4282/G4282</x:f>
        <x:v>0.14715462274135938</x:v>
      </x:c>
      <x:c r="O4282" s="13" t="n">
        <x:f>F4282/E4282</x:f>
        <x:v>0</x:v>
      </x:c>
      <x:c r="P4282" s="2" t="str">
        <x:f>IF(AND(E4282&gt;='Итоги'!$F$5,N4282&lt;='Итоги'!$B$5,O4282&gt;='Итоги'!$D$5),"Да","Нет")</x:f>
        <x:v>Нет</x:v>
      </x:c>
    </x:row>
    <x:row r="4283" ht="60" customHeight="1">
      <x:c r="A4283" s="14" t="str">
        <x:v>Товары для красоты и здоровья</x:v>
      </x:c>
      <x:c r="B4283" s="14" t="str">
        <x:v>Косметика для ухода за кожей</x:v>
      </x:c>
      <x:c r="C4283" s="14" t="str">
        <x:v>Тело</x:v>
      </x:c>
      <x:c r="D4283" s="14" t="str">
        <x:v>Пилинг для тела</x:v>
      </x:c>
      <x:c r="E4283" s="2" t="n">
        <x:v>1</x:v>
      </x:c>
      <x:c r="F4283" s="2" t="n">
        <x:v>0</x:v>
      </x:c>
      <x:c r="G4283" s="12" t="n">
        <x:v>175369.677</x:v>
      </x:c>
      <x:c r="H4283" s="12" t="n">
        <x:v>25814.4164544</x:v>
      </x:c>
      <x:c r="I4283" s="13" t="n">
        <x:v>0.1472</x:v>
      </x:c>
      <x:c r="J4283" s="2" t="n">
        <x:v>0</x:v>
      </x:c>
      <x:c r="K4283" s="2" t="n">
        <x:v>1</x:v>
      </x:c>
      <x:c r="L4283" s="12" t="n">
        <x:v>797.1349</x:v>
      </x:c>
      <x:c r="M4283" s="13" t="n">
        <x:v>1</x:v>
      </x:c>
      <x:c r="N4283" s="13" t="n">
        <x:f>H4283/G4283</x:f>
        <x:v>0.1472</x:v>
      </x:c>
      <x:c r="O4283" s="13" t="n">
        <x:f>F4283/E4283</x:f>
        <x:v>0</x:v>
      </x:c>
      <x:c r="P4283" s="2" t="str">
        <x:f>IF(AND(E4283&gt;='Итоги'!$F$5,N4283&lt;='Итоги'!$B$5,O4283&gt;='Итоги'!$D$5),"Да","Нет")</x:f>
        <x:v>Нет</x:v>
      </x:c>
    </x:row>
    <x:row r="4284" ht="60" customHeight="1">
      <x:c r="A4284" s="14" t="str">
        <x:v>Бакалея и кондитерские изделия</x:v>
      </x:c>
      <x:c r="B4284" s="14" t="str">
        <x:v>Бакалея</x:v>
      </x:c>
      <x:c r="C4284" s="14" t="str">
        <x:v>Консервы</x:v>
      </x:c>
      <x:c r="D4284" s="14" t="str">
        <x:v>Мед-суфле</x:v>
      </x:c>
      <x:c r="E4284" s="2" t="n">
        <x:v>3</x:v>
      </x:c>
      <x:c r="F4284" s="2" t="n">
        <x:v>0</x:v>
      </x:c>
      <x:c r="G4284" s="12" t="n">
        <x:v>467653.3573</x:v>
      </x:c>
      <x:c r="H4284" s="12" t="n">
        <x:v>68846.83780024</x:v>
      </x:c>
      <x:c r="I4284" s="13" t="n">
        <x:v>0.1460666666666666</x:v>
      </x:c>
      <x:c r="J4284" s="2" t="n">
        <x:v>0</x:v>
      </x:c>
      <x:c r="K4284" s="2" t="n">
        <x:v>2</x:v>
      </x:c>
      <x:c r="L4284" s="12" t="n">
        <x:v>1305.2251</x:v>
      </x:c>
      <x:c r="M4284" s="13" t="n">
        <x:v>0.6511237705167652</x:v>
      </x:c>
      <x:c r="N4284" s="13" t="n">
        <x:f>H4284/G4284</x:f>
        <x:v>0.14721767036534864</x:v>
      </x:c>
      <x:c r="O4284" s="13" t="n">
        <x:f>F4284/E4284</x:f>
        <x:v>0</x:v>
      </x:c>
      <x:c r="P4284" s="2" t="str">
        <x:f>IF(AND(E4284&gt;='Итоги'!$F$5,N4284&lt;='Итоги'!$B$5,O4284&gt;='Итоги'!$D$5),"Да","Нет")</x:f>
        <x:v>Нет</x:v>
      </x:c>
    </x:row>
    <x:row r="4285" ht="60" customHeight="1">
      <x:c r="A4285" s="14" t="str">
        <x:v>Строительство и ремонт (DIY)</x:v>
      </x:c>
      <x:c r="B4285" s="14" t="str">
        <x:v>Сантехника</x:v>
      </x:c>
      <x:c r="C4285" s="14" t="str">
        <x:v>Системы отопления</x:v>
      </x:c>
      <x:c r="D4285" s="14" t="str">
        <x:v>Конвектор отопительный</x:v>
      </x:c>
      <x:c r="E4285" s="2" t="n">
        <x:v>1</x:v>
      </x:c>
      <x:c r="F4285" s="2" t="n">
        <x:v>0</x:v>
      </x:c>
      <x:c r="G4285" s="12" t="n">
        <x:v>113477</x:v>
      </x:c>
      <x:c r="H4285" s="12" t="n">
        <x:v>16726.5098</x:v>
      </x:c>
      <x:c r="I4285" s="13" t="n">
        <x:v>0.1474</x:v>
      </x:c>
      <x:c r="J4285" s="2" t="n">
        <x:v>0</x:v>
      </x:c>
      <x:c r="K4285" s="2" t="n">
        <x:v>1</x:v>
      </x:c>
      <x:c r="L4285" s="12" t="n">
        <x:v>4052.75</x:v>
      </x:c>
      <x:c r="M4285" s="13" t="n">
        <x:v>1</x:v>
      </x:c>
      <x:c r="N4285" s="13" t="n">
        <x:f>H4285/G4285</x:f>
        <x:v>0.1474</x:v>
      </x:c>
      <x:c r="O4285" s="13" t="n">
        <x:f>F4285/E4285</x:f>
        <x:v>0</x:v>
      </x:c>
      <x:c r="P4285" s="2" t="str">
        <x:f>IF(AND(E4285&gt;='Итоги'!$F$5,N4285&lt;='Итоги'!$B$5,O4285&gt;='Итоги'!$D$5),"Да","Нет")</x:f>
        <x:v>Нет</x:v>
      </x:c>
    </x:row>
    <x:row r="4286" ht="60" customHeight="1">
      <x:c r="A4286" s="14" t="str">
        <x:v>Игрушки</x:v>
      </x:c>
      <x:c r="B4286" s="14" t="str">
        <x:v>Игрушки</x:v>
      </x:c>
      <x:c r="C4286" s="14" t="str">
        <x:v>Куклы и аксессуары</x:v>
      </x:c>
      <x:c r="D4286" s="14" t="str">
        <x:v>Кукольный театр для малышей</x:v>
      </x:c>
      <x:c r="E4286" s="2" t="n">
        <x:v>5</x:v>
      </x:c>
      <x:c r="F4286" s="2" t="n">
        <x:v>0</x:v>
      </x:c>
      <x:c r="G4286" s="12" t="n">
        <x:v>581707.4596</x:v>
      </x:c>
      <x:c r="H4286" s="12" t="n">
        <x:v>85842.24136163</x:v>
      </x:c>
      <x:c r="I4286" s="13" t="n">
        <x:v>0.1535399999999999</x:v>
      </x:c>
      <x:c r="J4286" s="2" t="n">
        <x:v>0</x:v>
      </x:c>
      <x:c r="K4286" s="2" t="n">
        <x:v>3</x:v>
      </x:c>
      <x:c r="L4286" s="12" t="n">
        <x:v>930.8393</x:v>
      </x:c>
      <x:c r="M4286" s="13" t="n">
        <x:v>0.6286415509463411</x:v>
      </x:c>
      <x:c r="N4286" s="13" t="n">
        <x:f>H4286/G4286</x:f>
        <x:v>0.1475694353664603</x:v>
      </x:c>
      <x:c r="O4286" s="13" t="n">
        <x:f>F4286/E4286</x:f>
        <x:v>0</x:v>
      </x:c>
      <x:c r="P4286" s="2" t="str">
        <x:f>IF(AND(E4286&gt;='Итоги'!$F$5,N4286&lt;='Итоги'!$B$5,O4286&gt;='Итоги'!$D$5),"Да","Нет")</x:f>
        <x:v>Нет</x:v>
      </x:c>
    </x:row>
    <x:row r="4287" ht="60" customHeight="1">
      <x:c r="A4287" s="14" t="str">
        <x:v>Товары для дома</x:v>
      </x:c>
      <x:c r="B4287" s="14" t="str">
        <x:v>Кухня</x:v>
      </x:c>
      <x:c r="C4287" s="14" t="str">
        <x:v>Посуда для приготовления пищи</x:v>
      </x:c>
      <x:c r="D4287" s="14" t="str">
        <x:v>Горшочек</x:v>
      </x:c>
      <x:c r="E4287" s="2" t="n">
        <x:v>5</x:v>
      </x:c>
      <x:c r="F4287" s="2" t="n">
        <x:v>0</x:v>
      </x:c>
      <x:c r="G4287" s="12" t="n">
        <x:v>461562.9777000001</x:v>
      </x:c>
      <x:c r="H4287" s="12" t="n">
        <x:v>68200.86431753001</x:v>
      </x:c>
      <x:c r="I4287" s="13" t="n">
        <x:v>0.10798</x:v>
      </x:c>
      <x:c r="J4287" s="2" t="n">
        <x:v>2</x:v>
      </x:c>
      <x:c r="K4287" s="2" t="n">
        <x:v>4</x:v>
      </x:c>
      <x:c r="L4287" s="12" t="n">
        <x:v>1316.01</x:v>
      </x:c>
      <x:c r="M4287" s="13" t="n">
        <x:v>0.4567290659889509</x:v>
      </x:c>
      <x:c r="N4287" s="13" t="n">
        <x:f>H4287/G4287</x:f>
        <x:v>0.14776069055057142</x:v>
      </x:c>
      <x:c r="O4287" s="13" t="n">
        <x:f>F4287/E4287</x:f>
        <x:v>0</x:v>
      </x:c>
      <x:c r="P4287" s="2" t="str">
        <x:f>IF(AND(E4287&gt;='Итоги'!$F$5,N4287&lt;='Итоги'!$B$5,O4287&gt;='Итоги'!$D$5),"Да","Нет")</x:f>
        <x:v>Нет</x:v>
      </x:c>
    </x:row>
    <x:row r="4288" ht="60" customHeight="1">
      <x:c r="A4288" s="14" t="str">
        <x:v>Автотовары</x:v>
      </x:c>
      <x:c r="B4288" s="14" t="str">
        <x:v>Универсальные авто и мото аксессуары</x:v>
      </x:c>
      <x:c r="C4288" s="14" t="str">
        <x:v>Аксессуар для салона авто</x:v>
      </x:c>
      <x:c r="D4288" s="14" t="str">
        <x:v>Оплетка руля</x:v>
      </x:c>
      <x:c r="E4288" s="2" t="n">
        <x:v>53</x:v>
      </x:c>
      <x:c r="F4288" s="2" t="n">
        <x:v>0</x:v>
      </x:c>
      <x:c r="G4288" s="12" t="n">
        <x:v>6917753.4964</x:v>
      </x:c>
      <x:c r="H4288" s="12" t="n">
        <x:v>1022663.21076308</x:v>
      </x:c>
      <x:c r="I4288" s="13" t="n">
        <x:v>0.1377301886792452</x:v>
      </x:c>
      <x:c r="J4288" s="2" t="n">
        <x:v>0</x:v>
      </x:c>
      <x:c r="K4288" s="2" t="n">
        <x:v>8</x:v>
      </x:c>
      <x:c r="L4288" s="12" t="n">
        <x:v>1390.5192</x:v>
      </x:c>
      <x:c r="M4288" s="13" t="n">
        <x:v>0.8471549948042754</x:v>
      </x:c>
      <x:c r="N4288" s="13" t="n">
        <x:f>H4288/G4288</x:f>
        <x:v>0.14783169294703463</x:v>
      </x:c>
      <x:c r="O4288" s="13" t="n">
        <x:f>F4288/E4288</x:f>
        <x:v>0</x:v>
      </x:c>
      <x:c r="P4288" s="2" t="str">
        <x:f>IF(AND(E4288&gt;='Итоги'!$F$5,N4288&lt;='Итоги'!$B$5,O4288&gt;='Итоги'!$D$5),"Да","Нет")</x:f>
        <x:v>Нет</x:v>
      </x:c>
    </x:row>
    <x:row r="4289" ht="60" customHeight="1">
      <x:c r="A4289" s="14" t="str">
        <x:v>Игрушки</x:v>
      </x:c>
      <x:c r="B4289" s="14" t="str">
        <x:v>Игрушки</x:v>
      </x:c>
      <x:c r="C4289" s="14" t="str">
        <x:v>Игрушечное оружие</x:v>
      </x:c>
      <x:c r="D4289" s="14" t="str">
        <x:v>Патроны, пули, мишень игрушечные</x:v>
      </x:c>
      <x:c r="E4289" s="2" t="n">
        <x:v>2</x:v>
      </x:c>
      <x:c r="F4289" s="2" t="n">
        <x:v>0</x:v>
      </x:c>
      <x:c r="G4289" s="12" t="n">
        <x:v>341302.823</x:v>
      </x:c>
      <x:c r="H4289" s="12" t="n">
        <x:v>50457.0020234</x:v>
      </x:c>
      <x:c r="I4289" s="13" t="n">
        <x:v>0.1478499999999999</x:v>
      </x:c>
      <x:c r="J4289" s="2" t="n">
        <x:v>0</x:v>
      </x:c>
      <x:c r="K4289" s="2" t="n">
        <x:v>1</x:v>
      </x:c>
      <x:c r="L4289" s="12" t="n">
        <x:v>1952.1699</x:v>
      </x:c>
      <x:c r="M4289" s="13" t="n">
        <x:v>1</x:v>
      </x:c>
      <x:c r="N4289" s="13" t="n">
        <x:f>H4289/G4289</x:f>
        <x:v>0.14783646258736044</x:v>
      </x:c>
      <x:c r="O4289" s="13" t="n">
        <x:f>F4289/E4289</x:f>
        <x:v>0</x:v>
      </x:c>
      <x:c r="P4289" s="2" t="str">
        <x:f>IF(AND(E4289&gt;='Итоги'!$F$5,N4289&lt;='Итоги'!$B$5,O4289&gt;='Итоги'!$D$5),"Да","Нет")</x:f>
        <x:v>Нет</x:v>
      </x:c>
    </x:row>
    <x:row r="4290" ht="60" customHeight="1">
      <x:c r="A4290" s="14" t="str">
        <x:v>Аксессуары</x:v>
      </x:c>
      <x:c r="B4290" s="14" t="str">
        <x:v>Очки и аксессуары к ним</x:v>
      </x:c>
      <x:c r="C4290" s="14" t="str">
        <x:v>Аксессуары к очкам</x:v>
      </x:c>
      <x:c r="D4290" s="14" t="str">
        <x:v>Принадлежности для очков</x:v>
      </x:c>
      <x:c r="E4290" s="2" t="n">
        <x:v>4</x:v>
      </x:c>
      <x:c r="F4290" s="2" t="n">
        <x:v>0</x:v>
      </x:c>
      <x:c r="G4290" s="12" t="n">
        <x:v>350322.6946</x:v>
      </x:c>
      <x:c r="H4290" s="12" t="n">
        <x:v>51811.46280776</x:v>
      </x:c>
      <x:c r="I4290" s="13" t="n">
        <x:v>0.2004</x:v>
      </x:c>
      <x:c r="J4290" s="2" t="n">
        <x:v>0</x:v>
      </x:c>
      <x:c r="K4290" s="2" t="n">
        <x:v>2</x:v>
      </x:c>
      <x:c r="L4290" s="12" t="n">
        <x:v>1387.90075</x:v>
      </x:c>
      <x:c r="M4290" s="13" t="n">
        <x:v>0.6508430887137849</x:v>
      </x:c>
      <x:c r="N4290" s="13" t="n">
        <x:f>H4290/G4290</x:f>
        <x:v>0.14789639268708685</x:v>
      </x:c>
      <x:c r="O4290" s="13" t="n">
        <x:f>F4290/E4290</x:f>
        <x:v>0</x:v>
      </x:c>
      <x:c r="P4290" s="2" t="str">
        <x:f>IF(AND(E4290&gt;='Итоги'!$F$5,N4290&lt;='Итоги'!$B$5,O4290&gt;='Итоги'!$D$5),"Да","Нет")</x:f>
        <x:v>Нет</x:v>
      </x:c>
    </x:row>
    <x:row r="4291" ht="60" customHeight="1">
      <x:c r="A4291" s="14" t="str">
        <x:v>Аксессуары для электроники</x:v>
      </x:c>
      <x:c r="B4291" s="14" t="str">
        <x:v>Аксессуары для мобильных устройств Access</x:v>
      </x:c>
      <x:c r="C4291" s="14" t="str">
        <x:v>Универсальные аксессуары для мобильных устройств Access</x:v>
      </x:c>
      <x:c r="D4291" s="14" t="str">
        <x:v>Держатель для мобильного устройства</x:v>
      </x:c>
      <x:c r="E4291" s="2" t="n">
        <x:v>9</x:v>
      </x:c>
      <x:c r="F4291" s="2" t="n">
        <x:v>0</x:v>
      </x:c>
      <x:c r="G4291" s="12" t="n">
        <x:v>1113702.5366</x:v>
      </x:c>
      <x:c r="H4291" s="12" t="n">
        <x:v>164734.81758338</x:v>
      </x:c>
      <x:c r="I4291" s="13" t="n">
        <x:v>0.1523888888888888</x:v>
      </x:c>
      <x:c r="J4291" s="2" t="n">
        <x:v>0</x:v>
      </x:c>
      <x:c r="K4291" s="2" t="n">
        <x:v>5</x:v>
      </x:c>
      <x:c r="L4291" s="12" t="n">
        <x:v>1800.7077</x:v>
      </x:c>
      <x:c r="M4291" s="13" t="n">
        <x:v>0.3729872908147958</x:v>
      </x:c>
      <x:c r="N4291" s="13" t="n">
        <x:f>H4291/G4291</x:f>
        <x:v>0.14791635303830375</x:v>
      </x:c>
      <x:c r="O4291" s="13" t="n">
        <x:f>F4291/E4291</x:f>
        <x:v>0</x:v>
      </x:c>
      <x:c r="P4291" s="2" t="str">
        <x:f>IF(AND(E4291&gt;='Итоги'!$F$5,N4291&lt;='Итоги'!$B$5,O4291&gt;='Итоги'!$D$5),"Да","Нет")</x:f>
        <x:v>Нет</x:v>
      </x:c>
    </x:row>
    <x:row r="4292" ht="60" customHeight="1">
      <x:c r="A4292" s="14" t="str">
        <x:v>Детская одежда</x:v>
      </x:c>
      <x:c r="B4292" s="14" t="str">
        <x:v>Одежда для новорожденных</x:v>
      </x:c>
      <x:c r="C4292" s="14" t="str">
        <x:v>Одежда для новорожденных</x:v>
      </x:c>
      <x:c r="D4292" s="14" t="str">
        <x:v>Футболка для новорожденных</x:v>
      </x:c>
      <x:c r="E4292" s="2" t="n">
        <x:v>10</x:v>
      </x:c>
      <x:c r="F4292" s="2" t="n">
        <x:v>0</x:v>
      </x:c>
      <x:c r="G4292" s="12" t="n">
        <x:v>1145716.0255</x:v>
      </x:c>
      <x:c r="H4292" s="12" t="n">
        <x:v>169561.52671623</x:v>
      </x:c>
      <x:c r="I4292" s="13" t="n">
        <x:v>0.11511</x:v>
      </x:c>
      <x:c r="J4292" s="2" t="n">
        <x:v>2</x:v>
      </x:c>
      <x:c r="K4292" s="2" t="n">
        <x:v>4</x:v>
      </x:c>
      <x:c r="L4292" s="12" t="n">
        <x:v>846.5356</x:v>
      </x:c>
      <x:c r="M4292" s="13" t="n">
        <x:v>0.9190609645531228</x:v>
      </x:c>
      <x:c r="N4292" s="13" t="n">
        <x:f>H4292/G4292</x:f>
        <x:v>0.14799612027965825</x:v>
      </x:c>
      <x:c r="O4292" s="13" t="n">
        <x:f>F4292/E4292</x:f>
        <x:v>0</x:v>
      </x:c>
      <x:c r="P4292" s="2" t="str">
        <x:f>IF(AND(E4292&gt;='Итоги'!$F$5,N4292&lt;='Итоги'!$B$5,O4292&gt;='Итоги'!$D$5),"Да","Нет")</x:f>
        <x:v>Нет</x:v>
      </x:c>
    </x:row>
    <x:row r="4293" ht="60" customHeight="1">
      <x:c r="A4293" s="14" t="str">
        <x:v>Аксессуары</x:v>
      </x:c>
      <x:c r="B4293" s="14" t="str">
        <x:v>Аксессуары</x:v>
      </x:c>
      <x:c r="C4293" s="14" t="str">
        <x:v>Средства, принадлежности для ухода за одеждой</x:v>
      </x:c>
      <x:c r="D4293" s="14" t="str">
        <x:v>Водоотталкивающее средство для одежды</x:v>
      </x:c>
      <x:c r="E4293" s="2" t="n">
        <x:v>1</x:v>
      </x:c>
      <x:c r="F4293" s="2" t="n">
        <x:v>0</x:v>
      </x:c>
      <x:c r="G4293" s="12" t="n">
        <x:v>221189.6147</x:v>
      </x:c>
      <x:c r="H4293" s="12" t="n">
        <x:v>32736.0629756</x:v>
      </x:c>
      <x:c r="I4293" s="13" t="n">
        <x:v>0.148</x:v>
      </x:c>
      <x:c r="J4293" s="2" t="n">
        <x:v>0</x:v>
      </x:c>
      <x:c r="K4293" s="2" t="n">
        <x:v>1</x:v>
      </x:c>
      <x:c r="L4293" s="12" t="n">
        <x:v>917.7992</x:v>
      </x:c>
      <x:c r="M4293" s="13" t="n">
        <x:v>1</x:v>
      </x:c>
      <x:c r="N4293" s="13" t="n">
        <x:f>H4293/G4293</x:f>
        <x:v>0.148</x:v>
      </x:c>
      <x:c r="O4293" s="13" t="n">
        <x:f>F4293/E4293</x:f>
        <x:v>0</x:v>
      </x:c>
      <x:c r="P4293" s="2" t="str">
        <x:f>IF(AND(E4293&gt;='Итоги'!$F$5,N4293&lt;='Итоги'!$B$5,O4293&gt;='Итоги'!$D$5),"Да","Нет")</x:f>
        <x:v>Нет</x:v>
      </x:c>
    </x:row>
    <x:row r="4294" ht="60" customHeight="1">
      <x:c r="A4294" s="14" t="str">
        <x:v>Строительство и ремонт (DIY)</x:v>
      </x:c>
      <x:c r="B4294" s="14" t="str">
        <x:v>Сад и огород</x:v>
      </x:c>
      <x:c r="C4294" s="14" t="str">
        <x:v>Ландшафт и садовый декор</x:v>
      </x:c>
      <x:c r="D4294" s="14" t="str">
        <x:v>Фонтан садовый, аксессуары</x:v>
      </x:c>
      <x:c r="E4294" s="2" t="n">
        <x:v>13</x:v>
      </x:c>
      <x:c r="F4294" s="2" t="n">
        <x:v>0</x:v>
      </x:c>
      <x:c r="G4294" s="12" t="n">
        <x:v>2697113.5804000003</x:v>
      </x:c>
      <x:c r="H4294" s="12" t="n">
        <x:v>399336.25878094</x:v>
      </x:c>
      <x:c r="I4294" s="13" t="n">
        <x:v>0.1410076923076923</x:v>
      </x:c>
      <x:c r="J4294" s="2" t="n">
        <x:v>0</x:v>
      </x:c>
      <x:c r="K4294" s="2" t="n">
        <x:v>10</x:v>
      </x:c>
      <x:c r="L4294" s="12" t="n">
        <x:v>881.5513</x:v>
      </x:c>
      <x:c r="M4294" s="13" t="n">
        <x:v>0.4940763186185023</x:v>
      </x:c>
      <x:c r="N4294" s="13" t="n">
        <x:f>H4294/G4294</x:f>
        <x:v>0.14806060140845673</x:v>
      </x:c>
      <x:c r="O4294" s="13" t="n">
        <x:f>F4294/E4294</x:f>
        <x:v>0</x:v>
      </x:c>
      <x:c r="P4294" s="2" t="str">
        <x:f>IF(AND(E4294&gt;='Итоги'!$F$5,N4294&lt;='Итоги'!$B$5,O4294&gt;='Итоги'!$D$5),"Да","Нет")</x:f>
        <x:v>Нет</x:v>
      </x:c>
    </x:row>
    <x:row r="4295" ht="60" customHeight="1">
      <x:c r="A4295" s="14" t="str">
        <x:v>Товары для красоты и здоровья</x:v>
      </x:c>
      <x:c r="B4295" s="14" t="str">
        <x:v>Косметические аксессуары</x:v>
      </x:c>
      <x:c r="C4295" s="14" t="str">
        <x:v>Аксессуары для маникюра и педикюра</x:v>
      </x:c>
      <x:c r="D4295" s="14" t="str">
        <x:v>Прочие аксессуары для маникюра и педикюра</x:v>
      </x:c>
      <x:c r="E4295" s="2" t="n">
        <x:v>7</x:v>
      </x:c>
      <x:c r="F4295" s="2" t="n">
        <x:v>0</x:v>
      </x:c>
      <x:c r="G4295" s="12" t="n">
        <x:v>1044232.4876</x:v>
      </x:c>
      <x:c r="H4295" s="12" t="n">
        <x:v>154717.52374387998</x:v>
      </x:c>
      <x:c r="I4295" s="13" t="n">
        <x:v>0.1229142857142857</x:v>
      </x:c>
      <x:c r="J4295" s="2" t="n">
        <x:v>3</x:v>
      </x:c>
      <x:c r="K4295" s="2" t="n">
        <x:v>6</x:v>
      </x:c>
      <x:c r="L4295" s="12" t="n">
        <x:v>1399.0569</x:v>
      </x:c>
      <x:c r="M4295" s="13" t="n">
        <x:v>0.3354433504602639</x:v>
      </x:c>
      <x:c r="N4295" s="13" t="n">
        <x:f>H4295/G4295</x:f>
        <x:v>0.14816386731988512</x:v>
      </x:c>
      <x:c r="O4295" s="13" t="n">
        <x:f>F4295/E4295</x:f>
        <x:v>0</x:v>
      </x:c>
      <x:c r="P4295" s="2" t="str">
        <x:f>IF(AND(E4295&gt;='Итоги'!$F$5,N4295&lt;='Итоги'!$B$5,O4295&gt;='Итоги'!$D$5),"Да","Нет")</x:f>
        <x:v>Нет</x:v>
      </x:c>
    </x:row>
    <x:row r="4296" ht="60" customHeight="1">
      <x:c r="A4296" s="14" t="str">
        <x:v>Спорт и отдых</x:v>
      </x:c>
      <x:c r="B4296" s="14" t="str">
        <x:v>Всесезонные виды спорта</x:v>
      </x:c>
      <x:c r="C4296" s="14" t="str">
        <x:v>Бадминтон</x:v>
      </x:c>
      <x:c r="D4296" s="14" t="str">
        <x:v>Аксессуар для бадминтона</x:v>
      </x:c>
      <x:c r="E4296" s="2" t="n">
        <x:v>1</x:v>
      </x:c>
      <x:c r="F4296" s="2" t="n">
        <x:v>0</x:v>
      </x:c>
      <x:c r="G4296" s="12" t="n">
        <x:v>93657</x:v>
      </x:c>
      <x:c r="H4296" s="12" t="n">
        <x:v>13908.0645</x:v>
      </x:c>
      <x:c r="I4296" s="13" t="n">
        <x:v>0.1485</x:v>
      </x:c>
      <x:c r="J4296" s="2" t="n">
        <x:v>0</x:v>
      </x:c>
      <x:c r="K4296" s="2" t="n">
        <x:v>1</x:v>
      </x:c>
      <x:c r="L4296" s="12" t="n">
        <x:v>2128.5682</x:v>
      </x:c>
      <x:c r="M4296" s="13" t="n">
        <x:v>1</x:v>
      </x:c>
      <x:c r="N4296" s="13" t="n">
        <x:f>H4296/G4296</x:f>
        <x:v>0.1485</x:v>
      </x:c>
      <x:c r="O4296" s="13" t="n">
        <x:f>F4296/E4296</x:f>
        <x:v>0</x:v>
      </x:c>
      <x:c r="P4296" s="2" t="str">
        <x:f>IF(AND(E4296&gt;='Итоги'!$F$5,N4296&lt;='Итоги'!$B$5,O4296&gt;='Итоги'!$D$5),"Да","Нет")</x:f>
        <x:v>Нет</x:v>
      </x:c>
    </x:row>
    <x:row r="4297" ht="60" customHeight="1">
      <x:c r="A4297" s="14" t="str">
        <x:v>Школьные принадлежности и канцелярия</x:v>
      </x:c>
      <x:c r="B4297" s="14" t="str">
        <x:v>Товары для школы, канцелярия, оборудование</x:v>
      </x:c>
      <x:c r="C4297" s="14" t="str">
        <x:v>Офисные принадлежности</x:v>
      </x:c>
      <x:c r="D4297" s="14" t="str">
        <x:v>Диспенсер для клейкой ленты</x:v>
      </x:c>
      <x:c r="E4297" s="2" t="n">
        <x:v>1</x:v>
      </x:c>
      <x:c r="F4297" s="2" t="n">
        <x:v>0</x:v>
      </x:c>
      <x:c r="G4297" s="12" t="n">
        <x:v>88696</x:v>
      </x:c>
      <x:c r="H4297" s="12" t="n">
        <x:v>13171.356</x:v>
      </x:c>
      <x:c r="I4297" s="13" t="n">
        <x:v>0.1485</x:v>
      </x:c>
      <x:c r="J4297" s="2" t="n">
        <x:v>0</x:v>
      </x:c>
      <x:c r="K4297" s="2" t="n">
        <x:v>1</x:v>
      </x:c>
      <x:c r="L4297" s="12" t="n">
        <x:v>923.9167</x:v>
      </x:c>
      <x:c r="M4297" s="13" t="n">
        <x:v>1</x:v>
      </x:c>
      <x:c r="N4297" s="13" t="n">
        <x:f>H4297/G4297</x:f>
        <x:v>0.1485</x:v>
      </x:c>
      <x:c r="O4297" s="13" t="n">
        <x:f>F4297/E4297</x:f>
        <x:v>0</x:v>
      </x:c>
      <x:c r="P4297" s="2" t="str">
        <x:f>IF(AND(E4297&gt;='Итоги'!$F$5,N4297&lt;='Итоги'!$B$5,O4297&gt;='Итоги'!$D$5),"Да","Нет")</x:f>
        <x:v>Нет</x:v>
      </x:c>
    </x:row>
    <x:row r="4298" ht="60" customHeight="1">
      <x:c r="A4298" s="14" t="str">
        <x:v>Школьные принадлежности и канцелярия</x:v>
      </x:c>
      <x:c r="B4298" s="14" t="str">
        <x:v>Товары для школы, канцелярия, оборудование</x:v>
      </x:c>
      <x:c r="C4298" s="14" t="str">
        <x:v>Офисные принадлежности</x:v>
      </x:c>
      <x:c r="D4298" s="14" t="str">
        <x:v>Стаканчик, органайзер для канц. принадлежностей</x:v>
      </x:c>
      <x:c r="E4298" s="2" t="n">
        <x:v>11</x:v>
      </x:c>
      <x:c r="F4298" s="2" t="n">
        <x:v>0</x:v>
      </x:c>
      <x:c r="G4298" s="12" t="n">
        <x:v>1290199.8157</x:v>
      </x:c>
      <x:c r="H4298" s="12" t="n">
        <x:v>191713.44837835</x:v>
      </x:c>
      <x:c r="I4298" s="13" t="n">
        <x:v>0.1495</x:v>
      </x:c>
      <x:c r="J4298" s="2" t="n">
        <x:v>0</x:v>
      </x:c>
      <x:c r="K4298" s="2" t="n">
        <x:v>6</x:v>
      </x:c>
      <x:c r="L4298" s="12" t="n">
        <x:v>1189.7387</x:v>
      </x:c>
      <x:c r="M4298" s="13" t="n">
        <x:v>0.5289107992390795</x:v>
      </x:c>
      <x:c r="N4298" s="13" t="n">
        <x:f>H4298/G4298</x:f>
        <x:v>0.14859205996269312</x:v>
      </x:c>
      <x:c r="O4298" s="13" t="n">
        <x:f>F4298/E4298</x:f>
        <x:v>0</x:v>
      </x:c>
      <x:c r="P4298" s="2" t="str">
        <x:f>IF(AND(E4298&gt;='Итоги'!$F$5,N4298&lt;='Итоги'!$B$5,O4298&gt;='Итоги'!$D$5),"Да","Нет")</x:f>
        <x:v>Нет</x:v>
      </x:c>
    </x:row>
    <x:row r="4299" ht="60" customHeight="1">
      <x:c r="A4299" s="14" t="str">
        <x:v>Товары для дома</x:v>
      </x:c>
      <x:c r="B4299" s="14" t="str">
        <x:v>Кухня</x:v>
      </x:c>
      <x:c r="C4299" s="14" t="str">
        <x:v>Подставка для кухонных принадлежностей</x:v>
      </x:c>
      <x:c r="D4299" s="14" t="str">
        <x:v>Подставка под чайные пакетики</x:v>
      </x:c>
      <x:c r="E4299" s="2" t="n">
        <x:v>2</x:v>
      </x:c>
      <x:c r="F4299" s="2" t="n">
        <x:v>0</x:v>
      </x:c>
      <x:c r="G4299" s="12" t="n">
        <x:v>217611</x:v>
      </x:c>
      <x:c r="H4299" s="12" t="n">
        <x:v>32336.1538</x:v>
      </x:c>
      <x:c r="I4299" s="13" t="n">
        <x:v>0.1472</x:v>
      </x:c>
      <x:c r="J4299" s="2" t="n">
        <x:v>0</x:v>
      </x:c>
      <x:c r="K4299" s="2" t="n">
        <x:v>2</x:v>
      </x:c>
      <x:c r="L4299" s="12" t="n">
        <x:v>1571.62415</x:v>
      </x:c>
      <x:c r="M4299" s="13" t="n">
        <x:v>0.559158314607258</x:v>
      </x:c>
      <x:c r="N4299" s="13" t="n">
        <x:f>H4299/G4299</x:f>
        <x:v>0.14859613622473128</x:v>
      </x:c>
      <x:c r="O4299" s="13" t="n">
        <x:f>F4299/E4299</x:f>
        <x:v>0</x:v>
      </x:c>
      <x:c r="P4299" s="2" t="str">
        <x:f>IF(AND(E4299&gt;='Итоги'!$F$5,N4299&lt;='Итоги'!$B$5,O4299&gt;='Итоги'!$D$5),"Да","Нет")</x:f>
        <x:v>Нет</x:v>
      </x:c>
    </x:row>
    <x:row r="4300" ht="60" customHeight="1">
      <x:c r="A4300" s="14" t="str">
        <x:v>Спорт и отдых</x:v>
      </x:c>
      <x:c r="B4300" s="14" t="str">
        <x:v>Колесный транспорт</x:v>
      </x:c>
      <x:c r="C4300" s="14" t="str">
        <x:v>Велоаксессуары</x:v>
      </x:c>
      <x:c r="D4300" s="14" t="str">
        <x:v>Обмотка руля для велосипеда</x:v>
      </x:c>
      <x:c r="E4300" s="2" t="n">
        <x:v>1</x:v>
      </x:c>
      <x:c r="F4300" s="2" t="n">
        <x:v>0</x:v>
      </x:c>
      <x:c r="G4300" s="12" t="n">
        <x:v>73864.236</x:v>
      </x:c>
      <x:c r="H4300" s="12" t="n">
        <x:v>10976.225469600002</x:v>
      </x:c>
      <x:c r="I4300" s="13" t="n">
        <x:v>0.1486</x:v>
      </x:c>
      <x:c r="J4300" s="2" t="n">
        <x:v>0</x:v>
      </x:c>
      <x:c r="K4300" s="2" t="n">
        <x:v>1</x:v>
      </x:c>
      <x:c r="L4300" s="12" t="n">
        <x:v>868.991</x:v>
      </x:c>
      <x:c r="M4300" s="13" t="n">
        <x:v>1</x:v>
      </x:c>
      <x:c r="N4300" s="13" t="n">
        <x:f>H4300/G4300</x:f>
        <x:v>0.1486</x:v>
      </x:c>
      <x:c r="O4300" s="13" t="n">
        <x:f>F4300/E4300</x:f>
        <x:v>0</x:v>
      </x:c>
      <x:c r="P4300" s="2" t="str">
        <x:f>IF(AND(E4300&gt;='Итоги'!$F$5,N4300&lt;='Итоги'!$B$5,O4300&gt;='Итоги'!$D$5),"Да","Нет")</x:f>
        <x:v>Нет</x:v>
      </x:c>
    </x:row>
    <x:row r="4301" ht="60" customHeight="1">
      <x:c r="A4301" s="14" t="str">
        <x:v>Хобби и творчество</x:v>
      </x:c>
      <x:c r="B4301" s="14" t="str">
        <x:v>Детское творчество и хобби</x:v>
      </x:c>
      <x:c r="C4301" s="14" t="str">
        <x:v>Рисование для детей</x:v>
      </x:c>
      <x:c r="D4301" s="14" t="str">
        <x:v>Набор пальчиковых красок</x:v>
      </x:c>
      <x:c r="E4301" s="2" t="n">
        <x:v>1</x:v>
      </x:c>
      <x:c r="F4301" s="2" t="n">
        <x:v>0</x:v>
      </x:c>
      <x:c r="G4301" s="12" t="n">
        <x:v>112463.2</x:v>
      </x:c>
      <x:c r="H4301" s="12" t="n">
        <x:v>16712.03152</x:v>
      </x:c>
      <x:c r="I4301" s="13" t="n">
        <x:v>0.1486</x:v>
      </x:c>
      <x:c r="J4301" s="2" t="n">
        <x:v>0</x:v>
      </x:c>
      <x:c r="K4301" s="2" t="n">
        <x:v>1</x:v>
      </x:c>
      <x:c r="L4301" s="12" t="n">
        <x:v>839.2776</x:v>
      </x:c>
      <x:c r="M4301" s="13" t="n">
        <x:v>1</x:v>
      </x:c>
      <x:c r="N4301" s="13" t="n">
        <x:f>H4301/G4301</x:f>
        <x:v>0.1486</x:v>
      </x:c>
      <x:c r="O4301" s="13" t="n">
        <x:f>F4301/E4301</x:f>
        <x:v>0</x:v>
      </x:c>
      <x:c r="P4301" s="2" t="str">
        <x:f>IF(AND(E4301&gt;='Итоги'!$F$5,N4301&lt;='Итоги'!$B$5,O4301&gt;='Итоги'!$D$5),"Да","Нет")</x:f>
        <x:v>Нет</x:v>
      </x:c>
    </x:row>
    <x:row r="4302" ht="60" customHeight="1">
      <x:c r="A4302" s="14" t="str">
        <x:v>Спорт и отдых</x:v>
      </x:c>
      <x:c r="B4302" s="14" t="str">
        <x:v>Всесезонные виды спорта</x:v>
      </x:c>
      <x:c r="C4302" s="14" t="str">
        <x:v>Футбол</x:v>
      </x:c>
      <x:c r="D4302" s="14" t="str">
        <x:v>Перчатки для футбола</x:v>
      </x:c>
      <x:c r="E4302" s="2" t="n">
        <x:v>2</x:v>
      </x:c>
      <x:c r="F4302" s="2" t="n">
        <x:v>0</x:v>
      </x:c>
      <x:c r="G4302" s="12" t="n">
        <x:v>49432</x:v>
      </x:c>
      <x:c r="H4302" s="12" t="n">
        <x:v>7354.0148</x:v>
      </x:c>
      <x:c r="I4302" s="13" t="n">
        <x:v>0.2236</x:v>
      </x:c>
      <x:c r="J4302" s="2" t="n">
        <x:v>0</x:v>
      </x:c>
      <x:c r="K4302" s="2" t="n">
        <x:v>2</x:v>
      </x:c>
      <x:c r="L4302" s="12" t="n">
        <x:v>2316.64545</x:v>
      </x:c>
      <x:c r="M4302" s="13" t="n">
        <x:v>0.6896342450234666</x:v>
      </x:c>
      <x:c r="N4302" s="13" t="n">
        <x:f>H4302/G4302</x:f>
        <x:v>0.1487703269137401</x:v>
      </x:c>
      <x:c r="O4302" s="13" t="n">
        <x:f>F4302/E4302</x:f>
        <x:v>0</x:v>
      </x:c>
      <x:c r="P4302" s="2" t="str">
        <x:f>IF(AND(E4302&gt;='Итоги'!$F$5,N4302&lt;='Итоги'!$B$5,O4302&gt;='Итоги'!$D$5),"Да","Нет")</x:f>
        <x:v>Нет</x:v>
      </x:c>
    </x:row>
    <x:row r="4303" ht="60" customHeight="1">
      <x:c r="A4303" s="14" t="str">
        <x:v>Хобби и творчество</x:v>
      </x:c>
      <x:c r="B4303" s="14" t="str">
        <x:v>Взрослое творчество и хобби</x:v>
      </x:c>
      <x:c r="C4303" s="14" t="str">
        <x:v>Создание игрушек, украшений, косметики, кухонных аксессуаров</x:v>
      </x:c>
      <x:c r="D4303" s="14" t="str">
        <x:v>Косметическое сырье</x:v>
      </x:c>
      <x:c r="E4303" s="2" t="n">
        <x:v>1</x:v>
      </x:c>
      <x:c r="F4303" s="2" t="n">
        <x:v>0</x:v>
      </x:c>
      <x:c r="G4303" s="12" t="n">
        <x:v>108874</x:v>
      </x:c>
      <x:c r="H4303" s="12" t="n">
        <x:v>16211.3386</x:v>
      </x:c>
      <x:c r="I4303" s="13" t="n">
        <x:v>0.1489</x:v>
      </x:c>
      <x:c r="J4303" s="2" t="n">
        <x:v>0</x:v>
      </x:c>
      <x:c r="K4303" s="2" t="n">
        <x:v>1</x:v>
      </x:c>
      <x:c r="L4303" s="12" t="n">
        <x:v>1395.8205</x:v>
      </x:c>
      <x:c r="M4303" s="13" t="n">
        <x:v>1</x:v>
      </x:c>
      <x:c r="N4303" s="13" t="n">
        <x:f>H4303/G4303</x:f>
        <x:v>0.1489</x:v>
      </x:c>
      <x:c r="O4303" s="13" t="n">
        <x:f>F4303/E4303</x:f>
        <x:v>0</x:v>
      </x:c>
      <x:c r="P4303" s="2" t="str">
        <x:f>IF(AND(E4303&gt;='Итоги'!$F$5,N4303&lt;='Итоги'!$B$5,O4303&gt;='Итоги'!$D$5),"Да","Нет")</x:f>
        <x:v>Нет</x:v>
      </x:c>
    </x:row>
    <x:row r="4304" ht="60" customHeight="1">
      <x:c r="A4304" s="14" t="str">
        <x:v>Спорт и отдых</x:v>
      </x:c>
      <x:c r="B4304" s="14" t="str">
        <x:v>Туризм</x:v>
      </x:c>
      <x:c r="C4304" s="14" t="str">
        <x:v>Фонарь, лампа туристические</x:v>
      </x:c>
      <x:c r="D4304" s="14" t="str">
        <x:v>Фонарь для туризма ручной</x:v>
      </x:c>
      <x:c r="E4304" s="2" t="n">
        <x:v>93</x:v>
      </x:c>
      <x:c r="F4304" s="2" t="n">
        <x:v>0</x:v>
      </x:c>
      <x:c r="G4304" s="12" t="n">
        <x:v>15922435.815</x:v>
      </x:c>
      <x:c r="H4304" s="12" t="n">
        <x:v>2376959.38058821</x:v>
      </x:c>
      <x:c r="I4304" s="13" t="n">
        <x:v>0.1459344086021505</x:v>
      </x:c>
      <x:c r="J4304" s="2" t="n">
        <x:v>15</x:v>
      </x:c>
      <x:c r="K4304" s="2" t="n">
        <x:v>49</x:v>
      </x:c>
      <x:c r="L4304" s="12" t="n">
        <x:v>1236.8956</x:v>
      </x:c>
      <x:c r="M4304" s="13" t="n">
        <x:v>0.4124125785336067</x:v>
      </x:c>
      <x:c r="N4304" s="13" t="n">
        <x:f>H4304/G4304</x:f>
        <x:v>0.1492836528409149</x:v>
      </x:c>
      <x:c r="O4304" s="13" t="n">
        <x:f>F4304/E4304</x:f>
        <x:v>0</x:v>
      </x:c>
      <x:c r="P4304" s="2" t="str">
        <x:f>IF(AND(E4304&gt;='Итоги'!$F$5,N4304&lt;='Итоги'!$B$5,O4304&gt;='Итоги'!$D$5),"Да","Нет")</x:f>
        <x:v>Нет</x:v>
      </x:c>
    </x:row>
    <x:row r="4305" ht="60" customHeight="1">
      <x:c r="A4305" s="14" t="str">
        <x:v>Аптека</x:v>
      </x:c>
      <x:c r="B4305" s="14" t="str">
        <x:v>Медицинская техника</x:v>
      </x:c>
      <x:c r="C4305" s="14" t="str">
        <x:v>Медицинская техника</x:v>
      </x:c>
      <x:c r="D4305" s="14" t="str">
        <x:v>Налобный осветитель медицинский</x:v>
      </x:c>
      <x:c r="E4305" s="2" t="n">
        <x:v>2</x:v>
      </x:c>
      <x:c r="F4305" s="2" t="n">
        <x:v>0</x:v>
      </x:c>
      <x:c r="G4305" s="12" t="n">
        <x:v>124834</x:v>
      </x:c>
      <x:c r="H4305" s="12" t="n">
        <x:v>18650.2364</x:v>
      </x:c>
      <x:c r="I4305" s="13" t="n">
        <x:v>0.08525</x:v>
      </x:c>
      <x:c r="J4305" s="2" t="n">
        <x:v>0</x:v>
      </x:c>
      <x:c r="K4305" s="2" t="n">
        <x:v>2</x:v>
      </x:c>
      <x:c r="L4305" s="12" t="n">
        <x:v>13752.1111</x:v>
      </x:c>
      <x:c r="M4305" s="13" t="n">
        <x:v>0.8771328324014291</x:v>
      </x:c>
      <x:c r="N4305" s="13" t="n">
        <x:f>H4305/G4305</x:f>
        <x:v>0.1494002947914831</x:v>
      </x:c>
      <x:c r="O4305" s="13" t="n">
        <x:f>F4305/E4305</x:f>
        <x:v>0</x:v>
      </x:c>
      <x:c r="P4305" s="2" t="str">
        <x:f>IF(AND(E4305&gt;='Итоги'!$F$5,N4305&lt;='Итоги'!$B$5,O4305&gt;='Итоги'!$D$5),"Да","Нет")</x:f>
        <x:v>Нет</x:v>
      </x:c>
    </x:row>
    <x:row r="4306" ht="60" customHeight="1">
      <x:c r="A4306" s="14" t="str">
        <x:v>Строительство и ремонт (DIY)</x:v>
      </x:c>
      <x:c r="B4306" s="14" t="str">
        <x:v>Сад и огород</x:v>
      </x:c>
      <x:c r="C4306" s="14" t="str">
        <x:v>Загородный отдых</x:v>
      </x:c>
      <x:c r="D4306" s="14" t="str">
        <x:v>Аксессуары для розжига</x:v>
      </x:c>
      <x:c r="E4306" s="2" t="n">
        <x:v>20</x:v>
      </x:c>
      <x:c r="F4306" s="2" t="n">
        <x:v>0</x:v>
      </x:c>
      <x:c r="G4306" s="12" t="n">
        <x:v>4637411.4876</x:v>
      </x:c>
      <x:c r="H4306" s="12" t="n">
        <x:v>692899.81758408</x:v>
      </x:c>
      <x:c r="I4306" s="13" t="n">
        <x:v>0.138775</x:v>
      </x:c>
      <x:c r="J4306" s="2" t="n">
        <x:v>1</x:v>
      </x:c>
      <x:c r="K4306" s="2" t="n">
        <x:v>9</x:v>
      </x:c>
      <x:c r="L4306" s="12" t="n">
        <x:v>1442.1853</x:v>
      </x:c>
      <x:c r="M4306" s="13" t="n">
        <x:v>0.5453904912606617</x:v>
      </x:c>
      <x:c r="N4306" s="13" t="n">
        <x:f>H4306/G4306</x:f>
        <x:v>0.14941521136022298</x:v>
      </x:c>
      <x:c r="O4306" s="13" t="n">
        <x:f>F4306/E4306</x:f>
        <x:v>0</x:v>
      </x:c>
      <x:c r="P4306" s="2" t="str">
        <x:f>IF(AND(E4306&gt;='Итоги'!$F$5,N4306&lt;='Итоги'!$B$5,O4306&gt;='Итоги'!$D$5),"Да","Нет")</x:f>
        <x:v>Нет</x:v>
      </x:c>
    </x:row>
    <x:row r="4307" ht="60" customHeight="1">
      <x:c r="A4307" s="14" t="str">
        <x:v>Строительство и ремонт (DIY)</x:v>
      </x:c>
      <x:c r="B4307" s="14" t="str">
        <x:v>Ремонт и строительство</x:v>
      </x:c>
      <x:c r="C4307" s="14" t="str">
        <x:v>Столярные изделия</x:v>
      </x:c>
      <x:c r="D4307" s="14" t="str">
        <x:v>Аксессуары для окон по индивидуальным размерам</x:v>
      </x:c>
      <x:c r="E4307" s="2" t="n">
        <x:v>6</x:v>
      </x:c>
      <x:c r="F4307" s="2" t="n">
        <x:v>0</x:v>
      </x:c>
      <x:c r="G4307" s="12" t="n">
        <x:v>1270175.4994</x:v>
      </x:c>
      <x:c r="H4307" s="12" t="n">
        <x:v>190128.22136784</x:v>
      </x:c>
      <x:c r="I4307" s="13" t="n">
        <x:v>0.1454166666666666</x:v>
      </x:c>
      <x:c r="J4307" s="2" t="n">
        <x:v>1</x:v>
      </x:c>
      <x:c r="K4307" s="2" t="n">
        <x:v>2</x:v>
      </x:c>
      <x:c r="L4307" s="12" t="n">
        <x:v>1179.49985</x:v>
      </x:c>
      <x:c r="M4307" s="13" t="n">
        <x:v>0.9041738719905276</x:v>
      </x:c>
      <x:c r="N4307" s="13" t="n">
        <x:f>H4307/G4307</x:f>
        <x:v>0.14968657595556828</x:v>
      </x:c>
      <x:c r="O4307" s="13" t="n">
        <x:f>F4307/E4307</x:f>
        <x:v>0</x:v>
      </x:c>
      <x:c r="P4307" s="2" t="str">
        <x:f>IF(AND(E4307&gt;='Итоги'!$F$5,N4307&lt;='Итоги'!$B$5,O4307&gt;='Итоги'!$D$5),"Да","Нет")</x:f>
        <x:v>Нет</x:v>
      </x:c>
    </x:row>
    <x:row r="4308" ht="60" customHeight="1">
      <x:c r="A4308" s="14" t="str">
        <x:v>Аксессуары для электроники</x:v>
      </x:c>
      <x:c r="B4308" s="14" t="str">
        <x:v>Компьютеры Access</x:v>
      </x:c>
      <x:c r="C4308" s="14" t="str">
        <x:v>Аксессуар к компьютерной технике Access</x:v>
      </x:c>
      <x:c r="D4308" s="14" t="str">
        <x:v>Очки для работы за компьютером</x:v>
      </x:c>
      <x:c r="E4308" s="2" t="n">
        <x:v>10</x:v>
      </x:c>
      <x:c r="F4308" s="2" t="n">
        <x:v>0</x:v>
      </x:c>
      <x:c r="G4308" s="12" t="n">
        <x:v>1032989.113</x:v>
      </x:c>
      <x:c r="H4308" s="12" t="n">
        <x:v>154744.07541031</x:v>
      </x:c>
      <x:c r="I4308" s="13" t="n">
        <x:v>0.14141</x:v>
      </x:c>
      <x:c r="J4308" s="2" t="n">
        <x:v>1</x:v>
      </x:c>
      <x:c r="K4308" s="2" t="n">
        <x:v>6</x:v>
      </x:c>
      <x:c r="L4308" s="12" t="n">
        <x:v>917.0593</x:v>
      </x:c>
      <x:c r="M4308" s="13" t="n">
        <x:v>0.3738658157571501</x:v>
      </x:c>
      <x:c r="N4308" s="13" t="n">
        <x:f>H4308/G4308</x:f>
        <x:v>0.149802232630413</x:v>
      </x:c>
      <x:c r="O4308" s="13" t="n">
        <x:f>F4308/E4308</x:f>
        <x:v>0</x:v>
      </x:c>
      <x:c r="P4308" s="2" t="str">
        <x:f>IF(AND(E4308&gt;='Итоги'!$F$5,N4308&lt;='Итоги'!$B$5,O4308&gt;='Итоги'!$D$5),"Да","Нет")</x:f>
        <x:v>Нет</x:v>
      </x:c>
    </x:row>
    <x:row r="4309" ht="60" customHeight="1">
      <x:c r="A4309" s="14" t="str">
        <x:v>Товары для дома</x:v>
      </x:c>
      <x:c r="B4309" s="14" t="str">
        <x:v>Интерьер и декор</x:v>
      </x:c>
      <x:c r="C4309" s="14" t="str">
        <x:v>Альбомы и рамки</x:v>
      </x:c>
      <x:c r="D4309" s="14" t="str">
        <x:v>Фотоальбом</x:v>
      </x:c>
      <x:c r="E4309" s="2" t="n">
        <x:v>63</x:v>
      </x:c>
      <x:c r="F4309" s="2" t="n">
        <x:v>0</x:v>
      </x:c>
      <x:c r="G4309" s="12" t="n">
        <x:v>9919331.8433</x:v>
      </x:c>
      <x:c r="H4309" s="12" t="n">
        <x:v>1486701.57737764</x:v>
      </x:c>
      <x:c r="I4309" s="13" t="n">
        <x:v>0.1322063492063492</x:v>
      </x:c>
      <x:c r="J4309" s="2" t="n">
        <x:v>9</x:v>
      </x:c>
      <x:c r="K4309" s="2" t="n">
        <x:v>23</x:v>
      </x:c>
      <x:c r="L4309" s="12" t="n">
        <x:v>1804.7447</x:v>
      </x:c>
      <x:c r="M4309" s="13" t="n">
        <x:v>0.2308415263218196</x:v>
      </x:c>
      <x:c r="N4309" s="13" t="n">
        <x:f>H4309/G4309</x:f>
        <x:v>0.1498792056626103</x:v>
      </x:c>
      <x:c r="O4309" s="13" t="n">
        <x:f>F4309/E4309</x:f>
        <x:v>0</x:v>
      </x:c>
      <x:c r="P4309" s="2" t="str">
        <x:f>IF(AND(E4309&gt;='Итоги'!$F$5,N4309&lt;='Итоги'!$B$5,O4309&gt;='Итоги'!$D$5),"Да","Нет")</x:f>
        <x:v>Нет</x:v>
      </x:c>
    </x:row>
    <x:row r="4310" ht="60" customHeight="1">
      <x:c r="A4310" s="14" t="str">
        <x:v>Ноутбуки и компьютеры</x:v>
      </x:c>
      <x:c r="B4310" s="14" t="str">
        <x:v>Компьютерная периферия Lap&amp;Comp</x:v>
      </x:c>
      <x:c r="C4310" s="14" t="str">
        <x:v>Компьютерный манипулятор Lap&amp;Comp</x:v>
      </x:c>
      <x:c r="D4310" s="14" t="str">
        <x:v>Аксессуары для компьютерного манипулятора</x:v>
      </x:c>
      <x:c r="E4310" s="2" t="n">
        <x:v>8</x:v>
      </x:c>
      <x:c r="F4310" s="2" t="n">
        <x:v>0</x:v>
      </x:c>
      <x:c r="G4310" s="12" t="n">
        <x:v>888905.9885</x:v>
      </x:c>
      <x:c r="H4310" s="12" t="n">
        <x:v>133268.27128229</x:v>
      </x:c>
      <x:c r="I4310" s="13" t="n">
        <x:v>0.1422125</x:v>
      </x:c>
      <x:c r="J4310" s="2" t="n">
        <x:v>0</x:v>
      </x:c>
      <x:c r="K4310" s="2" t="n">
        <x:v>4</x:v>
      </x:c>
      <x:c r="L4310" s="12" t="n">
        <x:v>1256.82155</x:v>
      </x:c>
      <x:c r="M4310" s="13" t="n">
        <x:v>0.7179032817372003</x:v>
      </x:c>
      <x:c r="N4310" s="13" t="n">
        <x:f>H4310/G4310</x:f>
        <x:v>0.14992392109673586</x:v>
      </x:c>
      <x:c r="O4310" s="13" t="n">
        <x:f>F4310/E4310</x:f>
        <x:v>0</x:v>
      </x:c>
      <x:c r="P4310" s="2" t="str">
        <x:f>IF(AND(E4310&gt;='Итоги'!$F$5,N4310&lt;='Итоги'!$B$5,O4310&gt;='Итоги'!$D$5),"Да","Нет")</x:f>
        <x:v>Нет</x:v>
      </x:c>
    </x:row>
    <x:row r="4311" ht="60" customHeight="1">
      <x:c r="A4311" s="14" t="str">
        <x:v>Товары для дома</x:v>
      </x:c>
      <x:c r="B4311" s="14" t="str">
        <x:v>Интерьер и декор</x:v>
      </x:c>
      <x:c r="C4311" s="14" t="str">
        <x:v>Украшение интерьера</x:v>
      </x:c>
      <x:c r="D4311" s="14" t="str">
        <x:v>Украшение настенное интерьерное</x:v>
      </x:c>
      <x:c r="E4311" s="2" t="n">
        <x:v>20</x:v>
      </x:c>
      <x:c r="F4311" s="2" t="n">
        <x:v>0</x:v>
      </x:c>
      <x:c r="G4311" s="12" t="n">
        <x:v>2682056.211</x:v>
      </x:c>
      <x:c r="H4311" s="12" t="n">
        <x:v>402351.42611062</x:v>
      </x:c>
      <x:c r="I4311" s="13" t="n">
        <x:v>0.134155</x:v>
      </x:c>
      <x:c r="J4311" s="2" t="n">
        <x:v>3</x:v>
      </x:c>
      <x:c r="K4311" s="2" t="n">
        <x:v>13</x:v>
      </x:c>
      <x:c r="L4311" s="12" t="n">
        <x:v>2662.4731</x:v>
      </x:c>
      <x:c r="M4311" s="13" t="n">
        <x:v>0.3259675606403612</x:v>
      </x:c>
      <x:c r="N4311" s="13" t="n">
        <x:f>H4311/G4311</x:f>
        <x:v>0.15001603040996817</x:v>
      </x:c>
      <x:c r="O4311" s="13" t="n">
        <x:f>F4311/E4311</x:f>
        <x:v>0</x:v>
      </x:c>
      <x:c r="P4311" s="2" t="str">
        <x:f>IF(AND(E4311&gt;='Итоги'!$F$5,N4311&lt;='Итоги'!$B$5,O4311&gt;='Итоги'!$D$5),"Да","Нет")</x:f>
        <x:v>Нет</x:v>
      </x:c>
    </x:row>
    <x:row r="4312" ht="60" customHeight="1">
      <x:c r="A4312" s="14" t="str">
        <x:v>Товары для детей и спорта</x:v>
      </x:c>
      <x:c r="B4312" s="14" t="str">
        <x:v>Кормление детское</x:v>
      </x:c>
      <x:c r="C4312" s="14" t="str">
        <x:v>Кормление детское</x:v>
      </x:c>
      <x:c r="D4312" s="14" t="str">
        <x:v>Пустышка</x:v>
      </x:c>
      <x:c r="E4312" s="2" t="n">
        <x:v>2</x:v>
      </x:c>
      <x:c r="F4312" s="2" t="n">
        <x:v>0</x:v>
      </x:c>
      <x:c r="G4312" s="12" t="n">
        <x:v>103776</x:v>
      </x:c>
      <x:c r="H4312" s="12" t="n">
        <x:v>15575.7728</x:v>
      </x:c>
      <x:c r="I4312" s="13" t="n">
        <x:v>0.1206</x:v>
      </x:c>
      <x:c r="J4312" s="2" t="n">
        <x:v>0</x:v>
      </x:c>
      <x:c r="K4312" s="2" t="n">
        <x:v>2</x:v>
      </x:c>
      <x:c r="L4312" s="12" t="n">
        <x:v>1182.24245</x:v>
      </x:c>
      <x:c r="M4312" s="13" t="n">
        <x:v>0.9362473018809744</x:v>
      </x:c>
      <x:c r="N4312" s="13" t="n">
        <x:f>H4312/G4312</x:f>
        <x:v>0.15009031760715388</x:v>
      </x:c>
      <x:c r="O4312" s="13" t="n">
        <x:f>F4312/E4312</x:f>
        <x:v>0</x:v>
      </x:c>
      <x:c r="P4312" s="2" t="str">
        <x:f>IF(AND(E4312&gt;='Итоги'!$F$5,N4312&lt;='Итоги'!$B$5,O4312&gt;='Итоги'!$D$5),"Да","Нет")</x:f>
        <x:v>Нет</x:v>
      </x:c>
    </x:row>
    <x:row r="4313" ht="60" customHeight="1">
      <x:c r="A4313" s="14" t="str">
        <x:v>Товары для дома</x:v>
      </x:c>
      <x:c r="B4313" s="14" t="str">
        <x:v>Хранение</x:v>
      </x:c>
      <x:c r="C4313" s="14" t="str">
        <x:v>Товары для переноски</x:v>
      </x:c>
      <x:c r="D4313" s="14" t="str">
        <x:v>Сумка хозяйственная</x:v>
      </x:c>
      <x:c r="E4313" s="2" t="n">
        <x:v>28</x:v>
      </x:c>
      <x:c r="F4313" s="2" t="n">
        <x:v>0</x:v>
      </x:c>
      <x:c r="G4313" s="12" t="n">
        <x:v>4121092.4074</x:v>
      </x:c>
      <x:c r="H4313" s="12" t="n">
        <x:v>619190.51516274</x:v>
      </x:c>
      <x:c r="I4313" s="13" t="n">
        <x:v>0.1515642857142857</x:v>
      </x:c>
      <x:c r="J4313" s="2" t="n">
        <x:v>1</x:v>
      </x:c>
      <x:c r="K4313" s="2" t="n">
        <x:v>10</x:v>
      </x:c>
      <x:c r="L4313" s="12" t="n">
        <x:v>995.05775</x:v>
      </x:c>
      <x:c r="M4313" s="13" t="n">
        <x:v>0.3408444248369076</x:v>
      </x:c>
      <x:c r="N4313" s="13" t="n">
        <x:f>H4313/G4313</x:f>
        <x:v>0.15024912182286826</x:v>
      </x:c>
      <x:c r="O4313" s="13" t="n">
        <x:f>F4313/E4313</x:f>
        <x:v>0</x:v>
      </x:c>
      <x:c r="P4313" s="2" t="str">
        <x:f>IF(AND(E4313&gt;='Итоги'!$F$5,N4313&lt;='Итоги'!$B$5,O4313&gt;='Итоги'!$D$5),"Да","Нет")</x:f>
        <x:v>Нет</x:v>
      </x:c>
    </x:row>
    <x:row r="4314" ht="60" customHeight="1">
      <x:c r="A4314" s="14" t="str">
        <x:v>Товары для дома</x:v>
      </x:c>
      <x:c r="B4314" s="14" t="str">
        <x:v>Кухня</x:v>
      </x:c>
      <x:c r="C4314" s="14" t="str">
        <x:v>Банка, контейнер для хранения продуктов</x:v>
      </x:c>
      <x:c r="D4314" s="14" t="str">
        <x:v>Ланч-бокс</x:v>
      </x:c>
      <x:c r="E4314" s="2" t="n">
        <x:v>24</x:v>
      </x:c>
      <x:c r="F4314" s="2" t="n">
        <x:v>0</x:v>
      </x:c>
      <x:c r="G4314" s="12" t="n">
        <x:v>3696837.1093</x:v>
      </x:c>
      <x:c r="H4314" s="12" t="n">
        <x:v>555548.40712914</x:v>
      </x:c>
      <x:c r="I4314" s="13" t="n">
        <x:v>0.1554833333333333</x:v>
      </x:c>
      <x:c r="J4314" s="2" t="n">
        <x:v>0</x:v>
      </x:c>
      <x:c r="K4314" s="2" t="n">
        <x:v>14</x:v>
      </x:c>
      <x:c r="L4314" s="12" t="n">
        <x:v>1257.0097</x:v>
      </x:c>
      <x:c r="M4314" s="13" t="n">
        <x:v>0.2103879603846737</x:v>
      </x:c>
      <x:c r="N4314" s="13" t="n">
        <x:f>H4314/G4314</x:f>
        <x:v>0.15027667995746063</x:v>
      </x:c>
      <x:c r="O4314" s="13" t="n">
        <x:f>F4314/E4314</x:f>
        <x:v>0</x:v>
      </x:c>
      <x:c r="P4314" s="2" t="str">
        <x:f>IF(AND(E4314&gt;='Итоги'!$F$5,N4314&lt;='Итоги'!$B$5,O4314&gt;='Итоги'!$D$5),"Да","Нет")</x:f>
        <x:v>Нет</x:v>
      </x:c>
    </x:row>
    <x:row r="4315" ht="60" customHeight="1">
      <x:c r="A4315" s="14" t="str">
        <x:v>Хобби и творчество</x:v>
      </x:c>
      <x:c r="B4315" s="14" t="str">
        <x:v>Детское творчество и хобби</x:v>
      </x:c>
      <x:c r="C4315" s="14" t="str">
        <x:v>Рисование для детей</x:v>
      </x:c>
      <x:c r="D4315" s="14" t="str">
        <x:v>Набор кистей художественных</x:v>
      </x:c>
      <x:c r="E4315" s="2" t="n">
        <x:v>1</x:v>
      </x:c>
      <x:c r="F4315" s="2" t="n">
        <x:v>0</x:v>
      </x:c>
      <x:c r="G4315" s="12" t="n">
        <x:v>101682.87</x:v>
      </x:c>
      <x:c r="H4315" s="12" t="n">
        <x:v>15282.935360999998</x:v>
      </x:c>
      <x:c r="I4315" s="13" t="n">
        <x:v>0.1503</x:v>
      </x:c>
      <x:c r="J4315" s="2" t="n">
        <x:v>0</x:v>
      </x:c>
      <x:c r="K4315" s="2" t="n">
        <x:v>1</x:v>
      </x:c>
      <x:c r="L4315" s="12" t="n">
        <x:v>1059.1966</x:v>
      </x:c>
      <x:c r="M4315" s="13" t="n">
        <x:v>1</x:v>
      </x:c>
      <x:c r="N4315" s="13" t="n">
        <x:f>H4315/G4315</x:f>
        <x:v>0.1503</x:v>
      </x:c>
      <x:c r="O4315" s="13" t="n">
        <x:f>F4315/E4315</x:f>
        <x:v>0</x:v>
      </x:c>
      <x:c r="P4315" s="2" t="str">
        <x:f>IF(AND(E4315&gt;='Итоги'!$F$5,N4315&lt;='Итоги'!$B$5,O4315&gt;='Итоги'!$D$5),"Да","Нет")</x:f>
        <x:v>Нет</x:v>
      </x:c>
    </x:row>
    <x:row r="4316" ht="60" customHeight="1">
      <x:c r="A4316" s="14" t="str">
        <x:v>Аптека</x:v>
      </x:c>
      <x:c r="B4316" s="14" t="str">
        <x:v>Медицинские изделия</x:v>
      </x:c>
      <x:c r="C4316" s="14" t="str">
        <x:v>Медицинские изделия</x:v>
      </x:c>
      <x:c r="D4316" s="14" t="str">
        <x:v>Медицинская сумка</x:v>
      </x:c>
      <x:c r="E4316" s="2" t="n">
        <x:v>5</x:v>
      </x:c>
      <x:c r="F4316" s="2" t="n">
        <x:v>0</x:v>
      </x:c>
      <x:c r="G4316" s="12" t="n">
        <x:v>361272.93</x:v>
      </x:c>
      <x:c r="H4316" s="12" t="n">
        <x:v>54325.152679</x:v>
      </x:c>
      <x:c r="I4316" s="13" t="n">
        <x:v>0.14624</x:v>
      </x:c>
      <x:c r="J4316" s="2" t="n">
        <x:v>0</x:v>
      </x:c>
      <x:c r="K4316" s="2" t="n">
        <x:v>5</x:v>
      </x:c>
      <x:c r="L4316" s="12" t="n">
        <x:v>1319.5556</x:v>
      </x:c>
      <x:c r="M4316" s="13" t="n">
        <x:v>0.4294916865207698</x:v>
      </x:c>
      <x:c r="N4316" s="13" t="n">
        <x:f>H4316/G4316</x:f>
        <x:v>0.1503715007902751</x:v>
      </x:c>
      <x:c r="O4316" s="13" t="n">
        <x:f>F4316/E4316</x:f>
        <x:v>0</x:v>
      </x:c>
      <x:c r="P4316" s="2" t="str">
        <x:f>IF(AND(E4316&gt;='Итоги'!$F$5,N4316&lt;='Итоги'!$B$5,O4316&gt;='Итоги'!$D$5),"Да","Нет")</x:f>
        <x:v>Нет</x:v>
      </x:c>
    </x:row>
    <x:row r="4317" ht="60" customHeight="1">
      <x:c r="A4317" s="14" t="str">
        <x:v>Товары для красоты и здоровья</x:v>
      </x:c>
      <x:c r="B4317" s="14" t="str">
        <x:v>Косметика для ухода за волосами</x:v>
      </x:c>
      <x:c r="C4317" s="14" t="str">
        <x:v>Стайлинг для мужчин</x:v>
      </x:c>
      <x:c r="D4317" s="14" t="str">
        <x:v>Пудра для волос мужская</x:v>
      </x:c>
      <x:c r="E4317" s="2" t="n">
        <x:v>5</x:v>
      </x:c>
      <x:c r="F4317" s="2" t="n">
        <x:v>0</x:v>
      </x:c>
      <x:c r="G4317" s="12" t="n">
        <x:v>708404.7895</x:v>
      </x:c>
      <x:c r="H4317" s="12" t="n">
        <x:v>106643.56904949</x:v>
      </x:c>
      <x:c r="I4317" s="13" t="n">
        <x:v>0.1220199999999999</x:v>
      </x:c>
      <x:c r="J4317" s="2" t="n">
        <x:v>1</x:v>
      </x:c>
      <x:c r="K4317" s="2" t="n">
        <x:v>2</x:v>
      </x:c>
      <x:c r="L4317" s="12" t="n">
        <x:v>1427.1194</x:v>
      </x:c>
      <x:c r="M4317" s="13" t="n">
        <x:v>0.8451344804184163</x:v>
      </x:c>
      <x:c r="N4317" s="13" t="n">
        <x:f>H4317/G4317</x:f>
        <x:v>0.15054044048002588</x:v>
      </x:c>
      <x:c r="O4317" s="13" t="n">
        <x:f>F4317/E4317</x:f>
        <x:v>0</x:v>
      </x:c>
      <x:c r="P4317" s="2" t="str">
        <x:f>IF(AND(E4317&gt;='Итоги'!$F$5,N4317&lt;='Итоги'!$B$5,O4317&gt;='Итоги'!$D$5),"Да","Нет")</x:f>
        <x:v>Нет</x:v>
      </x:c>
    </x:row>
    <x:row r="4318" ht="60" customHeight="1">
      <x:c r="A4318" s="14" t="str">
        <x:v>Аптека</x:v>
      </x:c>
      <x:c r="B4318" s="14" t="str">
        <x:v>Парафармацевтика</x:v>
      </x:c>
      <x:c r="C4318" s="14" t="str">
        <x:v>Парафармацевтика</x:v>
      </x:c>
      <x:c r="D4318" s="14" t="str">
        <x:v>Блокатор вирусов</x:v>
      </x:c>
      <x:c r="E4318" s="2" t="n">
        <x:v>1</x:v>
      </x:c>
      <x:c r="F4318" s="2" t="n">
        <x:v>0</x:v>
      </x:c>
      <x:c r="G4318" s="12" t="n">
        <x:v>90630.39</x:v>
      </x:c>
      <x:c r="H4318" s="12" t="n">
        <x:v>13648.936734</x:v>
      </x:c>
      <x:c r="I4318" s="13" t="n">
        <x:v>0.1506</x:v>
      </x:c>
      <x:c r="J4318" s="2" t="n">
        <x:v>0</x:v>
      </x:c>
      <x:c r="K4318" s="2" t="n">
        <x:v>1</x:v>
      </x:c>
      <x:c r="L4318" s="12" t="n">
        <x:v>1147.2201</x:v>
      </x:c>
      <x:c r="M4318" s="13" t="n">
        <x:v>1</x:v>
      </x:c>
      <x:c r="N4318" s="13" t="n">
        <x:f>H4318/G4318</x:f>
        <x:v>0.1506</x:v>
      </x:c>
      <x:c r="O4318" s="13" t="n">
        <x:f>F4318/E4318</x:f>
        <x:v>0</x:v>
      </x:c>
      <x:c r="P4318" s="2" t="str">
        <x:f>IF(AND(E4318&gt;='Итоги'!$F$5,N4318&lt;='Итоги'!$B$5,O4318&gt;='Итоги'!$D$5),"Да","Нет")</x:f>
        <x:v>Нет</x:v>
      </x:c>
    </x:row>
    <x:row r="4319" ht="60" customHeight="1">
      <x:c r="A4319" s="14" t="str">
        <x:v>Аптека</x:v>
      </x:c>
      <x:c r="B4319" s="14" t="str">
        <x:v>Товары для взрослых</x:v>
      </x:c>
      <x:c r="C4319" s="14" t="str">
        <x:v>Секс игрушки</x:v>
      </x:c>
      <x:c r="D4319" s="14" t="str">
        <x:v>Насадки и удлинители эротические</x:v>
      </x:c>
      <x:c r="E4319" s="2" t="n">
        <x:v>18</x:v>
      </x:c>
      <x:c r="F4319" s="2" t="n">
        <x:v>0</x:v>
      </x:c>
      <x:c r="G4319" s="12" t="n">
        <x:v>2922290.0726</x:v>
      </x:c>
      <x:c r="H4319" s="12" t="n">
        <x:v>440198.62048559</x:v>
      </x:c>
      <x:c r="I4319" s="13" t="n">
        <x:v>0.1581944444444444</x:v>
      </x:c>
      <x:c r="J4319" s="2" t="n">
        <x:v>2</x:v>
      </x:c>
      <x:c r="K4319" s="2" t="n">
        <x:v>7</x:v>
      </x:c>
      <x:c r="L4319" s="12" t="n">
        <x:v>1434.0427</x:v>
      </x:c>
      <x:c r="M4319" s="13" t="n">
        <x:v>0.3578159381931851</x:v>
      </x:c>
      <x:c r="N4319" s="13" t="n">
        <x:f>H4319/G4319</x:f>
        <x:v>0.1506348136391332</x:v>
      </x:c>
      <x:c r="O4319" s="13" t="n">
        <x:f>F4319/E4319</x:f>
        <x:v>0</x:v>
      </x:c>
      <x:c r="P4319" s="2" t="str">
        <x:f>IF(AND(E4319&gt;='Итоги'!$F$5,N4319&lt;='Итоги'!$B$5,O4319&gt;='Итоги'!$D$5),"Да","Нет")</x:f>
        <x:v>Нет</x:v>
      </x:c>
    </x:row>
    <x:row r="4320" ht="60" customHeight="1">
      <x:c r="A4320" s="14" t="str">
        <x:v>Автотовары</x:v>
      </x:c>
      <x:c r="B4320" s="14" t="str">
        <x:v>Электронные устройства для авто</x:v>
      </x:c>
      <x:c r="C4320" s="14" t="str">
        <x:v>Автоакустика</x:v>
      </x:c>
      <x:c r="D4320" s="14" t="str">
        <x:v>Мотоакустика</x:v>
      </x:c>
      <x:c r="E4320" s="2" t="n">
        <x:v>1</x:v>
      </x:c>
      <x:c r="F4320" s="2" t="n">
        <x:v>0</x:v>
      </x:c>
      <x:c r="G4320" s="12" t="n">
        <x:v>155578.84</x:v>
      </x:c>
      <x:c r="H4320" s="12" t="n">
        <x:v>23461.289072</x:v>
      </x:c>
      <x:c r="I4320" s="13" t="n">
        <x:v>0.1508</x:v>
      </x:c>
      <x:c r="J4320" s="2" t="n">
        <x:v>0</x:v>
      </x:c>
      <x:c r="K4320" s="2" t="n">
        <x:v>1</x:v>
      </x:c>
      <x:c r="L4320" s="12" t="n">
        <x:v>2074.3845</x:v>
      </x:c>
      <x:c r="M4320" s="13" t="n">
        <x:v>1</x:v>
      </x:c>
      <x:c r="N4320" s="13" t="n">
        <x:f>H4320/G4320</x:f>
        <x:v>0.1508</x:v>
      </x:c>
      <x:c r="O4320" s="13" t="n">
        <x:f>F4320/E4320</x:f>
        <x:v>0</x:v>
      </x:c>
      <x:c r="P4320" s="2" t="str">
        <x:f>IF(AND(E4320&gt;='Итоги'!$F$5,N4320&lt;='Итоги'!$B$5,O4320&gt;='Итоги'!$D$5),"Да","Нет")</x:f>
        <x:v>Нет</x:v>
      </x:c>
    </x:row>
    <x:row r="4321" ht="60" customHeight="1">
      <x:c r="A4321" s="14" t="str">
        <x:v>Мебель</x:v>
      </x:c>
      <x:c r="B4321" s="14" t="str">
        <x:v>Корпусная мебель и мебель для хранения</x:v>
      </x:c>
      <x:c r="C4321" s="14" t="str">
        <x:v>Гардеробная система для хранения</x:v>
      </x:c>
      <x:c r="D4321" s="14" t="str">
        <x:v>Готовые комбинации мебельных гардеробных систем</x:v>
      </x:c>
      <x:c r="E4321" s="2" t="n">
        <x:v>98</x:v>
      </x:c>
      <x:c r="F4321" s="2" t="n">
        <x:v>0</x:v>
      </x:c>
      <x:c r="G4321" s="12" t="n">
        <x:v>21437667.6596</x:v>
      </x:c>
      <x:c r="H4321" s="12" t="n">
        <x:v>3233262.722038</x:v>
      </x:c>
      <x:c r="I4321" s="13" t="n">
        <x:v>0.1495408163265306</x:v>
      </x:c>
      <x:c r="J4321" s="2" t="n">
        <x:v>1</x:v>
      </x:c>
      <x:c r="K4321" s="2" t="n">
        <x:v>4</x:v>
      </x:c>
      <x:c r="L4321" s="12" t="n">
        <x:v>7602.707</x:v>
      </x:c>
      <x:c r="M4321" s="13" t="n">
        <x:v>0.9448271285253208</x:v>
      </x:c>
      <x:c r="N4321" s="13" t="n">
        <x:f>H4321/G4321</x:f>
        <x:v>0.15082157132845153</x:v>
      </x:c>
      <x:c r="O4321" s="13" t="n">
        <x:f>F4321/E4321</x:f>
        <x:v>0</x:v>
      </x:c>
      <x:c r="P4321" s="2" t="str">
        <x:f>IF(AND(E4321&gt;='Итоги'!$F$5,N4321&lt;='Итоги'!$B$5,O4321&gt;='Итоги'!$D$5),"Да","Нет")</x:f>
        <x:v>Нет</x:v>
      </x:c>
    </x:row>
    <x:row r="4322" ht="60" customHeight="1">
      <x:c r="A4322" s="14" t="str">
        <x:v>Товары для дома</x:v>
      </x:c>
      <x:c r="B4322" s="14" t="str">
        <x:v>Кухня</x:v>
      </x:c>
      <x:c r="C4322" s="14" t="str">
        <x:v>Термопосуда</x:v>
      </x:c>
      <x:c r="D4322" s="14" t="str">
        <x:v>Термокружка</x:v>
      </x:c>
      <x:c r="E4322" s="2" t="n">
        <x:v>29</x:v>
      </x:c>
      <x:c r="F4322" s="2" t="n">
        <x:v>0</x:v>
      </x:c>
      <x:c r="G4322" s="12" t="n">
        <x:v>3798775.1142</x:v>
      </x:c>
      <x:c r="H4322" s="12" t="n">
        <x:v>573292.88187027</x:v>
      </x:c>
      <x:c r="I4322" s="13" t="n">
        <x:v>0.1456896551724138</x:v>
      </x:c>
      <x:c r="J4322" s="2" t="n">
        <x:v>1</x:v>
      </x:c>
      <x:c r="K4322" s="2" t="n">
        <x:v>11</x:v>
      </x:c>
      <x:c r="L4322" s="12" t="n">
        <x:v>1070.328</x:v>
      </x:c>
      <x:c r="M4322" s="13" t="n">
        <x:v>0.4338709873451133</x:v>
      </x:c>
      <x:c r="N4322" s="13" t="n">
        <x:f>H4322/G4322</x:f>
        <x:v>0.15091519361787809</x:v>
      </x:c>
      <x:c r="O4322" s="13" t="n">
        <x:f>F4322/E4322</x:f>
        <x:v>0</x:v>
      </x:c>
      <x:c r="P4322" s="2" t="str">
        <x:f>IF(AND(E4322&gt;='Итоги'!$F$5,N4322&lt;='Итоги'!$B$5,O4322&gt;='Итоги'!$D$5),"Да","Нет")</x:f>
        <x:v>Нет</x:v>
      </x:c>
    </x:row>
    <x:row r="4323" ht="60" customHeight="1">
      <x:c r="A4323" s="14" t="str">
        <x:v>Товары для детей и спорта</x:v>
      </x:c>
      <x:c r="B4323" s="14" t="str">
        <x:v>КГТ и аксессуары для детей</x:v>
      </x:c>
      <x:c r="C4323" s="14" t="str">
        <x:v>Аксессуары для роддома</x:v>
      </x:c>
      <x:c r="D4323" s="14" t="str">
        <x:v>Сумка в роддом с наполнением</x:v>
      </x:c>
      <x:c r="E4323" s="2" t="n">
        <x:v>6</x:v>
      </x:c>
      <x:c r="F4323" s="2" t="n">
        <x:v>0</x:v>
      </x:c>
      <x:c r="G4323" s="12" t="n">
        <x:v>1178394</x:v>
      </x:c>
      <x:c r="H4323" s="12" t="n">
        <x:v>177845.7887</x:v>
      </x:c>
      <x:c r="I4323" s="13" t="n">
        <x:v>0.1433166666666666</x:v>
      </x:c>
      <x:c r="J4323" s="2" t="n">
        <x:v>0</x:v>
      </x:c>
      <x:c r="K4323" s="2" t="n">
        <x:v>2</x:v>
      </x:c>
      <x:c r="L4323" s="12" t="n">
        <x:v>6034.683950000001</x:v>
      </x:c>
      <x:c r="M4323" s="13" t="n">
        <x:v>0.65797008470851</x:v>
      </x:c>
      <x:c r="N4323" s="13" t="n">
        <x:f>H4323/G4323</x:f>
        <x:v>0.15092217772663472</x:v>
      </x:c>
      <x:c r="O4323" s="13" t="n">
        <x:f>F4323/E4323</x:f>
        <x:v>0</x:v>
      </x:c>
      <x:c r="P4323" s="2" t="str">
        <x:f>IF(AND(E4323&gt;='Итоги'!$F$5,N4323&lt;='Итоги'!$B$5,O4323&gt;='Итоги'!$D$5),"Да","Нет")</x:f>
        <x:v>Нет</x:v>
      </x:c>
    </x:row>
    <x:row r="4324" ht="60" customHeight="1">
      <x:c r="A4324" s="14" t="str">
        <x:v>Аксессуары</x:v>
      </x:c>
      <x:c r="B4324" s="14" t="str">
        <x:v>Аксессуары</x:v>
      </x:c>
      <x:c r="C4324" s="14" t="str">
        <x:v>Средства, принадлежности для ухода за одеждой</x:v>
      </x:c>
      <x:c r="D4324" s="14" t="str">
        <x:v>Средство для ухода за одеждой</x:v>
      </x:c>
      <x:c r="E4324" s="2" t="n">
        <x:v>1</x:v>
      </x:c>
      <x:c r="F4324" s="2" t="n">
        <x:v>0</x:v>
      </x:c>
      <x:c r="G4324" s="12" t="n">
        <x:v>185145.4661</x:v>
      </x:c>
      <x:c r="H4324" s="12" t="n">
        <x:v>27956.9653811</x:v>
      </x:c>
      <x:c r="I4324" s="13" t="n">
        <x:v>0.151</x:v>
      </x:c>
      <x:c r="J4324" s="2" t="n">
        <x:v>0</x:v>
      </x:c>
      <x:c r="K4324" s="2" t="n">
        <x:v>1</x:v>
      </x:c>
      <x:c r="L4324" s="12" t="n">
        <x:v>890.1224</x:v>
      </x:c>
      <x:c r="M4324" s="13" t="n">
        <x:v>1</x:v>
      </x:c>
      <x:c r="N4324" s="13" t="n">
        <x:f>H4324/G4324</x:f>
        <x:v>0.151</x:v>
      </x:c>
      <x:c r="O4324" s="13" t="n">
        <x:f>F4324/E4324</x:f>
        <x:v>0</x:v>
      </x:c>
      <x:c r="P4324" s="2" t="str">
        <x:f>IF(AND(E4324&gt;='Итоги'!$F$5,N4324&lt;='Итоги'!$B$5,O4324&gt;='Итоги'!$D$5),"Да","Нет")</x:f>
        <x:v>Нет</x:v>
      </x:c>
    </x:row>
    <x:row r="4325" ht="60" customHeight="1">
      <x:c r="A4325" s="14" t="str">
        <x:v>Одежда</x:v>
      </x:c>
      <x:c r="B4325" s="14" t="str">
        <x:v>Основная одежда мужская</x:v>
      </x:c>
      <x:c r="C4325" s="14" t="str">
        <x:v>Головные уборы, перчатки, шарфы мужские</x:v>
      </x:c>
      <x:c r="D4325" s="14" t="str">
        <x:v>Мужской комплект - головной убор + аксессуар</x:v>
      </x:c>
      <x:c r="E4325" s="2" t="n">
        <x:v>2</x:v>
      </x:c>
      <x:c r="F4325" s="2" t="n">
        <x:v>0</x:v>
      </x:c>
      <x:c r="G4325" s="12" t="n">
        <x:v>234895.75</x:v>
      </x:c>
      <x:c r="H4325" s="12" t="n">
        <x:v>35526.783800000005</x:v>
      </x:c>
      <x:c r="I4325" s="13" t="n">
        <x:v>0.0772</x:v>
      </x:c>
      <x:c r="J4325" s="2" t="n">
        <x:v>1</x:v>
      </x:c>
      <x:c r="K4325" s="2" t="n">
        <x:v>2</x:v>
      </x:c>
      <x:c r="L4325" s="12" t="n">
        <x:v>2834.1429</x:v>
      </x:c>
      <x:c r="M4325" s="13" t="n">
        <x:v>0.979565402950032</x:v>
      </x:c>
      <x:c r="N4325" s="13" t="n">
        <x:f>H4325/G4325</x:f>
        <x:v>0.15124489821548498</x:v>
      </x:c>
      <x:c r="O4325" s="13" t="n">
        <x:f>F4325/E4325</x:f>
        <x:v>0</x:v>
      </x:c>
      <x:c r="P4325" s="2" t="str">
        <x:f>IF(AND(E4325&gt;='Итоги'!$F$5,N4325&lt;='Итоги'!$B$5,O4325&gt;='Итоги'!$D$5),"Да","Нет")</x:f>
        <x:v>Нет</x:v>
      </x:c>
    </x:row>
    <x:row r="4326" ht="60" customHeight="1">
      <x:c r="A4326" s="14" t="str">
        <x:v>Аптека</x:v>
      </x:c>
      <x:c r="B4326" s="14" t="str">
        <x:v>Медицинские изделия</x:v>
      </x:c>
      <x:c r="C4326" s="14" t="str">
        <x:v>Перевязочные средства</x:v>
      </x:c>
      <x:c r="D4326" s="14" t="str">
        <x:v>Гипс медицинский</x:v>
      </x:c>
      <x:c r="E4326" s="2" t="n">
        <x:v>8</x:v>
      </x:c>
      <x:c r="F4326" s="2" t="n">
        <x:v>0</x:v>
      </x:c>
      <x:c r="G4326" s="12" t="n">
        <x:v>878191.8958</x:v>
      </x:c>
      <x:c r="H4326" s="12" t="n">
        <x:v>132825.74312315</x:v>
      </x:c>
      <x:c r="I4326" s="13" t="n">
        <x:v>0.1501374999999999</x:v>
      </x:c>
      <x:c r="J4326" s="2" t="n">
        <x:v>1</x:v>
      </x:c>
      <x:c r="K4326" s="2" t="n">
        <x:v>2</x:v>
      </x:c>
      <x:c r="L4326" s="12" t="n">
        <x:v>856.12555</x:v>
      </x:c>
      <x:c r="M4326" s="13" t="n">
        <x:v>0.8844887630082363</x:v>
      </x:c>
      <x:c r="N4326" s="13" t="n">
        <x:f>H4326/G4326</x:f>
        <x:v>0.15124911053995857</x:v>
      </x:c>
      <x:c r="O4326" s="13" t="n">
        <x:f>F4326/E4326</x:f>
        <x:v>0</x:v>
      </x:c>
      <x:c r="P4326" s="2" t="str">
        <x:f>IF(AND(E4326&gt;='Итоги'!$F$5,N4326&lt;='Итоги'!$B$5,O4326&gt;='Итоги'!$D$5),"Да","Нет")</x:f>
        <x:v>Нет</x:v>
      </x:c>
    </x:row>
    <x:row r="4327" ht="60" customHeight="1">
      <x:c r="A4327" s="14" t="str">
        <x:v>Аптека</x:v>
      </x:c>
      <x:c r="B4327" s="14" t="str">
        <x:v>Медицинская техника</x:v>
      </x:c>
      <x:c r="C4327" s="14" t="str">
        <x:v>Приборы и средства диагностики</x:v>
      </x:c>
      <x:c r="D4327" s="14" t="str">
        <x:v>Отоскоп</x:v>
      </x:c>
      <x:c r="E4327" s="2" t="n">
        <x:v>3</x:v>
      </x:c>
      <x:c r="F4327" s="2" t="n">
        <x:v>0</x:v>
      </x:c>
      <x:c r="G4327" s="12" t="n">
        <x:v>405997.77</x:v>
      </x:c>
      <x:c r="H4327" s="12" t="n">
        <x:v>61416.88456800001</x:v>
      </x:c>
      <x:c r="I4327" s="13" t="n">
        <x:v>0.141</x:v>
      </x:c>
      <x:c r="J4327" s="2" t="n">
        <x:v>0</x:v>
      </x:c>
      <x:c r="K4327" s="2" t="n">
        <x:v>3</x:v>
      </x:c>
      <x:c r="L4327" s="12" t="n">
        <x:v>2232.6961</x:v>
      </x:c>
      <x:c r="M4327" s="13" t="n">
        <x:v>0.5692302940481668</x:v>
      </x:c>
      <x:c r="N4327" s="13" t="n">
        <x:f>H4327/G4327</x:f>
        <x:v>0.15127394558842036</x:v>
      </x:c>
      <x:c r="O4327" s="13" t="n">
        <x:f>F4327/E4327</x:f>
        <x:v>0</x:v>
      </x:c>
      <x:c r="P4327" s="2" t="str">
        <x:f>IF(AND(E4327&gt;='Итоги'!$F$5,N4327&lt;='Итоги'!$B$5,O4327&gt;='Итоги'!$D$5),"Да","Нет")</x:f>
        <x:v>Нет</x:v>
      </x:c>
    </x:row>
    <x:row r="4328" ht="60" customHeight="1">
      <x:c r="A4328" s="14" t="str">
        <x:v>Аксессуары для электроники</x:v>
      </x:c>
      <x:c r="B4328" s="14" t="str">
        <x:v>Домашняя Аудио и Видеотехника Access</x:v>
      </x:c>
      <x:c r="C4328" s="14" t="str">
        <x:v>Аксессуар к TV и аудиотехнике Access</x:v>
      </x:c>
      <x:c r="D4328" s="14" t="str">
        <x:v>Амбушюры для наушников</x:v>
      </x:c>
      <x:c r="E4328" s="2" t="n">
        <x:v>2</x:v>
      </x:c>
      <x:c r="F4328" s="2" t="n">
        <x:v>0</x:v>
      </x:c>
      <x:c r="G4328" s="12" t="n">
        <x:v>294085.5206</x:v>
      </x:c>
      <x:c r="H4328" s="12" t="n">
        <x:v>44566.63212755</x:v>
      </x:c>
      <x:c r="I4328" s="13" t="n">
        <x:v>0.15475</x:v>
      </x:c>
      <x:c r="J4328" s="2" t="n">
        <x:v>0</x:v>
      </x:c>
      <x:c r="K4328" s="2" t="n">
        <x:v>1</x:v>
      </x:c>
      <x:c r="L4328" s="12" t="n">
        <x:v>1375.50675</x:v>
      </x:c>
      <x:c r="M4328" s="13" t="n">
        <x:v>1</x:v>
      </x:c>
      <x:c r="N4328" s="13" t="n">
        <x:f>H4328/G4328</x:f>
        <x:v>0.15154310228067042</x:v>
      </x:c>
      <x:c r="O4328" s="13" t="n">
        <x:f>F4328/E4328</x:f>
        <x:v>0</x:v>
      </x:c>
      <x:c r="P4328" s="2" t="str">
        <x:f>IF(AND(E4328&gt;='Итоги'!$F$5,N4328&lt;='Итоги'!$B$5,O4328&gt;='Итоги'!$D$5),"Да","Нет")</x:f>
        <x:v>Нет</x:v>
      </x:c>
    </x:row>
    <x:row r="4329" ht="60" customHeight="1">
      <x:c r="A4329" s="14" t="str">
        <x:v>Аптека</x:v>
      </x:c>
      <x:c r="B4329" s="14" t="str">
        <x:v>Товары для взрослых</x:v>
      </x:c>
      <x:c r="C4329" s="14" t="str">
        <x:v>Товары для БДСМ</x:v>
      </x:c>
      <x:c r="D4329" s="14" t="str">
        <x:v>Страпон</x:v>
      </x:c>
      <x:c r="E4329" s="2" t="n">
        <x:v>20</x:v>
      </x:c>
      <x:c r="F4329" s="2" t="n">
        <x:v>0</x:v>
      </x:c>
      <x:c r="G4329" s="12" t="n">
        <x:v>3689439.8554</x:v>
      </x:c>
      <x:c r="H4329" s="12" t="n">
        <x:v>559870.73211679</x:v>
      </x:c>
      <x:c r="I4329" s="13" t="n">
        <x:v>0.14392</x:v>
      </x:c>
      <x:c r="J4329" s="2" t="n">
        <x:v>1</x:v>
      </x:c>
      <x:c r="K4329" s="2" t="n">
        <x:v>2</x:v>
      </x:c>
      <x:c r="L4329" s="12" t="n">
        <x:v>1255.7946</x:v>
      </x:c>
      <x:c r="M4329" s="13" t="n">
        <x:v>0.8591287321192416</x:v>
      </x:c>
      <x:c r="N4329" s="13" t="n">
        <x:f>H4329/G4329</x:f>
        <x:v>0.15174952135277192</x:v>
      </x:c>
      <x:c r="O4329" s="13" t="n">
        <x:f>F4329/E4329</x:f>
        <x:v>0</x:v>
      </x:c>
      <x:c r="P4329" s="2" t="str">
        <x:f>IF(AND(E4329&gt;='Итоги'!$F$5,N4329&lt;='Итоги'!$B$5,O4329&gt;='Итоги'!$D$5),"Да","Нет")</x:f>
        <x:v>Нет</x:v>
      </x:c>
    </x:row>
    <x:row r="4330" ht="60" customHeight="1">
      <x:c r="A4330" s="14" t="str">
        <x:v>Товары для красоты и здоровья</x:v>
      </x:c>
      <x:c r="B4330" s="14" t="str">
        <x:v>Парфюмерия, ароматерапия</x:v>
      </x:c>
      <x:c r="C4330" s="14" t="str">
        <x:v>Парфюмерия для мужчин</x:v>
      </x:c>
      <x:c r="D4330" s="14" t="str">
        <x:v>Парфюмерный набор мужской</x:v>
      </x:c>
      <x:c r="E4330" s="2" t="n">
        <x:v>2</x:v>
      </x:c>
      <x:c r="F4330" s="2" t="n">
        <x:v>0</x:v>
      </x:c>
      <x:c r="G4330" s="12" t="n">
        <x:v>291059.1867</x:v>
      </x:c>
      <x:c r="H4330" s="12" t="n">
        <x:v>44199.54872376</x:v>
      </x:c>
      <x:c r="I4330" s="13" t="n">
        <x:v>0.14935</x:v>
      </x:c>
      <x:c r="J4330" s="2" t="n">
        <x:v>0</x:v>
      </x:c>
      <x:c r="K4330" s="2" t="n">
        <x:v>1</x:v>
      </x:c>
      <x:c r="L4330" s="12" t="n">
        <x:v>1143.1149</x:v>
      </x:c>
      <x:c r="M4330" s="13" t="n">
        <x:v>1</x:v>
      </x:c>
      <x:c r="N4330" s="13" t="n">
        <x:f>H4330/G4330</x:f>
        <x:v>0.15185759716052968</x:v>
      </x:c>
      <x:c r="O4330" s="13" t="n">
        <x:f>F4330/E4330</x:f>
        <x:v>0</x:v>
      </x:c>
      <x:c r="P4330" s="2" t="str">
        <x:f>IF(AND(E4330&gt;='Итоги'!$F$5,N4330&lt;='Итоги'!$B$5,O4330&gt;='Итоги'!$D$5),"Да","Нет")</x:f>
        <x:v>Нет</x:v>
      </x:c>
    </x:row>
    <x:row r="4331" ht="60" customHeight="1">
      <x:c r="A4331" s="14" t="str">
        <x:v>Школьные принадлежности и канцелярия</x:v>
      </x:c>
      <x:c r="B4331" s="14" t="str">
        <x:v>Товары для школы, канцелярия, оборудование</x:v>
      </x:c>
      <x:c r="C4331" s="14" t="str">
        <x:v>Офисные принадлежности</x:v>
      </x:c>
      <x:c r="D4331" s="14" t="str">
        <x:v>Настольная подкладка, коврик</x:v>
      </x:c>
      <x:c r="E4331" s="2" t="n">
        <x:v>2</x:v>
      </x:c>
      <x:c r="F4331" s="2" t="n">
        <x:v>0</x:v>
      </x:c>
      <x:c r="G4331" s="12" t="n">
        <x:v>186686.3794</x:v>
      </x:c>
      <x:c r="H4331" s="12" t="n">
        <x:v>28365.0725099</x:v>
      </x:c>
      <x:c r="I4331" s="13" t="n">
        <x:v>0.1426</x:v>
      </x:c>
      <x:c r="J4331" s="2" t="n">
        <x:v>0</x:v>
      </x:c>
      <x:c r="K4331" s="2" t="n">
        <x:v>2</x:v>
      </x:c>
      <x:c r="L4331" s="12" t="n">
        <x:v>1237.1607</x:v>
      </x:c>
      <x:c r="M4331" s="13" t="n">
        <x:v>0.542803392115065</x:v>
      </x:c>
      <x:c r="N4331" s="13" t="n">
        <x:f>H4331/G4331</x:f>
        <x:v>0.1519397001595072</x:v>
      </x:c>
      <x:c r="O4331" s="13" t="n">
        <x:f>F4331/E4331</x:f>
        <x:v>0</x:v>
      </x:c>
      <x:c r="P4331" s="2" t="str">
        <x:f>IF(AND(E4331&gt;='Итоги'!$F$5,N4331&lt;='Итоги'!$B$5,O4331&gt;='Итоги'!$D$5),"Да","Нет")</x:f>
        <x:v>Нет</x:v>
      </x:c>
    </x:row>
    <x:row r="4332" ht="60" customHeight="1">
      <x:c r="A4332" s="14" t="str">
        <x:v>Товары для дома</x:v>
      </x:c>
      <x:c r="B4332" s="14" t="str">
        <x:v>Интерьер и декор</x:v>
      </x:c>
      <x:c r="C4332" s="14" t="str">
        <x:v>Украшение интерьера</x:v>
      </x:c>
      <x:c r="D4332" s="14" t="str">
        <x:v>Фигурка декоративная интерьерная</x:v>
      </x:c>
      <x:c r="E4332" s="2" t="n">
        <x:v>4</x:v>
      </x:c>
      <x:c r="F4332" s="2" t="n">
        <x:v>0</x:v>
      </x:c>
      <x:c r="G4332" s="12" t="n">
        <x:v>249587.7633</x:v>
      </x:c>
      <x:c r="H4332" s="12" t="n">
        <x:v>37938.59890124</x:v>
      </x:c>
      <x:c r="I4332" s="13" t="n">
        <x:v>0.1163</x:v>
      </x:c>
      <x:c r="J4332" s="2" t="n">
        <x:v>1</x:v>
      </x:c>
      <x:c r="K4332" s="2" t="n">
        <x:v>4</x:v>
      </x:c>
      <x:c r="L4332" s="12" t="n">
        <x:v>1950.1738</x:v>
      </x:c>
      <x:c r="M4332" s="13" t="n">
        <x:v>0.4323208741219566</x:v>
      </x:c>
      <x:c r="N4332" s="13" t="n">
        <x:f>H4332/G4332</x:f>
        <x:v>0.15200504383557656</x:v>
      </x:c>
      <x:c r="O4332" s="13" t="n">
        <x:f>F4332/E4332</x:f>
        <x:v>0</x:v>
      </x:c>
      <x:c r="P4332" s="2" t="str">
        <x:f>IF(AND(E4332&gt;='Итоги'!$F$5,N4332&lt;='Итоги'!$B$5,O4332&gt;='Итоги'!$D$5),"Да","Нет")</x:f>
        <x:v>Нет</x:v>
      </x:c>
    </x:row>
    <x:row r="4333" ht="60" customHeight="1">
      <x:c r="A4333" s="14" t="str">
        <x:v>Хобби и творчество</x:v>
      </x:c>
      <x:c r="B4333" s="14" t="str">
        <x:v>Детское творчество и хобби</x:v>
      </x:c>
      <x:c r="C4333" s="14" t="str">
        <x:v>Рисование для детей</x:v>
      </x:c>
      <x:c r="D4333" s="14" t="str">
        <x:v>Набор для росписи детский</x:v>
      </x:c>
      <x:c r="E4333" s="2" t="n">
        <x:v>1</x:v>
      </x:c>
      <x:c r="F4333" s="2" t="n">
        <x:v>0</x:v>
      </x:c>
      <x:c r="G4333" s="12" t="n">
        <x:v>125762.1572</x:v>
      </x:c>
      <x:c r="H4333" s="12" t="n">
        <x:v>19128.42411012</x:v>
      </x:c>
      <x:c r="I4333" s="13" t="n">
        <x:v>0.1521</x:v>
      </x:c>
      <x:c r="J4333" s="2" t="n">
        <x:v>0</x:v>
      </x:c>
      <x:c r="K4333" s="2" t="n">
        <x:v>1</x:v>
      </x:c>
      <x:c r="L4333" s="12" t="n">
        <x:v>855.5249</x:v>
      </x:c>
      <x:c r="M4333" s="13" t="n">
        <x:v>1</x:v>
      </x:c>
      <x:c r="N4333" s="13" t="n">
        <x:f>H4333/G4333</x:f>
        <x:v>0.15209999999999999</x:v>
      </x:c>
      <x:c r="O4333" s="13" t="n">
        <x:f>F4333/E4333</x:f>
        <x:v>0</x:v>
      </x:c>
      <x:c r="P4333" s="2" t="str">
        <x:f>IF(AND(E4333&gt;='Итоги'!$F$5,N4333&lt;='Итоги'!$B$5,O4333&gt;='Итоги'!$D$5),"Да","Нет")</x:f>
        <x:v>Нет</x:v>
      </x:c>
    </x:row>
    <x:row r="4334" ht="60" customHeight="1">
      <x:c r="A4334" s="14" t="str">
        <x:v>Спорт и отдых</x:v>
      </x:c>
      <x:c r="B4334" s="14" t="str">
        <x:v>Всесезонные виды спорта</x:v>
      </x:c>
      <x:c r="C4334" s="14" t="str">
        <x:v>Теннис</x:v>
      </x:c>
      <x:c r="D4334" s="14" t="str">
        <x:v>Набор для игры в тетербол</x:v>
      </x:c>
      <x:c r="E4334" s="2" t="n">
        <x:v>1</x:v>
      </x:c>
      <x:c r="F4334" s="2" t="n">
        <x:v>0</x:v>
      </x:c>
      <x:c r="G4334" s="12" t="n">
        <x:v>234552</x:v>
      </x:c>
      <x:c r="H4334" s="12" t="n">
        <x:v>35698.8144</x:v>
      </x:c>
      <x:c r="I4334" s="13" t="n">
        <x:v>0.1522</x:v>
      </x:c>
      <x:c r="J4334" s="2" t="n">
        <x:v>0</x:v>
      </x:c>
      <x:c r="K4334" s="2" t="n">
        <x:v>1</x:v>
      </x:c>
      <x:c r="L4334" s="12" t="n">
        <x:v>4188.4286</x:v>
      </x:c>
      <x:c r="M4334" s="13" t="n">
        <x:v>1</x:v>
      </x:c>
      <x:c r="N4334" s="13" t="n">
        <x:f>H4334/G4334</x:f>
        <x:v>0.1522</x:v>
      </x:c>
      <x:c r="O4334" s="13" t="n">
        <x:f>F4334/E4334</x:f>
        <x:v>0</x:v>
      </x:c>
      <x:c r="P4334" s="2" t="str">
        <x:f>IF(AND(E4334&gt;='Итоги'!$F$5,N4334&lt;='Итоги'!$B$5,O4334&gt;='Итоги'!$D$5),"Да","Нет")</x:f>
        <x:v>Нет</x:v>
      </x:c>
    </x:row>
    <x:row r="4335" ht="60" customHeight="1">
      <x:c r="A4335" s="14" t="str">
        <x:v>Строительство и ремонт (DIY)</x:v>
      </x:c>
      <x:c r="B4335" s="14" t="str">
        <x:v>Ремонт и строительство</x:v>
      </x:c>
      <x:c r="C4335" s="14" t="str">
        <x:v>Аксессуары для ремонта</x:v>
      </x:c>
      <x:c r="D4335" s="14" t="str">
        <x:v>Трафарет технический</x:v>
      </x:c>
      <x:c r="E4335" s="2" t="n">
        <x:v>1</x:v>
      </x:c>
      <x:c r="F4335" s="2" t="n">
        <x:v>0</x:v>
      </x:c>
      <x:c r="G4335" s="12" t="n">
        <x:v>288361.7228</x:v>
      </x:c>
      <x:c r="H4335" s="12" t="n">
        <x:v>43975.162727</x:v>
      </x:c>
      <x:c r="I4335" s="13" t="n">
        <x:v>0.1525</x:v>
      </x:c>
      <x:c r="J4335" s="2" t="n">
        <x:v>0</x:v>
      </x:c>
      <x:c r="K4335" s="2" t="n">
        <x:v>1</x:v>
      </x:c>
      <x:c r="L4335" s="12" t="n">
        <x:v>984.1697</x:v>
      </x:c>
      <x:c r="M4335" s="13" t="n">
        <x:v>1</x:v>
      </x:c>
      <x:c r="N4335" s="13" t="n">
        <x:f>H4335/G4335</x:f>
        <x:v>0.15250000000000002</x:v>
      </x:c>
      <x:c r="O4335" s="13" t="n">
        <x:f>F4335/E4335</x:f>
        <x:v>0</x:v>
      </x:c>
      <x:c r="P4335" s="2" t="str">
        <x:f>IF(AND(E4335&gt;='Итоги'!$F$5,N4335&lt;='Итоги'!$B$5,O4335&gt;='Итоги'!$D$5),"Да","Нет")</x:f>
        <x:v>Нет</x:v>
      </x:c>
    </x:row>
    <x:row r="4336" ht="60" customHeight="1">
      <x:c r="A4336" s="14" t="str">
        <x:v>Аксессуары</x:v>
      </x:c>
      <x:c r="B4336" s="14" t="str">
        <x:v>Аксессуары</x:v>
      </x:c>
      <x:c r="C4336" s="14" t="str">
        <x:v>Мелкие аксессуары</x:v>
      </x:c>
      <x:c r="D4336" s="14" t="str">
        <x:v>Женский текстильный ремень</x:v>
      </x:c>
      <x:c r="E4336" s="2" t="n">
        <x:v>2</x:v>
      </x:c>
      <x:c r="F4336" s="2" t="n">
        <x:v>0</x:v>
      </x:c>
      <x:c r="G4336" s="12" t="n">
        <x:v>95315.28</x:v>
      </x:c>
      <x:c r="H4336" s="12" t="n">
        <x:v>14538.490632</x:v>
      </x:c>
      <x:c r="I4336" s="13" t="n">
        <x:v>0.08595</x:v>
      </x:c>
      <x:c r="J4336" s="2" t="n">
        <x:v>1</x:v>
      </x:c>
      <x:c r="K4336" s="2" t="n">
        <x:v>2</x:v>
      </x:c>
      <x:c r="L4336" s="12" t="n">
        <x:v>3116.50655</x:v>
      </x:c>
      <x:c r="M4336" s="13" t="n">
        <x:v>0.8873213193099784</x:v>
      </x:c>
      <x:c r="N4336" s="13" t="n">
        <x:f>H4336/G4336</x:f>
        <x:v>0.15253053478938527</x:v>
      </x:c>
      <x:c r="O4336" s="13" t="n">
        <x:f>F4336/E4336</x:f>
        <x:v>0</x:v>
      </x:c>
      <x:c r="P4336" s="2" t="str">
        <x:f>IF(AND(E4336&gt;='Итоги'!$F$5,N4336&lt;='Итоги'!$B$5,O4336&gt;='Итоги'!$D$5),"Да","Нет")</x:f>
        <x:v>Нет</x:v>
      </x:c>
    </x:row>
    <x:row r="4337" ht="60" customHeight="1">
      <x:c r="A4337" s="14" t="str">
        <x:v>Товары для дома</x:v>
      </x:c>
      <x:c r="B4337" s="14" t="str">
        <x:v>Интерьер и декор</x:v>
      </x:c>
      <x:c r="C4337" s="14" t="str">
        <x:v>Ароматы для дома</x:v>
      </x:c>
      <x:c r="D4337" s="14" t="str">
        <x:v>Благовония и аксессуары</x:v>
      </x:c>
      <x:c r="E4337" s="2" t="n">
        <x:v>7</x:v>
      </x:c>
      <x:c r="F4337" s="2" t="n">
        <x:v>0</x:v>
      </x:c>
      <x:c r="G4337" s="12" t="n">
        <x:v>519443.05</x:v>
      </x:c>
      <x:c r="H4337" s="12" t="n">
        <x:v>79238.89663999999</x:v>
      </x:c>
      <x:c r="I4337" s="13" t="n">
        <x:v>0.1425142857142857</x:v>
      </x:c>
      <x:c r="J4337" s="2" t="n">
        <x:v>0</x:v>
      </x:c>
      <x:c r="K4337" s="2" t="n">
        <x:v>7</x:v>
      </x:c>
      <x:c r="L4337" s="12" t="n">
        <x:v>1022.5057</x:v>
      </x:c>
      <x:c r="M4337" s="13" t="n">
        <x:v>0.262456105630829</x:v>
      </x:c>
      <x:c r="N4337" s="13" t="n">
        <x:f>H4337/G4337</x:f>
        <x:v>0.15254587897556815</x:v>
      </x:c>
      <x:c r="O4337" s="13" t="n">
        <x:f>F4337/E4337</x:f>
        <x:v>0</x:v>
      </x:c>
      <x:c r="P4337" s="2" t="str">
        <x:f>IF(AND(E4337&gt;='Итоги'!$F$5,N4337&lt;='Итоги'!$B$5,O4337&gt;='Итоги'!$D$5),"Да","Нет")</x:f>
        <x:v>Нет</x:v>
      </x:c>
    </x:row>
    <x:row r="4338" ht="60" customHeight="1">
      <x:c r="A4338" s="14" t="str">
        <x:v>Игрушки</x:v>
      </x:c>
      <x:c r="B4338" s="14" t="str">
        <x:v>Игрушки</x:v>
      </x:c>
      <x:c r="C4338" s="14" t="str">
        <x:v>Игрушечное оружие</x:v>
      </x:c>
      <x:c r="D4338" s="14" t="str">
        <x:v>Арбалет, лук игрушечные</x:v>
      </x:c>
      <x:c r="E4338" s="2" t="n">
        <x:v>1</x:v>
      </x:c>
      <x:c r="F4338" s="2" t="n">
        <x:v>0</x:v>
      </x:c>
      <x:c r="G4338" s="12" t="n">
        <x:v>147969</x:v>
      </x:c>
      <x:c r="H4338" s="12" t="n">
        <x:v>22580.0694</x:v>
      </x:c>
      <x:c r="I4338" s="13" t="n">
        <x:v>0.1526</x:v>
      </x:c>
      <x:c r="J4338" s="2" t="n">
        <x:v>0</x:v>
      </x:c>
      <x:c r="K4338" s="2" t="n">
        <x:v>1</x:v>
      </x:c>
      <x:c r="L4338" s="12" t="n">
        <x:v>1644.1</x:v>
      </x:c>
      <x:c r="M4338" s="13" t="n">
        <x:v>1</x:v>
      </x:c>
      <x:c r="N4338" s="13" t="n">
        <x:f>H4338/G4338</x:f>
        <x:v>0.1526</x:v>
      </x:c>
      <x:c r="O4338" s="13" t="n">
        <x:f>F4338/E4338</x:f>
        <x:v>0</x:v>
      </x:c>
      <x:c r="P4338" s="2" t="str">
        <x:f>IF(AND(E4338&gt;='Итоги'!$F$5,N4338&lt;='Итоги'!$B$5,O4338&gt;='Итоги'!$D$5),"Да","Нет")</x:f>
        <x:v>Нет</x:v>
      </x:c>
    </x:row>
    <x:row r="4339" ht="60" customHeight="1">
      <x:c r="A4339" s="14" t="str">
        <x:v>Аптека</x:v>
      </x:c>
      <x:c r="B4339" s="14" t="str">
        <x:v>Медицинские изделия</x:v>
      </x:c>
      <x:c r="C4339" s="14" t="str">
        <x:v>Расходные медицинские материалы</x:v>
      </x:c>
      <x:c r="D4339" s="14" t="str">
        <x:v>Набор расходных медицинских материалов</x:v>
      </x:c>
      <x:c r="E4339" s="2" t="n">
        <x:v>1</x:v>
      </x:c>
      <x:c r="F4339" s="2" t="n">
        <x:v>0</x:v>
      </x:c>
      <x:c r="G4339" s="12" t="n">
        <x:v>431922.08</x:v>
      </x:c>
      <x:c r="H4339" s="12" t="n">
        <x:v>65997.693824</x:v>
      </x:c>
      <x:c r="I4339" s="13" t="n">
        <x:v>0.1528</x:v>
      </x:c>
      <x:c r="J4339" s="2" t="n">
        <x:v>0</x:v>
      </x:c>
      <x:c r="K4339" s="2" t="n">
        <x:v>1</x:v>
      </x:c>
      <x:c r="L4339" s="12" t="n">
        <x:v>918.9831</x:v>
      </x:c>
      <x:c r="M4339" s="13" t="n">
        <x:v>1</x:v>
      </x:c>
      <x:c r="N4339" s="13" t="n">
        <x:f>H4339/G4339</x:f>
        <x:v>0.1528</x:v>
      </x:c>
      <x:c r="O4339" s="13" t="n">
        <x:f>F4339/E4339</x:f>
        <x:v>0</x:v>
      </x:c>
      <x:c r="P4339" s="2" t="str">
        <x:f>IF(AND(E4339&gt;='Итоги'!$F$5,N4339&lt;='Итоги'!$B$5,O4339&gt;='Итоги'!$D$5),"Да","Нет")</x:f>
        <x:v>Нет</x:v>
      </x:c>
    </x:row>
    <x:row r="4340" ht="60" customHeight="1">
      <x:c r="A4340" s="14" t="str">
        <x:v>Товары для животных</x:v>
      </x:c>
      <x:c r="B4340" s="14" t="str">
        <x:v>Гигиена и уход животных</x:v>
      </x:c>
      <x:c r="C4340" s="14" t="str">
        <x:v>Ветеринарные изделия</x:v>
      </x:c>
      <x:c r="D4340" s="14" t="str">
        <x:v>Воротники ветеринарные</x:v>
      </x:c>
      <x:c r="E4340" s="2" t="n">
        <x:v>1</x:v>
      </x:c>
      <x:c r="F4340" s="2" t="n">
        <x:v>0</x:v>
      </x:c>
      <x:c r="G4340" s="12" t="n">
        <x:v>88302.052</x:v>
      </x:c>
      <x:c r="H4340" s="12" t="n">
        <x:v>13492.553545599998</x:v>
      </x:c>
      <x:c r="I4340" s="13" t="n">
        <x:v>0.1528</x:v>
      </x:c>
      <x:c r="J4340" s="2" t="n">
        <x:v>0</x:v>
      </x:c>
      <x:c r="K4340" s="2" t="n">
        <x:v>1</x:v>
      </x:c>
      <x:c r="L4340" s="12" t="n">
        <x:v>1014.9661</x:v>
      </x:c>
      <x:c r="M4340" s="13" t="n">
        <x:v>1</x:v>
      </x:c>
      <x:c r="N4340" s="13" t="n">
        <x:f>H4340/G4340</x:f>
        <x:v>0.1528</x:v>
      </x:c>
      <x:c r="O4340" s="13" t="n">
        <x:f>F4340/E4340</x:f>
        <x:v>0</x:v>
      </x:c>
      <x:c r="P4340" s="2" t="str">
        <x:f>IF(AND(E4340&gt;='Итоги'!$F$5,N4340&lt;='Итоги'!$B$5,O4340&gt;='Итоги'!$D$5),"Да","Нет")</x:f>
        <x:v>Нет</x:v>
      </x:c>
    </x:row>
    <x:row r="4341" ht="60" customHeight="1">
      <x:c r="A4341" s="14" t="str">
        <x:v>Аксессуары для электроники</x:v>
      </x:c>
      <x:c r="B4341" s="14" t="str">
        <x:v>Аксессуары для мобильных устройств Access</x:v>
      </x:c>
      <x:c r="C4341" s="14" t="str">
        <x:v>Аксессуары для смартфонов Access</x:v>
      </x:c>
      <x:c r="D4341" s="14" t="str">
        <x:v>Объектив для смартфона</x:v>
      </x:c>
      <x:c r="E4341" s="2" t="n">
        <x:v>6</x:v>
      </x:c>
      <x:c r="F4341" s="2" t="n">
        <x:v>0</x:v>
      </x:c>
      <x:c r="G4341" s="12" t="n">
        <x:v>695314.6004</x:v>
      </x:c>
      <x:c r="H4341" s="12" t="n">
        <x:v>106316.91538936</x:v>
      </x:c>
      <x:c r="I4341" s="13" t="n">
        <x:v>0.1339499999999999</x:v>
      </x:c>
      <x:c r="J4341" s="2" t="n">
        <x:v>1</x:v>
      </x:c>
      <x:c r="K4341" s="2" t="n">
        <x:v>6</x:v>
      </x:c>
      <x:c r="L4341" s="12" t="n">
        <x:v>1062.9985</x:v>
      </x:c>
      <x:c r="M4341" s="13" t="n">
        <x:v>0.2958164121416024</x:v>
      </x:c>
      <x:c r="N4341" s="13" t="n">
        <x:f>H4341/G4341</x:f>
        <x:v>0.15290476473268086</x:v>
      </x:c>
      <x:c r="O4341" s="13" t="n">
        <x:f>F4341/E4341</x:f>
        <x:v>0</x:v>
      </x:c>
      <x:c r="P4341" s="2" t="str">
        <x:f>IF(AND(E4341&gt;='Итоги'!$F$5,N4341&lt;='Итоги'!$B$5,O4341&gt;='Итоги'!$D$5),"Да","Нет")</x:f>
        <x:v>Нет</x:v>
      </x:c>
    </x:row>
    <x:row r="4342" ht="60" customHeight="1">
      <x:c r="A4342" s="14" t="str">
        <x:v>Товары для дома</x:v>
      </x:c>
      <x:c r="B4342" s="14" t="str">
        <x:v>Кухня</x:v>
      </x:c>
      <x:c r="C4342" s="14" t="str">
        <x:v>Посуда для приготовления пищи</x:v>
      </x:c>
      <x:c r="D4342" s="14" t="str">
        <x:v>Термометр кулинарный</x:v>
      </x:c>
      <x:c r="E4342" s="2" t="n">
        <x:v>18</x:v>
      </x:c>
      <x:c r="F4342" s="2" t="n">
        <x:v>0</x:v>
      </x:c>
      <x:c r="G4342" s="12" t="n">
        <x:v>3102784.7916</x:v>
      </x:c>
      <x:c r="H4342" s="12" t="n">
        <x:v>474939.40057316</x:v>
      </x:c>
      <x:c r="I4342" s="13" t="n">
        <x:v>0.1433111111111111</x:v>
      </x:c>
      <x:c r="J4342" s="2" t="n">
        <x:v>1</x:v>
      </x:c>
      <x:c r="K4342" s="2" t="n">
        <x:v>5</x:v>
      </x:c>
      <x:c r="L4342" s="12" t="n">
        <x:v>1195.8069</x:v>
      </x:c>
      <x:c r="M4342" s="13" t="n">
        <x:v>0.4430929310089376</x:v>
      </x:c>
      <x:c r="N4342" s="13" t="n">
        <x:f>H4342/G4342</x:f>
        <x:v>0.15306875354647137</x:v>
      </x:c>
      <x:c r="O4342" s="13" t="n">
        <x:f>F4342/E4342</x:f>
        <x:v>0</x:v>
      </x:c>
      <x:c r="P4342" s="2" t="str">
        <x:f>IF(AND(E4342&gt;='Итоги'!$F$5,N4342&lt;='Итоги'!$B$5,O4342&gt;='Итоги'!$D$5),"Да","Нет")</x:f>
        <x:v>Нет</x:v>
      </x:c>
    </x:row>
    <x:row r="4343" ht="60" customHeight="1">
      <x:c r="A4343" s="14" t="str">
        <x:v>Аптека</x:v>
      </x:c>
      <x:c r="B4343" s="14" t="str">
        <x:v>Средства реабилитации</x:v>
      </x:c>
      <x:c r="C4343" s="14" t="str">
        <x:v>Средства реабилитации</x:v>
      </x:c>
      <x:c r="D4343" s="14" t="str">
        <x:v>Протезирование и аксессуары</x:v>
      </x:c>
      <x:c r="E4343" s="2" t="n">
        <x:v>1</x:v>
      </x:c>
      <x:c r="F4343" s="2" t="n">
        <x:v>0</x:v>
      </x:c>
      <x:c r="G4343" s="12" t="n">
        <x:v>123215</x:v>
      </x:c>
      <x:c r="H4343" s="12" t="n">
        <x:v>18888.8595</x:v>
      </x:c>
      <x:c r="I4343" s="13" t="n">
        <x:v>0.1533</x:v>
      </x:c>
      <x:c r="J4343" s="2" t="n">
        <x:v>0</x:v>
      </x:c>
      <x:c r="K4343" s="2" t="n">
        <x:v>1</x:v>
      </x:c>
      <x:c r="L4343" s="12" t="n">
        <x:v>3974.6774</x:v>
      </x:c>
      <x:c r="M4343" s="13" t="n">
        <x:v>1</x:v>
      </x:c>
      <x:c r="N4343" s="13" t="n">
        <x:f>H4343/G4343</x:f>
        <x:v>0.1533</x:v>
      </x:c>
      <x:c r="O4343" s="13" t="n">
        <x:f>F4343/E4343</x:f>
        <x:v>0</x:v>
      </x:c>
      <x:c r="P4343" s="2" t="str">
        <x:f>IF(AND(E4343&gt;='Итоги'!$F$5,N4343&lt;='Итоги'!$B$5,O4343&gt;='Итоги'!$D$5),"Да","Нет")</x:f>
        <x:v>Нет</x:v>
      </x:c>
    </x:row>
    <x:row r="4344" ht="60" customHeight="1">
      <x:c r="A4344" s="14" t="str">
        <x:v>Аптека</x:v>
      </x:c>
      <x:c r="B4344" s="14" t="str">
        <x:v>Электронные сигареты, парители, кальяны</x:v>
      </x:c>
      <x:c r="C4344" s="14" t="str">
        <x:v>Аксессуары для кальяна</x:v>
      </x:c>
      <x:c r="D4344" s="14" t="str">
        <x:v>Столики, подставки и прочее для кальяна</x:v>
      </x:c>
      <x:c r="E4344" s="2" t="n">
        <x:v>1</x:v>
      </x:c>
      <x:c r="F4344" s="2" t="n">
        <x:v>0</x:v>
      </x:c>
      <x:c r="G4344" s="12" t="n">
        <x:v>150800.6293</x:v>
      </x:c>
      <x:c r="H4344" s="12" t="n">
        <x:v>23162.97666048</x:v>
      </x:c>
      <x:c r="I4344" s="13" t="n">
        <x:v>0.1536</x:v>
      </x:c>
      <x:c r="J4344" s="2" t="n">
        <x:v>0</x:v>
      </x:c>
      <x:c r="K4344" s="2" t="n">
        <x:v>1</x:v>
      </x:c>
      <x:c r="L4344" s="12" t="n">
        <x:v>1694.3891</x:v>
      </x:c>
      <x:c r="M4344" s="13" t="n">
        <x:v>1</x:v>
      </x:c>
      <x:c r="N4344" s="13" t="n">
        <x:f>H4344/G4344</x:f>
        <x:v>0.1536</x:v>
      </x:c>
      <x:c r="O4344" s="13" t="n">
        <x:f>F4344/E4344</x:f>
        <x:v>0</x:v>
      </x:c>
      <x:c r="P4344" s="2" t="str">
        <x:f>IF(AND(E4344&gt;='Итоги'!$F$5,N4344&lt;='Итоги'!$B$5,O4344&gt;='Итоги'!$D$5),"Да","Нет")</x:f>
        <x:v>Нет</x:v>
      </x:c>
    </x:row>
    <x:row r="4345" ht="60" customHeight="1">
      <x:c r="A4345" s="14" t="str">
        <x:v>Спорт и отдых</x:v>
      </x:c>
      <x:c r="B4345" s="14" t="str">
        <x:v>Колесный транспорт</x:v>
      </x:c>
      <x:c r="C4345" s="14" t="str">
        <x:v>Запчасти для велосипеда</x:v>
      </x:c>
      <x:c r="D4345" s="14" t="str">
        <x:v>Вилка для велосипеда</x:v>
      </x:c>
      <x:c r="E4345" s="2" t="n">
        <x:v>10</x:v>
      </x:c>
      <x:c r="F4345" s="2" t="n">
        <x:v>0</x:v>
      </x:c>
      <x:c r="G4345" s="12" t="n">
        <x:v>1562835.1956</x:v>
      </x:c>
      <x:c r="H4345" s="12" t="n">
        <x:v>240287.18836019</x:v>
      </x:c>
      <x:c r="I4345" s="13" t="n">
        <x:v>0.14365</x:v>
      </x:c>
      <x:c r="J4345" s="2" t="n">
        <x:v>0</x:v>
      </x:c>
      <x:c r="K4345" s="2" t="n">
        <x:v>1</x:v>
      </x:c>
      <x:c r="L4345" s="12" t="n">
        <x:v>5108.8223</x:v>
      </x:c>
      <x:c r="M4345" s="13" t="n">
        <x:v>1</x:v>
      </x:c>
      <x:c r="N4345" s="13" t="n">
        <x:f>H4345/G4345</x:f>
        <x:v>0.15375081712818703</x:v>
      </x:c>
      <x:c r="O4345" s="13" t="n">
        <x:f>F4345/E4345</x:f>
        <x:v>0</x:v>
      </x:c>
      <x:c r="P4345" s="2" t="str">
        <x:f>IF(AND(E4345&gt;='Итоги'!$F$5,N4345&lt;='Итоги'!$B$5,O4345&gt;='Итоги'!$D$5),"Да","Нет")</x:f>
        <x:v>Нет</x:v>
      </x:c>
    </x:row>
    <x:row r="4346" ht="60" customHeight="1">
      <x:c r="A4346" s="14" t="str">
        <x:v>Одежда</x:v>
      </x:c>
      <x:c r="B4346" s="14" t="str">
        <x:v>Белье, домашняя одежда и ЧНИ</x:v>
      </x:c>
      <x:c r="C4346" s="14" t="str">
        <x:v>Домашняя одежда мужская</x:v>
      </x:c>
      <x:c r="D4346" s="14" t="str">
        <x:v>Маска для сна</x:v>
      </x:c>
      <x:c r="E4346" s="2" t="n">
        <x:v>13</x:v>
      </x:c>
      <x:c r="F4346" s="2" t="n">
        <x:v>0</x:v>
      </x:c>
      <x:c r="G4346" s="12" t="n">
        <x:v>1598797.7697</x:v>
      </x:c>
      <x:c r="H4346" s="12" t="n">
        <x:v>246047.01511183</x:v>
      </x:c>
      <x:c r="I4346" s="13" t="n">
        <x:v>0.1618153846153846</x:v>
      </x:c>
      <x:c r="J4346" s="2" t="n">
        <x:v>0</x:v>
      </x:c>
      <x:c r="K4346" s="2" t="n">
        <x:v>8</x:v>
      </x:c>
      <x:c r="L4346" s="12" t="n">
        <x:v>1157.6104</x:v>
      </x:c>
      <x:c r="M4346" s="13" t="n">
        <x:v>0.3261450439712857</x:v>
      </x:c>
      <x:c r="N4346" s="13" t="n">
        <x:f>H4346/G4346</x:f>
        <x:v>0.1538950202301061</x:v>
      </x:c>
      <x:c r="O4346" s="13" t="n">
        <x:f>F4346/E4346</x:f>
        <x:v>0</x:v>
      </x:c>
      <x:c r="P4346" s="2" t="str">
        <x:f>IF(AND(E4346&gt;='Итоги'!$F$5,N4346&lt;='Итоги'!$B$5,O4346&gt;='Итоги'!$D$5),"Да","Нет")</x:f>
        <x:v>Нет</x:v>
      </x:c>
    </x:row>
    <x:row r="4347" ht="60" customHeight="1">
      <x:c r="A4347" s="14" t="str">
        <x:v>Товары для дома</x:v>
      </x:c>
      <x:c r="B4347" s="14" t="str">
        <x:v>Интерьер и декор</x:v>
      </x:c>
      <x:c r="C4347" s="14" t="str">
        <x:v>Сувенирная продукция</x:v>
      </x:c>
      <x:c r="D4347" s="14" t="str">
        <x:v>Сувенирная продукция по индивидуальному дизайну</x:v>
      </x:c>
      <x:c r="E4347" s="2" t="n">
        <x:v>1</x:v>
      </x:c>
      <x:c r="F4347" s="2" t="n">
        <x:v>0</x:v>
      </x:c>
      <x:c r="G4347" s="12" t="n">
        <x:v>138360.62</x:v>
      </x:c>
      <x:c r="H4347" s="12" t="n">
        <x:v>21307.53548</x:v>
      </x:c>
      <x:c r="I4347" s="13" t="n">
        <x:v>0.154</x:v>
      </x:c>
      <x:c r="J4347" s="2" t="n">
        <x:v>0</x:v>
      </x:c>
      <x:c r="K4347" s="2" t="n">
        <x:v>1</x:v>
      </x:c>
      <x:c r="L4347" s="12" t="n">
        <x:v>1134.1034</x:v>
      </x:c>
      <x:c r="M4347" s="13" t="n">
        <x:v>1</x:v>
      </x:c>
      <x:c r="N4347" s="13" t="n">
        <x:f>H4347/G4347</x:f>
        <x:v>0.154</x:v>
      </x:c>
      <x:c r="O4347" s="13" t="n">
        <x:f>F4347/E4347</x:f>
        <x:v>0</x:v>
      </x:c>
      <x:c r="P4347" s="2" t="str">
        <x:f>IF(AND(E4347&gt;='Итоги'!$F$5,N4347&lt;='Итоги'!$B$5,O4347&gt;='Итоги'!$D$5),"Да","Нет")</x:f>
        <x:v>Нет</x:v>
      </x:c>
    </x:row>
    <x:row r="4348" ht="60" customHeight="1">
      <x:c r="A4348" s="14" t="str">
        <x:v>Спорт и отдых</x:v>
      </x:c>
      <x:c r="B4348" s="14" t="str">
        <x:v>Тренажеры и фитнес</x:v>
      </x:c>
      <x:c r="C4348" s="14" t="str">
        <x:v>Фитнес</x:v>
      </x:c>
      <x:c r="D4348" s="14" t="str">
        <x:v>Бодибар</x:v>
      </x:c>
      <x:c r="E4348" s="2" t="n">
        <x:v>1</x:v>
      </x:c>
      <x:c r="F4348" s="2" t="n">
        <x:v>0</x:v>
      </x:c>
      <x:c r="G4348" s="12" t="n">
        <x:v>45426</x:v>
      </x:c>
      <x:c r="H4348" s="12" t="n">
        <x:v>7000.146599999999</x:v>
      </x:c>
      <x:c r="I4348" s="13" t="n">
        <x:v>0.1541</x:v>
      </x:c>
      <x:c r="J4348" s="2" t="n">
        <x:v>0</x:v>
      </x:c>
      <x:c r="K4348" s="2" t="n">
        <x:v>1</x:v>
      </x:c>
      <x:c r="L4348" s="12" t="n">
        <x:v>1419.5625</x:v>
      </x:c>
      <x:c r="M4348" s="13" t="n">
        <x:v>1</x:v>
      </x:c>
      <x:c r="N4348" s="13" t="n">
        <x:f>H4348/G4348</x:f>
        <x:v>0.1541</x:v>
      </x:c>
      <x:c r="O4348" s="13" t="n">
        <x:f>F4348/E4348</x:f>
        <x:v>0</x:v>
      </x:c>
      <x:c r="P4348" s="2" t="str">
        <x:f>IF(AND(E4348&gt;='Итоги'!$F$5,N4348&lt;='Итоги'!$B$5,O4348&gt;='Итоги'!$D$5),"Да","Нет")</x:f>
        <x:v>Нет</x:v>
      </x:c>
    </x:row>
    <x:row r="4349" ht="60" customHeight="1">
      <x:c r="A4349" s="14" t="str">
        <x:v>Товары для детей и спорта</x:v>
      </x:c>
      <x:c r="B4349" s="14" t="str">
        <x:v>КГТ и аксессуары для детей</x:v>
      </x:c>
      <x:c r="C4349" s="14" t="str">
        <x:v>Детская мебель и аксессуары в дом</x:v>
      </x:c>
      <x:c r="D4349" s="14" t="str">
        <x:v>Ночник для малышей/новорожденных</x:v>
      </x:c>
      <x:c r="E4349" s="2" t="n">
        <x:v>7</x:v>
      </x:c>
      <x:c r="F4349" s="2" t="n">
        <x:v>0</x:v>
      </x:c>
      <x:c r="G4349" s="12" t="n">
        <x:v>677839.5072</x:v>
      </x:c>
      <x:c r="H4349" s="12" t="n">
        <x:v>104897.2107584</x:v>
      </x:c>
      <x:c r="I4349" s="13" t="n">
        <x:v>0.1347</x:v>
      </x:c>
      <x:c r="J4349" s="2" t="n">
        <x:v>1</x:v>
      </x:c>
      <x:c r="K4349" s="2" t="n">
        <x:v>3</x:v>
      </x:c>
      <x:c r="L4349" s="12" t="n">
        <x:v>988.5837</x:v>
      </x:c>
      <x:c r="M4349" s="13" t="n">
        <x:v>0.8064173029069498</x:v>
      </x:c>
      <x:c r="N4349" s="13" t="n">
        <x:f>H4349/G4349</x:f>
        <x:v>0.15475228227948293</x:v>
      </x:c>
      <x:c r="O4349" s="13" t="n">
        <x:f>F4349/E4349</x:f>
        <x:v>0</x:v>
      </x:c>
      <x:c r="P4349" s="2" t="str">
        <x:f>IF(AND(E4349&gt;='Итоги'!$F$5,N4349&lt;='Итоги'!$B$5,O4349&gt;='Итоги'!$D$5),"Да","Нет")</x:f>
        <x:v>Нет</x:v>
      </x:c>
    </x:row>
    <x:row r="4350" ht="60" customHeight="1">
      <x:c r="A4350" s="14" t="str">
        <x:v>Спорт и отдых</x:v>
      </x:c>
      <x:c r="B4350" s="14" t="str">
        <x:v>Товары для рыбалки</x:v>
      </x:c>
      <x:c r="C4350" s="14" t="str">
        <x:v>Оснастка рыболовная</x:v>
      </x:c>
      <x:c r="D4350" s="14" t="str">
        <x:v>Крючок рыболовный</x:v>
      </x:c>
      <x:c r="E4350" s="2" t="n">
        <x:v>1</x:v>
      </x:c>
      <x:c r="F4350" s="2" t="n">
        <x:v>0</x:v>
      </x:c>
      <x:c r="G4350" s="12" t="n">
        <x:v>143498.77</x:v>
      </x:c>
      <x:c r="H4350" s="12" t="n">
        <x:v>22213.609596</x:v>
      </x:c>
      <x:c r="I4350" s="13" t="n">
        <x:v>0.1548</x:v>
      </x:c>
      <x:c r="J4350" s="2" t="n">
        <x:v>0</x:v>
      </x:c>
      <x:c r="K4350" s="2" t="n">
        <x:v>1</x:v>
      </x:c>
      <x:c r="L4350" s="12" t="n">
        <x:v>1993.0385</x:v>
      </x:c>
      <x:c r="M4350" s="13" t="n">
        <x:v>1</x:v>
      </x:c>
      <x:c r="N4350" s="13" t="n">
        <x:f>H4350/G4350</x:f>
        <x:v>0.1548</x:v>
      </x:c>
      <x:c r="O4350" s="13" t="n">
        <x:f>F4350/E4350</x:f>
        <x:v>0</x:v>
      </x:c>
      <x:c r="P4350" s="2" t="str">
        <x:f>IF(AND(E4350&gt;='Итоги'!$F$5,N4350&lt;='Итоги'!$B$5,O4350&gt;='Итоги'!$D$5),"Да","Нет")</x:f>
        <x:v>Нет</x:v>
      </x:c>
    </x:row>
    <x:row r="4351" ht="60" customHeight="1">
      <x:c r="A4351" s="14" t="str">
        <x:v>Товары для красоты и здоровья</x:v>
      </x:c>
      <x:c r="B4351" s="14" t="str">
        <x:v>Косметическая техника</x:v>
      </x:c>
      <x:c r="C4351" s="14" t="str">
        <x:v>Приборы для косметических процедур</x:v>
      </x:c>
      <x:c r="D4351" s="14" t="str">
        <x:v>Комплектующие для маникюрно-педикюрного аппарата</x:v>
      </x:c>
      <x:c r="E4351" s="2" t="n">
        <x:v>1</x:v>
      </x:c>
      <x:c r="F4351" s="2" t="n">
        <x:v>0</x:v>
      </x:c>
      <x:c r="G4351" s="12" t="n">
        <x:v>118859.17</x:v>
      </x:c>
      <x:c r="H4351" s="12" t="n">
        <x:v>18423.17135</x:v>
      </x:c>
      <x:c r="I4351" s="13" t="n">
        <x:v>0.155</x:v>
      </x:c>
      <x:c r="J4351" s="2" t="n">
        <x:v>0</x:v>
      </x:c>
      <x:c r="K4351" s="2" t="n">
        <x:v>1</x:v>
      </x:c>
      <x:c r="L4351" s="12" t="n">
        <x:v>1200.5977</x:v>
      </x:c>
      <x:c r="M4351" s="13" t="n">
        <x:v>1</x:v>
      </x:c>
      <x:c r="N4351" s="13" t="n">
        <x:f>H4351/G4351</x:f>
        <x:v>0.155</x:v>
      </x:c>
      <x:c r="O4351" s="13" t="n">
        <x:f>F4351/E4351</x:f>
        <x:v>0</x:v>
      </x:c>
      <x:c r="P4351" s="2" t="str">
        <x:f>IF(AND(E4351&gt;='Итоги'!$F$5,N4351&lt;='Итоги'!$B$5,O4351&gt;='Итоги'!$D$5),"Да","Нет")</x:f>
        <x:v>Нет</x:v>
      </x:c>
    </x:row>
    <x:row r="4352" ht="60" customHeight="1">
      <x:c r="A4352" s="14" t="str">
        <x:v>Спорт и отдых</x:v>
      </x:c>
      <x:c r="B4352" s="14" t="str">
        <x:v>Товары для рыбалки</x:v>
      </x:c>
      <x:c r="C4352" s="14" t="str">
        <x:v>Приманки рыболовные</x:v>
      </x:c>
      <x:c r="D4352" s="14" t="str">
        <x:v>Воблер, поппер, раттлин рыболовные</x:v>
      </x:c>
      <x:c r="E4352" s="2" t="n">
        <x:v>40</x:v>
      </x:c>
      <x:c r="F4352" s="2" t="n">
        <x:v>0</x:v>
      </x:c>
      <x:c r="G4352" s="12" t="n">
        <x:v>5724458.5988</x:v>
      </x:c>
      <x:c r="H4352" s="12" t="n">
        <x:v>887470.96075193</x:v>
      </x:c>
      <x:c r="I4352" s="13" t="n">
        <x:v>0.13985</x:v>
      </x:c>
      <x:c r="J4352" s="2" t="n">
        <x:v>4</x:v>
      </x:c>
      <x:c r="K4352" s="2" t="n">
        <x:v>19</x:v>
      </x:c>
      <x:c r="L4352" s="12" t="n">
        <x:v>956.94745</x:v>
      </x:c>
      <x:c r="M4352" s="13" t="n">
        <x:v>0.2550171520160912</x:v>
      </x:c>
      <x:c r="N4352" s="13" t="n">
        <x:f>H4352/G4352</x:f>
        <x:v>0.15503142269872783</x:v>
      </x:c>
      <x:c r="O4352" s="13" t="n">
        <x:f>F4352/E4352</x:f>
        <x:v>0</x:v>
      </x:c>
      <x:c r="P4352" s="2" t="str">
        <x:f>IF(AND(E4352&gt;='Итоги'!$F$5,N4352&lt;='Итоги'!$B$5,O4352&gt;='Итоги'!$D$5),"Да","Нет")</x:f>
        <x:v>Нет</x:v>
      </x:c>
    </x:row>
    <x:row r="4353" ht="60" customHeight="1">
      <x:c r="A4353" s="14" t="str">
        <x:v>Аксессуары</x:v>
      </x:c>
      <x:c r="B4353" s="14" t="str">
        <x:v>Галантерея</x:v>
      </x:c>
      <x:c r="C4353" s="14" t="str">
        <x:v>Галантерея женская</x:v>
      </x:c>
      <x:c r="D4353" s="14" t="str">
        <x:v>Обложка для документов</x:v>
      </x:c>
      <x:c r="E4353" s="2" t="n">
        <x:v>12</x:v>
      </x:c>
      <x:c r="F4353" s="2" t="n">
        <x:v>0</x:v>
      </x:c>
      <x:c r="G4353" s="12" t="n">
        <x:v>1539309.8842</x:v>
      </x:c>
      <x:c r="H4353" s="12" t="n">
        <x:v>238851.06050012</x:v>
      </x:c>
      <x:c r="I4353" s="13" t="n">
        <x:v>0.137125</x:v>
      </x:c>
      <x:c r="J4353" s="2" t="n">
        <x:v>3</x:v>
      </x:c>
      <x:c r="K4353" s="2" t="n">
        <x:v>8</x:v>
      </x:c>
      <x:c r="L4353" s="12" t="n">
        <x:v>1257.1273</x:v>
      </x:c>
      <x:c r="M4353" s="13" t="n">
        <x:v>0.3605842629201769</x:v>
      </x:c>
      <x:c r="N4353" s="13" t="n">
        <x:f>H4353/G4353</x:f>
        <x:v>0.1551676260587738</x:v>
      </x:c>
      <x:c r="O4353" s="13" t="n">
        <x:f>F4353/E4353</x:f>
        <x:v>0</x:v>
      </x:c>
      <x:c r="P4353" s="2" t="str">
        <x:f>IF(AND(E4353&gt;='Итоги'!$F$5,N4353&lt;='Итоги'!$B$5,O4353&gt;='Итоги'!$D$5),"Да","Нет")</x:f>
        <x:v>Нет</x:v>
      </x:c>
    </x:row>
    <x:row r="4354" ht="60" customHeight="1">
      <x:c r="A4354" s="14" t="str">
        <x:v>Строительство и ремонт (DIY)</x:v>
      </x:c>
      <x:c r="B4354" s="14" t="str">
        <x:v>Сад и огород</x:v>
      </x:c>
      <x:c r="C4354" s="14" t="str">
        <x:v>Садовая химия</x:v>
      </x:c>
      <x:c r="D4354" s="14" t="str">
        <x:v>Механическое, электронное средство для защиты от грызунов, насекомых, змей, птиц</x:v>
      </x:c>
      <x:c r="E4354" s="2" t="n">
        <x:v>43</x:v>
      </x:c>
      <x:c r="F4354" s="2" t="n">
        <x:v>0</x:v>
      </x:c>
      <x:c r="G4354" s="12" t="n">
        <x:v>8101097.5872</x:v>
      </x:c>
      <x:c r="H4354" s="12" t="n">
        <x:v>1257823.78254703</x:v>
      </x:c>
      <x:c r="I4354" s="13" t="n">
        <x:v>0.1526093023255814</x:v>
      </x:c>
      <x:c r="J4354" s="2" t="n">
        <x:v>4</x:v>
      </x:c>
      <x:c r="K4354" s="2" t="n">
        <x:v>24</x:v>
      </x:c>
      <x:c r="L4354" s="12" t="n">
        <x:v>1109.5073</x:v>
      </x:c>
      <x:c r="M4354" s="13" t="n">
        <x:v>0.2990903879899382</x:v>
      </x:c>
      <x:c r="N4354" s="13" t="n">
        <x:f>H4354/G4354</x:f>
        <x:v>0.15526584749879235</x:v>
      </x:c>
      <x:c r="O4354" s="13" t="n">
        <x:f>F4354/E4354</x:f>
        <x:v>0</x:v>
      </x:c>
      <x:c r="P4354" s="2" t="str">
        <x:f>IF(AND(E4354&gt;='Итоги'!$F$5,N4354&lt;='Итоги'!$B$5,O4354&gt;='Итоги'!$D$5),"Да","Нет")</x:f>
        <x:v>Нет</x:v>
      </x:c>
    </x:row>
    <x:row r="4355" ht="60" customHeight="1">
      <x:c r="A4355" s="14" t="str">
        <x:v>Аксессуары</x:v>
      </x:c>
      <x:c r="B4355" s="14" t="str">
        <x:v>Аксессуары</x:v>
      </x:c>
      <x:c r="C4355" s="14" t="str">
        <x:v>Аксессуары и уход для обуви</x:v>
      </x:c>
      <x:c r="D4355" s="14" t="str">
        <x:v>Очиститель для обуви</x:v>
      </x:c>
      <x:c r="E4355" s="2" t="n">
        <x:v>7</x:v>
      </x:c>
      <x:c r="F4355" s="2" t="n">
        <x:v>0</x:v>
      </x:c>
      <x:c r="G4355" s="12" t="n">
        <x:v>1143149.0525</x:v>
      </x:c>
      <x:c r="H4355" s="12" t="n">
        <x:v>177602.47156729</x:v>
      </x:c>
      <x:c r="I4355" s="13" t="n">
        <x:v>0.1601142857142857</x:v>
      </x:c>
      <x:c r="J4355" s="2" t="n">
        <x:v>0</x:v>
      </x:c>
      <x:c r="K4355" s="2" t="n">
        <x:v>3</x:v>
      </x:c>
      <x:c r="L4355" s="12" t="n">
        <x:v>855.0242</x:v>
      </x:c>
      <x:c r="M4355" s="13" t="n">
        <x:v>0.5052846523703872</x:v>
      </x:c>
      <x:c r="N4355" s="13" t="n">
        <x:f>H4355/G4355</x:f>
        <x:v>0.15536247979113815</x:v>
      </x:c>
      <x:c r="O4355" s="13" t="n">
        <x:f>F4355/E4355</x:f>
        <x:v>0</x:v>
      </x:c>
      <x:c r="P4355" s="2" t="str">
        <x:f>IF(AND(E4355&gt;='Итоги'!$F$5,N4355&lt;='Итоги'!$B$5,O4355&gt;='Итоги'!$D$5),"Да","Нет")</x:f>
        <x:v>Нет</x:v>
      </x:c>
    </x:row>
    <x:row r="4356" ht="60" customHeight="1">
      <x:c r="A4356" s="14" t="str">
        <x:v>Товары для дома</x:v>
      </x:c>
      <x:c r="B4356" s="14" t="str">
        <x:v>Интерьер и декор</x:v>
      </x:c>
      <x:c r="C4356" s="14" t="str">
        <x:v>Религиозные товары</x:v>
      </x:c>
      <x:c r="D4356" s="14" t="str">
        <x:v>Священное масло, миро</x:v>
      </x:c>
      <x:c r="E4356" s="2" t="n">
        <x:v>3</x:v>
      </x:c>
      <x:c r="F4356" s="2" t="n">
        <x:v>0</x:v>
      </x:c>
      <x:c r="G4356" s="12" t="n">
        <x:v>276296.44</x:v>
      </x:c>
      <x:c r="H4356" s="12" t="n">
        <x:v>42954.029732</x:v>
      </x:c>
      <x:c r="I4356" s="13" t="n">
        <x:v>0.1547333333333333</x:v>
      </x:c>
      <x:c r="J4356" s="2" t="n">
        <x:v>0</x:v>
      </x:c>
      <x:c r="K4356" s="2" t="n">
        <x:v>2</x:v>
      </x:c>
      <x:c r="L4356" s="12" t="n">
        <x:v>2673.2332</x:v>
      </x:c>
      <x:c r="M4356" s="13" t="n">
        <x:v>0.8161705232249826</x:v>
      </x:c>
      <x:c r="N4356" s="13" t="n">
        <x:f>H4356/G4356</x:f>
        <x:v>0.1554635656253841</x:v>
      </x:c>
      <x:c r="O4356" s="13" t="n">
        <x:f>F4356/E4356</x:f>
        <x:v>0</x:v>
      </x:c>
      <x:c r="P4356" s="2" t="str">
        <x:f>IF(AND(E4356&gt;='Итоги'!$F$5,N4356&lt;='Итоги'!$B$5,O4356&gt;='Итоги'!$D$5),"Да","Нет")</x:f>
        <x:v>Нет</x:v>
      </x:c>
    </x:row>
    <x:row r="4357" ht="60" customHeight="1">
      <x:c r="A4357" s="14" t="str">
        <x:v>Товары для животных</x:v>
      </x:c>
      <x:c r="B4357" s="14" t="str">
        <x:v>Гигиена и уход животных</x:v>
      </x:c>
      <x:c r="C4357" s="14" t="str">
        <x:v>Уход за животными</x:v>
      </x:c>
      <x:c r="D4357" s="14" t="str">
        <x:v>Парфюм для животных</x:v>
      </x:c>
      <x:c r="E4357" s="2" t="n">
        <x:v>1</x:v>
      </x:c>
      <x:c r="F4357" s="2" t="n">
        <x:v>0</x:v>
      </x:c>
      <x:c r="G4357" s="12" t="n">
        <x:v>121429</x:v>
      </x:c>
      <x:c r="H4357" s="12" t="n">
        <x:v>18894.3524</x:v>
      </x:c>
      <x:c r="I4357" s="13" t="n">
        <x:v>0.1556</x:v>
      </x:c>
      <x:c r="J4357" s="2" t="n">
        <x:v>0</x:v>
      </x:c>
      <x:c r="K4357" s="2" t="n">
        <x:v>1</x:v>
      </x:c>
      <x:c r="L4357" s="12" t="n">
        <x:v>867.35</x:v>
      </x:c>
      <x:c r="M4357" s="13" t="n">
        <x:v>1</x:v>
      </x:c>
      <x:c r="N4357" s="13" t="n">
        <x:f>H4357/G4357</x:f>
        <x:v>0.1556</x:v>
      </x:c>
      <x:c r="O4357" s="13" t="n">
        <x:f>F4357/E4357</x:f>
        <x:v>0</x:v>
      </x:c>
      <x:c r="P4357" s="2" t="str">
        <x:f>IF(AND(E4357&gt;='Итоги'!$F$5,N4357&lt;='Итоги'!$B$5,O4357&gt;='Итоги'!$D$5),"Да","Нет")</x:f>
        <x:v>Нет</x:v>
      </x:c>
    </x:row>
    <x:row r="4358" ht="60" customHeight="1">
      <x:c r="A4358" s="14" t="str">
        <x:v>Товары для красоты и здоровья</x:v>
      </x:c>
      <x:c r="B4358" s="14" t="str">
        <x:v>Косметические аксессуары</x:v>
      </x:c>
      <x:c r="C4358" s="14" t="str">
        <x:v>Аксессуары для макияжа</x:v>
      </x:c>
      <x:c r="D4358" s="14" t="str">
        <x:v>Спонж</x:v>
      </x:c>
      <x:c r="E4358" s="2" t="n">
        <x:v>1</x:v>
      </x:c>
      <x:c r="F4358" s="2" t="n">
        <x:v>0</x:v>
      </x:c>
      <x:c r="G4358" s="12" t="n">
        <x:v>113225.54</x:v>
      </x:c>
      <x:c r="H4358" s="12" t="n">
        <x:v>17663.18424</x:v>
      </x:c>
      <x:c r="I4358" s="13" t="n">
        <x:v>0.156</x:v>
      </x:c>
      <x:c r="J4358" s="2" t="n">
        <x:v>0</x:v>
      </x:c>
      <x:c r="K4358" s="2" t="n">
        <x:v>1</x:v>
      </x:c>
      <x:c r="L4358" s="12" t="n">
        <x:v>967.7397</x:v>
      </x:c>
      <x:c r="M4358" s="13" t="n">
        <x:v>1</x:v>
      </x:c>
      <x:c r="N4358" s="13" t="n">
        <x:f>H4358/G4358</x:f>
        <x:v>0.156</x:v>
      </x:c>
      <x:c r="O4358" s="13" t="n">
        <x:f>F4358/E4358</x:f>
        <x:v>0</x:v>
      </x:c>
      <x:c r="P4358" s="2" t="str">
        <x:f>IF(AND(E4358&gt;='Итоги'!$F$5,N4358&lt;='Итоги'!$B$5,O4358&gt;='Итоги'!$D$5),"Да","Нет")</x:f>
        <x:v>Нет</x:v>
      </x:c>
    </x:row>
    <x:row r="4359" ht="60" customHeight="1">
      <x:c r="A4359" s="14" t="str">
        <x:v>Аксессуары</x:v>
      </x:c>
      <x:c r="B4359" s="14" t="str">
        <x:v>Бижутерия и часы бижутерные</x:v>
      </x:c>
      <x:c r="C4359" s="14" t="str">
        <x:v>Бижутерия</x:v>
      </x:c>
      <x:c r="D4359" s="14" t="str">
        <x:v>Бижу пирсинг</x:v>
      </x:c>
      <x:c r="E4359" s="2" t="n">
        <x:v>1</x:v>
      </x:c>
      <x:c r="F4359" s="2" t="n">
        <x:v>0</x:v>
      </x:c>
      <x:c r="G4359" s="12" t="n">
        <x:v>77228.36</x:v>
      </x:c>
      <x:c r="H4359" s="12" t="n">
        <x:v>12055.346995999998</x:v>
      </x:c>
      <x:c r="I4359" s="13" t="n">
        <x:v>0.1561</x:v>
      </x:c>
      <x:c r="J4359" s="2" t="n">
        <x:v>0</x:v>
      </x:c>
      <x:c r="K4359" s="2" t="n">
        <x:v>1</x:v>
      </x:c>
      <x:c r="L4359" s="12" t="n">
        <x:v>858.0929</x:v>
      </x:c>
      <x:c r="M4359" s="13" t="n">
        <x:v>1</x:v>
      </x:c>
      <x:c r="N4359" s="13" t="n">
        <x:f>H4359/G4359</x:f>
        <x:v>0.1561</x:v>
      </x:c>
      <x:c r="O4359" s="13" t="n">
        <x:f>F4359/E4359</x:f>
        <x:v>0</x:v>
      </x:c>
      <x:c r="P4359" s="2" t="str">
        <x:f>IF(AND(E4359&gt;='Итоги'!$F$5,N4359&lt;='Итоги'!$B$5,O4359&gt;='Итоги'!$D$5),"Да","Нет")</x:f>
        <x:v>Нет</x:v>
      </x:c>
    </x:row>
    <x:row r="4360" ht="60" customHeight="1">
      <x:c r="A4360" s="14" t="str">
        <x:v>Строительство и ремонт (DIY)</x:v>
      </x:c>
      <x:c r="B4360" s="14" t="str">
        <x:v>Ремонт и строительство</x:v>
      </x:c>
      <x:c r="C4360" s="14" t="str">
        <x:v>Отделка пола</x:v>
      </x:c>
      <x:c r="D4360" s="14" t="str">
        <x:v>Плитка ПВХ</x:v>
      </x:c>
      <x:c r="E4360" s="2" t="n">
        <x:v>1</x:v>
      </x:c>
      <x:c r="F4360" s="2" t="n">
        <x:v>0</x:v>
      </x:c>
      <x:c r="G4360" s="12" t="n">
        <x:v>450996.7567</x:v>
      </x:c>
      <x:c r="H4360" s="12" t="n">
        <x:v>70626.09209922</x:v>
      </x:c>
      <x:c r="I4360" s="13" t="n">
        <x:v>0.1566</x:v>
      </x:c>
      <x:c r="J4360" s="2" t="n">
        <x:v>0</x:v>
      </x:c>
      <x:c r="K4360" s="2" t="n">
        <x:v>1</x:v>
      </x:c>
      <x:c r="L4360" s="12" t="n">
        <x:v>2622.0742</x:v>
      </x:c>
      <x:c r="M4360" s="13" t="n">
        <x:v>1</x:v>
      </x:c>
      <x:c r="N4360" s="13" t="n">
        <x:f>H4360/G4360</x:f>
        <x:v>0.1566</x:v>
      </x:c>
      <x:c r="O4360" s="13" t="n">
        <x:f>F4360/E4360</x:f>
        <x:v>0</x:v>
      </x:c>
      <x:c r="P4360" s="2" t="str">
        <x:f>IF(AND(E4360&gt;='Итоги'!$F$5,N4360&lt;='Итоги'!$B$5,O4360&gt;='Итоги'!$D$5),"Да","Нет")</x:f>
        <x:v>Нет</x:v>
      </x:c>
    </x:row>
    <x:row r="4361" ht="60" customHeight="1">
      <x:c r="A4361" s="14" t="str">
        <x:v>Одежда</x:v>
      </x:c>
      <x:c r="B4361" s="14" t="str">
        <x:v>Основная одежда женская</x:v>
      </x:c>
      <x:c r="C4361" s="14" t="str">
        <x:v>Головные уборы, перчатки, шарфы женские</x:v>
      </x:c>
      <x:c r="D4361" s="14" t="str">
        <x:v>Спортивная шапка женская</x:v>
      </x:c>
      <x:c r="E4361" s="2" t="n">
        <x:v>1</x:v>
      </x:c>
      <x:c r="F4361" s="2" t="n">
        <x:v>0</x:v>
      </x:c>
      <x:c r="G4361" s="12" t="n">
        <x:v>28196.47</x:v>
      </x:c>
      <x:c r="H4361" s="12" t="n">
        <x:v>4426.84579</x:v>
      </x:c>
      <x:c r="I4361" s="13" t="n">
        <x:v>0.157</x:v>
      </x:c>
      <x:c r="J4361" s="2" t="n">
        <x:v>0</x:v>
      </x:c>
      <x:c r="K4361" s="2" t="n">
        <x:v>1</x:v>
      </x:c>
      <x:c r="L4361" s="12" t="n">
        <x:v>1879.7647</x:v>
      </x:c>
      <x:c r="M4361" s="13" t="n">
        <x:v>1</x:v>
      </x:c>
      <x:c r="N4361" s="13" t="n">
        <x:f>H4361/G4361</x:f>
        <x:v>0.157</x:v>
      </x:c>
      <x:c r="O4361" s="13" t="n">
        <x:f>F4361/E4361</x:f>
        <x:v>0</x:v>
      </x:c>
      <x:c r="P4361" s="2" t="str">
        <x:f>IF(AND(E4361&gt;='Итоги'!$F$5,N4361&lt;='Итоги'!$B$5,O4361&gt;='Итоги'!$D$5),"Да","Нет")</x:f>
        <x:v>Нет</x:v>
      </x:c>
    </x:row>
    <x:row r="4362" ht="60" customHeight="1">
      <x:c r="A4362" s="14" t="str">
        <x:v>Аптека</x:v>
      </x:c>
      <x:c r="B4362" s="14" t="str">
        <x:v>Товары для взрослых</x:v>
      </x:c>
      <x:c r="C4362" s="14" t="str">
        <x:v>Секс игрушки</x:v>
      </x:c>
      <x:c r="D4362" s="14" t="str">
        <x:v>Вибратор</x:v>
      </x:c>
      <x:c r="E4362" s="2" t="n">
        <x:v>310</x:v>
      </x:c>
      <x:c r="F4362" s="2" t="n">
        <x:v>0</x:v>
      </x:c>
      <x:c r="G4362" s="12" t="n">
        <x:v>53376687.4238</x:v>
      </x:c>
      <x:c r="H4362" s="12" t="n">
        <x:v>8395228.0479024</x:v>
      </x:c>
      <x:c r="I4362" s="13" t="n">
        <x:v>0.1537770967741935</x:v>
      </x:c>
      <x:c r="J4362" s="2" t="n">
        <x:v>46</x:v>
      </x:c>
      <x:c r="K4362" s="2" t="n">
        <x:v>132</x:v>
      </x:c>
      <x:c r="L4362" s="12" t="n">
        <x:v>1822.84885</x:v>
      </x:c>
      <x:c r="M4362" s="13" t="n">
        <x:v>0.4507721921718885</x:v>
      </x:c>
      <x:c r="N4362" s="13" t="n">
        <x:f>H4362/G4362</x:f>
        <x:v>0.1572826725129269</x:v>
      </x:c>
      <x:c r="O4362" s="13" t="n">
        <x:f>F4362/E4362</x:f>
        <x:v>0</x:v>
      </x:c>
      <x:c r="P4362" s="2" t="str">
        <x:f>IF(AND(E4362&gt;='Итоги'!$F$5,N4362&lt;='Итоги'!$B$5,O4362&gt;='Итоги'!$D$5),"Да","Нет")</x:f>
        <x:v>Нет</x:v>
      </x:c>
    </x:row>
    <x:row r="4363" ht="60" customHeight="1">
      <x:c r="A4363" s="14" t="str">
        <x:v>Товары для красоты и здоровья</x:v>
      </x:c>
      <x:c r="B4363" s="14" t="str">
        <x:v>Косметика для ухода за кожей</x:v>
      </x:c>
      <x:c r="C4363" s="14" t="str">
        <x:v>Руки</x:v>
      </x:c>
      <x:c r="D4363" s="14" t="str">
        <x:v>Маска для рук</x:v>
      </x:c>
      <x:c r="E4363" s="2" t="n">
        <x:v>2</x:v>
      </x:c>
      <x:c r="F4363" s="2" t="n">
        <x:v>0</x:v>
      </x:c>
      <x:c r="G4363" s="12" t="n">
        <x:v>275538.3269</x:v>
      </x:c>
      <x:c r="H4363" s="12" t="n">
        <x:v>43405.69637838</x:v>
      </x:c>
      <x:c r="I4363" s="13" t="n">
        <x:v>0.1151</x:v>
      </x:c>
      <x:c r="J4363" s="2" t="n">
        <x:v>1</x:v>
      </x:c>
      <x:c r="K4363" s="2" t="n">
        <x:v>1</x:v>
      </x:c>
      <x:c r="L4363" s="12" t="n">
        <x:v>1115.90755</x:v>
      </x:c>
      <x:c r="M4363" s="13" t="n">
        <x:v>1</x:v>
      </x:c>
      <x:c r="N4363" s="13" t="n">
        <x:f>H4363/G4363</x:f>
        <x:v>0.15753052167632947</x:v>
      </x:c>
      <x:c r="O4363" s="13" t="n">
        <x:f>F4363/E4363</x:f>
        <x:v>0</x:v>
      </x:c>
      <x:c r="P4363" s="2" t="str">
        <x:f>IF(AND(E4363&gt;='Итоги'!$F$5,N4363&lt;='Итоги'!$B$5,O4363&gt;='Итоги'!$D$5),"Да","Нет")</x:f>
        <x:v>Нет</x:v>
      </x:c>
    </x:row>
    <x:row r="4364" ht="60" customHeight="1">
      <x:c r="A4364" s="14" t="str">
        <x:v>Спорт и отдых</x:v>
      </x:c>
      <x:c r="B4364" s="14" t="str">
        <x:v>Тренажеры и фитнес</x:v>
      </x:c>
      <x:c r="C4364" s="14" t="str">
        <x:v>Йога, пилатес</x:v>
      </x:c>
      <x:c r="D4364" s="14" t="str">
        <x:v>Подушка, циновка, болстер для медитации</x:v>
      </x:c>
      <x:c r="E4364" s="2" t="n">
        <x:v>3</x:v>
      </x:c>
      <x:c r="F4364" s="2" t="n">
        <x:v>0</x:v>
      </x:c>
      <x:c r="G4364" s="12" t="n">
        <x:v>178160.86310000002</x:v>
      </x:c>
      <x:c r="H4364" s="12" t="n">
        <x:v>28079.887747140005</x:v>
      </x:c>
      <x:c r="I4364" s="13" t="n">
        <x:v>0.1692666666666666</x:v>
      </x:c>
      <x:c r="J4364" s="2" t="n">
        <x:v>0</x:v>
      </x:c>
      <x:c r="K4364" s="2" t="n">
        <x:v>2</x:v>
      </x:c>
      <x:c r="L4364" s="12" t="n">
        <x:v>4156.4221</x:v>
      </x:c>
      <x:c r="M4364" s="13" t="n">
        <x:v>0.977980573669549</x:v>
      </x:c>
      <x:c r="N4364" s="13" t="n">
        <x:f>H4364/G4364</x:f>
        <x:v>0.15760974244595474</x:v>
      </x:c>
      <x:c r="O4364" s="13" t="n">
        <x:f>F4364/E4364</x:f>
        <x:v>0</x:v>
      </x:c>
      <x:c r="P4364" s="2" t="str">
        <x:f>IF(AND(E4364&gt;='Итоги'!$F$5,N4364&lt;='Итоги'!$B$5,O4364&gt;='Итоги'!$D$5),"Да","Нет")</x:f>
        <x:v>Нет</x:v>
      </x:c>
    </x:row>
    <x:row r="4365" ht="60" customHeight="1">
      <x:c r="A4365" s="14" t="str">
        <x:v>Товары для дома</x:v>
      </x:c>
      <x:c r="B4365" s="14" t="str">
        <x:v>Аксессуары для уборки и стирки</x:v>
      </x:c>
      <x:c r="C4365" s="14" t="str">
        <x:v>Аксессуар для уборки</x:v>
      </x:c>
      <x:c r="D4365" s="14" t="str">
        <x:v>Веник, метла домашняя</x:v>
      </x:c>
      <x:c r="E4365" s="2" t="n">
        <x:v>8</x:v>
      </x:c>
      <x:c r="F4365" s="2" t="n">
        <x:v>0</x:v>
      </x:c>
      <x:c r="G4365" s="12" t="n">
        <x:v>1071662.0946</x:v>
      </x:c>
      <x:c r="H4365" s="12" t="n">
        <x:v>169241.58480132002</x:v>
      </x:c>
      <x:c r="I4365" s="13" t="n">
        <x:v>0.1439125</x:v>
      </x:c>
      <x:c r="J4365" s="2" t="n">
        <x:v>0</x:v>
      </x:c>
      <x:c r="K4365" s="2" t="n">
        <x:v>4</x:v>
      </x:c>
      <x:c r="L4365" s="12" t="n">
        <x:v>1046.67465</x:v>
      </x:c>
      <x:c r="M4365" s="13" t="n">
        <x:v>0.4266177018891828</x:v>
      </x:c>
      <x:c r="N4365" s="13" t="n">
        <x:f>H4365/G4365</x:f>
        <x:v>0.15792439207667391</x:v>
      </x:c>
      <x:c r="O4365" s="13" t="n">
        <x:f>F4365/E4365</x:f>
        <x:v>0</x:v>
      </x:c>
      <x:c r="P4365" s="2" t="str">
        <x:f>IF(AND(E4365&gt;='Итоги'!$F$5,N4365&lt;='Итоги'!$B$5,O4365&gt;='Итоги'!$D$5),"Да","Нет")</x:f>
        <x:v>Нет</x:v>
      </x:c>
    </x:row>
    <x:row r="4366" ht="60" customHeight="1">
      <x:c r="A4366" s="14" t="str">
        <x:v>Мебель</x:v>
      </x:c>
      <x:c r="B4366" s="14" t="str">
        <x:v>Мебель для сна</x:v>
      </x:c>
      <x:c r="C4366" s="14" t="str">
        <x:v>Кровать</x:v>
      </x:c>
      <x:c r="D4366" s="14" t="str">
        <x:v>Изголовья и панели для кровати</x:v>
      </x:c>
      <x:c r="E4366" s="2" t="n">
        <x:v>1</x:v>
      </x:c>
      <x:c r="F4366" s="2" t="n">
        <x:v>0</x:v>
      </x:c>
      <x:c r="G4366" s="12" t="n">
        <x:v>124464.8</x:v>
      </x:c>
      <x:c r="H4366" s="12" t="n">
        <x:v>19715.22432</x:v>
      </x:c>
      <x:c r="I4366" s="13" t="n">
        <x:v>0.1584</x:v>
      </x:c>
      <x:c r="J4366" s="2" t="n">
        <x:v>0</x:v>
      </x:c>
      <x:c r="K4366" s="2" t="n">
        <x:v>1</x:v>
      </x:c>
      <x:c r="L4366" s="12" t="n">
        <x:v>1753.0254</x:v>
      </x:c>
      <x:c r="M4366" s="13" t="n">
        <x:v>1</x:v>
      </x:c>
      <x:c r="N4366" s="13" t="n">
        <x:f>H4366/G4366</x:f>
        <x:v>0.1584</x:v>
      </x:c>
      <x:c r="O4366" s="13" t="n">
        <x:f>F4366/E4366</x:f>
        <x:v>0</x:v>
      </x:c>
      <x:c r="P4366" s="2" t="str">
        <x:f>IF(AND(E4366&gt;='Итоги'!$F$5,N4366&lt;='Итоги'!$B$5,O4366&gt;='Итоги'!$D$5),"Да","Нет")</x:f>
        <x:v>Нет</x:v>
      </x:c>
    </x:row>
    <x:row r="4367" ht="60" customHeight="1">
      <x:c r="A4367" s="14" t="str">
        <x:v>Товары для дома</x:v>
      </x:c>
      <x:c r="B4367" s="14" t="str">
        <x:v>Кухня</x:v>
      </x:c>
      <x:c r="C4367" s="14" t="str">
        <x:v>Питьевое стекло, аксессуар для бара, сосуд для жидкости</x:v>
      </x:c>
      <x:c r="D4367" s="14" t="str">
        <x:v>Набор для виски</x:v>
      </x:c>
      <x:c r="E4367" s="2" t="n">
        <x:v>11</x:v>
      </x:c>
      <x:c r="F4367" s="2" t="n">
        <x:v>0</x:v>
      </x:c>
      <x:c r="G4367" s="12" t="n">
        <x:v>1695804.5533</x:v>
      </x:c>
      <x:c r="H4367" s="12" t="n">
        <x:v>268813.84401482</x:v>
      </x:c>
      <x:c r="I4367" s="13" t="n">
        <x:v>0.1676454545454545</x:v>
      </x:c>
      <x:c r="J4367" s="2" t="n">
        <x:v>0</x:v>
      </x:c>
      <x:c r="K4367" s="2" t="n">
        <x:v>5</x:v>
      </x:c>
      <x:c r="L4367" s="12" t="n">
        <x:v>1365.0603</x:v>
      </x:c>
      <x:c r="M4367" s="13" t="n">
        <x:v>0.6887221850697457</x:v>
      </x:c>
      <x:c r="N4367" s="13" t="n">
        <x:f>H4367/G4367</x:f>
        <x:v>0.1585169962491927</x:v>
      </x:c>
      <x:c r="O4367" s="13" t="n">
        <x:f>F4367/E4367</x:f>
        <x:v>0</x:v>
      </x:c>
      <x:c r="P4367" s="2" t="str">
        <x:f>IF(AND(E4367&gt;='Итоги'!$F$5,N4367&lt;='Итоги'!$B$5,O4367&gt;='Итоги'!$D$5),"Да","Нет")</x:f>
        <x:v>Нет</x:v>
      </x:c>
    </x:row>
    <x:row r="4368" ht="60" customHeight="1">
      <x:c r="A4368" s="14" t="str">
        <x:v>Товары для красоты и здоровья</x:v>
      </x:c>
      <x:c r="B4368" s="14" t="str">
        <x:v>Косметические аксессуары</x:v>
      </x:c>
      <x:c r="C4368" s="14" t="str">
        <x:v>Аксессуары для маникюра и педикюра</x:v>
      </x:c>
      <x:c r="D4368" s="14" t="str">
        <x:v>Маникюрные щипцы</x:v>
      </x:c>
      <x:c r="E4368" s="2" t="n">
        <x:v>10</x:v>
      </x:c>
      <x:c r="F4368" s="2" t="n">
        <x:v>0</x:v>
      </x:c>
      <x:c r="G4368" s="12" t="n">
        <x:v>1889926.2357</x:v>
      </x:c>
      <x:c r="H4368" s="12" t="n">
        <x:v>299788.79663917</x:v>
      </x:c>
      <x:c r="I4368" s="13" t="n">
        <x:v>0.13962</x:v>
      </x:c>
      <x:c r="J4368" s="2" t="n">
        <x:v>1</x:v>
      </x:c>
      <x:c r="K4368" s="2" t="n">
        <x:v>3</x:v>
      </x:c>
      <x:c r="L4368" s="12" t="n">
        <x:v>1435.2844</x:v>
      </x:c>
      <x:c r="M4368" s="13" t="n">
        <x:v>0.4965472370155319</x:v>
      </x:c>
      <x:c r="N4368" s="13" t="n">
        <x:f>H4368/G4368</x:f>
        <x:v>0.15862460183697738</x:v>
      </x:c>
      <x:c r="O4368" s="13" t="n">
        <x:f>F4368/E4368</x:f>
        <x:v>0</x:v>
      </x:c>
      <x:c r="P4368" s="2" t="str">
        <x:f>IF(AND(E4368&gt;='Итоги'!$F$5,N4368&lt;='Итоги'!$B$5,O4368&gt;='Итоги'!$D$5),"Да","Нет")</x:f>
        <x:v>Нет</x:v>
      </x:c>
    </x:row>
    <x:row r="4369" ht="60" customHeight="1">
      <x:c r="A4369" s="14" t="str">
        <x:v>Хобби и творчество</x:v>
      </x:c>
      <x:c r="B4369" s="14" t="str">
        <x:v>Взрослое творчество и хобби</x:v>
      </x:c>
      <x:c r="C4369" s="14" t="str">
        <x:v>Расходные материалы для творчества, хобби</x:v>
      </x:c>
      <x:c r="D4369" s="14" t="str">
        <x:v>Бисер</x:v>
      </x:c>
      <x:c r="E4369" s="2" t="n">
        <x:v>5</x:v>
      </x:c>
      <x:c r="F4369" s="2" t="n">
        <x:v>0</x:v>
      </x:c>
      <x:c r="G4369" s="12" t="n">
        <x:v>575508.4837</x:v>
      </x:c>
      <x:c r="H4369" s="12" t="n">
        <x:v>91338.89226602</x:v>
      </x:c>
      <x:c r="I4369" s="13" t="n">
        <x:v>0.1576</x:v>
      </x:c>
      <x:c r="J4369" s="2" t="n">
        <x:v>0</x:v>
      </x:c>
      <x:c r="K4369" s="2" t="n">
        <x:v>5</x:v>
      </x:c>
      <x:c r="L4369" s="12" t="n">
        <x:v>1123.6364</x:v>
      </x:c>
      <x:c r="M4369" s="13" t="n">
        <x:v>0.2126591622301744</x:v>
      </x:c>
      <x:c r="N4369" s="13" t="n">
        <x:f>H4369/G4369</x:f>
        <x:v>0.15870989716570882</x:v>
      </x:c>
      <x:c r="O4369" s="13" t="n">
        <x:f>F4369/E4369</x:f>
        <x:v>0</x:v>
      </x:c>
      <x:c r="P4369" s="2" t="str">
        <x:f>IF(AND(E4369&gt;='Итоги'!$F$5,N4369&lt;='Итоги'!$B$5,O4369&gt;='Итоги'!$D$5),"Да","Нет")</x:f>
        <x:v>Нет</x:v>
      </x:c>
    </x:row>
    <x:row r="4370" ht="60" customHeight="1">
      <x:c r="A4370" s="14" t="str">
        <x:v>Школьные принадлежности и канцелярия</x:v>
      </x:c>
      <x:c r="B4370" s="14" t="str">
        <x:v>Товары для школы, канцелярия, оборудование</x:v>
      </x:c>
      <x:c r="C4370" s="14" t="str">
        <x:v>Печати и штампы</x:v>
      </x:c>
      <x:c r="D4370" s="14" t="str">
        <x:v>Самонаборный штамп</x:v>
      </x:c>
      <x:c r="E4370" s="2" t="n">
        <x:v>2</x:v>
      </x:c>
      <x:c r="F4370" s="2" t="n">
        <x:v>0</x:v>
      </x:c>
      <x:c r="G4370" s="12" t="n">
        <x:v>130900.49</x:v>
      </x:c>
      <x:c r="H4370" s="12" t="n">
        <x:v>20779.814304</x:v>
      </x:c>
      <x:c r="I4370" s="13" t="n">
        <x:v>0.0848</x:v>
      </x:c>
      <x:c r="J4370" s="2" t="n">
        <x:v>1</x:v>
      </x:c>
      <x:c r="K4370" s="2" t="n">
        <x:v>2</x:v>
      </x:c>
      <x:c r="L4370" s="12" t="n">
        <x:v>1038.4254</x:v>
      </x:c>
      <x:c r="M4370" s="13" t="n">
        <x:v>0.9359971838149728</x:v>
      </x:c>
      <x:c r="N4370" s="13" t="n">
        <x:f>H4370/G4370</x:f>
        <x:v>0.15874512237501937</x:v>
      </x:c>
      <x:c r="O4370" s="13" t="n">
        <x:f>F4370/E4370</x:f>
        <x:v>0</x:v>
      </x:c>
      <x:c r="P4370" s="2" t="str">
        <x:f>IF(AND(E4370&gt;='Итоги'!$F$5,N4370&lt;='Итоги'!$B$5,O4370&gt;='Итоги'!$D$5),"Да","Нет")</x:f>
        <x:v>Нет</x:v>
      </x:c>
    </x:row>
    <x:row r="4371" ht="60" customHeight="1">
      <x:c r="A4371" s="14" t="str">
        <x:v>Товары для животных</x:v>
      </x:c>
      <x:c r="B4371" s="14" t="str">
        <x:v>Гигиена и уход животных</x:v>
      </x:c>
      <x:c r="C4371" s="14" t="str">
        <x:v>Товары для груминга</x:v>
      </x:c>
      <x:c r="D4371" s="14" t="str">
        <x:v>Набор для груминга животных</x:v>
      </x:c>
      <x:c r="E4371" s="2" t="n">
        <x:v>11</x:v>
      </x:c>
      <x:c r="F4371" s="2" t="n">
        <x:v>0</x:v>
      </x:c>
      <x:c r="G4371" s="12" t="n">
        <x:v>2595252.6885</x:v>
      </x:c>
      <x:c r="H4371" s="12" t="n">
        <x:v>411993.23418923</x:v>
      </x:c>
      <x:c r="I4371" s="13" t="n">
        <x:v>0.1934818181818181</x:v>
      </x:c>
      <x:c r="J4371" s="2" t="n">
        <x:v>0</x:v>
      </x:c>
      <x:c r="K4371" s="2" t="n">
        <x:v>9</x:v>
      </x:c>
      <x:c r="L4371" s="12" t="n">
        <x:v>7427.2085</x:v>
      </x:c>
      <x:c r="M4371" s="13" t="n">
        <x:v>0.3458213934531099</x:v>
      </x:c>
      <x:c r="N4371" s="13" t="n">
        <x:f>H4371/G4371</x:f>
        <x:v>0.1587487939092949</x:v>
      </x:c>
      <x:c r="O4371" s="13" t="n">
        <x:f>F4371/E4371</x:f>
        <x:v>0</x:v>
      </x:c>
      <x:c r="P4371" s="2" t="str">
        <x:f>IF(AND(E4371&gt;='Итоги'!$F$5,N4371&lt;='Итоги'!$B$5,O4371&gt;='Итоги'!$D$5),"Да","Нет")</x:f>
        <x:v>Нет</x:v>
      </x:c>
    </x:row>
    <x:row r="4372" ht="60" customHeight="1">
      <x:c r="A4372" s="14" t="str">
        <x:v>Товары для дома</x:v>
      </x:c>
      <x:c r="B4372" s="14" t="str">
        <x:v>Интерьер и декор</x:v>
      </x:c>
      <x:c r="C4372" s="14" t="str">
        <x:v>Религиозные товары</x:v>
      </x:c>
      <x:c r="D4372" s="14" t="str">
        <x:v>Корзина ритуальная с искусственными цветами</x:v>
      </x:c>
      <x:c r="E4372" s="2" t="n">
        <x:v>1</x:v>
      </x:c>
      <x:c r="F4372" s="2" t="n">
        <x:v>0</x:v>
      </x:c>
      <x:c r="G4372" s="12" t="n">
        <x:v>117284.12</x:v>
      </x:c>
      <x:c r="H4372" s="12" t="n">
        <x:v>18636.446668</x:v>
      </x:c>
      <x:c r="I4372" s="13" t="n">
        <x:v>0.1589</x:v>
      </x:c>
      <x:c r="J4372" s="2" t="n">
        <x:v>0</x:v>
      </x:c>
      <x:c r="K4372" s="2" t="n">
        <x:v>1</x:v>
      </x:c>
      <x:c r="L4372" s="12" t="n">
        <x:v>792.4603</x:v>
      </x:c>
      <x:c r="M4372" s="13" t="n">
        <x:v>1</x:v>
      </x:c>
      <x:c r="N4372" s="13" t="n">
        <x:f>H4372/G4372</x:f>
        <x:v>0.1589</x:v>
      </x:c>
      <x:c r="O4372" s="13" t="n">
        <x:f>F4372/E4372</x:f>
        <x:v>0</x:v>
      </x:c>
      <x:c r="P4372" s="2" t="str">
        <x:f>IF(AND(E4372&gt;='Итоги'!$F$5,N4372&lt;='Итоги'!$B$5,O4372&gt;='Итоги'!$D$5),"Да","Нет")</x:f>
        <x:v>Нет</x:v>
      </x:c>
    </x:row>
    <x:row r="4373" ht="60" customHeight="1">
      <x:c r="A4373" s="14" t="str">
        <x:v>Аксессуары</x:v>
      </x:c>
      <x:c r="B4373" s="14" t="str">
        <x:v>Галантерея</x:v>
      </x:c>
      <x:c r="C4373" s="14" t="str">
        <x:v>Галантерея женская</x:v>
      </x:c>
      <x:c r="D4373" s="14" t="str">
        <x:v>Обложка для автодокументов</x:v>
      </x:c>
      <x:c r="E4373" s="2" t="n">
        <x:v>3</x:v>
      </x:c>
      <x:c r="F4373" s="2" t="n">
        <x:v>0</x:v>
      </x:c>
      <x:c r="G4373" s="12" t="n">
        <x:v>540831.9749</x:v>
      </x:c>
      <x:c r="H4373" s="12" t="n">
        <x:v>86128.48145367</x:v>
      </x:c>
      <x:c r="I4373" s="13" t="n">
        <x:v>0.1497333333333333</x:v>
      </x:c>
      <x:c r="J4373" s="2" t="n">
        <x:v>0</x:v>
      </x:c>
      <x:c r="K4373" s="2" t="n">
        <x:v>2</x:v>
      </x:c>
      <x:c r="L4373" s="12" t="n">
        <x:v>1267.8135</x:v>
      </x:c>
      <x:c r="M4373" s="13" t="n">
        <x:v>0.800175784872959</x:v>
      </x:c>
      <x:c r="N4373" s="13" t="n">
        <x:f>H4373/G4373</x:f>
        <x:v>0.15925182949768305</x:v>
      </x:c>
      <x:c r="O4373" s="13" t="n">
        <x:f>F4373/E4373</x:f>
        <x:v>0</x:v>
      </x:c>
      <x:c r="P4373" s="2" t="str">
        <x:f>IF(AND(E4373&gt;='Итоги'!$F$5,N4373&lt;='Итоги'!$B$5,O4373&gt;='Итоги'!$D$5),"Да","Нет")</x:f>
        <x:v>Нет</x:v>
      </x:c>
    </x:row>
    <x:row r="4374" ht="60" customHeight="1">
      <x:c r="A4374" s="14" t="str">
        <x:v>Игрушки</x:v>
      </x:c>
      <x:c r="B4374" s="14" t="str">
        <x:v>Игрушки</x:v>
      </x:c>
      <x:c r="C4374" s="14" t="str">
        <x:v>Игрушки для самых маленьких</x:v>
      </x:c>
      <x:c r="D4374" s="14" t="str">
        <x:v>Книжка-игрушка</x:v>
      </x:c>
      <x:c r="E4374" s="2" t="n">
        <x:v>4</x:v>
      </x:c>
      <x:c r="F4374" s="2" t="n">
        <x:v>0</x:v>
      </x:c>
      <x:c r="G4374" s="12" t="n">
        <x:v>409622.1678</x:v>
      </x:c>
      <x:c r="H4374" s="12" t="n">
        <x:v>65271.87865749</x:v>
      </x:c>
      <x:c r="I4374" s="13" t="n">
        <x:v>0.1587</x:v>
      </x:c>
      <x:c r="J4374" s="2" t="n">
        <x:v>0</x:v>
      </x:c>
      <x:c r="K4374" s="2" t="n">
        <x:v>3</x:v>
      </x:c>
      <x:c r="L4374" s="12" t="n">
        <x:v>2145.08935</x:v>
      </x:c>
      <x:c r="M4374" s="13" t="n">
        <x:v>0.5018498361650436</x:v>
      </x:c>
      <x:c r="N4374" s="13" t="n">
        <x:f>H4374/G4374</x:f>
        <x:v>0.15934654857194963</x:v>
      </x:c>
      <x:c r="O4374" s="13" t="n">
        <x:f>F4374/E4374</x:f>
        <x:v>0</x:v>
      </x:c>
      <x:c r="P4374" s="2" t="str">
        <x:f>IF(AND(E4374&gt;='Итоги'!$F$5,N4374&lt;='Итоги'!$B$5,O4374&gt;='Итоги'!$D$5),"Да","Нет")</x:f>
        <x:v>Нет</x:v>
      </x:c>
    </x:row>
    <x:row r="4375" ht="60" customHeight="1">
      <x:c r="A4375" s="14" t="str">
        <x:v>Товары для дома</x:v>
      </x:c>
      <x:c r="B4375" s="14" t="str">
        <x:v>Кухня</x:v>
      </x:c>
      <x:c r="C4375" s="14" t="str">
        <x:v>Столовая посуда</x:v>
      </x:c>
      <x:c r="D4375" s="14" t="str">
        <x:v>Посуда для сервировки стола</x:v>
      </x:c>
      <x:c r="E4375" s="2" t="n">
        <x:v>2</x:v>
      </x:c>
      <x:c r="F4375" s="2" t="n">
        <x:v>0</x:v>
      </x:c>
      <x:c r="G4375" s="12" t="n">
        <x:v>249326.08</x:v>
      </x:c>
      <x:c r="H4375" s="12" t="n">
        <x:v>39750.168544</x:v>
      </x:c>
      <x:c r="I4375" s="13" t="n">
        <x:v>0.1735</x:v>
      </x:c>
      <x:c r="J4375" s="2" t="n">
        <x:v>0</x:v>
      </x:c>
      <x:c r="K4375" s="2" t="n">
        <x:v>1</x:v>
      </x:c>
      <x:c r="L4375" s="12" t="n">
        <x:v>1839.21845</x:v>
      </x:c>
      <x:c r="M4375" s="13" t="n">
        <x:v>1</x:v>
      </x:c>
      <x:c r="N4375" s="13" t="n">
        <x:f>H4375/G4375</x:f>
        <x:v>0.15943044764510797</x:v>
      </x:c>
      <x:c r="O4375" s="13" t="n">
        <x:f>F4375/E4375</x:f>
        <x:v>0</x:v>
      </x:c>
      <x:c r="P4375" s="2" t="str">
        <x:f>IF(AND(E4375&gt;='Итоги'!$F$5,N4375&lt;='Итоги'!$B$5,O4375&gt;='Итоги'!$D$5),"Да","Нет")</x:f>
        <x:v>Нет</x:v>
      </x:c>
    </x:row>
    <x:row r="4376" ht="60" customHeight="1">
      <x:c r="A4376" s="14" t="str">
        <x:v>Товары для красоты и здоровья</x:v>
      </x:c>
      <x:c r="B4376" s="14" t="str">
        <x:v>Косметические средства для детей и беременных</x:v>
      </x:c>
      <x:c r="C4376" s="14" t="str">
        <x:v>Детская гигиена Health&amp;Beauty</x:v>
      </x:c>
      <x:c r="D4376" s="14" t="str">
        <x:v>Соль для ванны детская</x:v>
      </x:c>
      <x:c r="E4376" s="2" t="n">
        <x:v>4</x:v>
      </x:c>
      <x:c r="F4376" s="2" t="n">
        <x:v>0</x:v>
      </x:c>
      <x:c r="G4376" s="12" t="n">
        <x:v>521036.7321</x:v>
      </x:c>
      <x:c r="H4376" s="12" t="n">
        <x:v>83279.98771855</x:v>
      </x:c>
      <x:c r="I4376" s="13" t="n">
        <x:v>0.134675</x:v>
      </x:c>
      <x:c r="J4376" s="2" t="n">
        <x:v>0</x:v>
      </x:c>
      <x:c r="K4376" s="2" t="n">
        <x:v>1</x:v>
      </x:c>
      <x:c r="L4376" s="12" t="n">
        <x:v>1565.9774</x:v>
      </x:c>
      <x:c r="M4376" s="13" t="n">
        <x:v>1</x:v>
      </x:c>
      <x:c r="N4376" s="13" t="n">
        <x:f>H4376/G4376</x:f>
        <x:v>0.15983515669403223</x:v>
      </x:c>
      <x:c r="O4376" s="13" t="n">
        <x:f>F4376/E4376</x:f>
        <x:v>0</x:v>
      </x:c>
      <x:c r="P4376" s="2" t="str">
        <x:f>IF(AND(E4376&gt;='Итоги'!$F$5,N4376&lt;='Итоги'!$B$5,O4376&gt;='Итоги'!$D$5),"Да","Нет")</x:f>
        <x:v>Нет</x:v>
      </x:c>
    </x:row>
    <x:row r="4377" ht="60" customHeight="1">
      <x:c r="A4377" s="14" t="str">
        <x:v>Строительство и ремонт (DIY)</x:v>
      </x:c>
      <x:c r="B4377" s="14" t="str">
        <x:v>Ремонт и строительство</x:v>
      </x:c>
      <x:c r="C4377" s="14" t="str">
        <x:v>Электротовары</x:v>
      </x:c>
      <x:c r="D4377" s="14" t="str">
        <x:v>Электроизоляция</x:v>
      </x:c>
      <x:c r="E4377" s="2" t="n">
        <x:v>2</x:v>
      </x:c>
      <x:c r="F4377" s="2" t="n">
        <x:v>0</x:v>
      </x:c>
      <x:c r="G4377" s="12" t="n">
        <x:v>144699</x:v>
      </x:c>
      <x:c r="H4377" s="12" t="n">
        <x:v>23133.9589</x:v>
      </x:c>
      <x:c r="I4377" s="13" t="n">
        <x:v>0.1686</x:v>
      </x:c>
      <x:c r="J4377" s="2" t="n">
        <x:v>0</x:v>
      </x:c>
      <x:c r="K4377" s="2" t="n">
        <x:v>2</x:v>
      </x:c>
      <x:c r="L4377" s="12" t="n">
        <x:v>2061.61615</x:v>
      </x:c>
      <x:c r="M4377" s="13" t="n">
        <x:v>0.5733073483576251</x:v>
      </x:c>
      <x:c r="N4377" s="13" t="n">
        <x:f>H4377/G4377</x:f>
        <x:v>0.15987642554544262</x:v>
      </x:c>
      <x:c r="O4377" s="13" t="n">
        <x:f>F4377/E4377</x:f>
        <x:v>0</x:v>
      </x:c>
      <x:c r="P4377" s="2" t="str">
        <x:f>IF(AND(E4377&gt;='Итоги'!$F$5,N4377&lt;='Итоги'!$B$5,O4377&gt;='Итоги'!$D$5),"Да","Нет")</x:f>
        <x:v>Нет</x:v>
      </x:c>
    </x:row>
    <x:row r="4378" ht="60" customHeight="1">
      <x:c r="A4378" s="14" t="str">
        <x:v>Товары для дома</x:v>
      </x:c>
      <x:c r="B4378" s="14" t="str">
        <x:v>Антиквариат Хоум Декор</x:v>
      </x:c>
      <x:c r="C4378" s="14" t="str">
        <x:v>Коллекционирование Хоум Декор</x:v>
      </x:c>
      <x:c r="D4378" s="14" t="str">
        <x:v>Значок коллекционный</x:v>
      </x:c>
      <x:c r="E4378" s="2" t="n">
        <x:v>1</x:v>
      </x:c>
      <x:c r="F4378" s="2" t="n">
        <x:v>0</x:v>
      </x:c>
      <x:c r="G4378" s="12" t="n">
        <x:v>109892</x:v>
      </x:c>
      <x:c r="H4378" s="12" t="n">
        <x:v>17571.730799999998</x:v>
      </x:c>
      <x:c r="I4378" s="13" t="n">
        <x:v>0.1599</x:v>
      </x:c>
      <x:c r="J4378" s="2" t="n">
        <x:v>0</x:v>
      </x:c>
      <x:c r="K4378" s="2" t="n">
        <x:v>1</x:v>
      </x:c>
      <x:c r="L4378" s="12" t="n">
        <x:v>3789.3793</x:v>
      </x:c>
      <x:c r="M4378" s="13" t="n">
        <x:v>1</x:v>
      </x:c>
      <x:c r="N4378" s="13" t="n">
        <x:f>H4378/G4378</x:f>
        <x:v>0.1599</x:v>
      </x:c>
      <x:c r="O4378" s="13" t="n">
        <x:f>F4378/E4378</x:f>
        <x:v>0</x:v>
      </x:c>
      <x:c r="P4378" s="2" t="str">
        <x:f>IF(AND(E4378&gt;='Итоги'!$F$5,N4378&lt;='Итоги'!$B$5,O4378&gt;='Итоги'!$D$5),"Да","Нет")</x:f>
        <x:v>Нет</x:v>
      </x:c>
    </x:row>
    <x:row r="4379" ht="60" customHeight="1">
      <x:c r="A4379" s="14" t="str">
        <x:v>Школьные принадлежности и канцелярия</x:v>
      </x:c>
      <x:c r="B4379" s="14" t="str">
        <x:v>Товары для школы, канцелярия, оборудование</x:v>
      </x:c>
      <x:c r="C4379" s="14" t="str">
        <x:v>Папка</x:v>
      </x:c>
      <x:c r="D4379" s="14" t="str">
        <x:v>Папка из кожи</x:v>
      </x:c>
      <x:c r="E4379" s="2" t="n">
        <x:v>1</x:v>
      </x:c>
      <x:c r="F4379" s="2" t="n">
        <x:v>0</x:v>
      </x:c>
      <x:c r="G4379" s="12" t="n">
        <x:v>67368</x:v>
      </x:c>
      <x:c r="H4379" s="12" t="n">
        <x:v>10778.88</x:v>
      </x:c>
      <x:c r="I4379" s="13" t="n">
        <x:v>0.16</x:v>
      </x:c>
      <x:c r="J4379" s="2" t="n">
        <x:v>0</x:v>
      </x:c>
      <x:c r="K4379" s="2" t="n">
        <x:v>1</x:v>
      </x:c>
      <x:c r="L4379" s="12" t="n">
        <x:v>1433.3617</x:v>
      </x:c>
      <x:c r="M4379" s="13" t="n">
        <x:v>1</x:v>
      </x:c>
      <x:c r="N4379" s="13" t="n">
        <x:f>H4379/G4379</x:f>
        <x:v>0.15999999999999998</x:v>
      </x:c>
      <x:c r="O4379" s="13" t="n">
        <x:f>F4379/E4379</x:f>
        <x:v>0</x:v>
      </x:c>
      <x:c r="P4379" s="2" t="str">
        <x:f>IF(AND(E4379&gt;='Итоги'!$F$5,N4379&lt;='Итоги'!$B$5,O4379&gt;='Итоги'!$D$5),"Да","Нет")</x:f>
        <x:v>Нет</x:v>
      </x:c>
    </x:row>
    <x:row r="4380" ht="60" customHeight="1">
      <x:c r="A4380" s="14" t="str">
        <x:v>Аптека</x:v>
      </x:c>
      <x:c r="B4380" s="14" t="str">
        <x:v>Медицинские изделия</x:v>
      </x:c>
      <x:c r="C4380" s="14" t="str">
        <x:v>Медицинские изделия</x:v>
      </x:c>
      <x:c r="D4380" s="14" t="str">
        <x:v>Контейнер для таблеток</x:v>
      </x:c>
      <x:c r="E4380" s="2" t="n">
        <x:v>5</x:v>
      </x:c>
      <x:c r="F4380" s="2" t="n">
        <x:v>0</x:v>
      </x:c>
      <x:c r="G4380" s="12" t="n">
        <x:v>386802</x:v>
      </x:c>
      <x:c r="H4380" s="12" t="n">
        <x:v>61923.7707</x:v>
      </x:c>
      <x:c r="I4380" s="13" t="n">
        <x:v>0.15826</x:v>
      </x:c>
      <x:c r="J4380" s="2" t="n">
        <x:v>0</x:v>
      </x:c>
      <x:c r="K4380" s="2" t="n">
        <x:v>4</x:v>
      </x:c>
      <x:c r="L4380" s="12" t="n">
        <x:v>1123.5455</x:v>
      </x:c>
      <x:c r="M4380" s="13" t="n">
        <x:v>0.4839814685549712</x:v>
      </x:c>
      <x:c r="N4380" s="13" t="n">
        <x:f>H4380/G4380</x:f>
        <x:v>0.1600916507670591</x:v>
      </x:c>
      <x:c r="O4380" s="13" t="n">
        <x:f>F4380/E4380</x:f>
        <x:v>0</x:v>
      </x:c>
      <x:c r="P4380" s="2" t="str">
        <x:f>IF(AND(E4380&gt;='Итоги'!$F$5,N4380&lt;='Итоги'!$B$5,O4380&gt;='Итоги'!$D$5),"Да","Нет")</x:f>
        <x:v>Нет</x:v>
      </x:c>
    </x:row>
    <x:row r="4381" ht="60" customHeight="1">
      <x:c r="A4381" s="14" t="str">
        <x:v>Товары для животных</x:v>
      </x:c>
      <x:c r="B4381" s="14" t="str">
        <x:v>Фермерское хозяйство - Товары для пчеловодства</x:v>
      </x:c>
      <x:c r="C4381" s="14" t="str">
        <x:v>Семена медоносных трав</x:v>
      </x:c>
      <x:c r="D4381" s="14" t="str">
        <x:v>Семена медоносных трав</x:v>
      </x:c>
      <x:c r="E4381" s="2" t="n">
        <x:v>1</x:v>
      </x:c>
      <x:c r="F4381" s="2" t="n">
        <x:v>0</x:v>
      </x:c>
      <x:c r="G4381" s="12" t="n">
        <x:v>92037</x:v>
      </x:c>
      <x:c r="H4381" s="12" t="n">
        <x:v>14735.1237</x:v>
      </x:c>
      <x:c r="I4381" s="13" t="n">
        <x:v>0.1601</x:v>
      </x:c>
      <x:c r="J4381" s="2" t="n">
        <x:v>0</x:v>
      </x:c>
      <x:c r="K4381" s="2" t="n">
        <x:v>1</x:v>
      </x:c>
      <x:c r="L4381" s="12" t="n">
        <x:v>989.6452</x:v>
      </x:c>
      <x:c r="M4381" s="13" t="n">
        <x:v>1</x:v>
      </x:c>
      <x:c r="N4381" s="13" t="n">
        <x:f>H4381/G4381</x:f>
        <x:v>0.1601</x:v>
      </x:c>
      <x:c r="O4381" s="13" t="n">
        <x:f>F4381/E4381</x:f>
        <x:v>0</x:v>
      </x:c>
      <x:c r="P4381" s="2" t="str">
        <x:f>IF(AND(E4381&gt;='Итоги'!$F$5,N4381&lt;='Итоги'!$B$5,O4381&gt;='Итоги'!$D$5),"Да","Нет")</x:f>
        <x:v>Нет</x:v>
      </x:c>
    </x:row>
    <x:row r="4382" ht="60" customHeight="1">
      <x:c r="A4382" s="14" t="str">
        <x:v>Аптека</x:v>
      </x:c>
      <x:c r="B4382" s="14" t="str">
        <x:v>Товары для взрослых</x:v>
      </x:c>
      <x:c r="C4382" s="14" t="str">
        <x:v>Товары для БДСМ</x:v>
      </x:c>
      <x:c r="D4382" s="14" t="str">
        <x:v>Текстиль для секса</x:v>
      </x:c>
      <x:c r="E4382" s="2" t="n">
        <x:v>3</x:v>
      </x:c>
      <x:c r="F4382" s="2" t="n">
        <x:v>0</x:v>
      </x:c>
      <x:c r="G4382" s="12" t="n">
        <x:v>417938.5589</x:v>
      </x:c>
      <x:c r="H4382" s="12" t="n">
        <x:v>66952.34172504001</x:v>
      </x:c>
      <x:c r="I4382" s="13" t="n">
        <x:v>0.1462666666666666</x:v>
      </x:c>
      <x:c r="J4382" s="2" t="n">
        <x:v>0</x:v>
      </x:c>
      <x:c r="K4382" s="2" t="n">
        <x:v>3</x:v>
      </x:c>
      <x:c r="L4382" s="12" t="n">
        <x:v>1074.5</x:v>
      </x:c>
      <x:c r="M4382" s="13" t="n">
        <x:v>0.558526397072285</x:v>
      </x:c>
      <x:c r="N4382" s="13" t="n">
        <x:f>H4382/G4382</x:f>
        <x:v>0.16019661335210678</x:v>
      </x:c>
      <x:c r="O4382" s="13" t="n">
        <x:f>F4382/E4382</x:f>
        <x:v>0</x:v>
      </x:c>
      <x:c r="P4382" s="2" t="str">
        <x:f>IF(AND(E4382&gt;='Итоги'!$F$5,N4382&lt;='Итоги'!$B$5,O4382&gt;='Итоги'!$D$5),"Да","Нет")</x:f>
        <x:v>Нет</x:v>
      </x:c>
    </x:row>
    <x:row r="4383" ht="60" customHeight="1">
      <x:c r="A4383" s="14" t="str">
        <x:v>Одежда</x:v>
      </x:c>
      <x:c r="B4383" s="14" t="str">
        <x:v>Белье, домашняя одежда и ЧНИ</x:v>
      </x:c>
      <x:c r="C4383" s="14" t="str">
        <x:v>Чулочно-носочные изделия женские</x:v>
      </x:c>
      <x:c r="D4383" s="14" t="str">
        <x:v>Подследники</x:v>
      </x:c>
      <x:c r="E4383" s="2" t="n">
        <x:v>1</x:v>
      </x:c>
      <x:c r="F4383" s="2" t="n">
        <x:v>0</x:v>
      </x:c>
      <x:c r="G4383" s="12" t="n">
        <x:v>106916.75</x:v>
      </x:c>
      <x:c r="H4383" s="12" t="n">
        <x:v>17128.06335</x:v>
      </x:c>
      <x:c r="I4383" s="13" t="n">
        <x:v>0.1602</x:v>
      </x:c>
      <x:c r="J4383" s="2" t="n">
        <x:v>0</x:v>
      </x:c>
      <x:c r="K4383" s="2" t="n">
        <x:v>1</x:v>
      </x:c>
      <x:c r="L4383" s="12" t="n">
        <x:v>752.9349</x:v>
      </x:c>
      <x:c r="M4383" s="13" t="n">
        <x:v>1</x:v>
      </x:c>
      <x:c r="N4383" s="13" t="n">
        <x:f>H4383/G4383</x:f>
        <x:v>0.1602</x:v>
      </x:c>
      <x:c r="O4383" s="13" t="n">
        <x:f>F4383/E4383</x:f>
        <x:v>0</x:v>
      </x:c>
      <x:c r="P4383" s="2" t="str">
        <x:f>IF(AND(E4383&gt;='Итоги'!$F$5,N4383&lt;='Итоги'!$B$5,O4383&gt;='Итоги'!$D$5),"Да","Нет")</x:f>
        <x:v>Нет</x:v>
      </x:c>
    </x:row>
    <x:row r="4384" ht="60" customHeight="1">
      <x:c r="A4384" s="14" t="str">
        <x:v>Хобби и творчество</x:v>
      </x:c>
      <x:c r="B4384" s="14" t="str">
        <x:v>Детское творчество и хобби</x:v>
      </x:c>
      <x:c r="C4384" s="14" t="str">
        <x:v>Рукоделие для детей</x:v>
      </x:c>
      <x:c r="D4384" s="14" t="str">
        <x:v>Набор для фокусов детский</x:v>
      </x:c>
      <x:c r="E4384" s="2" t="n">
        <x:v>1</x:v>
      </x:c>
      <x:c r="F4384" s="2" t="n">
        <x:v>0</x:v>
      </x:c>
      <x:c r="G4384" s="12" t="n">
        <x:v>99683</x:v>
      </x:c>
      <x:c r="H4384" s="12" t="n">
        <x:v>15969.216600000002</x:v>
      </x:c>
      <x:c r="I4384" s="13" t="n">
        <x:v>0.1602</x:v>
      </x:c>
      <x:c r="J4384" s="2" t="n">
        <x:v>0</x:v>
      </x:c>
      <x:c r="K4384" s="2" t="n">
        <x:v>1</x:v>
      </x:c>
      <x:c r="L4384" s="12" t="n">
        <x:v>2431.2927</x:v>
      </x:c>
      <x:c r="M4384" s="13" t="n">
        <x:v>1</x:v>
      </x:c>
      <x:c r="N4384" s="13" t="n">
        <x:f>H4384/G4384</x:f>
        <x:v>0.1602</x:v>
      </x:c>
      <x:c r="O4384" s="13" t="n">
        <x:f>F4384/E4384</x:f>
        <x:v>0</x:v>
      </x:c>
      <x:c r="P4384" s="2" t="str">
        <x:f>IF(AND(E4384&gt;='Итоги'!$F$5,N4384&lt;='Итоги'!$B$5,O4384&gt;='Итоги'!$D$5),"Да","Нет")</x:f>
        <x:v>Нет</x:v>
      </x:c>
    </x:row>
    <x:row r="4385" ht="60" customHeight="1">
      <x:c r="A4385" s="14" t="str">
        <x:v>Хобби и творчество</x:v>
      </x:c>
      <x:c r="B4385" s="14" t="str">
        <x:v>Детское творчество и хобби</x:v>
      </x:c>
      <x:c r="C4385" s="14" t="str">
        <x:v>Настольные и обучающие игры</x:v>
      </x:c>
      <x:c r="D4385" s="14" t="str">
        <x:v>Мозаика</x:v>
      </x:c>
      <x:c r="E4385" s="2" t="n">
        <x:v>6</x:v>
      </x:c>
      <x:c r="F4385" s="2" t="n">
        <x:v>0</x:v>
      </x:c>
      <x:c r="G4385" s="12" t="n">
        <x:v>611355.4449</x:v>
      </x:c>
      <x:c r="H4385" s="12" t="n">
        <x:v>98266.79451442</x:v>
      </x:c>
      <x:c r="I4385" s="13" t="n">
        <x:v>0.1591499999999999</x:v>
      </x:c>
      <x:c r="J4385" s="2" t="n">
        <x:v>0</x:v>
      </x:c>
      <x:c r="K4385" s="2" t="n">
        <x:v>4</x:v>
      </x:c>
      <x:c r="L4385" s="12" t="n">
        <x:v>1010.1839</x:v>
      </x:c>
      <x:c r="M4385" s="13" t="n">
        <x:v>0.3270464788821904</x:v>
      </x:c>
      <x:c r="N4385" s="13" t="n">
        <x:f>H4385/G4385</x:f>
        <x:v>0.16073594393273719</x:v>
      </x:c>
      <x:c r="O4385" s="13" t="n">
        <x:f>F4385/E4385</x:f>
        <x:v>0</x:v>
      </x:c>
      <x:c r="P4385" s="2" t="str">
        <x:f>IF(AND(E4385&gt;='Итоги'!$F$5,N4385&lt;='Итоги'!$B$5,O4385&gt;='Итоги'!$D$5),"Да","Нет")</x:f>
        <x:v>Нет</x:v>
      </x:c>
    </x:row>
    <x:row r="4386" ht="60" customHeight="1">
      <x:c r="A4386" s="14" t="str">
        <x:v>Аксессуары</x:v>
      </x:c>
      <x:c r="B4386" s="14" t="str">
        <x:v>Аксессуары</x:v>
      </x:c>
      <x:c r="C4386" s="14" t="str">
        <x:v>Мелкие аксессуары</x:v>
      </x:c>
      <x:c r="D4386" s="14" t="str">
        <x:v>Набор ремней</x:v>
      </x:c>
      <x:c r="E4386" s="2" t="n">
        <x:v>2</x:v>
      </x:c>
      <x:c r="F4386" s="2" t="n">
        <x:v>0</x:v>
      </x:c>
      <x:c r="G4386" s="12" t="n">
        <x:v>167977.8132</x:v>
      </x:c>
      <x:c r="H4386" s="12" t="n">
        <x:v>27000.184132400005</x:v>
      </x:c>
      <x:c r="I4386" s="13" t="n">
        <x:v>0.1872</x:v>
      </x:c>
      <x:c r="J4386" s="2" t="n">
        <x:v>0</x:v>
      </x:c>
      <x:c r="K4386" s="2" t="n">
        <x:v>1</x:v>
      </x:c>
      <x:c r="L4386" s="12" t="n">
        <x:v>1361.3419</x:v>
      </x:c>
      <x:c r="M4386" s="13" t="n">
        <x:v>1</x:v>
      </x:c>
      <x:c r="N4386" s="13" t="n">
        <x:f>H4386/G4386</x:f>
        <x:v>0.16073660930597233</x:v>
      </x:c>
      <x:c r="O4386" s="13" t="n">
        <x:f>F4386/E4386</x:f>
        <x:v>0</x:v>
      </x:c>
      <x:c r="P4386" s="2" t="str">
        <x:f>IF(AND(E4386&gt;='Итоги'!$F$5,N4386&lt;='Итоги'!$B$5,O4386&gt;='Итоги'!$D$5),"Да","Нет")</x:f>
        <x:v>Нет</x:v>
      </x:c>
    </x:row>
    <x:row r="4387" ht="60" customHeight="1">
      <x:c r="A4387" s="14" t="str">
        <x:v>Аксессуары для электроники</x:v>
      </x:c>
      <x:c r="B4387" s="14" t="str">
        <x:v>Домашняя Аудио и Видеотехника Access</x:v>
      </x:c>
      <x:c r="C4387" s="14" t="str">
        <x:v>Аксессуар к TV и аудиотехнике Access</x:v>
      </x:c>
      <x:c r="D4387" s="14" t="str">
        <x:v>Будильник электронный</x:v>
      </x:c>
      <x:c r="E4387" s="2" t="n">
        <x:v>5</x:v>
      </x:c>
      <x:c r="F4387" s="2" t="n">
        <x:v>0</x:v>
      </x:c>
      <x:c r="G4387" s="12" t="n">
        <x:v>551485.7493</x:v>
      </x:c>
      <x:c r="H4387" s="12" t="n">
        <x:v>88712.12360160999</x:v>
      </x:c>
      <x:c r="I4387" s="13" t="n">
        <x:v>0.1221</x:v>
      </x:c>
      <x:c r="J4387" s="2" t="n">
        <x:v>2</x:v>
      </x:c>
      <x:c r="K4387" s="2" t="n">
        <x:v>4</x:v>
      </x:c>
      <x:c r="L4387" s="12" t="n">
        <x:v>1440.9179</x:v>
      </x:c>
      <x:c r="M4387" s="13" t="n">
        <x:v>0.4179872092662249</x:v>
      </x:c>
      <x:c r="N4387" s="13" t="n">
        <x:f>H4387/G4387</x:f>
        <x:v>0.16086022841789138</x:v>
      </x:c>
      <x:c r="O4387" s="13" t="n">
        <x:f>F4387/E4387</x:f>
        <x:v>0</x:v>
      </x:c>
      <x:c r="P4387" s="2" t="str">
        <x:f>IF(AND(E4387&gt;='Итоги'!$F$5,N4387&lt;='Итоги'!$B$5,O4387&gt;='Итоги'!$D$5),"Да","Нет")</x:f>
        <x:v>Нет</x:v>
      </x:c>
    </x:row>
    <x:row r="4388" ht="60" customHeight="1">
      <x:c r="A4388" s="14" t="str">
        <x:v>Школьные принадлежности и канцелярия</x:v>
      </x:c>
      <x:c r="B4388" s="14" t="str">
        <x:v>Товары для школы, канцелярия, оборудование</x:v>
      </x:c>
      <x:c r="C4388" s="14" t="str">
        <x:v>Чертежные принадлежности</x:v>
      </x:c>
      <x:c r="D4388" s="14" t="str">
        <x:v>Ластик</x:v>
      </x:c>
      <x:c r="E4388" s="2" t="n">
        <x:v>3</x:v>
      </x:c>
      <x:c r="F4388" s="2" t="n">
        <x:v>0</x:v>
      </x:c>
      <x:c r="G4388" s="12" t="n">
        <x:v>341500.43</x:v>
      </x:c>
      <x:c r="H4388" s="12" t="n">
        <x:v>55024.710856</x:v>
      </x:c>
      <x:c r="I4388" s="13" t="n">
        <x:v>0.1603</x:v>
      </x:c>
      <x:c r="J4388" s="2" t="n">
        <x:v>0</x:v>
      </x:c>
      <x:c r="K4388" s="2" t="n">
        <x:v>1</x:v>
      </x:c>
      <x:c r="L4388" s="12" t="n">
        <x:v>124.5052</x:v>
      </x:c>
      <x:c r="M4388" s="13" t="n">
        <x:v>1</x:v>
      </x:c>
      <x:c r="N4388" s="13" t="n">
        <x:f>H4388/G4388</x:f>
        <x:v>0.16112632963888215</x:v>
      </x:c>
      <x:c r="O4388" s="13" t="n">
        <x:f>F4388/E4388</x:f>
        <x:v>0</x:v>
      </x:c>
      <x:c r="P4388" s="2" t="str">
        <x:f>IF(AND(E4388&gt;='Итоги'!$F$5,N4388&lt;='Итоги'!$B$5,O4388&gt;='Итоги'!$D$5),"Да","Нет")</x:f>
        <x:v>Нет</x:v>
      </x:c>
    </x:row>
    <x:row r="4389" ht="60" customHeight="1">
      <x:c r="A4389" s="14" t="str">
        <x:v>Товары для дома</x:v>
      </x:c>
      <x:c r="B4389" s="14" t="str">
        <x:v>Интерьер и декор</x:v>
      </x:c>
      <x:c r="C4389" s="14" t="str">
        <x:v>Ароматы для дома</x:v>
      </x:c>
      <x:c r="D4389" s="14" t="str">
        <x:v>Ароматизатор интерьерный, аксессуары</x:v>
      </x:c>
      <x:c r="E4389" s="2" t="n">
        <x:v>2</x:v>
      </x:c>
      <x:c r="F4389" s="2" t="n">
        <x:v>0</x:v>
      </x:c>
      <x:c r="G4389" s="12" t="n">
        <x:v>567783.1696</x:v>
      </x:c>
      <x:c r="H4389" s="12" t="n">
        <x:v>91622.02803312</x:v>
      </x:c>
      <x:c r="I4389" s="13" t="n">
        <x:v>0.1597</x:v>
      </x:c>
      <x:c r="J4389" s="2" t="n">
        <x:v>0</x:v>
      </x:c>
      <x:c r="K4389" s="2" t="n">
        <x:v>1</x:v>
      </x:c>
      <x:c r="L4389" s="12" t="n">
        <x:v>1229.27525</x:v>
      </x:c>
      <x:c r="M4389" s="13" t="n">
        <x:v>1</x:v>
      </x:c>
      <x:c r="N4389" s="13" t="n">
        <x:f>H4389/G4389</x:f>
        <x:v>0.16136798858914256</x:v>
      </x:c>
      <x:c r="O4389" s="13" t="n">
        <x:f>F4389/E4389</x:f>
        <x:v>0</x:v>
      </x:c>
      <x:c r="P4389" s="2" t="str">
        <x:f>IF(AND(E4389&gt;='Итоги'!$F$5,N4389&lt;='Итоги'!$B$5,O4389&gt;='Итоги'!$D$5),"Да","Нет")</x:f>
        <x:v>Нет</x:v>
      </x:c>
    </x:row>
    <x:row r="4390" ht="60" customHeight="1">
      <x:c r="A4390" s="14" t="str">
        <x:v>Игрушки</x:v>
      </x:c>
      <x:c r="B4390" s="14" t="str">
        <x:v>Игрушки</x:v>
      </x:c>
      <x:c r="C4390" s="14" t="str">
        <x:v>Развлекательные игрушки</x:v>
      </x:c>
      <x:c r="D4390" s="14" t="str">
        <x:v>Антистрессовая игрушка</x:v>
      </x:c>
      <x:c r="E4390" s="2" t="n">
        <x:v>14</x:v>
      </x:c>
      <x:c r="F4390" s="2" t="n">
        <x:v>0</x:v>
      </x:c>
      <x:c r="G4390" s="12" t="n">
        <x:v>1700054.1691</x:v>
      </x:c>
      <x:c r="H4390" s="12" t="n">
        <x:v>274965.82124448</x:v>
      </x:c>
      <x:c r="I4390" s="13" t="n">
        <x:v>0.1453785714285714</x:v>
      </x:c>
      <x:c r="J4390" s="2" t="n">
        <x:v>0</x:v>
      </x:c>
      <x:c r="K4390" s="2" t="n">
        <x:v>9</x:v>
      </x:c>
      <x:c r="L4390" s="12" t="n">
        <x:v>845.0617500000001</x:v>
      </x:c>
      <x:c r="M4390" s="13" t="n">
        <x:v>0.4886442935167058</x:v>
      </x:c>
      <x:c r="N4390" s="13" t="n">
        <x:f>H4390/G4390</x:f>
        <x:v>0.16173944703776438</x:v>
      </x:c>
      <x:c r="O4390" s="13" t="n">
        <x:f>F4390/E4390</x:f>
        <x:v>0</x:v>
      </x:c>
      <x:c r="P4390" s="2" t="str">
        <x:f>IF(AND(E4390&gt;='Итоги'!$F$5,N4390&lt;='Итоги'!$B$5,O4390&gt;='Итоги'!$D$5),"Да","Нет")</x:f>
        <x:v>Нет</x:v>
      </x:c>
    </x:row>
    <x:row r="4391" ht="60" customHeight="1">
      <x:c r="A4391" s="14" t="str">
        <x:v>Аксессуары</x:v>
      </x:c>
      <x:c r="B4391" s="14" t="str">
        <x:v>Бижутерия и часы бижутерные</x:v>
      </x:c>
      <x:c r="C4391" s="14" t="str">
        <x:v>Бижутерия</x:v>
      </x:c>
      <x:c r="D4391" s="14" t="str">
        <x:v>Бижу колье/ожерелье</x:v>
      </x:c>
      <x:c r="E4391" s="2" t="n">
        <x:v>11</x:v>
      </x:c>
      <x:c r="F4391" s="2" t="n">
        <x:v>0</x:v>
      </x:c>
      <x:c r="G4391" s="12" t="n">
        <x:v>1055265.3383</x:v>
      </x:c>
      <x:c r="H4391" s="12" t="n">
        <x:v>170816.57146561</x:v>
      </x:c>
      <x:c r="I4391" s="13" t="n">
        <x:v>0.1411181818181818</x:v>
      </x:c>
      <x:c r="J4391" s="2" t="n">
        <x:v>1</x:v>
      </x:c>
      <x:c r="K4391" s="2" t="n">
        <x:v>9</x:v>
      </x:c>
      <x:c r="L4391" s="12" t="n">
        <x:v>1987</x:v>
      </x:c>
      <x:c r="M4391" s="13" t="n">
        <x:v>0.2069627344643354</x:v>
      </x:c>
      <x:c r="N4391" s="13" t="n">
        <x:f>H4391/G4391</x:f>
        <x:v>0.16187073076880384</x:v>
      </x:c>
      <x:c r="O4391" s="13" t="n">
        <x:f>F4391/E4391</x:f>
        <x:v>0</x:v>
      </x:c>
      <x:c r="P4391" s="2" t="str">
        <x:f>IF(AND(E4391&gt;='Итоги'!$F$5,N4391&lt;='Итоги'!$B$5,O4391&gt;='Итоги'!$D$5),"Да","Нет")</x:f>
        <x:v>Нет</x:v>
      </x:c>
    </x:row>
    <x:row r="4392" ht="60" customHeight="1">
      <x:c r="A4392" s="14" t="str">
        <x:v>Хобби и творчество</x:v>
      </x:c>
      <x:c r="B4392" s="14" t="str">
        <x:v>Детское творчество и хобби</x:v>
      </x:c>
      <x:c r="C4392" s="14" t="str">
        <x:v>Лепка для детей</x:v>
      </x:c>
      <x:c r="D4392" s="14" t="str">
        <x:v>Приспособление для лепки для детей</x:v>
      </x:c>
      <x:c r="E4392" s="2" t="n">
        <x:v>1</x:v>
      </x:c>
      <x:c r="F4392" s="2" t="n">
        <x:v>0</x:v>
      </x:c>
      <x:c r="G4392" s="12" t="n">
        <x:v>111617</x:v>
      </x:c>
      <x:c r="H4392" s="12" t="n">
        <x:v>18081.954</x:v>
      </x:c>
      <x:c r="I4392" s="13" t="n">
        <x:v>0.162</x:v>
      </x:c>
      <x:c r="J4392" s="2" t="n">
        <x:v>0</x:v>
      </x:c>
      <x:c r="K4392" s="2" t="n">
        <x:v>1</x:v>
      </x:c>
      <x:c r="L4392" s="12" t="n">
        <x:v>1083.6602</x:v>
      </x:c>
      <x:c r="M4392" s="13" t="n">
        <x:v>1</x:v>
      </x:c>
      <x:c r="N4392" s="13" t="n">
        <x:f>H4392/G4392</x:f>
        <x:v>0.162</x:v>
      </x:c>
      <x:c r="O4392" s="13" t="n">
        <x:f>F4392/E4392</x:f>
        <x:v>0</x:v>
      </x:c>
      <x:c r="P4392" s="2" t="str">
        <x:f>IF(AND(E4392&gt;='Итоги'!$F$5,N4392&lt;='Итоги'!$B$5,O4392&gt;='Итоги'!$D$5),"Да","Нет")</x:f>
        <x:v>Нет</x:v>
      </x:c>
    </x:row>
    <x:row r="4393" ht="60" customHeight="1">
      <x:c r="A4393" s="14" t="str">
        <x:v>Товары для дома</x:v>
      </x:c>
      <x:c r="B4393" s="14" t="str">
        <x:v>Антиквариат Хоум Декор</x:v>
      </x:c>
      <x:c r="C4393" s="14" t="str">
        <x:v>Коллекционирование Хоум Декор</x:v>
      </x:c>
      <x:c r="D4393" s="14" t="str">
        <x:v>Аксессуары для коллекционирования банкнот, ценных бумаг</x:v>
      </x:c>
      <x:c r="E4393" s="2" t="n">
        <x:v>1</x:v>
      </x:c>
      <x:c r="F4393" s="2" t="n">
        <x:v>0</x:v>
      </x:c>
      <x:c r="G4393" s="12" t="n">
        <x:v>92562.83</x:v>
      </x:c>
      <x:c r="H4393" s="12" t="n">
        <x:v>15004.434743</x:v>
      </x:c>
      <x:c r="I4393" s="13" t="n">
        <x:v>0.1621</x:v>
      </x:c>
      <x:c r="J4393" s="2" t="n">
        <x:v>0</x:v>
      </x:c>
      <x:c r="K4393" s="2" t="n">
        <x:v>1</x:v>
      </x:c>
      <x:c r="L4393" s="12" t="n">
        <x:v>849.2003</x:v>
      </x:c>
      <x:c r="M4393" s="13" t="n">
        <x:v>1</x:v>
      </x:c>
      <x:c r="N4393" s="13" t="n">
        <x:f>H4393/G4393</x:f>
        <x:v>0.1621</x:v>
      </x:c>
      <x:c r="O4393" s="13" t="n">
        <x:f>F4393/E4393</x:f>
        <x:v>0</x:v>
      </x:c>
      <x:c r="P4393" s="2" t="str">
        <x:f>IF(AND(E4393&gt;='Итоги'!$F$5,N4393&lt;='Итоги'!$B$5,O4393&gt;='Итоги'!$D$5),"Да","Нет")</x:f>
        <x:v>Нет</x:v>
      </x:c>
    </x:row>
    <x:row r="4394" ht="60" customHeight="1">
      <x:c r="A4394" s="14" t="str">
        <x:v>Одежда</x:v>
      </x:c>
      <x:c r="B4394" s="14" t="str">
        <x:v>Спецодежда и одежда для мероприятий</x:v>
      </x:c>
      <x:c r="C4394" s="14" t="str">
        <x:v>Спецодежда мужская</x:v>
      </x:c>
      <x:c r="D4394" s="14" t="str">
        <x:v>Рабочий дождевик мужской</x:v>
      </x:c>
      <x:c r="E4394" s="2" t="n">
        <x:v>1</x:v>
      </x:c>
      <x:c r="F4394" s="2" t="n">
        <x:v>0</x:v>
      </x:c>
      <x:c r="G4394" s="12" t="n">
        <x:v>90090.93</x:v>
      </x:c>
      <x:c r="H4394" s="12" t="n">
        <x:v>14612.748846</x:v>
      </x:c>
      <x:c r="I4394" s="13" t="n">
        <x:v>0.1622</x:v>
      </x:c>
      <x:c r="J4394" s="2" t="n">
        <x:v>0</x:v>
      </x:c>
      <x:c r="K4394" s="2" t="n">
        <x:v>1</x:v>
      </x:c>
      <x:c r="L4394" s="12" t="n">
        <x:v>919.2952</x:v>
      </x:c>
      <x:c r="M4394" s="13" t="n">
        <x:v>1</x:v>
      </x:c>
      <x:c r="N4394" s="13" t="n">
        <x:f>H4394/G4394</x:f>
        <x:v>0.1622</x:v>
      </x:c>
      <x:c r="O4394" s="13" t="n">
        <x:f>F4394/E4394</x:f>
        <x:v>0</x:v>
      </x:c>
      <x:c r="P4394" s="2" t="str">
        <x:f>IF(AND(E4394&gt;='Итоги'!$F$5,N4394&lt;='Итоги'!$B$5,O4394&gt;='Итоги'!$D$5),"Да","Нет")</x:f>
        <x:v>Нет</x:v>
      </x:c>
    </x:row>
    <x:row r="4395" ht="60" customHeight="1">
      <x:c r="A4395" s="14" t="str">
        <x:v>Школьные принадлежности и канцелярия</x:v>
      </x:c>
      <x:c r="B4395" s="14" t="str">
        <x:v>Товары для школы, канцелярия, оборудование</x:v>
      </x:c>
      <x:c r="C4395" s="14" t="str">
        <x:v>Бумага офисная и бумажная продукция</x:v>
      </x:c>
      <x:c r="D4395" s="14" t="str">
        <x:v>Анкета, дневник личный</x:v>
      </x:c>
      <x:c r="E4395" s="2" t="n">
        <x:v>1</x:v>
      </x:c>
      <x:c r="F4395" s="2" t="n">
        <x:v>0</x:v>
      </x:c>
      <x:c r="G4395" s="12" t="n">
        <x:v>88776.08</x:v>
      </x:c>
      <x:c r="H4395" s="12" t="n">
        <x:v>14434.990608</x:v>
      </x:c>
      <x:c r="I4395" s="13" t="n">
        <x:v>0.1626</x:v>
      </x:c>
      <x:c r="J4395" s="2" t="n">
        <x:v>0</x:v>
      </x:c>
      <x:c r="K4395" s="2" t="n">
        <x:v>1</x:v>
      </x:c>
      <x:c r="L4395" s="12" t="n">
        <x:v>1305.5306</x:v>
      </x:c>
      <x:c r="M4395" s="13" t="n">
        <x:v>1</x:v>
      </x:c>
      <x:c r="N4395" s="13" t="n">
        <x:f>H4395/G4395</x:f>
        <x:v>0.1626</x:v>
      </x:c>
      <x:c r="O4395" s="13" t="n">
        <x:f>F4395/E4395</x:f>
        <x:v>0</x:v>
      </x:c>
      <x:c r="P4395" s="2" t="str">
        <x:f>IF(AND(E4395&gt;='Итоги'!$F$5,N4395&lt;='Итоги'!$B$5,O4395&gt;='Итоги'!$D$5),"Да","Нет")</x:f>
        <x:v>Нет</x:v>
      </x:c>
    </x:row>
    <x:row r="4396" ht="60" customHeight="1">
      <x:c r="A4396" s="14" t="str">
        <x:v>Товары для красоты и здоровья</x:v>
      </x:c>
      <x:c r="B4396" s="14" t="str">
        <x:v>Косметическая техника</x:v>
      </x:c>
      <x:c r="C4396" s="14" t="str">
        <x:v>Приборы для косметических процедур</x:v>
      </x:c>
      <x:c r="D4396" s="14" t="str">
        <x:v>Паровая сауна</x:v>
      </x:c>
      <x:c r="E4396" s="2" t="n">
        <x:v>3</x:v>
      </x:c>
      <x:c r="F4396" s="2" t="n">
        <x:v>0</x:v>
      </x:c>
      <x:c r="G4396" s="12" t="n">
        <x:v>236353.5281</x:v>
      </x:c>
      <x:c r="H4396" s="12" t="n">
        <x:v>38439.94119243</x:v>
      </x:c>
      <x:c r="I4396" s="13" t="n">
        <x:v>0.1211</x:v>
      </x:c>
      <x:c r="J4396" s="2" t="n">
        <x:v>1</x:v>
      </x:c>
      <x:c r="K4396" s="2" t="n">
        <x:v>3</x:v>
      </x:c>
      <x:c r="L4396" s="12" t="n">
        <x:v>6764</x:v>
      </x:c>
      <x:c r="M4396" s="13" t="n">
        <x:v>0.4643044717046473</x:v>
      </x:c>
      <x:c r="N4396" s="13" t="n">
        <x:f>H4396/G4396</x:f>
        <x:v>0.16263747574001203</x:v>
      </x:c>
      <x:c r="O4396" s="13" t="n">
        <x:f>F4396/E4396</x:f>
        <x:v>0</x:v>
      </x:c>
      <x:c r="P4396" s="2" t="str">
        <x:f>IF(AND(E4396&gt;='Итоги'!$F$5,N4396&lt;='Итоги'!$B$5,O4396&gt;='Итоги'!$D$5),"Да","Нет")</x:f>
        <x:v>Нет</x:v>
      </x:c>
    </x:row>
    <x:row r="4397" ht="60" customHeight="1">
      <x:c r="A4397" s="14" t="str">
        <x:v>Аптека</x:v>
      </x:c>
      <x:c r="B4397" s="14" t="str">
        <x:v>Спортивное питание</x:v>
      </x:c>
      <x:c r="C4397" s="14" t="str">
        <x:v>Специальные препараты для спортивного питания</x:v>
      </x:c>
      <x:c r="D4397" s="14" t="str">
        <x:v>Выработка гормона роста</x:v>
      </x:c>
      <x:c r="E4397" s="2" t="n">
        <x:v>42</x:v>
      </x:c>
      <x:c r="F4397" s="2" t="n">
        <x:v>0</x:v>
      </x:c>
      <x:c r="G4397" s="12" t="n">
        <x:v>8795986.5044</x:v>
      </x:c>
      <x:c r="H4397" s="12" t="n">
        <x:v>1431516.78654009</x:v>
      </x:c>
      <x:c r="I4397" s="13" t="n">
        <x:v>0.1706</x:v>
      </x:c>
      <x:c r="J4397" s="2" t="n">
        <x:v>5</x:v>
      </x:c>
      <x:c r="K4397" s="2" t="n">
        <x:v>7</x:v>
      </x:c>
      <x:c r="L4397" s="12" t="n">
        <x:v>1919.0686</x:v>
      </x:c>
      <x:c r="M4397" s="13" t="n">
        <x:v>0.7451891521230924</x:v>
      </x:c>
      <x:c r="N4397" s="13" t="n">
        <x:f>H4397/G4397</x:f>
        <x:v>0.16274658741506767</x:v>
      </x:c>
      <x:c r="O4397" s="13" t="n">
        <x:f>F4397/E4397</x:f>
        <x:v>0</x:v>
      </x:c>
      <x:c r="P4397" s="2" t="str">
        <x:f>IF(AND(E4397&gt;='Итоги'!$F$5,N4397&lt;='Итоги'!$B$5,O4397&gt;='Итоги'!$D$5),"Да","Нет")</x:f>
        <x:v>Нет</x:v>
      </x:c>
    </x:row>
    <x:row r="4398" ht="60" customHeight="1">
      <x:c r="A4398" s="14" t="str">
        <x:v>Строительство и ремонт (DIY)</x:v>
      </x:c>
      <x:c r="B4398" s="14" t="str">
        <x:v>Ремонт и строительство</x:v>
      </x:c>
      <x:c r="C4398" s="14" t="str">
        <x:v>Электротовары</x:v>
      </x:c>
      <x:c r="D4398" s="14" t="str">
        <x:v>Блок выключатель с розеткой</x:v>
      </x:c>
      <x:c r="E4398" s="2" t="n">
        <x:v>1</x:v>
      </x:c>
      <x:c r="F4398" s="2" t="n">
        <x:v>0</x:v>
      </x:c>
      <x:c r="G4398" s="12" t="n">
        <x:v>133034.52</x:v>
      </x:c>
      <x:c r="H4398" s="12" t="n">
        <x:v>21658.019856</x:v>
      </x:c>
      <x:c r="I4398" s="13" t="n">
        <x:v>0.1628</x:v>
      </x:c>
      <x:c r="J4398" s="2" t="n">
        <x:v>0</x:v>
      </x:c>
      <x:c r="K4398" s="2" t="n">
        <x:v>1</x:v>
      </x:c>
      <x:c r="L4398" s="12" t="n">
        <x:v>811.1861</x:v>
      </x:c>
      <x:c r="M4398" s="13" t="n">
        <x:v>1</x:v>
      </x:c>
      <x:c r="N4398" s="13" t="n">
        <x:f>H4398/G4398</x:f>
        <x:v>0.1628</x:v>
      </x:c>
      <x:c r="O4398" s="13" t="n">
        <x:f>F4398/E4398</x:f>
        <x:v>0</x:v>
      </x:c>
      <x:c r="P4398" s="2" t="str">
        <x:f>IF(AND(E4398&gt;='Итоги'!$F$5,N4398&lt;='Итоги'!$B$5,O4398&gt;='Итоги'!$D$5),"Да","Нет")</x:f>
        <x:v>Нет</x:v>
      </x:c>
    </x:row>
    <x:row r="4399" ht="60" customHeight="1">
      <x:c r="A4399" s="14" t="str">
        <x:v>Товары для красоты и здоровья</x:v>
      </x:c>
      <x:c r="B4399" s="14" t="str">
        <x:v>Косметические аксессуары</x:v>
      </x:c>
      <x:c r="C4399" s="14" t="str">
        <x:v>Аксессуары для маникюра и педикюра</x:v>
      </x:c>
      <x:c r="D4399" s="14" t="str">
        <x:v>Маникюрная пилка</x:v>
      </x:c>
      <x:c r="E4399" s="2" t="n">
        <x:v>6</x:v>
      </x:c>
      <x:c r="F4399" s="2" t="n">
        <x:v>0</x:v>
      </x:c>
      <x:c r="G4399" s="12" t="n">
        <x:v>1123590.9392</x:v>
      </x:c>
      <x:c r="H4399" s="12" t="n">
        <x:v>183548.47764056</x:v>
      </x:c>
      <x:c r="I4399" s="13" t="n">
        <x:v>0.1407833333333333</x:v>
      </x:c>
      <x:c r="J4399" s="2" t="n">
        <x:v>0</x:v>
      </x:c>
      <x:c r="K4399" s="2" t="n">
        <x:v>1</x:v>
      </x:c>
      <x:c r="L4399" s="12" t="n">
        <x:v>2116.5489</x:v>
      </x:c>
      <x:c r="M4399" s="13" t="n">
        <x:v>1</x:v>
      </x:c>
      <x:c r="N4399" s="13" t="n">
        <x:f>H4399/G4399</x:f>
        <x:v>0.16335880900859442</x:v>
      </x:c>
      <x:c r="O4399" s="13" t="n">
        <x:f>F4399/E4399</x:f>
        <x:v>0</x:v>
      </x:c>
      <x:c r="P4399" s="2" t="str">
        <x:f>IF(AND(E4399&gt;='Итоги'!$F$5,N4399&lt;='Итоги'!$B$5,O4399&gt;='Итоги'!$D$5),"Да","Нет")</x:f>
        <x:v>Нет</x:v>
      </x:c>
    </x:row>
    <x:row r="4400" ht="60" customHeight="1">
      <x:c r="A4400" s="14" t="str">
        <x:v>Спорт и отдых</x:v>
      </x:c>
      <x:c r="B4400" s="14" t="str">
        <x:v>Туризм</x:v>
      </x:c>
      <x:c r="C4400" s="14" t="str">
        <x:v>Приготовление пищи, посуда туристическая</x:v>
      </x:c>
      <x:c r="D4400" s="14" t="str">
        <x:v>Аксессуары негорючие для горелок, плит</x:v>
      </x:c>
      <x:c r="E4400" s="2" t="n">
        <x:v>1</x:v>
      </x:c>
      <x:c r="F4400" s="2" t="n">
        <x:v>0</x:v>
      </x:c>
      <x:c r="G4400" s="12" t="n">
        <x:v>92672</x:v>
      </x:c>
      <x:c r="H4400" s="12" t="n">
        <x:v>15151.872</x:v>
      </x:c>
      <x:c r="I4400" s="13" t="n">
        <x:v>0.1635</x:v>
      </x:c>
      <x:c r="J4400" s="2" t="n">
        <x:v>0</x:v>
      </x:c>
      <x:c r="K4400" s="2" t="n">
        <x:v>1</x:v>
      </x:c>
      <x:c r="L4400" s="12" t="n">
        <x:v>2896</x:v>
      </x:c>
      <x:c r="M4400" s="13" t="n">
        <x:v>1</x:v>
      </x:c>
      <x:c r="N4400" s="13" t="n">
        <x:f>H4400/G4400</x:f>
        <x:v>0.1635</x:v>
      </x:c>
      <x:c r="O4400" s="13" t="n">
        <x:f>F4400/E4400</x:f>
        <x:v>0</x:v>
      </x:c>
      <x:c r="P4400" s="2" t="str">
        <x:f>IF(AND(E4400&gt;='Итоги'!$F$5,N4400&lt;='Итоги'!$B$5,O4400&gt;='Итоги'!$D$5),"Да","Нет")</x:f>
        <x:v>Нет</x:v>
      </x:c>
    </x:row>
    <x:row r="4401" ht="60" customHeight="1">
      <x:c r="A4401" s="14" t="str">
        <x:v>Аптека</x:v>
      </x:c>
      <x:c r="B4401" s="14" t="str">
        <x:v>Товары для взрослых</x:v>
      </x:c>
      <x:c r="C4401" s="14" t="str">
        <x:v>Секс игрушки</x:v>
      </x:c>
      <x:c r="D4401" s="14" t="str">
        <x:v>Мастурбатор</x:v>
      </x:c>
      <x:c r="E4401" s="2" t="n">
        <x:v>202</x:v>
      </x:c>
      <x:c r="F4401" s="2" t="n">
        <x:v>0</x:v>
      </x:c>
      <x:c r="G4401" s="12" t="n">
        <x:v>37916368.7522</x:v>
      </x:c>
      <x:c r="H4401" s="12" t="n">
        <x:v>6201559.89705929</x:v>
      </x:c>
      <x:c r="I4401" s="13" t="n">
        <x:v>0.16215</x:v>
      </x:c>
      <x:c r="J4401" s="2" t="n">
        <x:v>24</x:v>
      </x:c>
      <x:c r="K4401" s="2" t="n">
        <x:v>77</x:v>
      </x:c>
      <x:c r="L4401" s="12" t="n">
        <x:v>2383.47935</x:v>
      </x:c>
      <x:c r="M4401" s="13" t="n">
        <x:v>0.4688065189884151</x:v>
      </x:c>
      <x:c r="N4401" s="13" t="n">
        <x:f>H4401/G4401</x:f>
        <x:v>0.16355890875492818</x:v>
      </x:c>
      <x:c r="O4401" s="13" t="n">
        <x:f>F4401/E4401</x:f>
        <x:v>0</x:v>
      </x:c>
      <x:c r="P4401" s="2" t="str">
        <x:f>IF(AND(E4401&gt;='Итоги'!$F$5,N4401&lt;='Итоги'!$B$5,O4401&gt;='Итоги'!$D$5),"Да","Нет")</x:f>
        <x:v>Нет</x:v>
      </x:c>
    </x:row>
    <x:row r="4402" ht="60" customHeight="1">
      <x:c r="A4402" s="14" t="str">
        <x:v>Школьные принадлежности и канцелярия</x:v>
      </x:c>
      <x:c r="B4402" s="14" t="str">
        <x:v>Товары для школы, канцелярия, оборудование</x:v>
      </x:c>
      <x:c r="C4402" s="14" t="str">
        <x:v>Настенные карты</x:v>
      </x:c>
      <x:c r="D4402" s="14" t="str">
        <x:v>Географическая карта</x:v>
      </x:c>
      <x:c r="E4402" s="2" t="n">
        <x:v>6</x:v>
      </x:c>
      <x:c r="F4402" s="2" t="n">
        <x:v>0</x:v>
      </x:c>
      <x:c r="G4402" s="12" t="n">
        <x:v>685440.3233</x:v>
      </x:c>
      <x:c r="H4402" s="12" t="n">
        <x:v>112221.09372568</x:v>
      </x:c>
      <x:c r="I4402" s="13" t="n">
        <x:v>0.1614166666666666</x:v>
      </x:c>
      <x:c r="J4402" s="2" t="n">
        <x:v>0</x:v>
      </x:c>
      <x:c r="K4402" s="2" t="n">
        <x:v>4</x:v>
      </x:c>
      <x:c r="L4402" s="12" t="n">
        <x:v>1428.31565</x:v>
      </x:c>
      <x:c r="M4402" s="13" t="n">
        <x:v>0.3420948532340306</x:v>
      </x:c>
      <x:c r="N4402" s="13" t="n">
        <x:f>H4402/G4402</x:f>
        <x:v>0.16372117296134567</x:v>
      </x:c>
      <x:c r="O4402" s="13" t="n">
        <x:f>F4402/E4402</x:f>
        <x:v>0</x:v>
      </x:c>
      <x:c r="P4402" s="2" t="str">
        <x:f>IF(AND(E4402&gt;='Итоги'!$F$5,N4402&lt;='Итоги'!$B$5,O4402&gt;='Итоги'!$D$5),"Да","Нет")</x:f>
        <x:v>Нет</x:v>
      </x:c>
    </x:row>
    <x:row r="4403" ht="60" customHeight="1">
      <x:c r="A4403" s="14" t="str">
        <x:v>Хобби и творчество</x:v>
      </x:c>
      <x:c r="B4403" s="14" t="str">
        <x:v>Детское творчество и хобби</x:v>
      </x:c>
      <x:c r="C4403" s="14" t="str">
        <x:v>Рисование для детей</x:v>
      </x:c>
      <x:c r="D4403" s="14" t="str">
        <x:v>Лак художественный</x:v>
      </x:c>
      <x:c r="E4403" s="2" t="n">
        <x:v>1</x:v>
      </x:c>
      <x:c r="F4403" s="2" t="n">
        <x:v>0</x:v>
      </x:c>
      <x:c r="G4403" s="12" t="n">
        <x:v>105429.6998</x:v>
      </x:c>
      <x:c r="H4403" s="12" t="n">
        <x:v>17279.92779722</x:v>
      </x:c>
      <x:c r="I4403" s="13" t="n">
        <x:v>0.1639</x:v>
      </x:c>
      <x:c r="J4403" s="2" t="n">
        <x:v>0</x:v>
      </x:c>
      <x:c r="K4403" s="2" t="n">
        <x:v>1</x:v>
      </x:c>
      <x:c r="L4403" s="12" t="n">
        <x:v>1098.226</x:v>
      </x:c>
      <x:c r="M4403" s="13" t="n">
        <x:v>1</x:v>
      </x:c>
      <x:c r="N4403" s="13" t="n">
        <x:f>H4403/G4403</x:f>
        <x:v>0.1639</x:v>
      </x:c>
      <x:c r="O4403" s="13" t="n">
        <x:f>F4403/E4403</x:f>
        <x:v>0</x:v>
      </x:c>
      <x:c r="P4403" s="2" t="str">
        <x:f>IF(AND(E4403&gt;='Итоги'!$F$5,N4403&lt;='Итоги'!$B$5,O4403&gt;='Итоги'!$D$5),"Да","Нет")</x:f>
        <x:v>Нет</x:v>
      </x:c>
    </x:row>
    <x:row r="4404" ht="60" customHeight="1">
      <x:c r="A4404" s="14" t="str">
        <x:v>Товары для дома</x:v>
      </x:c>
      <x:c r="B4404" s="14" t="str">
        <x:v>Принадлежности для Нового года</x:v>
      </x:c>
      <x:c r="C4404" s="14" t="str">
        <x:v>Товары для праздника новогодние</x:v>
      </x:c>
      <x:c r="D4404" s="14" t="str">
        <x:v>Сувенир новогодний</x:v>
      </x:c>
      <x:c r="E4404" s="2" t="n">
        <x:v>3</x:v>
      </x:c>
      <x:c r="F4404" s="2" t="n">
        <x:v>0</x:v>
      </x:c>
      <x:c r="G4404" s="12" t="n">
        <x:v>312553.2416</x:v>
      </x:c>
      <x:c r="H4404" s="12" t="n">
        <x:v>51227.58176432</x:v>
      </x:c>
      <x:c r="I4404" s="13" t="n">
        <x:v>0.1545333333333333</x:v>
      </x:c>
      <x:c r="J4404" s="2" t="n">
        <x:v>0</x:v>
      </x:c>
      <x:c r="K4404" s="2" t="n">
        <x:v>3</x:v>
      </x:c>
      <x:c r="L4404" s="12" t="n">
        <x:v>1109.2289</x:v>
      </x:c>
      <x:c r="M4404" s="13" t="n">
        <x:v>0.4223523676293875</x:v>
      </x:c>
      <x:c r="N4404" s="13" t="n">
        <x:f>H4404/G4404</x:f>
        <x:v>0.16390033743396631</x:v>
      </x:c>
      <x:c r="O4404" s="13" t="n">
        <x:f>F4404/E4404</x:f>
        <x:v>0</x:v>
      </x:c>
      <x:c r="P4404" s="2" t="str">
        <x:f>IF(AND(E4404&gt;='Итоги'!$F$5,N4404&lt;='Итоги'!$B$5,O4404&gt;='Итоги'!$D$5),"Да","Нет")</x:f>
        <x:v>Нет</x:v>
      </x:c>
    </x:row>
    <x:row r="4405" ht="60" customHeight="1">
      <x:c r="A4405" s="14" t="str">
        <x:v>Аксессуары для электроники</x:v>
      </x:c>
      <x:c r="B4405" s="14" t="str">
        <x:v>Электропитание Access</x:v>
      </x:c>
      <x:c r="C4405" s="14" t="str">
        <x:v>Кабели и переходники Access</x:v>
      </x:c>
      <x:c r="D4405" s="14" t="str">
        <x:v>Адаптер, переходник сетевой</x:v>
      </x:c>
      <x:c r="E4405" s="2" t="n">
        <x:v>2</x:v>
      </x:c>
      <x:c r="F4405" s="2" t="n">
        <x:v>0</x:v>
      </x:c>
      <x:c r="G4405" s="12" t="n">
        <x:v>226133</x:v>
      </x:c>
      <x:c r="H4405" s="12" t="n">
        <x:v>37070.3933</x:v>
      </x:c>
      <x:c r="I4405" s="13" t="n">
        <x:v>0.1671</x:v>
      </x:c>
      <x:c r="J4405" s="2" t="n">
        <x:v>0</x:v>
      </x:c>
      <x:c r="K4405" s="2" t="n">
        <x:v>2</x:v>
      </x:c>
      <x:c r="L4405" s="12" t="n">
        <x:v>1392.1535</x:v>
      </x:c>
      <x:c r="M4405" s="13" t="n">
        <x:v>0.6182158287379551</x:v>
      </x:c>
      <x:c r="N4405" s="13" t="n">
        <x:f>H4405/G4405</x:f>
        <x:v>0.16393181578982283</x:v>
      </x:c>
      <x:c r="O4405" s="13" t="n">
        <x:f>F4405/E4405</x:f>
        <x:v>0</x:v>
      </x:c>
      <x:c r="P4405" s="2" t="str">
        <x:f>IF(AND(E4405&gt;='Итоги'!$F$5,N4405&lt;='Итоги'!$B$5,O4405&gt;='Итоги'!$D$5),"Да","Нет")</x:f>
        <x:v>Нет</x:v>
      </x:c>
    </x:row>
    <x:row r="4406" ht="60" customHeight="1">
      <x:c r="A4406" s="14" t="str">
        <x:v>Товары для красоты и здоровья</x:v>
      </x:c>
      <x:c r="B4406" s="14" t="str">
        <x:v>Косметика для ухода за волосами</x:v>
      </x:c>
      <x:c r="C4406" s="14" t="str">
        <x:v>Стайлинг для мужчин</x:v>
      </x:c>
      <x:c r="D4406" s="14" t="str">
        <x:v>Воск для укладки мужской</x:v>
      </x:c>
      <x:c r="E4406" s="2" t="n">
        <x:v>2</x:v>
      </x:c>
      <x:c r="F4406" s="2" t="n">
        <x:v>0</x:v>
      </x:c>
      <x:c r="G4406" s="12" t="n">
        <x:v>259006.64</x:v>
      </x:c>
      <x:c r="H4406" s="12" t="n">
        <x:v>42543.99004</x:v>
      </x:c>
      <x:c r="I4406" s="13" t="n">
        <x:v>0.16075</x:v>
      </x:c>
      <x:c r="J4406" s="2" t="n">
        <x:v>0</x:v>
      </x:c>
      <x:c r="K4406" s="2" t="n">
        <x:v>1</x:v>
      </x:c>
      <x:c r="L4406" s="12" t="n">
        <x:v>765.73125</x:v>
      </x:c>
      <x:c r="M4406" s="13" t="n">
        <x:v>1</x:v>
      </x:c>
      <x:c r="N4406" s="13" t="n">
        <x:f>H4406/G4406</x:f>
        <x:v>0.16425829870616443</x:v>
      </x:c>
      <x:c r="O4406" s="13" t="n">
        <x:f>F4406/E4406</x:f>
        <x:v>0</x:v>
      </x:c>
      <x:c r="P4406" s="2" t="str">
        <x:f>IF(AND(E4406&gt;='Итоги'!$F$5,N4406&lt;='Итоги'!$B$5,O4406&gt;='Итоги'!$D$5),"Да","Нет")</x:f>
        <x:v>Нет</x:v>
      </x:c>
    </x:row>
    <x:row r="4407" ht="60" customHeight="1">
      <x:c r="A4407" s="14" t="str">
        <x:v>Товары для красоты и здоровья</x:v>
      </x:c>
      <x:c r="B4407" s="14" t="str">
        <x:v>Косметика для ухода за кожей</x:v>
      </x:c>
      <x:c r="C4407" s="14" t="str">
        <x:v>Ноги</x:v>
      </x:c>
      <x:c r="D4407" s="14" t="str">
        <x:v>Дезодорант для ног</x:v>
      </x:c>
      <x:c r="E4407" s="2" t="n">
        <x:v>1</x:v>
      </x:c>
      <x:c r="F4407" s="2" t="n">
        <x:v>0</x:v>
      </x:c>
      <x:c r="G4407" s="12" t="n">
        <x:v>145035</x:v>
      </x:c>
      <x:c r="H4407" s="12" t="n">
        <x:v>23843.754</x:v>
      </x:c>
      <x:c r="I4407" s="13" t="n">
        <x:v>0.1644</x:v>
      </x:c>
      <x:c r="J4407" s="2" t="n">
        <x:v>0</x:v>
      </x:c>
      <x:c r="K4407" s="2" t="n">
        <x:v>1</x:v>
      </x:c>
      <x:c r="L4407" s="12" t="n">
        <x:v>1021.3732</x:v>
      </x:c>
      <x:c r="M4407" s="13" t="n">
        <x:v>1</x:v>
      </x:c>
      <x:c r="N4407" s="13" t="n">
        <x:f>H4407/G4407</x:f>
        <x:v>0.16440000000000002</x:v>
      </x:c>
      <x:c r="O4407" s="13" t="n">
        <x:f>F4407/E4407</x:f>
        <x:v>0</x:v>
      </x:c>
      <x:c r="P4407" s="2" t="str">
        <x:f>IF(AND(E4407&gt;='Итоги'!$F$5,N4407&lt;='Итоги'!$B$5,O4407&gt;='Итоги'!$D$5),"Да","Нет")</x:f>
        <x:v>Нет</x:v>
      </x:c>
    </x:row>
    <x:row r="4408" ht="60" customHeight="1">
      <x:c r="A4408" s="14" t="str">
        <x:v>Хобби и творчество</x:v>
      </x:c>
      <x:c r="B4408" s="14" t="str">
        <x:v>Взрослое творчество и хобби</x:v>
      </x:c>
      <x:c r="C4408" s="14" t="str">
        <x:v>Скрапбукинг</x:v>
      </x:c>
      <x:c r="D4408" s="14" t="str">
        <x:v>Дырокол фигурный</x:v>
      </x:c>
      <x:c r="E4408" s="2" t="n">
        <x:v>1</x:v>
      </x:c>
      <x:c r="F4408" s="2" t="n">
        <x:v>0</x:v>
      </x:c>
      <x:c r="G4408" s="12" t="n">
        <x:v>111415.3482</x:v>
      </x:c>
      <x:c r="H4408" s="12" t="n">
        <x:v>18338.96631372</x:v>
      </x:c>
      <x:c r="I4408" s="13" t="n">
        <x:v>0.1646</x:v>
      </x:c>
      <x:c r="J4408" s="2" t="n">
        <x:v>0</x:v>
      </x:c>
      <x:c r="K4408" s="2" t="n">
        <x:v>1</x:v>
      </x:c>
      <x:c r="L4408" s="12" t="n">
        <x:v>819.2305</x:v>
      </x:c>
      <x:c r="M4408" s="13" t="n">
        <x:v>1</x:v>
      </x:c>
      <x:c r="N4408" s="13" t="n">
        <x:f>H4408/G4408</x:f>
        <x:v>0.16460000000000002</x:v>
      </x:c>
      <x:c r="O4408" s="13" t="n">
        <x:f>F4408/E4408</x:f>
        <x:v>0</x:v>
      </x:c>
      <x:c r="P4408" s="2" t="str">
        <x:f>IF(AND(E4408&gt;='Итоги'!$F$5,N4408&lt;='Итоги'!$B$5,O4408&gt;='Итоги'!$D$5),"Да","Нет")</x:f>
        <x:v>Нет</x:v>
      </x:c>
    </x:row>
    <x:row r="4409" ht="60" customHeight="1">
      <x:c r="A4409" s="14" t="str">
        <x:v>Товары для дома</x:v>
      </x:c>
      <x:c r="B4409" s="14" t="str">
        <x:v>Аксессуары для уборки и стирки</x:v>
      </x:c>
      <x:c r="C4409" s="14" t="str">
        <x:v>Принадлежности для сушки, глажения</x:v>
      </x:c>
      <x:c r="D4409" s="14" t="str">
        <x:v>Прищепка для белья</x:v>
      </x:c>
      <x:c r="E4409" s="2" t="n">
        <x:v>1</x:v>
      </x:c>
      <x:c r="F4409" s="2" t="n">
        <x:v>0</x:v>
      </x:c>
      <x:c r="G4409" s="12" t="n">
        <x:v>149709.27</x:v>
      </x:c>
      <x:c r="H4409" s="12" t="n">
        <x:v>24642.145842</x:v>
      </x:c>
      <x:c r="I4409" s="13" t="n">
        <x:v>0.1646</x:v>
      </x:c>
      <x:c r="J4409" s="2" t="n">
        <x:v>0</x:v>
      </x:c>
      <x:c r="K4409" s="2" t="n">
        <x:v>1</x:v>
      </x:c>
      <x:c r="L4409" s="12" t="n">
        <x:v>771.6973</x:v>
      </x:c>
      <x:c r="M4409" s="13" t="n">
        <x:v>1</x:v>
      </x:c>
      <x:c r="N4409" s="13" t="n">
        <x:f>H4409/G4409</x:f>
        <x:v>0.16460000000000002</x:v>
      </x:c>
      <x:c r="O4409" s="13" t="n">
        <x:f>F4409/E4409</x:f>
        <x:v>0</x:v>
      </x:c>
      <x:c r="P4409" s="2" t="str">
        <x:f>IF(AND(E4409&gt;='Итоги'!$F$5,N4409&lt;='Итоги'!$B$5,O4409&gt;='Итоги'!$D$5),"Да","Нет")</x:f>
        <x:v>Нет</x:v>
      </x:c>
    </x:row>
    <x:row r="4410" ht="60" customHeight="1">
      <x:c r="A4410" s="14" t="str">
        <x:v>Аптека</x:v>
      </x:c>
      <x:c r="B4410" s="14" t="str">
        <x:v>Медицинские изделия</x:v>
      </x:c>
      <x:c r="C4410" s="14" t="str">
        <x:v>Урология</x:v>
      </x:c>
      <x:c r="D4410" s="14" t="str">
        <x:v>Менструальная чаша</x:v>
      </x:c>
      <x:c r="E4410" s="2" t="n">
        <x:v>2</x:v>
      </x:c>
      <x:c r="F4410" s="2" t="n">
        <x:v>0</x:v>
      </x:c>
      <x:c r="G4410" s="12" t="n">
        <x:v>358524.49</x:v>
      </x:c>
      <x:c r="H4410" s="12" t="n">
        <x:v>59049.227838000006</x:v>
      </x:c>
      <x:c r="I4410" s="13" t="n">
        <x:v>0.16385</x:v>
      </x:c>
      <x:c r="J4410" s="2" t="n">
        <x:v>0</x:v>
      </x:c>
      <x:c r="K4410" s="2" t="n">
        <x:v>2</x:v>
      </x:c>
      <x:c r="L4410" s="12" t="n">
        <x:v>792.233</x:v>
      </x:c>
      <x:c r="M4410" s="13" t="n">
        <x:v>0.505513165920688</x:v>
      </x:c>
      <x:c r="N4410" s="13" t="n">
        <x:f>H4410/G4410</x:f>
        <x:v>0.16470068150156217</x:v>
      </x:c>
      <x:c r="O4410" s="13" t="n">
        <x:f>F4410/E4410</x:f>
        <x:v>0</x:v>
      </x:c>
      <x:c r="P4410" s="2" t="str">
        <x:f>IF(AND(E4410&gt;='Итоги'!$F$5,N4410&lt;='Итоги'!$B$5,O4410&gt;='Итоги'!$D$5),"Да","Нет")</x:f>
        <x:v>Нет</x:v>
      </x:c>
    </x:row>
    <x:row r="4411" ht="60" customHeight="1">
      <x:c r="A4411" s="14" t="str">
        <x:v>Товары для дома</x:v>
      </x:c>
      <x:c r="B4411" s="14" t="str">
        <x:v>Интерьер и декор</x:v>
      </x:c>
      <x:c r="C4411" s="14" t="str">
        <x:v>Принадлежности для праздника</x:v>
      </x:c>
      <x:c r="D4411" s="14" t="str">
        <x:v>Конверт для денег подарочный</x:v>
      </x:c>
      <x:c r="E4411" s="2" t="n">
        <x:v>2</x:v>
      </x:c>
      <x:c r="F4411" s="2" t="n">
        <x:v>0</x:v>
      </x:c>
      <x:c r="G4411" s="12" t="n">
        <x:v>597722.65</x:v>
      </x:c>
      <x:c r="H4411" s="12" t="n">
        <x:v>98483.314285</x:v>
      </x:c>
      <x:c r="I4411" s="13" t="n">
        <x:v>0.16735</x:v>
      </x:c>
      <x:c r="J4411" s="2" t="n">
        <x:v>0</x:v>
      </x:c>
      <x:c r="K4411" s="2" t="n">
        <x:v>2</x:v>
      </x:c>
      <x:c r="L4411" s="12" t="n">
        <x:v>843.7025000000001</x:v>
      </x:c>
      <x:c r="M4411" s="13" t="n">
        <x:v>0.554899500629598</x:v>
      </x:c>
      <x:c r="N4411" s="13" t="n">
        <x:f>H4411/G4411</x:f>
        <x:v>0.16476423352034592</x:v>
      </x:c>
      <x:c r="O4411" s="13" t="n">
        <x:f>F4411/E4411</x:f>
        <x:v>0</x:v>
      </x:c>
      <x:c r="P4411" s="2" t="str">
        <x:f>IF(AND(E4411&gt;='Итоги'!$F$5,N4411&lt;='Итоги'!$B$5,O4411&gt;='Итоги'!$D$5),"Да","Нет")</x:f>
        <x:v>Нет</x:v>
      </x:c>
    </x:row>
    <x:row r="4412" ht="60" customHeight="1">
      <x:c r="A4412" s="14" t="str">
        <x:v>Строительство и ремонт (DIY)</x:v>
      </x:c>
      <x:c r="B4412" s="14" t="str">
        <x:v>Сад и огород</x:v>
      </x:c>
      <x:c r="C4412" s="14" t="str">
        <x:v>Загородный отдых</x:v>
      </x:c>
      <x:c r="D4412" s="14" t="str">
        <x:v>Дрова для пикника</x:v>
      </x:c>
      <x:c r="E4412" s="2" t="n">
        <x:v>1</x:v>
      </x:c>
      <x:c r="F4412" s="2" t="n">
        <x:v>0</x:v>
      </x:c>
      <x:c r="G4412" s="12" t="n">
        <x:v>345055</x:v>
      </x:c>
      <x:c r="H4412" s="12" t="n">
        <x:v>56865.064</x:v>
      </x:c>
      <x:c r="I4412" s="13" t="n">
        <x:v>0.1648</x:v>
      </x:c>
      <x:c r="J4412" s="2" t="n">
        <x:v>0</x:v>
      </x:c>
      <x:c r="K4412" s="2" t="n">
        <x:v>1</x:v>
      </x:c>
      <x:c r="L4412" s="12" t="n">
        <x:v>821.5595</x:v>
      </x:c>
      <x:c r="M4412" s="13" t="n">
        <x:v>1</x:v>
      </x:c>
      <x:c r="N4412" s="13" t="n">
        <x:f>H4412/G4412</x:f>
        <x:v>0.1648</x:v>
      </x:c>
      <x:c r="O4412" s="13" t="n">
        <x:f>F4412/E4412</x:f>
        <x:v>0</x:v>
      </x:c>
      <x:c r="P4412" s="2" t="str">
        <x:f>IF(AND(E4412&gt;='Итоги'!$F$5,N4412&lt;='Итоги'!$B$5,O4412&gt;='Итоги'!$D$5),"Да","Нет")</x:f>
        <x:v>Нет</x:v>
      </x:c>
    </x:row>
    <x:row r="4413" ht="60" customHeight="1">
      <x:c r="A4413" s="14" t="str">
        <x:v>Товары для дома</x:v>
      </x:c>
      <x:c r="B4413" s="14" t="str">
        <x:v>Интерьер и декор</x:v>
      </x:c>
      <x:c r="C4413" s="14" t="str">
        <x:v>Украшение интерьера</x:v>
      </x:c>
      <x:c r="D4413" s="14" t="str">
        <x:v>Глобус интерьерный</x:v>
      </x:c>
      <x:c r="E4413" s="2" t="n">
        <x:v>2</x:v>
      </x:c>
      <x:c r="F4413" s="2" t="n">
        <x:v>0</x:v>
      </x:c>
      <x:c r="G4413" s="12" t="n">
        <x:v>225842.26040000003</x:v>
      </x:c>
      <x:c r="H4413" s="12" t="n">
        <x:v>37284.1830278</x:v>
      </x:c>
      <x:c r="I4413" s="13" t="n">
        <x:v>0.1651</x:v>
      </x:c>
      <x:c r="J4413" s="2" t="n">
        <x:v>0</x:v>
      </x:c>
      <x:c r="K4413" s="2" t="n">
        <x:v>2</x:v>
      </x:c>
      <x:c r="L4413" s="12" t="n">
        <x:v>2313.10695</x:v>
      </x:c>
      <x:c r="M4413" s="13" t="n">
        <x:v>0.5002709404337861</x:v>
      </x:c>
      <x:c r="N4413" s="13" t="n">
        <x:f>H4413/G4413</x:f>
        <x:v>0.16508948751116906</x:v>
      </x:c>
      <x:c r="O4413" s="13" t="n">
        <x:f>F4413/E4413</x:f>
        <x:v>0</x:v>
      </x:c>
      <x:c r="P4413" s="2" t="str">
        <x:f>IF(AND(E4413&gt;='Итоги'!$F$5,N4413&lt;='Итоги'!$B$5,O4413&gt;='Итоги'!$D$5),"Да","Нет")</x:f>
        <x:v>Нет</x:v>
      </x:c>
    </x:row>
    <x:row r="4414" ht="60" customHeight="1">
      <x:c r="A4414" s="14" t="str">
        <x:v>Строительство и ремонт (DIY)</x:v>
      </x:c>
      <x:c r="B4414" s="14" t="str">
        <x:v>Освещение</x:v>
      </x:c>
      <x:c r="C4414" s="14" t="str">
        <x:v>Аксессуары для светильников</x:v>
      </x:c>
      <x:c r="D4414" s="14" t="str">
        <x:v>Монтажное крепление для светильников</x:v>
      </x:c>
      <x:c r="E4414" s="2" t="n">
        <x:v>1</x:v>
      </x:c>
      <x:c r="F4414" s="2" t="n">
        <x:v>0</x:v>
      </x:c>
      <x:c r="G4414" s="12" t="n">
        <x:v>152919</x:v>
      </x:c>
      <x:c r="H4414" s="12" t="n">
        <x:v>25246.9269</x:v>
      </x:c>
      <x:c r="I4414" s="13" t="n">
        <x:v>0.1651</x:v>
      </x:c>
      <x:c r="J4414" s="2" t="n">
        <x:v>0</x:v>
      </x:c>
      <x:c r="K4414" s="2" t="n">
        <x:v>1</x:v>
      </x:c>
      <x:c r="L4414" s="12" t="n">
        <x:v>1012.7086</x:v>
      </x:c>
      <x:c r="M4414" s="13" t="n">
        <x:v>1</x:v>
      </x:c>
      <x:c r="N4414" s="13" t="n">
        <x:f>H4414/G4414</x:f>
        <x:v>0.1651</x:v>
      </x:c>
      <x:c r="O4414" s="13" t="n">
        <x:f>F4414/E4414</x:f>
        <x:v>0</x:v>
      </x:c>
      <x:c r="P4414" s="2" t="str">
        <x:f>IF(AND(E4414&gt;='Итоги'!$F$5,N4414&lt;='Итоги'!$B$5,O4414&gt;='Итоги'!$D$5),"Да","Нет")</x:f>
        <x:v>Нет</x:v>
      </x:c>
    </x:row>
    <x:row r="4415" ht="60" customHeight="1">
      <x:c r="A4415" s="14" t="str">
        <x:v>Аксессуары для электроники</x:v>
      </x:c>
      <x:c r="B4415" s="14" t="str">
        <x:v>Аксессуары для мобильных устройств Access</x:v>
      </x:c>
      <x:c r="C4415" s="14" t="str">
        <x:v>Универсальные аксессуары для мобильных устройств Access</x:v>
      </x:c>
      <x:c r="D4415" s="14" t="str">
        <x:v>Стилус</x:v>
      </x:c>
      <x:c r="E4415" s="2" t="n">
        <x:v>20</x:v>
      </x:c>
      <x:c r="F4415" s="2" t="n">
        <x:v>0</x:v>
      </x:c>
      <x:c r="G4415" s="12" t="n">
        <x:v>2967911.465</x:v>
      </x:c>
      <x:c r="H4415" s="12" t="n">
        <x:v>491057.76987989</x:v>
      </x:c>
      <x:c r="I4415" s="13" t="n">
        <x:v>0.17226</x:v>
      </x:c>
      <x:c r="J4415" s="2" t="n">
        <x:v>4</x:v>
      </x:c>
      <x:c r="K4415" s="2" t="n">
        <x:v>8</x:v>
      </x:c>
      <x:c r="L4415" s="12" t="n">
        <x:v>2256.95415</x:v>
      </x:c>
      <x:c r="M4415" s="13" t="n">
        <x:v>0.5973219891854153</x:v>
      </x:c>
      <x:c r="N4415" s="13" t="n">
        <x:f>H4415/G4415</x:f>
        <x:v>0.16545566660961367</x:v>
      </x:c>
      <x:c r="O4415" s="13" t="n">
        <x:f>F4415/E4415</x:f>
        <x:v>0</x:v>
      </x:c>
      <x:c r="P4415" s="2" t="str">
        <x:f>IF(AND(E4415&gt;='Итоги'!$F$5,N4415&lt;='Итоги'!$B$5,O4415&gt;='Итоги'!$D$5),"Да","Нет")</x:f>
        <x:v>Нет</x:v>
      </x:c>
    </x:row>
    <x:row r="4416" ht="60" customHeight="1">
      <x:c r="A4416" s="14" t="str">
        <x:v>Школьные принадлежности и канцелярия</x:v>
      </x:c>
      <x:c r="B4416" s="14" t="str">
        <x:v>Товары для школы, канцелярия, оборудование</x:v>
      </x:c>
      <x:c r="C4416" s="14" t="str">
        <x:v>Письменные принадлежности</x:v>
      </x:c>
      <x:c r="D4416" s="14" t="str">
        <x:v>Маркер для досок</x:v>
      </x:c>
      <x:c r="E4416" s="2" t="n">
        <x:v>1</x:v>
      </x:c>
      <x:c r="F4416" s="2" t="n">
        <x:v>0</x:v>
      </x:c>
      <x:c r="G4416" s="12" t="n">
        <x:v>98364</x:v>
      </x:c>
      <x:c r="H4416" s="12" t="n">
        <x:v>16298.9148</x:v>
      </x:c>
      <x:c r="I4416" s="13" t="n">
        <x:v>0.1657</x:v>
      </x:c>
      <x:c r="J4416" s="2" t="n">
        <x:v>0</x:v>
      </x:c>
      <x:c r="K4416" s="2" t="n">
        <x:v>1</x:v>
      </x:c>
      <x:c r="L4416" s="12" t="n">
        <x:v>254.829</x:v>
      </x:c>
      <x:c r="M4416" s="13" t="n">
        <x:v>1</x:v>
      </x:c>
      <x:c r="N4416" s="13" t="n">
        <x:f>H4416/G4416</x:f>
        <x:v>0.16570000000000001</x:v>
      </x:c>
      <x:c r="O4416" s="13" t="n">
        <x:f>F4416/E4416</x:f>
        <x:v>0</x:v>
      </x:c>
      <x:c r="P4416" s="2" t="str">
        <x:f>IF(AND(E4416&gt;='Итоги'!$F$5,N4416&lt;='Итоги'!$B$5,O4416&gt;='Итоги'!$D$5),"Да","Нет")</x:f>
        <x:v>Нет</x:v>
      </x:c>
    </x:row>
    <x:row r="4417" ht="60" customHeight="1">
      <x:c r="A4417" s="14" t="str">
        <x:v>Товары для дома</x:v>
      </x:c>
      <x:c r="B4417" s="14" t="str">
        <x:v>Антиквариат Хоум Декор</x:v>
      </x:c>
      <x:c r="C4417" s="14" t="str">
        <x:v>Авторская работа Хоум Декор</x:v>
      </x:c>
      <x:c r="D4417" s="14" t="str">
        <x:v>Подвеска, медальон авторские</x:v>
      </x:c>
      <x:c r="E4417" s="2" t="n">
        <x:v>1</x:v>
      </x:c>
      <x:c r="F4417" s="2" t="n">
        <x:v>0</x:v>
      </x:c>
      <x:c r="G4417" s="12" t="n">
        <x:v>129896</x:v>
      </x:c>
      <x:c r="H4417" s="12" t="n">
        <x:v>21536.7568</x:v>
      </x:c>
      <x:c r="I4417" s="13" t="n">
        <x:v>0.1658</x:v>
      </x:c>
      <x:c r="J4417" s="2" t="n">
        <x:v>0</x:v>
      </x:c>
      <x:c r="K4417" s="2" t="n">
        <x:v>1</x:v>
      </x:c>
      <x:c r="L4417" s="12" t="n">
        <x:v>2952.1818</x:v>
      </x:c>
      <x:c r="M4417" s="13" t="n">
        <x:v>1</x:v>
      </x:c>
      <x:c r="N4417" s="13" t="n">
        <x:f>H4417/G4417</x:f>
        <x:v>0.1658</x:v>
      </x:c>
      <x:c r="O4417" s="13" t="n">
        <x:f>F4417/E4417</x:f>
        <x:v>0</x:v>
      </x:c>
      <x:c r="P4417" s="2" t="str">
        <x:f>IF(AND(E4417&gt;='Итоги'!$F$5,N4417&lt;='Итоги'!$B$5,O4417&gt;='Итоги'!$D$5),"Да","Нет")</x:f>
        <x:v>Нет</x:v>
      </x:c>
    </x:row>
    <x:row r="4418" ht="60" customHeight="1">
      <x:c r="A4418" s="14" t="str">
        <x:v>Бакалея и кондитерские изделия</x:v>
      </x:c>
      <x:c r="B4418" s="14" t="str">
        <x:v>Бакалея</x:v>
      </x:c>
      <x:c r="C4418" s="14" t="str">
        <x:v>Макаронные изделия, крупы</x:v>
      </x:c>
      <x:c r="D4418" s="14" t="str">
        <x:v>Суп быстрого приготовления</x:v>
      </x:c>
      <x:c r="E4418" s="2" t="n">
        <x:v>2</x:v>
      </x:c>
      <x:c r="F4418" s="2" t="n">
        <x:v>0</x:v>
      </x:c>
      <x:c r="G4418" s="12" t="n">
        <x:v>261637.1619</x:v>
      </x:c>
      <x:c r="H4418" s="12" t="n">
        <x:v>43414.36944312</x:v>
      </x:c>
      <x:c r="I4418" s="13" t="n">
        <x:v>0.17225</x:v>
      </x:c>
      <x:c r="J4418" s="2" t="n">
        <x:v>0</x:v>
      </x:c>
      <x:c r="K4418" s="2" t="n">
        <x:v>2</x:v>
      </x:c>
      <x:c r="L4418" s="12" t="n">
        <x:v>1339.07675</x:v>
      </x:c>
      <x:c r="M4418" s="13" t="n">
        <x:v>0.6150546838659925</x:v>
      </x:c>
      <x:c r="N4418" s="13" t="n">
        <x:f>H4418/G4418</x:f>
        <x:v>0.165933497855757</x:v>
      </x:c>
      <x:c r="O4418" s="13" t="n">
        <x:f>F4418/E4418</x:f>
        <x:v>0</x:v>
      </x:c>
      <x:c r="P4418" s="2" t="str">
        <x:f>IF(AND(E4418&gt;='Итоги'!$F$5,N4418&lt;='Итоги'!$B$5,O4418&gt;='Итоги'!$D$5),"Да","Нет")</x:f>
        <x:v>Нет</x:v>
      </x:c>
    </x:row>
    <x:row r="4419" ht="60" customHeight="1">
      <x:c r="A4419" s="14" t="str">
        <x:v>Бытовая химия и гигиена рта</x:v>
      </x:c>
      <x:c r="B4419" s="14" t="str">
        <x:v>Бытовая химия</x:v>
      </x:c>
      <x:c r="C4419" s="14" t="str">
        <x:v>Товары для защиты от насекомых и грызунов</x:v>
      </x:c>
      <x:c r="D4419" s="14" t="str">
        <x:v>Приманка для грызунов</x:v>
      </x:c>
      <x:c r="E4419" s="2" t="n">
        <x:v>3</x:v>
      </x:c>
      <x:c r="F4419" s="2" t="n">
        <x:v>0</x:v>
      </x:c>
      <x:c r="G4419" s="12" t="n">
        <x:v>348672.1564</x:v>
      </x:c>
      <x:c r="H4419" s="12" t="n">
        <x:v>57874.15997180001</x:v>
      </x:c>
      <x:c r="I4419" s="13" t="n">
        <x:v>0.1233666666666666</x:v>
      </x:c>
      <x:c r="J4419" s="2" t="n">
        <x:v>1</x:v>
      </x:c>
      <x:c r="K4419" s="2" t="n">
        <x:v>3</x:v>
      </x:c>
      <x:c r="L4419" s="12" t="n">
        <x:v>901.3064</x:v>
      </x:c>
      <x:c r="M4419" s="13" t="n">
        <x:v>0.5286692470749867</x:v>
      </x:c>
      <x:c r="N4419" s="13" t="n">
        <x:f>H4419/G4419</x:f>
        <x:v>0.16598446107467849</x:v>
      </x:c>
      <x:c r="O4419" s="13" t="n">
        <x:f>F4419/E4419</x:f>
        <x:v>0</x:v>
      </x:c>
      <x:c r="P4419" s="2" t="str">
        <x:f>IF(AND(E4419&gt;='Итоги'!$F$5,N4419&lt;='Итоги'!$B$5,O4419&gt;='Итоги'!$D$5),"Да","Нет")</x:f>
        <x:v>Нет</x:v>
      </x:c>
    </x:row>
    <x:row r="4420" ht="60" customHeight="1">
      <x:c r="A4420" s="14" t="str">
        <x:v>Спорт и отдых</x:v>
      </x:c>
      <x:c r="B4420" s="14" t="str">
        <x:v>Всесезонные виды спорта</x:v>
      </x:c>
      <x:c r="C4420" s="14" t="str">
        <x:v>Бадминтон</x:v>
      </x:c>
      <x:c r="D4420" s="14" t="str">
        <x:v>Волан для бадминтона</x:v>
      </x:c>
      <x:c r="E4420" s="2" t="n">
        <x:v>2</x:v>
      </x:c>
      <x:c r="F4420" s="2" t="n">
        <x:v>0</x:v>
      </x:c>
      <x:c r="G4420" s="12" t="n">
        <x:v>472405.6498</x:v>
      </x:c>
      <x:c r="H4420" s="12" t="n">
        <x:v>78423.6536897</x:v>
      </x:c>
      <x:c r="I4420" s="13" t="n">
        <x:v>0.08825</x:v>
      </x:c>
      <x:c r="J4420" s="2" t="n">
        <x:v>1</x:v>
      </x:c>
      <x:c r="K4420" s="2" t="n">
        <x:v>2</x:v>
      </x:c>
      <x:c r="L4420" s="12" t="n">
        <x:v>1090.3724</x:v>
      </x:c>
      <x:c r="M4420" s="13" t="n">
        <x:v>0.9405616761529256</x:v>
      </x:c>
      <x:c r="N4420" s="13" t="n">
        <x:f>H4420/G4420</x:f>
        <x:v>0.1660091358409914</x:v>
      </x:c>
      <x:c r="O4420" s="13" t="n">
        <x:f>F4420/E4420</x:f>
        <x:v>0</x:v>
      </x:c>
      <x:c r="P4420" s="2" t="str">
        <x:f>IF(AND(E4420&gt;='Итоги'!$F$5,N4420&lt;='Итоги'!$B$5,O4420&gt;='Итоги'!$D$5),"Да","Нет")</x:f>
        <x:v>Нет</x:v>
      </x:c>
    </x:row>
    <x:row r="4421" ht="60" customHeight="1">
      <x:c r="A4421" s="14" t="str">
        <x:v>Товары для дома</x:v>
      </x:c>
      <x:c r="B4421" s="14" t="str">
        <x:v>Интерьер и декор</x:v>
      </x:c>
      <x:c r="C4421" s="14" t="str">
        <x:v>Камин</x:v>
      </x:c>
      <x:c r="D4421" s="14" t="str">
        <x:v>Камин домашний</x:v>
      </x:c>
      <x:c r="E4421" s="2" t="n">
        <x:v>2</x:v>
      </x:c>
      <x:c r="F4421" s="2" t="n">
        <x:v>0</x:v>
      </x:c>
      <x:c r="G4421" s="12" t="n">
        <x:v>478087</x:v>
      </x:c>
      <x:c r="H4421" s="12" t="n">
        <x:v>79582.9247</x:v>
      </x:c>
      <x:c r="I4421" s="13" t="n">
        <x:v>0.15215</x:v>
      </x:c>
      <x:c r="J4421" s="2" t="n">
        <x:v>0</x:v>
      </x:c>
      <x:c r="K4421" s="2" t="n">
        <x:v>1</x:v>
      </x:c>
      <x:c r="L4421" s="12" t="n">
        <x:v>3139.2609</x:v>
      </x:c>
      <x:c r="M4421" s="13" t="n">
        <x:v>1</x:v>
      </x:c>
      <x:c r="N4421" s="13" t="n">
        <x:f>H4421/G4421</x:f>
        <x:v>0.16646117694059867</x:v>
      </x:c>
      <x:c r="O4421" s="13" t="n">
        <x:f>F4421/E4421</x:f>
        <x:v>0</x:v>
      </x:c>
      <x:c r="P4421" s="2" t="str">
        <x:f>IF(AND(E4421&gt;='Итоги'!$F$5,N4421&lt;='Итоги'!$B$5,O4421&gt;='Итоги'!$D$5),"Да","Нет")</x:f>
        <x:v>Нет</x:v>
      </x:c>
    </x:row>
    <x:row r="4422" ht="60" customHeight="1">
      <x:c r="A4422" s="14" t="str">
        <x:v>Строительство и ремонт (DIY)</x:v>
      </x:c>
      <x:c r="B4422" s="14" t="str">
        <x:v>Ремонт и строительство</x:v>
      </x:c>
      <x:c r="C4422" s="14" t="str">
        <x:v>Спецодежда, средства защиты</x:v>
      </x:c>
      <x:c r="D4422" s="14" t="str">
        <x:v>Строительные каски, каскетки</x:v>
      </x:c>
      <x:c r="E4422" s="2" t="n">
        <x:v>4</x:v>
      </x:c>
      <x:c r="F4422" s="2" t="n">
        <x:v>0</x:v>
      </x:c>
      <x:c r="G4422" s="12" t="n">
        <x:v>735242.7878</x:v>
      </x:c>
      <x:c r="H4422" s="12" t="n">
        <x:v>122471.26001906</x:v>
      </x:c>
      <x:c r="I4422" s="13" t="n">
        <x:v>0.22575</x:v>
      </x:c>
      <x:c r="J4422" s="2" t="n">
        <x:v>0</x:v>
      </x:c>
      <x:c r="K4422" s="2" t="n">
        <x:v>2</x:v>
      </x:c>
      <x:c r="L4422" s="12" t="n">
        <x:v>1362.6531</x:v>
      </x:c>
      <x:c r="M4422" s="13" t="n">
        <x:v>0.8729059277417641</x:v>
      </x:c>
      <x:c r="N4422" s="13" t="n">
        <x:f>H4422/G4422</x:f>
        <x:v>0.16657254182053194</x:v>
      </x:c>
      <x:c r="O4422" s="13" t="n">
        <x:f>F4422/E4422</x:f>
        <x:v>0</x:v>
      </x:c>
      <x:c r="P4422" s="2" t="str">
        <x:f>IF(AND(E4422&gt;='Итоги'!$F$5,N4422&lt;='Итоги'!$B$5,O4422&gt;='Итоги'!$D$5),"Да","Нет")</x:f>
        <x:v>Нет</x:v>
      </x:c>
    </x:row>
    <x:row r="4423" ht="60" customHeight="1">
      <x:c r="A4423" s="14" t="str">
        <x:v>Товары для дома</x:v>
      </x:c>
      <x:c r="B4423" s="14" t="str">
        <x:v>Интерьер и декор</x:v>
      </x:c>
      <x:c r="C4423" s="14" t="str">
        <x:v>Принадлежности для праздника</x:v>
      </x:c>
      <x:c r="D4423" s="14" t="str">
        <x:v>Воздушный шар латексный</x:v>
      </x:c>
      <x:c r="E4423" s="2" t="n">
        <x:v>1</x:v>
      </x:c>
      <x:c r="F4423" s="2" t="n">
        <x:v>0</x:v>
      </x:c>
      <x:c r="G4423" s="12" t="n">
        <x:v>134053</x:v>
      </x:c>
      <x:c r="H4423" s="12" t="n">
        <x:v>22373.4457</x:v>
      </x:c>
      <x:c r="I4423" s="13" t="n">
        <x:v>0.1669</x:v>
      </x:c>
      <x:c r="J4423" s="2" t="n">
        <x:v>0</x:v>
      </x:c>
      <x:c r="K4423" s="2" t="n">
        <x:v>1</x:v>
      </x:c>
      <x:c r="L4423" s="12" t="n">
        <x:v>1340.53</x:v>
      </x:c>
      <x:c r="M4423" s="13" t="n">
        <x:v>1</x:v>
      </x:c>
      <x:c r="N4423" s="13" t="n">
        <x:f>H4423/G4423</x:f>
        <x:v>0.1669</x:v>
      </x:c>
      <x:c r="O4423" s="13" t="n">
        <x:f>F4423/E4423</x:f>
        <x:v>0</x:v>
      </x:c>
      <x:c r="P4423" s="2" t="str">
        <x:f>IF(AND(E4423&gt;='Итоги'!$F$5,N4423&lt;='Итоги'!$B$5,O4423&gt;='Итоги'!$D$5),"Да","Нет")</x:f>
        <x:v>Нет</x:v>
      </x:c>
    </x:row>
    <x:row r="4424" ht="60" customHeight="1">
      <x:c r="A4424" s="14" t="str">
        <x:v>Одежда</x:v>
      </x:c>
      <x:c r="B4424" s="14" t="str">
        <x:v>Основная одежда мужская</x:v>
      </x:c>
      <x:c r="C4424" s="14" t="str">
        <x:v>Головные уборы, перчатки, шарфы мужские</x:v>
      </x:c>
      <x:c r="D4424" s="14" t="str">
        <x:v>Бандана</x:v>
      </x:c>
      <x:c r="E4424" s="2" t="n">
        <x:v>2</x:v>
      </x:c>
      <x:c r="F4424" s="2" t="n">
        <x:v>0</x:v>
      </x:c>
      <x:c r="G4424" s="12" t="n">
        <x:v>136791.46</x:v>
      </x:c>
      <x:c r="H4424" s="12" t="n">
        <x:v>22885.444618</x:v>
      </x:c>
      <x:c r="I4424" s="13" t="n">
        <x:v>0.10575</x:v>
      </x:c>
      <x:c r="J4424" s="2" t="n">
        <x:v>0</x:v>
      </x:c>
      <x:c r="K4424" s="2" t="n">
        <x:v>2</x:v>
      </x:c>
      <x:c r="L4424" s="12" t="n">
        <x:v>1222.8539999999998</x:v>
      </x:c>
      <x:c r="M4424" s="13" t="n">
        <x:v>0.863995895650211</x:v>
      </x:c>
      <x:c r="N4424" s="13" t="n">
        <x:f>H4424/G4424</x:f>
        <x:v>0.16730170595445068</x:v>
      </x:c>
      <x:c r="O4424" s="13" t="n">
        <x:f>F4424/E4424</x:f>
        <x:v>0</x:v>
      </x:c>
      <x:c r="P4424" s="2" t="str">
        <x:f>IF(AND(E4424&gt;='Итоги'!$F$5,N4424&lt;='Итоги'!$B$5,O4424&gt;='Итоги'!$D$5),"Да","Нет")</x:f>
        <x:v>Нет</x:v>
      </x:c>
    </x:row>
    <x:row r="4425" ht="60" customHeight="1">
      <x:c r="A4425" s="14" t="str">
        <x:v>Бытовая химия и гигиена рта</x:v>
      </x:c>
      <x:c r="B4425" s="14" t="str">
        <x:v>Средства для стирки</x:v>
      </x:c>
      <x:c r="C4425" s="14" t="str">
        <x:v>Вспомогательные средства для стирки и глажения</x:v>
      </x:c>
      <x:c r="D4425" s="14" t="str">
        <x:v>Краситель для окрашивания одежды</x:v>
      </x:c>
      <x:c r="E4425" s="2" t="n">
        <x:v>1</x:v>
      </x:c>
      <x:c r="F4425" s="2" t="n">
        <x:v>0</x:v>
      </x:c>
      <x:c r="G4425" s="12" t="n">
        <x:v>116899.46</x:v>
      </x:c>
      <x:c r="H4425" s="12" t="n">
        <x:v>19580.659550000004</x:v>
      </x:c>
      <x:c r="I4425" s="13" t="n">
        <x:v>0.1675</x:v>
      </x:c>
      <x:c r="J4425" s="2" t="n">
        <x:v>0</x:v>
      </x:c>
      <x:c r="K4425" s="2" t="n">
        <x:v>1</x:v>
      </x:c>
      <x:c r="L4425" s="12" t="n">
        <x:v>817.4787</x:v>
      </x:c>
      <x:c r="M4425" s="13" t="n">
        <x:v>1</x:v>
      </x:c>
      <x:c r="N4425" s="13" t="n">
        <x:f>H4425/G4425</x:f>
        <x:v>0.16750000000000004</x:v>
      </x:c>
      <x:c r="O4425" s="13" t="n">
        <x:f>F4425/E4425</x:f>
        <x:v>0</x:v>
      </x:c>
      <x:c r="P4425" s="2" t="str">
        <x:f>IF(AND(E4425&gt;='Итоги'!$F$5,N4425&lt;='Итоги'!$B$5,O4425&gt;='Итоги'!$D$5),"Да","Нет")</x:f>
        <x:v>Нет</x:v>
      </x:c>
    </x:row>
    <x:row r="4426" ht="60" customHeight="1">
      <x:c r="A4426" s="14" t="str">
        <x:v>Товары для дома</x:v>
      </x:c>
      <x:c r="B4426" s="14" t="str">
        <x:v>Интерьер и декор</x:v>
      </x:c>
      <x:c r="C4426" s="14" t="str">
        <x:v>Религиозные товары</x:v>
      </x:c>
      <x:c r="D4426" s="14" t="str">
        <x:v>Четки религиозные</x:v>
      </x:c>
      <x:c r="E4426" s="2" t="n">
        <x:v>2</x:v>
      </x:c>
      <x:c r="F4426" s="2" t="n">
        <x:v>0</x:v>
      </x:c>
      <x:c r="G4426" s="12" t="n">
        <x:v>187985.46</x:v>
      </x:c>
      <x:c r="H4426" s="12" t="n">
        <x:v>31492.152832</x:v>
      </x:c>
      <x:c r="I4426" s="13" t="n">
        <x:v>0.0896</x:v>
      </x:c>
      <x:c r="J4426" s="2" t="n">
        <x:v>1</x:v>
      </x:c>
      <x:c r="K4426" s="2" t="n">
        <x:v>2</x:v>
      </x:c>
      <x:c r="L4426" s="12" t="n">
        <x:v>907.9294</x:v>
      </x:c>
      <x:c r="M4426" s="13" t="n">
        <x:v>0.9348460247936196</x:v>
      </x:c>
      <x:c r="N4426" s="13" t="n">
        <x:f>H4426/G4426</x:f>
        <x:v>0.16752440764301665</x:v>
      </x:c>
      <x:c r="O4426" s="13" t="n">
        <x:f>F4426/E4426</x:f>
        <x:v>0</x:v>
      </x:c>
      <x:c r="P4426" s="2" t="str">
        <x:f>IF(AND(E4426&gt;='Итоги'!$F$5,N4426&lt;='Итоги'!$B$5,O4426&gt;='Итоги'!$D$5),"Да","Нет")</x:f>
        <x:v>Нет</x:v>
      </x:c>
    </x:row>
    <x:row r="4427" ht="60" customHeight="1">
      <x:c r="A4427" s="14" t="str">
        <x:v>Товары для дома</x:v>
      </x:c>
      <x:c r="B4427" s="14" t="str">
        <x:v>Интерьер и декор</x:v>
      </x:c>
      <x:c r="C4427" s="14" t="str">
        <x:v>Картина, постер, панно</x:v>
      </x:c>
      <x:c r="D4427" s="14" t="str">
        <x:v>Панно, коллаж интерьерные</x:v>
      </x:c>
      <x:c r="E4427" s="2" t="n">
        <x:v>3</x:v>
      </x:c>
      <x:c r="F4427" s="2" t="n">
        <x:v>0</x:v>
      </x:c>
      <x:c r="G4427" s="12" t="n">
        <x:v>294171</x:v>
      </x:c>
      <x:c r="H4427" s="12" t="n">
        <x:v>49350.292100000006</x:v>
      </x:c>
      <x:c r="I4427" s="13" t="n">
        <x:v>0.1695666666666666</x:v>
      </x:c>
      <x:c r="J4427" s="2" t="n">
        <x:v>1</x:v>
      </x:c>
      <x:c r="K4427" s="2" t="n">
        <x:v>3</x:v>
      </x:c>
      <x:c r="L4427" s="12" t="n">
        <x:v>2479.7222</x:v>
      </x:c>
      <x:c r="M4427" s="13" t="n">
        <x:v>0.3944780416832386</x:v>
      </x:c>
      <x:c r="N4427" s="13" t="n">
        <x:f>H4427/G4427</x:f>
        <x:v>0.16776056137416676</x:v>
      </x:c>
      <x:c r="O4427" s="13" t="n">
        <x:f>F4427/E4427</x:f>
        <x:v>0</x:v>
      </x:c>
      <x:c r="P4427" s="2" t="str">
        <x:f>IF(AND(E4427&gt;='Итоги'!$F$5,N4427&lt;='Итоги'!$B$5,O4427&gt;='Итоги'!$D$5),"Да","Нет")</x:f>
        <x:v>Нет</x:v>
      </x:c>
    </x:row>
    <x:row r="4428" ht="60" customHeight="1">
      <x:c r="A4428" s="14" t="str">
        <x:v>Аксессуары для электроники</x:v>
      </x:c>
      <x:c r="B4428" s="14" t="str">
        <x:v>Электронные аксессуары для дома Access</x:v>
      </x:c>
      <x:c r="C4428" s="14" t="str">
        <x:v>Электронные аксессуары для дома Access</x:v>
      </x:c>
      <x:c r="D4428" s="14" t="str">
        <x:v>Сенсорный диспенсер/дозатор</x:v>
      </x:c>
      <x:c r="E4428" s="2" t="n">
        <x:v>13</x:v>
      </x:c>
      <x:c r="F4428" s="2" t="n">
        <x:v>0</x:v>
      </x:c>
      <x:c r="G4428" s="12" t="n">
        <x:v>1823792.53</x:v>
      </x:c>
      <x:c r="H4428" s="12" t="n">
        <x:v>306235.92446472</x:v>
      </x:c>
      <x:c r="I4428" s="13" t="n">
        <x:v>0.1749153846153846</x:v>
      </x:c>
      <x:c r="J4428" s="2" t="n">
        <x:v>0</x:v>
      </x:c>
      <x:c r="K4428" s="2" t="n">
        <x:v>10</x:v>
      </x:c>
      <x:c r="L4428" s="12" t="n">
        <x:v>1009.5224</x:v>
      </x:c>
      <x:c r="M4428" s="13" t="n">
        <x:v>0.2773155311695459</x:v>
      </x:c>
      <x:c r="N4428" s="13" t="n">
        <x:f>H4428/G4428</x:f>
        <x:v>0.1679116014718626</x:v>
      </x:c>
      <x:c r="O4428" s="13" t="n">
        <x:f>F4428/E4428</x:f>
        <x:v>0</x:v>
      </x:c>
      <x:c r="P4428" s="2" t="str">
        <x:f>IF(AND(E4428&gt;='Итоги'!$F$5,N4428&lt;='Итоги'!$B$5,O4428&gt;='Итоги'!$D$5),"Да","Нет")</x:f>
        <x:v>Нет</x:v>
      </x:c>
    </x:row>
    <x:row r="4429" ht="60" customHeight="1">
      <x:c r="A4429" s="14" t="str">
        <x:v>Бытовая химия и гигиена рта</x:v>
      </x:c>
      <x:c r="B4429" s="14" t="str">
        <x:v>Средства для стирки</x:v>
      </x:c>
      <x:c r="C4429" s="14" t="str">
        <x:v>Гель жидкое средство для стирки</x:v>
      </x:c>
      <x:c r="D4429" s="14" t="str">
        <x:v>Гель жидкое средство для стирки цветного белья</x:v>
      </x:c>
      <x:c r="E4429" s="2" t="n">
        <x:v>26</x:v>
      </x:c>
      <x:c r="F4429" s="2" t="n">
        <x:v>0</x:v>
      </x:c>
      <x:c r="G4429" s="12" t="n">
        <x:v>4609536.3296</x:v>
      </x:c>
      <x:c r="H4429" s="12" t="n">
        <x:v>776004.05683491</x:v>
      </x:c>
      <x:c r="I4429" s="13" t="n">
        <x:v>0.0996</x:v>
      </x:c>
      <x:c r="J4429" s="2" t="n">
        <x:v>7</x:v>
      </x:c>
      <x:c r="K4429" s="2" t="n">
        <x:v>9</x:v>
      </x:c>
      <x:c r="L4429" s="12" t="n">
        <x:v>1073.1324</x:v>
      </x:c>
      <x:c r="M4429" s="13" t="n">
        <x:v>0.5194043811794324</x:v>
      </x:c>
      <x:c r="N4429" s="13" t="n">
        <x:f>H4429/G4429</x:f>
        <x:v>0.16834753028234598</x:v>
      </x:c>
      <x:c r="O4429" s="13" t="n">
        <x:f>F4429/E4429</x:f>
        <x:v>0</x:v>
      </x:c>
      <x:c r="P4429" s="2" t="str">
        <x:f>IF(AND(E4429&gt;='Итоги'!$F$5,N4429&lt;='Итоги'!$B$5,O4429&gt;='Итоги'!$D$5),"Да","Нет")</x:f>
        <x:v>Нет</x:v>
      </x:c>
    </x:row>
    <x:row r="4430" ht="60" customHeight="1">
      <x:c r="A4430" s="14" t="str">
        <x:v>Аксессуары</x:v>
      </x:c>
      <x:c r="B4430" s="14" t="str">
        <x:v>Очки и аксессуары к ним</x:v>
      </x:c>
      <x:c r="C4430" s="14" t="str">
        <x:v>Очки и оправы</x:v>
      </x:c>
      <x:c r="D4430" s="14" t="str">
        <x:v>Очки для водителя</x:v>
      </x:c>
      <x:c r="E4430" s="2" t="n">
        <x:v>14</x:v>
      </x:c>
      <x:c r="F4430" s="2" t="n">
        <x:v>0</x:v>
      </x:c>
      <x:c r="G4430" s="12" t="n">
        <x:v>1919339.9248</x:v>
      </x:c>
      <x:c r="H4430" s="12" t="n">
        <x:v>323428.57464902</x:v>
      </x:c>
      <x:c r="I4430" s="13" t="n">
        <x:v>0.1633642857142857</x:v>
      </x:c>
      <x:c r="J4430" s="2" t="n">
        <x:v>0</x:v>
      </x:c>
      <x:c r="K4430" s="2" t="n">
        <x:v>10</x:v>
      </x:c>
      <x:c r="L4430" s="12" t="n">
        <x:v>829.0509500000001</x:v>
      </x:c>
      <x:c r="M4430" s="13" t="n">
        <x:v>0.2460267010020152</x:v>
      </x:c>
      <x:c r="N4430" s="13" t="n">
        <x:f>H4430/G4430</x:f>
        <x:v>0.1685103146503463</x:v>
      </x:c>
      <x:c r="O4430" s="13" t="n">
        <x:f>F4430/E4430</x:f>
        <x:v>0</x:v>
      </x:c>
      <x:c r="P4430" s="2" t="str">
        <x:f>IF(AND(E4430&gt;='Итоги'!$F$5,N4430&lt;='Итоги'!$B$5,O4430&gt;='Итоги'!$D$5),"Да","Нет")</x:f>
        <x:v>Нет</x:v>
      </x:c>
    </x:row>
    <x:row r="4431" ht="60" customHeight="1">
      <x:c r="A4431" s="14" t="str">
        <x:v>Бытовая химия и гигиена рта</x:v>
      </x:c>
      <x:c r="B4431" s="14" t="str">
        <x:v>Бытовая химия</x:v>
      </x:c>
      <x:c r="C4431" s="14" t="str">
        <x:v>Чистящее и моющее средство</x:v>
      </x:c>
      <x:c r="D4431" s="14" t="str">
        <x:v>Средство для мытья детской посуды</x:v>
      </x:c>
      <x:c r="E4431" s="2" t="n">
        <x:v>1</x:v>
      </x:c>
      <x:c r="F4431" s="2" t="n">
        <x:v>0</x:v>
      </x:c>
      <x:c r="G4431" s="12" t="n">
        <x:v>113229</x:v>
      </x:c>
      <x:c r="H4431" s="12" t="n">
        <x:v>19124.3781</x:v>
      </x:c>
      <x:c r="I4431" s="13" t="n">
        <x:v>0.1689</x:v>
      </x:c>
      <x:c r="J4431" s="2" t="n">
        <x:v>0</x:v>
      </x:c>
      <x:c r="K4431" s="2" t="n">
        <x:v>1</x:v>
      </x:c>
      <x:c r="L4431" s="12" t="n">
        <x:v>808.7786</x:v>
      </x:c>
      <x:c r="M4431" s="13" t="n">
        <x:v>1</x:v>
      </x:c>
      <x:c r="N4431" s="13" t="n">
        <x:f>H4431/G4431</x:f>
        <x:v>0.16890000000000002</x:v>
      </x:c>
      <x:c r="O4431" s="13" t="n">
        <x:f>F4431/E4431</x:f>
        <x:v>0</x:v>
      </x:c>
      <x:c r="P4431" s="2" t="str">
        <x:f>IF(AND(E4431&gt;='Итоги'!$F$5,N4431&lt;='Итоги'!$B$5,O4431&gt;='Итоги'!$D$5),"Да","Нет")</x:f>
        <x:v>Нет</x:v>
      </x:c>
    </x:row>
    <x:row r="4432" ht="60" customHeight="1">
      <x:c r="A4432" s="14" t="str">
        <x:v>Аптека</x:v>
      </x:c>
      <x:c r="B4432" s="14" t="str">
        <x:v>Ортопедия и компрессионный трикотаж</x:v>
      </x:c>
      <x:c r="C4432" s="14" t="str">
        <x:v>Ортезы и бандажи</x:v>
      </x:c>
      <x:c r="D4432" s="14" t="str">
        <x:v>Бандаж до и послеродовой</x:v>
      </x:c>
      <x:c r="E4432" s="2" t="n">
        <x:v>6</x:v>
      </x:c>
      <x:c r="F4432" s="2" t="n">
        <x:v>0</x:v>
      </x:c>
      <x:c r="G4432" s="12" t="n">
        <x:v>555993.5015</x:v>
      </x:c>
      <x:c r="H4432" s="12" t="n">
        <x:v>94120.22314879</x:v>
      </x:c>
      <x:c r="I4432" s="13" t="n">
        <x:v>0.1549833333333333</x:v>
      </x:c>
      <x:c r="J4432" s="2" t="n">
        <x:v>0</x:v>
      </x:c>
      <x:c r="K4432" s="2" t="n">
        <x:v>4</x:v>
      </x:c>
      <x:c r="L4432" s="12" t="n">
        <x:v>1122.2238</x:v>
      </x:c>
      <x:c r="M4432" s="13" t="n">
        <x:v>0.5135360381545755</x:v>
      </x:c>
      <x:c r="N4432" s="13" t="n">
        <x:f>H4432/G4432</x:f>
        <x:v>0.16928295545697128</x:v>
      </x:c>
      <x:c r="O4432" s="13" t="n">
        <x:f>F4432/E4432</x:f>
        <x:v>0</x:v>
      </x:c>
      <x:c r="P4432" s="2" t="str">
        <x:f>IF(AND(E4432&gt;='Итоги'!$F$5,N4432&lt;='Итоги'!$B$5,O4432&gt;='Итоги'!$D$5),"Да","Нет")</x:f>
        <x:v>Нет</x:v>
      </x:c>
    </x:row>
    <x:row r="4433" ht="60" customHeight="1">
      <x:c r="A4433" s="14" t="str">
        <x:v>Строительство и ремонт (DIY)</x:v>
      </x:c>
      <x:c r="B4433" s="14" t="str">
        <x:v>Освещение</x:v>
      </x:c>
      <x:c r="C4433" s="14" t="str">
        <x:v>Светильник домашний</x:v>
      </x:c>
      <x:c r="D4433" s="14" t="str">
        <x:v>Светильник аварийный</x:v>
      </x:c>
      <x:c r="E4433" s="2" t="n">
        <x:v>1</x:v>
      </x:c>
      <x:c r="F4433" s="2" t="n">
        <x:v>0</x:v>
      </x:c>
      <x:c r="G4433" s="12" t="n">
        <x:v>73767</x:v>
      </x:c>
      <x:c r="H4433" s="12" t="n">
        <x:v>12503.5065</x:v>
      </x:c>
      <x:c r="I4433" s="13" t="n">
        <x:v>0.1695</x:v>
      </x:c>
      <x:c r="J4433" s="2" t="n">
        <x:v>0</x:v>
      </x:c>
      <x:c r="K4433" s="2" t="n">
        <x:v>1</x:v>
      </x:c>
      <x:c r="L4433" s="12" t="n">
        <x:v>1475.34</x:v>
      </x:c>
      <x:c r="M4433" s="13" t="n">
        <x:v>1</x:v>
      </x:c>
      <x:c r="N4433" s="13" t="n">
        <x:f>H4433/G4433</x:f>
        <x:v>0.16949999999999998</x:v>
      </x:c>
      <x:c r="O4433" s="13" t="n">
        <x:f>F4433/E4433</x:f>
        <x:v>0</x:v>
      </x:c>
      <x:c r="P4433" s="2" t="str">
        <x:f>IF(AND(E4433&gt;='Итоги'!$F$5,N4433&lt;='Итоги'!$B$5,O4433&gt;='Итоги'!$D$5),"Да","Нет")</x:f>
        <x:v>Нет</x:v>
      </x:c>
    </x:row>
    <x:row r="4434" ht="60" customHeight="1">
      <x:c r="A4434" s="14" t="str">
        <x:v>Школьные принадлежности и канцелярия</x:v>
      </x:c>
      <x:c r="B4434" s="14" t="str">
        <x:v>Товары для школы, канцелярия, оборудование</x:v>
      </x:c>
      <x:c r="C4434" s="14" t="str">
        <x:v>Офисные принадлежности</x:v>
      </x:c>
      <x:c r="D4434" s="14" t="str">
        <x:v>Подставка для книг</x:v>
      </x:c>
      <x:c r="E4434" s="2" t="n">
        <x:v>3</x:v>
      </x:c>
      <x:c r="F4434" s="2" t="n">
        <x:v>0</x:v>
      </x:c>
      <x:c r="G4434" s="12" t="n">
        <x:v>355354.4838</x:v>
      </x:c>
      <x:c r="H4434" s="12" t="n">
        <x:v>60240.79097394</x:v>
      </x:c>
      <x:c r="I4434" s="13" t="n">
        <x:v>0.1698333333333333</x:v>
      </x:c>
      <x:c r="J4434" s="2" t="n">
        <x:v>0</x:v>
      </x:c>
      <x:c r="K4434" s="2" t="n">
        <x:v>2</x:v>
      </x:c>
      <x:c r="L4434" s="12" t="n">
        <x:v>1376.0181</x:v>
      </x:c>
      <x:c r="M4434" s="13" t="n">
        <x:v>0.61577977280612</x:v>
      </x:c>
      <x:c r="N4434" s="13" t="n">
        <x:f>H4434/G4434</x:f>
        <x:v>0.169523092349229</x:v>
      </x:c>
      <x:c r="O4434" s="13" t="n">
        <x:f>F4434/E4434</x:f>
        <x:v>0</x:v>
      </x:c>
      <x:c r="P4434" s="2" t="str">
        <x:f>IF(AND(E4434&gt;='Итоги'!$F$5,N4434&lt;='Итоги'!$B$5,O4434&gt;='Итоги'!$D$5),"Да","Нет")</x:f>
        <x:v>Нет</x:v>
      </x:c>
    </x:row>
    <x:row r="4435" ht="60" customHeight="1">
      <x:c r="A4435" s="14" t="str">
        <x:v>Строительство и ремонт (DIY)</x:v>
      </x:c>
      <x:c r="B4435" s="14" t="str">
        <x:v>Ремонт и строительство</x:v>
      </x:c>
      <x:c r="C4435" s="14" t="str">
        <x:v>Скобяные изделия</x:v>
      </x:c>
      <x:c r="D4435" s="14" t="str">
        <x:v>Глазок дверной</x:v>
      </x:c>
      <x:c r="E4435" s="2" t="n">
        <x:v>1</x:v>
      </x:c>
      <x:c r="F4435" s="2" t="n">
        <x:v>0</x:v>
      </x:c>
      <x:c r="G4435" s="12" t="n">
        <x:v>280413.39</x:v>
      </x:c>
      <x:c r="H4435" s="12" t="n">
        <x:v>47558.110944</x:v>
      </x:c>
      <x:c r="I4435" s="13" t="n">
        <x:v>0.1696</x:v>
      </x:c>
      <x:c r="J4435" s="2" t="n">
        <x:v>0</x:v>
      </x:c>
      <x:c r="K4435" s="2" t="n">
        <x:v>1</x:v>
      </x:c>
      <x:c r="L4435" s="12" t="n">
        <x:v>7379.2997</x:v>
      </x:c>
      <x:c r="M4435" s="13" t="n">
        <x:v>1</x:v>
      </x:c>
      <x:c r="N4435" s="13" t="n">
        <x:f>H4435/G4435</x:f>
        <x:v>0.1696</x:v>
      </x:c>
      <x:c r="O4435" s="13" t="n">
        <x:f>F4435/E4435</x:f>
        <x:v>0</x:v>
      </x:c>
      <x:c r="P4435" s="2" t="str">
        <x:f>IF(AND(E4435&gt;='Итоги'!$F$5,N4435&lt;='Итоги'!$B$5,O4435&gt;='Итоги'!$D$5),"Да","Нет")</x:f>
        <x:v>Нет</x:v>
      </x:c>
    </x:row>
    <x:row r="4436" ht="60" customHeight="1">
      <x:c r="A4436" s="14" t="str">
        <x:v>Автотовары</x:v>
      </x:c>
      <x:c r="B4436" s="14" t="str">
        <x:v>Универсальные авто и мото аксессуары</x:v>
      </x:c>
      <x:c r="C4436" s="14" t="str">
        <x:v>Аксессуар для салона авто</x:v>
      </x:c>
      <x:c r="D4436" s="14" t="str">
        <x:v>Автовизитка</x:v>
      </x:c>
      <x:c r="E4436" s="2" t="n">
        <x:v>1</x:v>
      </x:c>
      <x:c r="F4436" s="2" t="n">
        <x:v>0</x:v>
      </x:c>
      <x:c r="G4436" s="12" t="n">
        <x:v>59411</x:v>
      </x:c>
      <x:c r="H4436" s="12" t="n">
        <x:v>10087.9878</x:v>
      </x:c>
      <x:c r="I4436" s="13" t="n">
        <x:v>0.1698</x:v>
      </x:c>
      <x:c r="J4436" s="2" t="n">
        <x:v>0</x:v>
      </x:c>
      <x:c r="K4436" s="2" t="n">
        <x:v>1</x:v>
      </x:c>
      <x:c r="L4436" s="12" t="n">
        <x:v>900.1667</x:v>
      </x:c>
      <x:c r="M4436" s="13" t="n">
        <x:v>1</x:v>
      </x:c>
      <x:c r="N4436" s="13" t="n">
        <x:f>H4436/G4436</x:f>
        <x:v>0.1698</x:v>
      </x:c>
      <x:c r="O4436" s="13" t="n">
        <x:f>F4436/E4436</x:f>
        <x:v>0</x:v>
      </x:c>
      <x:c r="P4436" s="2" t="str">
        <x:f>IF(AND(E4436&gt;='Итоги'!$F$5,N4436&lt;='Итоги'!$B$5,O4436&gt;='Итоги'!$D$5),"Да","Нет")</x:f>
        <x:v>Нет</x:v>
      </x:c>
    </x:row>
    <x:row r="4437" ht="60" customHeight="1">
      <x:c r="A4437" s="14" t="str">
        <x:v>Аксессуары</x:v>
      </x:c>
      <x:c r="B4437" s="14" t="str">
        <x:v>Аксессуары</x:v>
      </x:c>
      <x:c r="C4437" s="14" t="str">
        <x:v>Аксессуары и уход для обуви</x:v>
      </x:c>
      <x:c r="D4437" s="14" t="str">
        <x:v>Джиббитсы</x:v>
      </x:c>
      <x:c r="E4437" s="2" t="n">
        <x:v>1</x:v>
      </x:c>
      <x:c r="F4437" s="2" t="n">
        <x:v>0</x:v>
      </x:c>
      <x:c r="G4437" s="12" t="n">
        <x:v>70596.8</x:v>
      </x:c>
      <x:c r="H4437" s="12" t="n">
        <x:v>12001.456000000002</x:v>
      </x:c>
      <x:c r="I4437" s="13" t="n">
        <x:v>0.17</x:v>
      </x:c>
      <x:c r="J4437" s="2" t="n">
        <x:v>0</x:v>
      </x:c>
      <x:c r="K4437" s="2" t="n">
        <x:v>1</x:v>
      </x:c>
      <x:c r="L4437" s="12" t="n">
        <x:v>526.8418</x:v>
      </x:c>
      <x:c r="M4437" s="13" t="n">
        <x:v>1</x:v>
      </x:c>
      <x:c r="N4437" s="13" t="n">
        <x:f>H4437/G4437</x:f>
        <x:v>0.17</x:v>
      </x:c>
      <x:c r="O4437" s="13" t="n">
        <x:f>F4437/E4437</x:f>
        <x:v>0</x:v>
      </x:c>
      <x:c r="P4437" s="2" t="str">
        <x:f>IF(AND(E4437&gt;='Итоги'!$F$5,N4437&lt;='Итоги'!$B$5,O4437&gt;='Итоги'!$D$5),"Да","Нет")</x:f>
        <x:v>Нет</x:v>
      </x:c>
    </x:row>
    <x:row r="4438" ht="60" customHeight="1">
      <x:c r="A4438" s="14" t="str">
        <x:v>Товары для красоты и здоровья</x:v>
      </x:c>
      <x:c r="B4438" s="14" t="str">
        <x:v>Косметика для ухода за кожей</x:v>
      </x:c>
      <x:c r="C4438" s="14" t="str">
        <x:v>Тело</x:v>
      </x:c>
      <x:c r="D4438" s="14" t="str">
        <x:v>Средство для спа-процедур</x:v>
      </x:c>
      <x:c r="E4438" s="2" t="n">
        <x:v>2</x:v>
      </x:c>
      <x:c r="F4438" s="2" t="n">
        <x:v>0</x:v>
      </x:c>
      <x:c r="G4438" s="12" t="n">
        <x:v>282693.95</x:v>
      </x:c>
      <x:c r="H4438" s="12" t="n">
        <x:v>48076.395329000006</x:v>
      </x:c>
      <x:c r="I4438" s="13" t="n">
        <x:v>0.176</x:v>
      </x:c>
      <x:c r="J4438" s="2" t="n">
        <x:v>0</x:v>
      </x:c>
      <x:c r="K4438" s="2" t="n">
        <x:v>1</x:v>
      </x:c>
      <x:c r="L4438" s="12" t="n">
        <x:v>1053.16745</x:v>
      </x:c>
      <x:c r="M4438" s="13" t="n">
        <x:v>1</x:v>
      </x:c>
      <x:c r="N4438" s="13" t="n">
        <x:f>H4438/G4438</x:f>
        <x:v>0.17006517234981508</x:v>
      </x:c>
      <x:c r="O4438" s="13" t="n">
        <x:f>F4438/E4438</x:f>
        <x:v>0</x:v>
      </x:c>
      <x:c r="P4438" s="2" t="str">
        <x:f>IF(AND(E4438&gt;='Итоги'!$F$5,N4438&lt;='Итоги'!$B$5,O4438&gt;='Итоги'!$D$5),"Да","Нет")</x:f>
        <x:v>Нет</x:v>
      </x:c>
    </x:row>
    <x:row r="4439" ht="60" customHeight="1">
      <x:c r="A4439" s="14" t="str">
        <x:v>Аксессуары</x:v>
      </x:c>
      <x:c r="B4439" s="14" t="str">
        <x:v>Аксессуары</x:v>
      </x:c>
      <x:c r="C4439" s="14" t="str">
        <x:v>Мелкие аксессуары</x:v>
      </x:c>
      <x:c r="D4439" s="14" t="str">
        <x:v>Мужской кожаный ремень</x:v>
      </x:c>
      <x:c r="E4439" s="2" t="n">
        <x:v>77</x:v>
      </x:c>
      <x:c r="F4439" s="2" t="n">
        <x:v>0</x:v>
      </x:c>
      <x:c r="G4439" s="12" t="n">
        <x:v>8248067.4735</x:v>
      </x:c>
      <x:c r="H4439" s="12" t="n">
        <x:v>1405435.76978817</x:v>
      </x:c>
      <x:c r="I4439" s="13" t="n">
        <x:v>0.1261545454545454</x:v>
      </x:c>
      <x:c r="J4439" s="2" t="n">
        <x:v>24</x:v>
      </x:c>
      <x:c r="K4439" s="2" t="n">
        <x:v>15</x:v>
      </x:c>
      <x:c r="L4439" s="12" t="n">
        <x:v>1306.2112</x:v>
      </x:c>
      <x:c r="M4439" s="13" t="n">
        <x:v>0.4200158750435082</x:v>
      </x:c>
      <x:c r="N4439" s="13" t="n">
        <x:f>H4439/G4439</x:f>
        <x:v>0.17039576534790213</x:v>
      </x:c>
      <x:c r="O4439" s="13" t="n">
        <x:f>F4439/E4439</x:f>
        <x:v>0</x:v>
      </x:c>
      <x:c r="P4439" s="2" t="str">
        <x:f>IF(AND(E4439&gt;='Итоги'!$F$5,N4439&lt;='Итоги'!$B$5,O4439&gt;='Итоги'!$D$5),"Да","Нет")</x:f>
        <x:v>Нет</x:v>
      </x:c>
    </x:row>
    <x:row r="4440" ht="60" customHeight="1">
      <x:c r="A4440" s="14" t="str">
        <x:v>Товары для дома</x:v>
      </x:c>
      <x:c r="B4440" s="14" t="str">
        <x:v>Интерьер и декор</x:v>
      </x:c>
      <x:c r="C4440" s="14" t="str">
        <x:v>Ароматы для дома</x:v>
      </x:c>
      <x:c r="D4440" s="14" t="str">
        <x:v>Аромадиффузор ультразвуковой интерьерный</x:v>
      </x:c>
      <x:c r="E4440" s="2" t="n">
        <x:v>6</x:v>
      </x:c>
      <x:c r="F4440" s="2" t="n">
        <x:v>0</x:v>
      </x:c>
      <x:c r="G4440" s="12" t="n">
        <x:v>612743.0796</x:v>
      </x:c>
      <x:c r="H4440" s="12" t="n">
        <x:v>104480.86185404</x:v>
      </x:c>
      <x:c r="I4440" s="13" t="n">
        <x:v>0.14885</x:v>
      </x:c>
      <x:c r="J4440" s="2" t="n">
        <x:v>0</x:v>
      </x:c>
      <x:c r="K4440" s="2" t="n">
        <x:v>4</x:v>
      </x:c>
      <x:c r="L4440" s="12" t="n">
        <x:v>1580.8314</x:v>
      </x:c>
      <x:c r="M4440" s="13" t="n">
        <x:v>0.6109788785283247</x:v>
      </x:c>
      <x:c r="N4440" s="13" t="n">
        <x:f>H4440/G4440</x:f>
        <x:v>0.1705133282325201</x:v>
      </x:c>
      <x:c r="O4440" s="13" t="n">
        <x:f>F4440/E4440</x:f>
        <x:v>0</x:v>
      </x:c>
      <x:c r="P4440" s="2" t="str">
        <x:f>IF(AND(E4440&gt;='Итоги'!$F$5,N4440&lt;='Итоги'!$B$5,O4440&gt;='Итоги'!$D$5),"Да","Нет")</x:f>
        <x:v>Нет</x:v>
      </x:c>
    </x:row>
    <x:row r="4441" ht="60" customHeight="1">
      <x:c r="A4441" s="14" t="str">
        <x:v>Аксессуары</x:v>
      </x:c>
      <x:c r="B4441" s="14" t="str">
        <x:v>Галантерея</x:v>
      </x:c>
      <x:c r="C4441" s="14" t="str">
        <x:v>Галантерея мужская</x:v>
      </x:c>
      <x:c r="D4441" s="14" t="str">
        <x:v>Мужская Визитница/кредитница</x:v>
      </x:c>
      <x:c r="E4441" s="2" t="n">
        <x:v>3</x:v>
      </x:c>
      <x:c r="F4441" s="2" t="n">
        <x:v>0</x:v>
      </x:c>
      <x:c r="G4441" s="12" t="n">
        <x:v>517900.4329</x:v>
      </x:c>
      <x:c r="H4441" s="12" t="n">
        <x:v>88355.32886853999</x:v>
      </x:c>
      <x:c r="I4441" s="13" t="n">
        <x:v>0.1747666666666666</x:v>
      </x:c>
      <x:c r="J4441" s="2" t="n">
        <x:v>0</x:v>
      </x:c>
      <x:c r="K4441" s="2" t="n">
        <x:v>2</x:v>
      </x:c>
      <x:c r="L4441" s="12" t="n">
        <x:v>1180.9407</x:v>
      </x:c>
      <x:c r="M4441" s="13" t="n">
        <x:v>0.8354572528104948</x:v>
      </x:c>
      <x:c r="N4441" s="13" t="n">
        <x:f>H4441/G4441</x:f>
        <x:v>0.17060292530321225</x:v>
      </x:c>
      <x:c r="O4441" s="13" t="n">
        <x:f>F4441/E4441</x:f>
        <x:v>0</x:v>
      </x:c>
      <x:c r="P4441" s="2" t="str">
        <x:f>IF(AND(E4441&gt;='Итоги'!$F$5,N4441&lt;='Итоги'!$B$5,O4441&gt;='Итоги'!$D$5),"Да","Нет")</x:f>
        <x:v>Нет</x:v>
      </x:c>
    </x:row>
    <x:row r="4442" ht="60" customHeight="1">
      <x:c r="A4442" s="14" t="str">
        <x:v>Хобби и творчество</x:v>
      </x:c>
      <x:c r="B4442" s="14" t="str">
        <x:v>Детское творчество и хобби</x:v>
      </x:c>
      <x:c r="C4442" s="14" t="str">
        <x:v>Рукоделие для детей</x:v>
      </x:c>
      <x:c r="D4442" s="14" t="str">
        <x:v>Прибор для выжигания детский</x:v>
      </x:c>
      <x:c r="E4442" s="2" t="n">
        <x:v>4</x:v>
      </x:c>
      <x:c r="F4442" s="2" t="n">
        <x:v>0</x:v>
      </x:c>
      <x:c r="G4442" s="12" t="n">
        <x:v>343620.3836</x:v>
      </x:c>
      <x:c r="H4442" s="12" t="n">
        <x:v>58711.160912880005</x:v>
      </x:c>
      <x:c r="I4442" s="13" t="n">
        <x:v>0.17495</x:v>
      </x:c>
      <x:c r="J4442" s="2" t="n">
        <x:v>0</x:v>
      </x:c>
      <x:c r="K4442" s="2" t="n">
        <x:v>3</x:v>
      </x:c>
      <x:c r="L4442" s="12" t="n">
        <x:v>1100.81685</x:v>
      </x:c>
      <x:c r="M4442" s="13" t="n">
        <x:v>0.4729395802932803</x:v>
      </x:c>
      <x:c r="N4442" s="13" t="n">
        <x:f>H4442/G4442</x:f>
        <x:v>0.17086053015185565</x:v>
      </x:c>
      <x:c r="O4442" s="13" t="n">
        <x:f>F4442/E4442</x:f>
        <x:v>0</x:v>
      </x:c>
      <x:c r="P4442" s="2" t="str">
        <x:f>IF(AND(E4442&gt;='Итоги'!$F$5,N4442&lt;='Итоги'!$B$5,O4442&gt;='Итоги'!$D$5),"Да","Нет")</x:f>
        <x:v>Нет</x:v>
      </x:c>
    </x:row>
    <x:row r="4443" ht="60" customHeight="1">
      <x:c r="A4443" s="14" t="str">
        <x:v>Товары для дома</x:v>
      </x:c>
      <x:c r="B4443" s="14" t="str">
        <x:v>Кухня</x:v>
      </x:c>
      <x:c r="C4443" s="14" t="str">
        <x:v>Кухонная утварь и принадлежности</x:v>
      </x:c>
      <x:c r="D4443" s="14" t="str">
        <x:v>Ступка</x:v>
      </x:c>
      <x:c r="E4443" s="2" t="n">
        <x:v>2</x:v>
      </x:c>
      <x:c r="F4443" s="2" t="n">
        <x:v>0</x:v>
      </x:c>
      <x:c r="G4443" s="12" t="n">
        <x:v>241877.0536</x:v>
      </x:c>
      <x:c r="H4443" s="12" t="n">
        <x:v>41349.26107576</x:v>
      </x:c>
      <x:c r="I4443" s="13" t="n">
        <x:v>0.1585</x:v>
      </x:c>
      <x:c r="J4443" s="2" t="n">
        <x:v>0</x:v>
      </x:c>
      <x:c r="K4443" s="2" t="n">
        <x:v>2</x:v>
      </x:c>
      <x:c r="L4443" s="12" t="n">
        <x:v>1621.0727</x:v>
      </x:c>
      <x:c r="M4443" s="13" t="n">
        <x:v>0.5897086882655825</x:v>
      </x:c>
      <x:c r="N4443" s="13" t="n">
        <x:f>H4443/G4443</x:f>
        <x:v>0.17095156593126284</x:v>
      </x:c>
      <x:c r="O4443" s="13" t="n">
        <x:f>F4443/E4443</x:f>
        <x:v>0</x:v>
      </x:c>
      <x:c r="P4443" s="2" t="str">
        <x:f>IF(AND(E4443&gt;='Итоги'!$F$5,N4443&lt;='Итоги'!$B$5,O4443&gt;='Итоги'!$D$5),"Да","Нет")</x:f>
        <x:v>Нет</x:v>
      </x:c>
    </x:row>
    <x:row r="4444" ht="60" customHeight="1">
      <x:c r="A4444" s="14" t="str">
        <x:v>Строительство и ремонт (DIY)</x:v>
      </x:c>
      <x:c r="B4444" s="14" t="str">
        <x:v>Сад и огород</x:v>
      </x:c>
      <x:c r="C4444" s="14" t="str">
        <x:v>Ландшафт и садовый декор</x:v>
      </x:c>
      <x:c r="D4444" s="14" t="str">
        <x:v>Отсыпка декоративная для сада</x:v>
      </x:c>
      <x:c r="E4444" s="2" t="n">
        <x:v>2</x:v>
      </x:c>
      <x:c r="F4444" s="2" t="n">
        <x:v>0</x:v>
      </x:c>
      <x:c r="G4444" s="12" t="n">
        <x:v>154775.0007</x:v>
      </x:c>
      <x:c r="H4444" s="12" t="n">
        <x:v>26482.7943362</x:v>
      </x:c>
      <x:c r="I4444" s="13" t="n">
        <x:v>0.17295</x:v>
      </x:c>
      <x:c r="J4444" s="2" t="n">
        <x:v>0</x:v>
      </x:c>
      <x:c r="K4444" s="2" t="n">
        <x:v>2</x:v>
      </x:c>
      <x:c r="L4444" s="12" t="n">
        <x:v>1221.20065</x:v>
      </x:c>
      <x:c r="M4444" s="13" t="n">
        <x:v>0.8024401191296522</x:v>
      </x:c>
      <x:c r="N4444" s="13" t="n">
        <x:f>H4444/G4444</x:f>
        <x:v>0.17110511527330913</x:v>
      </x:c>
      <x:c r="O4444" s="13" t="n">
        <x:f>F4444/E4444</x:f>
        <x:v>0</x:v>
      </x:c>
      <x:c r="P4444" s="2" t="str">
        <x:f>IF(AND(E4444&gt;='Итоги'!$F$5,N4444&lt;='Итоги'!$B$5,O4444&gt;='Итоги'!$D$5),"Да","Нет")</x:f>
        <x:v>Нет</x:v>
      </x:c>
    </x:row>
    <x:row r="4445" ht="60" customHeight="1">
      <x:c r="A4445" s="14" t="str">
        <x:v>Товары для дома</x:v>
      </x:c>
      <x:c r="B4445" s="14" t="str">
        <x:v>Интерьер и декор</x:v>
      </x:c>
      <x:c r="C4445" s="14" t="str">
        <x:v>Домашние растения</x:v>
      </x:c>
      <x:c r="D4445" s="14" t="str">
        <x:v>Набор для выращивания</x:v>
      </x:c>
      <x:c r="E4445" s="2" t="n">
        <x:v>4</x:v>
      </x:c>
      <x:c r="F4445" s="2" t="n">
        <x:v>0</x:v>
      </x:c>
      <x:c r="G4445" s="12" t="n">
        <x:v>530968.4035</x:v>
      </x:c>
      <x:c r="H4445" s="12" t="n">
        <x:v>90985.91562785</x:v>
      </x:c>
      <x:c r="I4445" s="13" t="n">
        <x:v>0.15985</x:v>
      </x:c>
      <x:c r="J4445" s="2" t="n">
        <x:v>1</x:v>
      </x:c>
      <x:c r="K4445" s="2" t="n">
        <x:v>3</x:v>
      </x:c>
      <x:c r="L4445" s="12" t="n">
        <x:v>988.67055</x:v>
      </x:c>
      <x:c r="M4445" s="13" t="n">
        <x:v>0.5390021357457289</x:v>
      </x:c>
      <x:c r="N4445" s="13" t="n">
        <x:f>H4445/G4445</x:f>
        <x:v>0.17135843682617546</x:v>
      </x:c>
      <x:c r="O4445" s="13" t="n">
        <x:f>F4445/E4445</x:f>
        <x:v>0</x:v>
      </x:c>
      <x:c r="P4445" s="2" t="str">
        <x:f>IF(AND(E4445&gt;='Итоги'!$F$5,N4445&lt;='Итоги'!$B$5,O4445&gt;='Итоги'!$D$5),"Да","Нет")</x:f>
        <x:v>Нет</x:v>
      </x:c>
    </x:row>
    <x:row r="4446" ht="60" customHeight="1">
      <x:c r="A4446" s="14" t="str">
        <x:v>Аптека</x:v>
      </x:c>
      <x:c r="B4446" s="14" t="str">
        <x:v>Медицинская техника</x:v>
      </x:c>
      <x:c r="C4446" s="14" t="str">
        <x:v>Медицинская техника</x:v>
      </x:c>
      <x:c r="D4446" s="14" t="str">
        <x:v>Электросапог</x:v>
      </x:c>
      <x:c r="E4446" s="2" t="n">
        <x:v>1</x:v>
      </x:c>
      <x:c r="F4446" s="2" t="n">
        <x:v>0</x:v>
      </x:c>
      <x:c r="G4446" s="12" t="n">
        <x:v>160652</x:v>
      </x:c>
      <x:c r="H4446" s="12" t="n">
        <x:v>27535.7528</x:v>
      </x:c>
      <x:c r="I4446" s="13" t="n">
        <x:v>0.1714</x:v>
      </x:c>
      <x:c r="J4446" s="2" t="n">
        <x:v>0</x:v>
      </x:c>
      <x:c r="K4446" s="2" t="n">
        <x:v>1</x:v>
      </x:c>
      <x:c r="L4446" s="12" t="n">
        <x:v>1515.5849</x:v>
      </x:c>
      <x:c r="M4446" s="13" t="n">
        <x:v>1</x:v>
      </x:c>
      <x:c r="N4446" s="13" t="n">
        <x:f>H4446/G4446</x:f>
        <x:v>0.1714</x:v>
      </x:c>
      <x:c r="O4446" s="13" t="n">
        <x:f>F4446/E4446</x:f>
        <x:v>0</x:v>
      </x:c>
      <x:c r="P4446" s="2" t="str">
        <x:f>IF(AND(E4446&gt;='Итоги'!$F$5,N4446&lt;='Итоги'!$B$5,O4446&gt;='Итоги'!$D$5),"Да","Нет")</x:f>
        <x:v>Нет</x:v>
      </x:c>
    </x:row>
    <x:row r="4447" ht="60" customHeight="1">
      <x:c r="A4447" s="14" t="str">
        <x:v>Товары для красоты и здоровья</x:v>
      </x:c>
      <x:c r="B4447" s="14" t="str">
        <x:v>Косметические аксессуары</x:v>
      </x:c>
      <x:c r="C4447" s="14" t="str">
        <x:v>Аксессуары для маникюра и педикюра</x:v>
      </x:c>
      <x:c r="D4447" s="14" t="str">
        <x:v>Терка, скребок для ног</x:v>
      </x:c>
      <x:c r="E4447" s="2" t="n">
        <x:v>6</x:v>
      </x:c>
      <x:c r="F4447" s="2" t="n">
        <x:v>0</x:v>
      </x:c>
      <x:c r="G4447" s="12" t="n">
        <x:v>1030222.7621</x:v>
      </x:c>
      <x:c r="H4447" s="12" t="n">
        <x:v>176798.15987553002</x:v>
      </x:c>
      <x:c r="I4447" s="13" t="n">
        <x:v>0.16495</x:v>
      </x:c>
      <x:c r="J4447" s="2" t="n">
        <x:v>0</x:v>
      </x:c>
      <x:c r="K4447" s="2" t="n">
        <x:v>2</x:v>
      </x:c>
      <x:c r="L4447" s="12" t="n">
        <x:v>1155.1692</x:v>
      </x:c>
      <x:c r="M4447" s="13" t="n">
        <x:v>0.7008542875991266</x:v>
      </x:c>
      <x:c r="N4447" s="13" t="n">
        <x:f>H4447/G4447</x:f>
        <x:v>0.1716115838045994</x:v>
      </x:c>
      <x:c r="O4447" s="13" t="n">
        <x:f>F4447/E4447</x:f>
        <x:v>0</x:v>
      </x:c>
      <x:c r="P4447" s="2" t="str">
        <x:f>IF(AND(E4447&gt;='Итоги'!$F$5,N4447&lt;='Итоги'!$B$5,O4447&gt;='Итоги'!$D$5),"Да","Нет")</x:f>
        <x:v>Нет</x:v>
      </x:c>
    </x:row>
    <x:row r="4448" ht="60" customHeight="1">
      <x:c r="A4448" s="14" t="str">
        <x:v>Товары для красоты и здоровья</x:v>
      </x:c>
      <x:c r="B4448" s="14" t="str">
        <x:v>Косметика для ухода за кожей</x:v>
      </x:c>
      <x:c r="C4448" s="14" t="str">
        <x:v>Лицо</x:v>
      </x:c>
      <x:c r="D4448" s="14" t="str">
        <x:v>Патчи для лица</x:v>
      </x:c>
      <x:c r="E4448" s="2" t="n">
        <x:v>1</x:v>
      </x:c>
      <x:c r="F4448" s="2" t="n">
        <x:v>0</x:v>
      </x:c>
      <x:c r="G4448" s="12" t="n">
        <x:v>95141.7292</x:v>
      </x:c>
      <x:c r="H4448" s="12" t="n">
        <x:v>16335.83490364</x:v>
      </x:c>
      <x:c r="I4448" s="13" t="n">
        <x:v>0.1717</x:v>
      </x:c>
      <x:c r="J4448" s="2" t="n">
        <x:v>0</x:v>
      </x:c>
      <x:c r="K4448" s="2" t="n">
        <x:v>1</x:v>
      </x:c>
      <x:c r="L4448" s="12" t="n">
        <x:v>1045.5135</x:v>
      </x:c>
      <x:c r="M4448" s="13" t="n">
        <x:v>1</x:v>
      </x:c>
      <x:c r="N4448" s="13" t="n">
        <x:f>H4448/G4448</x:f>
        <x:v>0.1717</x:v>
      </x:c>
      <x:c r="O4448" s="13" t="n">
        <x:f>F4448/E4448</x:f>
        <x:v>0</x:v>
      </x:c>
      <x:c r="P4448" s="2" t="str">
        <x:f>IF(AND(E4448&gt;='Итоги'!$F$5,N4448&lt;='Итоги'!$B$5,O4448&gt;='Итоги'!$D$5),"Да","Нет")</x:f>
        <x:v>Нет</x:v>
      </x:c>
    </x:row>
    <x:row r="4449" ht="60" customHeight="1">
      <x:c r="A4449" s="14" t="str">
        <x:v>Аксессуары</x:v>
      </x:c>
      <x:c r="B4449" s="14" t="str">
        <x:v>Аксессуары</x:v>
      </x:c>
      <x:c r="C4449" s="14" t="str">
        <x:v>Мелкие аксессуары</x:v>
      </x:c>
      <x:c r="D4449" s="14" t="str">
        <x:v>Плечевой ремень для сумки</x:v>
      </x:c>
      <x:c r="E4449" s="2" t="n">
        <x:v>1</x:v>
      </x:c>
      <x:c r="F4449" s="2" t="n">
        <x:v>0</x:v>
      </x:c>
      <x:c r="G4449" s="12" t="n">
        <x:v>87585.5</x:v>
      </x:c>
      <x:c r="H4449" s="12" t="n">
        <x:v>15047.1889</x:v>
      </x:c>
      <x:c r="I4449" s="13" t="n">
        <x:v>0.1718</x:v>
      </x:c>
      <x:c r="J4449" s="2" t="n">
        <x:v>0</x:v>
      </x:c>
      <x:c r="K4449" s="2" t="n">
        <x:v>1</x:v>
      </x:c>
      <x:c r="L4449" s="12" t="n">
        <x:v>1347.4692</x:v>
      </x:c>
      <x:c r="M4449" s="13" t="n">
        <x:v>1</x:v>
      </x:c>
      <x:c r="N4449" s="13" t="n">
        <x:f>H4449/G4449</x:f>
        <x:v>0.17179999999999998</x:v>
      </x:c>
      <x:c r="O4449" s="13" t="n">
        <x:f>F4449/E4449</x:f>
        <x:v>0</x:v>
      </x:c>
      <x:c r="P4449" s="2" t="str">
        <x:f>IF(AND(E4449&gt;='Итоги'!$F$5,N4449&lt;='Итоги'!$B$5,O4449&gt;='Итоги'!$D$5),"Да","Нет")</x:f>
        <x:v>Нет</x:v>
      </x:c>
    </x:row>
    <x:row r="4450" ht="60" customHeight="1">
      <x:c r="A4450" s="14" t="str">
        <x:v>Товары для красоты и здоровья</x:v>
      </x:c>
      <x:c r="B4450" s="14" t="str">
        <x:v>Косметика для ухода за кожей</x:v>
      </x:c>
      <x:c r="C4450" s="14" t="str">
        <x:v>Тело</x:v>
      </x:c>
      <x:c r="D4450" s="14" t="str">
        <x:v>Пена для ванны</x:v>
      </x:c>
      <x:c r="E4450" s="2" t="n">
        <x:v>1</x:v>
      </x:c>
      <x:c r="F4450" s="2" t="n">
        <x:v>0</x:v>
      </x:c>
      <x:c r="G4450" s="12" t="n">
        <x:v>135322.06</x:v>
      </x:c>
      <x:c r="H4450" s="12" t="n">
        <x:v>23329.523144</x:v>
      </x:c>
      <x:c r="I4450" s="13" t="n">
        <x:v>0.1724</x:v>
      </x:c>
      <x:c r="J4450" s="2" t="n">
        <x:v>0</x:v>
      </x:c>
      <x:c r="K4450" s="2" t="n">
        <x:v>1</x:v>
      </x:c>
      <x:c r="L4450" s="12" t="n">
        <x:v>840.5097</x:v>
      </x:c>
      <x:c r="M4450" s="13" t="n">
        <x:v>1</x:v>
      </x:c>
      <x:c r="N4450" s="13" t="n">
        <x:f>H4450/G4450</x:f>
        <x:v>0.1724</x:v>
      </x:c>
      <x:c r="O4450" s="13" t="n">
        <x:f>F4450/E4450</x:f>
        <x:v>0</x:v>
      </x:c>
      <x:c r="P4450" s="2" t="str">
        <x:f>IF(AND(E4450&gt;='Итоги'!$F$5,N4450&lt;='Итоги'!$B$5,O4450&gt;='Итоги'!$D$5),"Да","Нет")</x:f>
        <x:v>Нет</x:v>
      </x:c>
    </x:row>
    <x:row r="4451" ht="60" customHeight="1">
      <x:c r="A4451" s="14" t="str">
        <x:v>Школьные принадлежности и канцелярия</x:v>
      </x:c>
      <x:c r="B4451" s="14" t="str">
        <x:v>Товары для школы, канцелярия, оборудование</x:v>
      </x:c>
      <x:c r="C4451" s="14" t="str">
        <x:v>Офисные принадлежности</x:v>
      </x:c>
      <x:c r="D4451" s="14" t="str">
        <x:v>Клей канцелярский</x:v>
      </x:c>
      <x:c r="E4451" s="2" t="n">
        <x:v>1</x:v>
      </x:c>
      <x:c r="F4451" s="2" t="n">
        <x:v>0</x:v>
      </x:c>
      <x:c r="G4451" s="12" t="n">
        <x:v>153874.5275</x:v>
      </x:c>
      <x:c r="H4451" s="12" t="n">
        <x:v>26527.968541</x:v>
      </x:c>
      <x:c r="I4451" s="13" t="n">
        <x:v>0.1724</x:v>
      </x:c>
      <x:c r="J4451" s="2" t="n">
        <x:v>0</x:v>
      </x:c>
      <x:c r="K4451" s="2" t="n">
        <x:v>1</x:v>
      </x:c>
      <x:c r="L4451" s="12" t="n">
        <x:v>111.8274</x:v>
      </x:c>
      <x:c r="M4451" s="13" t="n">
        <x:v>1</x:v>
      </x:c>
      <x:c r="N4451" s="13" t="n">
        <x:f>H4451/G4451</x:f>
        <x:v>0.1724</x:v>
      </x:c>
      <x:c r="O4451" s="13" t="n">
        <x:f>F4451/E4451</x:f>
        <x:v>0</x:v>
      </x:c>
      <x:c r="P4451" s="2" t="str">
        <x:f>IF(AND(E4451&gt;='Итоги'!$F$5,N4451&lt;='Итоги'!$B$5,O4451&gt;='Итоги'!$D$5),"Да","Нет")</x:f>
        <x:v>Нет</x:v>
      </x:c>
    </x:row>
    <x:row r="4452" ht="60" customHeight="1">
      <x:c r="A4452" s="14" t="str">
        <x:v>Товары для красоты и здоровья</x:v>
      </x:c>
      <x:c r="B4452" s="14" t="str">
        <x:v>Декоративная косметика</x:v>
      </x:c>
      <x:c r="C4452" s="14" t="str">
        <x:v>Глаза, ресницы, брови</x:v>
      </x:c>
      <x:c r="D4452" s="14" t="str">
        <x:v>Подводка для глаз</x:v>
      </x:c>
      <x:c r="E4452" s="2" t="n">
        <x:v>1</x:v>
      </x:c>
      <x:c r="F4452" s="2" t="n">
        <x:v>0</x:v>
      </x:c>
      <x:c r="G4452" s="12" t="n">
        <x:v>136799.68</x:v>
      </x:c>
      <x:c r="H4452" s="12" t="n">
        <x:v>23597.9448</x:v>
      </x:c>
      <x:c r="I4452" s="13" t="n">
        <x:v>0.1725</x:v>
      </x:c>
      <x:c r="J4452" s="2" t="n">
        <x:v>0</x:v>
      </x:c>
      <x:c r="K4452" s="2" t="n">
        <x:v>1</x:v>
      </x:c>
      <x:c r="L4452" s="12" t="n">
        <x:v>1926.7561</x:v>
      </x:c>
      <x:c r="M4452" s="13" t="n">
        <x:v>1</x:v>
      </x:c>
      <x:c r="N4452" s="13" t="n">
        <x:f>H4452/G4452</x:f>
        <x:v>0.17250000000000001</x:v>
      </x:c>
      <x:c r="O4452" s="13" t="n">
        <x:f>F4452/E4452</x:f>
        <x:v>0</x:v>
      </x:c>
      <x:c r="P4452" s="2" t="str">
        <x:f>IF(AND(E4452&gt;='Итоги'!$F$5,N4452&lt;='Итоги'!$B$5,O4452&gt;='Итоги'!$D$5),"Да","Нет")</x:f>
        <x:v>Нет</x:v>
      </x:c>
    </x:row>
    <x:row r="4453" ht="60" customHeight="1">
      <x:c r="A4453" s="14" t="str">
        <x:v>Товары для красоты и здоровья</x:v>
      </x:c>
      <x:c r="B4453" s="14" t="str">
        <x:v>Декоративная косметика</x:v>
      </x:c>
      <x:c r="C4453" s="14" t="str">
        <x:v>Глаза, ресницы, брови</x:v>
      </x:c>
      <x:c r="D4453" s="14" t="str">
        <x:v>Тени для век</x:v>
      </x:c>
      <x:c r="E4453" s="2" t="n">
        <x:v>17</x:v>
      </x:c>
      <x:c r="F4453" s="2" t="n">
        <x:v>0</x:v>
      </x:c>
      <x:c r="G4453" s="12" t="n">
        <x:v>2092864.9082</x:v>
      </x:c>
      <x:c r="H4453" s="12" t="n">
        <x:v>361121.71115262</x:v>
      </x:c>
      <x:c r="I4453" s="13" t="n">
        <x:v>0.175735294117647</x:v>
      </x:c>
      <x:c r="J4453" s="2" t="n">
        <x:v>1</x:v>
      </x:c>
      <x:c r="K4453" s="2" t="n">
        <x:v>5</x:v>
      </x:c>
      <x:c r="L4453" s="12" t="n">
        <x:v>1184.7689</x:v>
      </x:c>
      <x:c r="M4453" s="13" t="n">
        <x:v>0.7261506522688419</x:v>
      </x:c>
      <x:c r="N4453" s="13" t="n">
        <x:f>H4453/G4453</x:f>
        <x:v>0.1725489828501201</x:v>
      </x:c>
      <x:c r="O4453" s="13" t="n">
        <x:f>F4453/E4453</x:f>
        <x:v>0</x:v>
      </x:c>
      <x:c r="P4453" s="2" t="str">
        <x:f>IF(AND(E4453&gt;='Итоги'!$F$5,N4453&lt;='Итоги'!$B$5,O4453&gt;='Итоги'!$D$5),"Да","Нет")</x:f>
        <x:v>Нет</x:v>
      </x:c>
    </x:row>
    <x:row r="4454" ht="60" customHeight="1">
      <x:c r="A4454" s="14" t="str">
        <x:v>Спорт и отдых</x:v>
      </x:c>
      <x:c r="B4454" s="14" t="str">
        <x:v>Товары для охоты</x:v>
      </x:c>
      <x:c r="C4454" s="14" t="str">
        <x:v>Уход за охотничьим оружием</x:v>
      </x:c>
      <x:c r="D4454" s="14" t="str">
        <x:v>Растворитель порохового нагара</x:v>
      </x:c>
      <x:c r="E4454" s="2" t="n">
        <x:v>1</x:v>
      </x:c>
      <x:c r="F4454" s="2" t="n">
        <x:v>0</x:v>
      </x:c>
      <x:c r="G4454" s="12" t="n">
        <x:v>152799.3899</x:v>
      </x:c>
      <x:c r="H4454" s="12" t="n">
        <x:v>26373.174696740003</x:v>
      </x:c>
      <x:c r="I4454" s="13" t="n">
        <x:v>0.1726</x:v>
      </x:c>
      <x:c r="J4454" s="2" t="n">
        <x:v>0</x:v>
      </x:c>
      <x:c r="K4454" s="2" t="n">
        <x:v>1</x:v>
      </x:c>
      <x:c r="L4454" s="12" t="n">
        <x:v>1376.5711</x:v>
      </x:c>
      <x:c r="M4454" s="13" t="n">
        <x:v>1</x:v>
      </x:c>
      <x:c r="N4454" s="13" t="n">
        <x:f>H4454/G4454</x:f>
        <x:v>0.1726</x:v>
      </x:c>
      <x:c r="O4454" s="13" t="n">
        <x:f>F4454/E4454</x:f>
        <x:v>0</x:v>
      </x:c>
      <x:c r="P4454" s="2" t="str">
        <x:f>IF(AND(E4454&gt;='Итоги'!$F$5,N4454&lt;='Итоги'!$B$5,O4454&gt;='Итоги'!$D$5),"Да","Нет")</x:f>
        <x:v>Нет</x:v>
      </x:c>
    </x:row>
    <x:row r="4455" ht="60" customHeight="1">
      <x:c r="A4455" s="14" t="str">
        <x:v>Спорт и отдых</x:v>
      </x:c>
      <x:c r="B4455" s="14" t="str">
        <x:v>Тренажеры и фитнес</x:v>
      </x:c>
      <x:c r="C4455" s="14" t="str">
        <x:v>Танцы</x:v>
      </x:c>
      <x:c r="D4455" s="14" t="str">
        <x:v>Юнитард женский</x:v>
      </x:c>
      <x:c r="E4455" s="2" t="n">
        <x:v>1</x:v>
      </x:c>
      <x:c r="F4455" s="2" t="n">
        <x:v>0</x:v>
      </x:c>
      <x:c r="G4455" s="12" t="n">
        <x:v>84574.74</x:v>
      </x:c>
      <x:c r="H4455" s="12" t="n">
        <x:v>14597.600124</x:v>
      </x:c>
      <x:c r="I4455" s="13" t="n">
        <x:v>0.1726</x:v>
      </x:c>
      <x:c r="J4455" s="2" t="n">
        <x:v>0</x:v>
      </x:c>
      <x:c r="K4455" s="2" t="n">
        <x:v>1</x:v>
      </x:c>
      <x:c r="L4455" s="12" t="n">
        <x:v>2168.5831</x:v>
      </x:c>
      <x:c r="M4455" s="13" t="n">
        <x:v>1</x:v>
      </x:c>
      <x:c r="N4455" s="13" t="n">
        <x:f>H4455/G4455</x:f>
        <x:v>0.1726</x:v>
      </x:c>
      <x:c r="O4455" s="13" t="n">
        <x:f>F4455/E4455</x:f>
        <x:v>0</x:v>
      </x:c>
      <x:c r="P4455" s="2" t="str">
        <x:f>IF(AND(E4455&gt;='Итоги'!$F$5,N4455&lt;='Итоги'!$B$5,O4455&gt;='Итоги'!$D$5),"Да","Нет")</x:f>
        <x:v>Нет</x:v>
      </x:c>
    </x:row>
    <x:row r="4456" ht="60" customHeight="1">
      <x:c r="A4456" s="14" t="str">
        <x:v>Товары для дома</x:v>
      </x:c>
      <x:c r="B4456" s="14" t="str">
        <x:v>Кухня</x:v>
      </x:c>
      <x:c r="C4456" s="14" t="str">
        <x:v>Кухонная утварь и принадлежности</x:v>
      </x:c>
      <x:c r="D4456" s="14" t="str">
        <x:v>Дозатор средства для мытья посуды</x:v>
      </x:c>
      <x:c r="E4456" s="2" t="n">
        <x:v>13</x:v>
      </x:c>
      <x:c r="F4456" s="2" t="n">
        <x:v>0</x:v>
      </x:c>
      <x:c r="G4456" s="12" t="n">
        <x:v>2410489.0541</x:v>
      </x:c>
      <x:c r="H4456" s="12" t="n">
        <x:v>416537.31560155</x:v>
      </x:c>
      <x:c r="I4456" s="13" t="n">
        <x:v>0.181376923076923</x:v>
      </x:c>
      <x:c r="J4456" s="2" t="n">
        <x:v>0</x:v>
      </x:c>
      <x:c r="K4456" s="2" t="n">
        <x:v>8</x:v>
      </x:c>
      <x:c r="L4456" s="12" t="n">
        <x:v>850.7497</x:v>
      </x:c>
      <x:c r="M4456" s="13" t="n">
        <x:v>0.5308802250827032</x:v>
      </x:c>
      <x:c r="N4456" s="13" t="n">
        <x:f>H4456/G4456</x:f>
        <x:v>0.17280199422314813</x:v>
      </x:c>
      <x:c r="O4456" s="13" t="n">
        <x:f>F4456/E4456</x:f>
        <x:v>0</x:v>
      </x:c>
      <x:c r="P4456" s="2" t="str">
        <x:f>IF(AND(E4456&gt;='Итоги'!$F$5,N4456&lt;='Итоги'!$B$5,O4456&gt;='Итоги'!$D$5),"Да","Нет")</x:f>
        <x:v>Нет</x:v>
      </x:c>
    </x:row>
    <x:row r="4457" ht="60" customHeight="1">
      <x:c r="A4457" s="14" t="str">
        <x:v>Аксессуары</x:v>
      </x:c>
      <x:c r="B4457" s="14" t="str">
        <x:v>Бижутерия и часы бижутерные</x:v>
      </x:c>
      <x:c r="C4457" s="14" t="str">
        <x:v>Бижутерия</x:v>
      </x:c>
      <x:c r="D4457" s="14" t="str">
        <x:v>Бижу подвеска/кулон</x:v>
      </x:c>
      <x:c r="E4457" s="2" t="n">
        <x:v>4</x:v>
      </x:c>
      <x:c r="F4457" s="2" t="n">
        <x:v>0</x:v>
      </x:c>
      <x:c r="G4457" s="12" t="n">
        <x:v>534078.7599</x:v>
      </x:c>
      <x:c r="H4457" s="12" t="n">
        <x:v>92470.58099084</x:v>
      </x:c>
      <x:c r="I4457" s="13" t="n">
        <x:v>0.175175</x:v>
      </x:c>
      <x:c r="J4457" s="2" t="n">
        <x:v>0</x:v>
      </x:c>
      <x:c r="K4457" s="2" t="n">
        <x:v>2</x:v>
      </x:c>
      <x:c r="L4457" s="12" t="n">
        <x:v>945.68075</x:v>
      </x:c>
      <x:c r="M4457" s="13" t="n">
        <x:v>0.8065060665970889</x:v>
      </x:c>
      <x:c r="N4457" s="13" t="n">
        <x:f>H4457/G4457</x:f>
        <x:v>0.17314034545795087</x:v>
      </x:c>
      <x:c r="O4457" s="13" t="n">
        <x:f>F4457/E4457</x:f>
        <x:v>0</x:v>
      </x:c>
      <x:c r="P4457" s="2" t="str">
        <x:f>IF(AND(E4457&gt;='Итоги'!$F$5,N4457&lt;='Итоги'!$B$5,O4457&gt;='Итоги'!$D$5),"Да","Нет")</x:f>
        <x:v>Нет</x:v>
      </x:c>
    </x:row>
    <x:row r="4458" ht="60" customHeight="1">
      <x:c r="A4458" s="14" t="str">
        <x:v>Товары для дома</x:v>
      </x:c>
      <x:c r="B4458" s="14" t="str">
        <x:v>Домашний текстиль</x:v>
      </x:c>
      <x:c r="C4458" s="14" t="str">
        <x:v>Шторы</x:v>
      </x:c>
      <x:c r="D4458" s="14" t="str">
        <x:v>Римские шторы</x:v>
      </x:c>
      <x:c r="E4458" s="2" t="n">
        <x:v>1</x:v>
      </x:c>
      <x:c r="F4458" s="2" t="n">
        <x:v>0</x:v>
      </x:c>
      <x:c r="G4458" s="12" t="n">
        <x:v>22256</x:v>
      </x:c>
      <x:c r="H4458" s="12" t="n">
        <x:v>3854.7392</x:v>
      </x:c>
      <x:c r="I4458" s="13" t="n">
        <x:v>0.1732</x:v>
      </x:c>
      <x:c r="J4458" s="2" t="n">
        <x:v>0</x:v>
      </x:c>
      <x:c r="K4458" s="2" t="n">
        <x:v>1</x:v>
      </x:c>
      <x:c r="L4458" s="12" t="n">
        <x:v>2782</x:v>
      </x:c>
      <x:c r="M4458" s="13" t="n">
        <x:v>1</x:v>
      </x:c>
      <x:c r="N4458" s="13" t="n">
        <x:f>H4458/G4458</x:f>
        <x:v>0.1732</x:v>
      </x:c>
      <x:c r="O4458" s="13" t="n">
        <x:f>F4458/E4458</x:f>
        <x:v>0</x:v>
      </x:c>
      <x:c r="P4458" s="2" t="str">
        <x:f>IF(AND(E4458&gt;='Итоги'!$F$5,N4458&lt;='Итоги'!$B$5,O4458&gt;='Итоги'!$D$5),"Да","Нет")</x:f>
        <x:v>Нет</x:v>
      </x:c>
    </x:row>
    <x:row r="4459" ht="60" customHeight="1">
      <x:c r="A4459" s="14" t="str">
        <x:v>Хобби и творчество</x:v>
      </x:c>
      <x:c r="B4459" s="14" t="str">
        <x:v>Взрослое творчество и хобби</x:v>
      </x:c>
      <x:c r="C4459" s="14" t="str">
        <x:v>Гадание и аксессуары</x:v>
      </x:c>
      <x:c r="D4459" s="14" t="str">
        <x:v>Магические амулет, талисман, оберег, камни</x:v>
      </x:c>
      <x:c r="E4459" s="2" t="n">
        <x:v>1</x:v>
      </x:c>
      <x:c r="F4459" s="2" t="n">
        <x:v>0</x:v>
      </x:c>
      <x:c r="G4459" s="12" t="n">
        <x:v>92058</x:v>
      </x:c>
      <x:c r="H4459" s="12" t="n">
        <x:v>15981.2688</x:v>
      </x:c>
      <x:c r="I4459" s="13" t="n">
        <x:v>0.1736</x:v>
      </x:c>
      <x:c r="J4459" s="2" t="n">
        <x:v>0</x:v>
      </x:c>
      <x:c r="K4459" s="2" t="n">
        <x:v>1</x:v>
      </x:c>
      <x:c r="L4459" s="12" t="n">
        <x:v>800.5043</x:v>
      </x:c>
      <x:c r="M4459" s="13" t="n">
        <x:v>1</x:v>
      </x:c>
      <x:c r="N4459" s="13" t="n">
        <x:f>H4459/G4459</x:f>
        <x:v>0.1736</x:v>
      </x:c>
      <x:c r="O4459" s="13" t="n">
        <x:f>F4459/E4459</x:f>
        <x:v>0</x:v>
      </x:c>
      <x:c r="P4459" s="2" t="str">
        <x:f>IF(AND(E4459&gt;='Итоги'!$F$5,N4459&lt;='Итоги'!$B$5,O4459&gt;='Итоги'!$D$5),"Да","Нет")</x:f>
        <x:v>Нет</x:v>
      </x:c>
    </x:row>
    <x:row r="4460" ht="60" customHeight="1">
      <x:c r="A4460" s="14" t="str">
        <x:v>Аксессуары</x:v>
      </x:c>
      <x:c r="B4460" s="14" t="str">
        <x:v>Аксессуары</x:v>
      </x:c>
      <x:c r="C4460" s="14" t="str">
        <x:v>Аксессуары и уход для обуви</x:v>
      </x:c>
      <x:c r="D4460" s="14" t="str">
        <x:v>Ложка, рожок для обуви</x:v>
      </x:c>
      <x:c r="E4460" s="2" t="n">
        <x:v>10</x:v>
      </x:c>
      <x:c r="F4460" s="2" t="n">
        <x:v>0</x:v>
      </x:c>
      <x:c r="G4460" s="12" t="n">
        <x:v>993235.8097</x:v>
      </x:c>
      <x:c r="H4460" s="12" t="n">
        <x:v>172558.1582</x:v>
      </x:c>
      <x:c r="I4460" s="13" t="n">
        <x:v>0.16957</x:v>
      </x:c>
      <x:c r="J4460" s="2" t="n">
        <x:v>1</x:v>
      </x:c>
      <x:c r="K4460" s="2" t="n">
        <x:v>7</x:v>
      </x:c>
      <x:c r="L4460" s="12" t="n">
        <x:v>1169.8128499999998</x:v>
      </x:c>
      <x:c r="M4460" s="13" t="n">
        <x:v>0.2395150252102313</x:v>
      </x:c>
      <x:c r="N4460" s="13" t="n">
        <x:f>H4460/G4460</x:f>
        <x:v>0.17373332346134399</x:v>
      </x:c>
      <x:c r="O4460" s="13" t="n">
        <x:f>F4460/E4460</x:f>
        <x:v>0</x:v>
      </x:c>
      <x:c r="P4460" s="2" t="str">
        <x:f>IF(AND(E4460&gt;='Итоги'!$F$5,N4460&lt;='Итоги'!$B$5,O4460&gt;='Итоги'!$D$5),"Да","Нет")</x:f>
        <x:v>Нет</x:v>
      </x:c>
    </x:row>
    <x:row r="4461" ht="60" customHeight="1">
      <x:c r="A4461" s="14" t="str">
        <x:v>Аксессуары</x:v>
      </x:c>
      <x:c r="B4461" s="14" t="str">
        <x:v>Бижутерия и часы бижутерные</x:v>
      </x:c>
      <x:c r="C4461" s="14" t="str">
        <x:v>Бижутерия</x:v>
      </x:c>
      <x:c r="D4461" s="14" t="str">
        <x:v>Браслет авторский</x:v>
      </x:c>
      <x:c r="E4461" s="2" t="n">
        <x:v>8</x:v>
      </x:c>
      <x:c r="F4461" s="2" t="n">
        <x:v>0</x:v>
      </x:c>
      <x:c r="G4461" s="12" t="n">
        <x:v>288467.7832</x:v>
      </x:c>
      <x:c r="H4461" s="12" t="n">
        <x:v>50187.572003</x:v>
      </x:c>
      <x:c r="I4461" s="13" t="n">
        <x:v>0.0862875</x:v>
      </x:c>
      <x:c r="J4461" s="2" t="n">
        <x:v>5</x:v>
      </x:c>
      <x:c r="K4461" s="2" t="n">
        <x:v>2</x:v>
      </x:c>
      <x:c r="L4461" s="12" t="n">
        <x:v>1506.79685</x:v>
      </x:c>
      <x:c r="M4461" s="13" t="n">
        <x:v>0.7580688476688097</x:v>
      </x:c>
      <x:c r="N4461" s="13" t="n">
        <x:f>H4461/G4461</x:f>
        <x:v>0.17397981655443318</x:v>
      </x:c>
      <x:c r="O4461" s="13" t="n">
        <x:f>F4461/E4461</x:f>
        <x:v>0</x:v>
      </x:c>
      <x:c r="P4461" s="2" t="str">
        <x:f>IF(AND(E4461&gt;='Итоги'!$F$5,N4461&lt;='Итоги'!$B$5,O4461&gt;='Итоги'!$D$5),"Да","Нет")</x:f>
        <x:v>Нет</x:v>
      </x:c>
    </x:row>
    <x:row r="4462" ht="60" customHeight="1">
      <x:c r="A4462" s="14" t="str">
        <x:v>Товары для детей и спорта</x:v>
      </x:c>
      <x:c r="B4462" s="14" t="str">
        <x:v>КГТ и аксессуары для детей</x:v>
      </x:c>
      <x:c r="C4462" s="14" t="str">
        <x:v>Детская мебель и аксессуары в дом</x:v>
      </x:c>
      <x:c r="D4462" s="14" t="str">
        <x:v>Растущий стульчик для детей до 3-х лет</x:v>
      </x:c>
      <x:c r="E4462" s="2" t="n">
        <x:v>9</x:v>
      </x:c>
      <x:c r="F4462" s="2" t="n">
        <x:v>0</x:v>
      </x:c>
      <x:c r="G4462" s="12" t="n">
        <x:v>967184.2893</x:v>
      </x:c>
      <x:c r="H4462" s="12" t="n">
        <x:v>168722.14748267998</x:v>
      </x:c>
      <x:c r="I4462" s="13" t="n">
        <x:v>0.1678444444444444</x:v>
      </x:c>
      <x:c r="J4462" s="2" t="n">
        <x:v>2</x:v>
      </x:c>
      <x:c r="K4462" s="2" t="n">
        <x:v>4</x:v>
      </x:c>
      <x:c r="L4462" s="12" t="n">
        <x:v>4098</x:v>
      </x:c>
      <x:c r="M4462" s="13" t="n">
        <x:v>0.5502824047991905</x:v>
      </x:c>
      <x:c r="N4462" s="13" t="n">
        <x:f>H4462/G4462</x:f>
        <x:v>0.17444674127698323</x:v>
      </x:c>
      <x:c r="O4462" s="13" t="n">
        <x:f>F4462/E4462</x:f>
        <x:v>0</x:v>
      </x:c>
      <x:c r="P4462" s="2" t="str">
        <x:f>IF(AND(E4462&gt;='Итоги'!$F$5,N4462&lt;='Итоги'!$B$5,O4462&gt;='Итоги'!$D$5),"Да","Нет")</x:f>
        <x:v>Нет</x:v>
      </x:c>
    </x:row>
    <x:row r="4463" ht="60" customHeight="1">
      <x:c r="A4463" s="14" t="str">
        <x:v>Товары для дома</x:v>
      </x:c>
      <x:c r="B4463" s="14" t="str">
        <x:v>Кухня</x:v>
      </x:c>
      <x:c r="C4463" s="14" t="str">
        <x:v>Кухонная утварь и принадлежности</x:v>
      </x:c>
      <x:c r="D4463" s="14" t="str">
        <x:v>Форма для вырезания теста, печать, трафарет для выпечки</x:v>
      </x:c>
      <x:c r="E4463" s="2" t="n">
        <x:v>1</x:v>
      </x:c>
      <x:c r="F4463" s="2" t="n">
        <x:v>0</x:v>
      </x:c>
      <x:c r="G4463" s="12" t="n">
        <x:v>24068</x:v>
      </x:c>
      <x:c r="H4463" s="12" t="n">
        <x:v>4202.2728</x:v>
      </x:c>
      <x:c r="I4463" s="13" t="n">
        <x:v>0.1746</x:v>
      </x:c>
      <x:c r="J4463" s="2" t="n">
        <x:v>0</x:v>
      </x:c>
      <x:c r="K4463" s="2" t="n">
        <x:v>1</x:v>
      </x:c>
      <x:c r="L4463" s="12" t="n">
        <x:v>1146.0952</x:v>
      </x:c>
      <x:c r="M4463" s="13" t="n">
        <x:v>1</x:v>
      </x:c>
      <x:c r="N4463" s="13" t="n">
        <x:f>H4463/G4463</x:f>
        <x:v>0.17459999999999998</x:v>
      </x:c>
      <x:c r="O4463" s="13" t="n">
        <x:f>F4463/E4463</x:f>
        <x:v>0</x:v>
      </x:c>
      <x:c r="P4463" s="2" t="str">
        <x:f>IF(AND(E4463&gt;='Итоги'!$F$5,N4463&lt;='Итоги'!$B$5,O4463&gt;='Итоги'!$D$5),"Да","Нет")</x:f>
        <x:v>Нет</x:v>
      </x:c>
    </x:row>
    <x:row r="4464" ht="60" customHeight="1">
      <x:c r="A4464" s="14" t="str">
        <x:v>Товары для животных</x:v>
      </x:c>
      <x:c r="B4464" s="14" t="str">
        <x:v>Гигиена и уход животных</x:v>
      </x:c>
      <x:c r="C4464" s="14" t="str">
        <x:v>Уход за животными</x:v>
      </x:c>
      <x:c r="D4464" s="14" t="str">
        <x:v>Лосьон для животных</x:v>
      </x:c>
      <x:c r="E4464" s="2" t="n">
        <x:v>2</x:v>
      </x:c>
      <x:c r="F4464" s="2" t="n">
        <x:v>0</x:v>
      </x:c>
      <x:c r="G4464" s="12" t="n">
        <x:v>162674</x:v>
      </x:c>
      <x:c r="H4464" s="12" t="n">
        <x:v>28427.6966</x:v>
      </x:c>
      <x:c r="I4464" s="13" t="n">
        <x:v>0.1651</x:v>
      </x:c>
      <x:c r="J4464" s="2" t="n">
        <x:v>0</x:v>
      </x:c>
      <x:c r="K4464" s="2" t="n">
        <x:v>2</x:v>
      </x:c>
      <x:c r="L4464" s="12" t="n">
        <x:v>943.6498</x:v>
      </x:c>
      <x:c r="M4464" s="13" t="n">
        <x:v>0.6165767117056198</x:v>
      </x:c>
      <x:c r="N4464" s="13" t="n">
        <x:f>H4464/G4464</x:f>
        <x:v>0.17475255172922532</x:v>
      </x:c>
      <x:c r="O4464" s="13" t="n">
        <x:f>F4464/E4464</x:f>
        <x:v>0</x:v>
      </x:c>
      <x:c r="P4464" s="2" t="str">
        <x:f>IF(AND(E4464&gt;='Итоги'!$F$5,N4464&lt;='Итоги'!$B$5,O4464&gt;='Итоги'!$D$5),"Да","Нет")</x:f>
        <x:v>Нет</x:v>
      </x:c>
    </x:row>
    <x:row r="4465" ht="60" customHeight="1">
      <x:c r="A4465" s="14" t="str">
        <x:v>Аксессуары для электроники</x:v>
      </x:c>
      <x:c r="B4465" s="14" t="str">
        <x:v>Аксессуары для мобильных устройств Access</x:v>
      </x:c>
      <x:c r="C4465" s="14" t="str">
        <x:v>Аксессуары для смартфонов Access</x:v>
      </x:c>
      <x:c r="D4465" s="14" t="str">
        <x:v>Защитная пленка для смартфона</x:v>
      </x:c>
      <x:c r="E4465" s="2" t="n">
        <x:v>3</x:v>
      </x:c>
      <x:c r="F4465" s="2" t="n">
        <x:v>0</x:v>
      </x:c>
      <x:c r="G4465" s="12" t="n">
        <x:v>369747.068</x:v>
      </x:c>
      <x:c r="H4465" s="12" t="n">
        <x:v>64806.8671548</x:v>
      </x:c>
      <x:c r="I4465" s="13" t="n">
        <x:v>0.1772666666666666</x:v>
      </x:c>
      <x:c r="J4465" s="2" t="n">
        <x:v>0</x:v>
      </x:c>
      <x:c r="K4465" s="2" t="n">
        <x:v>1</x:v>
      </x:c>
      <x:c r="L4465" s="12" t="n">
        <x:v>376.7534</x:v>
      </x:c>
      <x:c r="M4465" s="13" t="n">
        <x:v>1</x:v>
      </x:c>
      <x:c r="N4465" s="13" t="n">
        <x:f>H4465/G4465</x:f>
        <x:v>0.17527351198576643</x:v>
      </x:c>
      <x:c r="O4465" s="13" t="n">
        <x:f>F4465/E4465</x:f>
        <x:v>0</x:v>
      </x:c>
      <x:c r="P4465" s="2" t="str">
        <x:f>IF(AND(E4465&gt;='Итоги'!$F$5,N4465&lt;='Итоги'!$B$5,O4465&gt;='Итоги'!$D$5),"Да","Нет")</x:f>
        <x:v>Нет</x:v>
      </x:c>
    </x:row>
    <x:row r="4466" ht="60" customHeight="1">
      <x:c r="A4466" s="14" t="str">
        <x:v>Аксессуары</x:v>
      </x:c>
      <x:c r="B4466" s="14" t="str">
        <x:v>Аксессуары</x:v>
      </x:c>
      <x:c r="C4466" s="14" t="str">
        <x:v>Аксессуары и уход для обуви</x:v>
      </x:c>
      <x:c r="D4466" s="14" t="str">
        <x:v>Сушилки для обуви</x:v>
      </x:c>
      <x:c r="E4466" s="2" t="n">
        <x:v>17</x:v>
      </x:c>
      <x:c r="F4466" s="2" t="n">
        <x:v>0</x:v>
      </x:c>
      <x:c r="G4466" s="12" t="n">
        <x:v>2717085.7209</x:v>
      </x:c>
      <x:c r="H4466" s="12" t="n">
        <x:v>476585.89428544</x:v>
      </x:c>
      <x:c r="I4466" s="13" t="n">
        <x:v>0.1553588235294117</x:v>
      </x:c>
      <x:c r="J4466" s="2" t="n">
        <x:v>1</x:v>
      </x:c>
      <x:c r="K4466" s="2" t="n">
        <x:v>5</x:v>
      </x:c>
      <x:c r="L4466" s="12" t="n">
        <x:v>1265.1257</x:v>
      </x:c>
      <x:c r="M4466" s="13" t="n">
        <x:v>0.7757846435561826</x:v>
      </x:c>
      <x:c r="N4466" s="13" t="n">
        <x:f>H4466/G4466</x:f>
        <x:v>0.17540333402789257</x:v>
      </x:c>
      <x:c r="O4466" s="13" t="n">
        <x:f>F4466/E4466</x:f>
        <x:v>0</x:v>
      </x:c>
      <x:c r="P4466" s="2" t="str">
        <x:f>IF(AND(E4466&gt;='Итоги'!$F$5,N4466&lt;='Итоги'!$B$5,O4466&gt;='Итоги'!$D$5),"Да","Нет")</x:f>
        <x:v>Нет</x:v>
      </x:c>
    </x:row>
    <x:row r="4467" ht="60" customHeight="1">
      <x:c r="A4467" s="14" t="str">
        <x:v>Товары для дома</x:v>
      </x:c>
      <x:c r="B4467" s="14" t="str">
        <x:v>Кухня</x:v>
      </x:c>
      <x:c r="C4467" s="14" t="str">
        <x:v>Кухонная утварь и принадлежности</x:v>
      </x:c>
      <x:c r="D4467" s="14" t="str">
        <x:v>Рейлинги и аксессуары</x:v>
      </x:c>
      <x:c r="E4467" s="2" t="n">
        <x:v>2</x:v>
      </x:c>
      <x:c r="F4467" s="2" t="n">
        <x:v>0</x:v>
      </x:c>
      <x:c r="G4467" s="12" t="n">
        <x:v>172593.9063</x:v>
      </x:c>
      <x:c r="H4467" s="12" t="n">
        <x:v>30310.20122251</x:v>
      </x:c>
      <x:c r="I4467" s="13" t="n">
        <x:v>0.17285</x:v>
      </x:c>
      <x:c r="J4467" s="2" t="n">
        <x:v>0</x:v>
      </x:c>
      <x:c r="K4467" s="2" t="n">
        <x:v>2</x:v>
      </x:c>
      <x:c r="L4467" s="12" t="n">
        <x:v>902.5628</x:v>
      </x:c>
      <x:c r="M4467" s="13" t="n">
        <x:v>0.521225702161421</x:v>
      </x:c>
      <x:c r="N4467" s="13" t="n">
        <x:f>H4467/G4467</x:f>
        <x:v>0.17561570899163315</x:v>
      </x:c>
      <x:c r="O4467" s="13" t="n">
        <x:f>F4467/E4467</x:f>
        <x:v>0</x:v>
      </x:c>
      <x:c r="P4467" s="2" t="str">
        <x:f>IF(AND(E4467&gt;='Итоги'!$F$5,N4467&lt;='Итоги'!$B$5,O4467&gt;='Итоги'!$D$5),"Да","Нет")</x:f>
        <x:v>Нет</x:v>
      </x:c>
    </x:row>
    <x:row r="4468" ht="60" customHeight="1">
      <x:c r="A4468" s="14" t="str">
        <x:v>Спорт и отдых</x:v>
      </x:c>
      <x:c r="B4468" s="14" t="str">
        <x:v>Туризм</x:v>
      </x:c>
      <x:c r="C4468" s="14" t="str">
        <x:v>Фонарь, лампа туристические</x:v>
      </x:c>
      <x:c r="D4468" s="14" t="str">
        <x:v>Керосиновая лампа</x:v>
      </x:c>
      <x:c r="E4468" s="2" t="n">
        <x:v>1</x:v>
      </x:c>
      <x:c r="F4468" s="2" t="n">
        <x:v>0</x:v>
      </x:c>
      <x:c r="G4468" s="12" t="n">
        <x:v>133010</x:v>
      </x:c>
      <x:c r="H4468" s="12" t="n">
        <x:v>23383.158000000003</x:v>
      </x:c>
      <x:c r="I4468" s="13" t="n">
        <x:v>0.1758</x:v>
      </x:c>
      <x:c r="J4468" s="2" t="n">
        <x:v>0</x:v>
      </x:c>
      <x:c r="K4468" s="2" t="n">
        <x:v>1</x:v>
      </x:c>
      <x:c r="L4468" s="12" t="n">
        <x:v>1023.1538</x:v>
      </x:c>
      <x:c r="M4468" s="13" t="n">
        <x:v>1</x:v>
      </x:c>
      <x:c r="N4468" s="13" t="n">
        <x:f>H4468/G4468</x:f>
        <x:v>0.1758</x:v>
      </x:c>
      <x:c r="O4468" s="13" t="n">
        <x:f>F4468/E4468</x:f>
        <x:v>0</x:v>
      </x:c>
      <x:c r="P4468" s="2" t="str">
        <x:f>IF(AND(E4468&gt;='Итоги'!$F$5,N4468&lt;='Итоги'!$B$5,O4468&gt;='Итоги'!$D$5),"Да","Нет")</x:f>
        <x:v>Нет</x:v>
      </x:c>
    </x:row>
    <x:row r="4469" ht="60" customHeight="1">
      <x:c r="A4469" s="14" t="str">
        <x:v>Товары для детей и спорта</x:v>
      </x:c>
      <x:c r="B4469" s="14" t="str">
        <x:v>КГТ и аксессуары для детей</x:v>
      </x:c>
      <x:c r="C4469" s="14" t="str">
        <x:v>Коляска детская</x:v>
      </x:c>
      <x:c r="D4469" s="14" t="str">
        <x:v>Коляска-люлька</x:v>
      </x:c>
      <x:c r="E4469" s="2" t="n">
        <x:v>3</x:v>
      </x:c>
      <x:c r="F4469" s="2" t="n">
        <x:v>0</x:v>
      </x:c>
      <x:c r="G4469" s="12" t="n">
        <x:v>349590</x:v>
      </x:c>
      <x:c r="H4469" s="12" t="n">
        <x:v>61463.4642</x:v>
      </x:c>
      <x:c r="I4469" s="13" t="n">
        <x:v>0.1821666666666666</x:v>
      </x:c>
      <x:c r="J4469" s="2" t="n">
        <x:v>0</x:v>
      </x:c>
      <x:c r="K4469" s="2" t="n">
        <x:v>3</x:v>
      </x:c>
      <x:c r="L4469" s="12" t="n">
        <x:v>8141.5</x:v>
      </x:c>
      <x:c r="M4469" s="13" t="n">
        <x:v>0.688440744872565</x:v>
      </x:c>
      <x:c r="N4469" s="13" t="n">
        <x:f>H4469/G4469</x:f>
        <x:v>0.17581585342830172</x:v>
      </x:c>
      <x:c r="O4469" s="13" t="n">
        <x:f>F4469/E4469</x:f>
        <x:v>0</x:v>
      </x:c>
      <x:c r="P4469" s="2" t="str">
        <x:f>IF(AND(E4469&gt;='Итоги'!$F$5,N4469&lt;='Итоги'!$B$5,O4469&gt;='Итоги'!$D$5),"Да","Нет")</x:f>
        <x:v>Нет</x:v>
      </x:c>
    </x:row>
    <x:row r="4470" ht="60" customHeight="1">
      <x:c r="A4470" s="14" t="str">
        <x:v>Товары для красоты и здоровья</x:v>
      </x:c>
      <x:c r="B4470" s="14" t="str">
        <x:v>Парфюмерия, ароматерапия</x:v>
      </x:c>
      <x:c r="C4470" s="14" t="str">
        <x:v>Парфюмерия для женщин</x:v>
      </x:c>
      <x:c r="D4470" s="14" t="str">
        <x:v>Парфюмерный набор женский</x:v>
      </x:c>
      <x:c r="E4470" s="2" t="n">
        <x:v>2</x:v>
      </x:c>
      <x:c r="F4470" s="2" t="n">
        <x:v>0</x:v>
      </x:c>
      <x:c r="G4470" s="12" t="n">
        <x:v>189194.8975</x:v>
      </x:c>
      <x:c r="H4470" s="12" t="n">
        <x:v>33541.273358</x:v>
      </x:c>
      <x:c r="I4470" s="13" t="n">
        <x:v>0.1814</x:v>
      </x:c>
      <x:c r="J4470" s="2" t="n">
        <x:v>0</x:v>
      </x:c>
      <x:c r="K4470" s="2" t="n">
        <x:v>2</x:v>
      </x:c>
      <x:c r="L4470" s="12" t="n">
        <x:v>691.1752</x:v>
      </x:c>
      <x:c r="M4470" s="13" t="n">
        <x:v>0.5368795820722384</x:v>
      </x:c>
      <x:c r="N4470" s="13" t="n">
        <x:f>H4470/G4470</x:f>
        <x:v>0.1772842386407382</x:v>
      </x:c>
      <x:c r="O4470" s="13" t="n">
        <x:f>F4470/E4470</x:f>
        <x:v>0</x:v>
      </x:c>
      <x:c r="P4470" s="2" t="str">
        <x:f>IF(AND(E4470&gt;='Итоги'!$F$5,N4470&lt;='Итоги'!$B$5,O4470&gt;='Итоги'!$D$5),"Да","Нет")</x:f>
        <x:v>Нет</x:v>
      </x:c>
    </x:row>
    <x:row r="4471" ht="60" customHeight="1">
      <x:c r="A4471" s="14" t="str">
        <x:v>Товары для дома</x:v>
      </x:c>
      <x:c r="B4471" s="14" t="str">
        <x:v>Аксессуары для уборки и стирки</x:v>
      </x:c>
      <x:c r="C4471" s="14" t="str">
        <x:v>Аксессуар для уборки</x:v>
      </x:c>
      <x:c r="D4471" s="14" t="str">
        <x:v>Совок</x:v>
      </x:c>
      <x:c r="E4471" s="2" t="n">
        <x:v>3</x:v>
      </x:c>
      <x:c r="F4471" s="2" t="n">
        <x:v>0</x:v>
      </x:c>
      <x:c r="G4471" s="12" t="n">
        <x:v>393606.7609</x:v>
      </x:c>
      <x:c r="H4471" s="12" t="n">
        <x:v>70005.71406511999</x:v>
      </x:c>
      <x:c r="I4471" s="13" t="n">
        <x:v>0.1781</x:v>
      </x:c>
      <x:c r="J4471" s="2" t="n">
        <x:v>0</x:v>
      </x:c>
      <x:c r="K4471" s="2" t="n">
        <x:v>2</x:v>
      </x:c>
      <x:c r="L4471" s="12" t="n">
        <x:v>893.6756</x:v>
      </x:c>
      <x:c r="M4471" s="13" t="n">
        <x:v>0.7011643394258577</x:v>
      </x:c>
      <x:c r="N4471" s="13" t="n">
        <x:f>H4471/G4471</x:f>
        <x:v>0.1778569908328015</x:v>
      </x:c>
      <x:c r="O4471" s="13" t="n">
        <x:f>F4471/E4471</x:f>
        <x:v>0</x:v>
      </x:c>
      <x:c r="P4471" s="2" t="str">
        <x:f>IF(AND(E4471&gt;='Итоги'!$F$5,N4471&lt;='Итоги'!$B$5,O4471&gt;='Итоги'!$D$5),"Да","Нет")</x:f>
        <x:v>Нет</x:v>
      </x:c>
    </x:row>
    <x:row r="4472" ht="60" customHeight="1">
      <x:c r="A4472" s="14" t="str">
        <x:v>Товары для дома</x:v>
      </x:c>
      <x:c r="B4472" s="14" t="str">
        <x:v>Интерьер и декор</x:v>
      </x:c>
      <x:c r="C4472" s="14" t="str">
        <x:v>Сувенирная продукция</x:v>
      </x:c>
      <x:c r="D4472" s="14" t="str">
        <x:v>Подарки-впечатления</x:v>
      </x:c>
      <x:c r="E4472" s="2" t="n">
        <x:v>8</x:v>
      </x:c>
      <x:c r="F4472" s="2" t="n">
        <x:v>0</x:v>
      </x:c>
      <x:c r="G4472" s="12" t="n">
        <x:v>1737489.7339</x:v>
      </x:c>
      <x:c r="H4472" s="12" t="n">
        <x:v>309796.47724191</x:v>
      </x:c>
      <x:c r="I4472" s="13" t="n">
        <x:v>0.1561</x:v>
      </x:c>
      <x:c r="J4472" s="2" t="n">
        <x:v>1</x:v>
      </x:c>
      <x:c r="K4472" s="2" t="n">
        <x:v>2</x:v>
      </x:c>
      <x:c r="L4472" s="12" t="n">
        <x:v>2872.66925</x:v>
      </x:c>
      <x:c r="M4472" s="13" t="n">
        <x:v>0.6416413575564552</x:v>
      </x:c>
      <x:c r="N4472" s="13" t="n">
        <x:f>H4472/G4472</x:f>
        <x:v>0.17830118428759598</x:v>
      </x:c>
      <x:c r="O4472" s="13" t="n">
        <x:f>F4472/E4472</x:f>
        <x:v>0</x:v>
      </x:c>
      <x:c r="P4472" s="2" t="str">
        <x:f>IF(AND(E4472&gt;='Итоги'!$F$5,N4472&lt;='Итоги'!$B$5,O4472&gt;='Итоги'!$D$5),"Да","Нет")</x:f>
        <x:v>Нет</x:v>
      </x:c>
    </x:row>
    <x:row r="4473" ht="60" customHeight="1">
      <x:c r="A4473" s="14" t="str">
        <x:v>Аксессуары</x:v>
      </x:c>
      <x:c r="B4473" s="14" t="str">
        <x:v>Аксессуары</x:v>
      </x:c>
      <x:c r="C4473" s="14" t="str">
        <x:v>Аксессуары для путешествий</x:v>
      </x:c>
      <x:c r="D4473" s="14" t="str">
        <x:v>Дорожные адаптеры и переходники</x:v>
      </x:c>
      <x:c r="E4473" s="2" t="n">
        <x:v>1</x:v>
      </x:c>
      <x:c r="F4473" s="2" t="n">
        <x:v>0</x:v>
      </x:c>
      <x:c r="G4473" s="12" t="n">
        <x:v>90422</x:v>
      </x:c>
      <x:c r="H4473" s="12" t="n">
        <x:v>16266.9178</x:v>
      </x:c>
      <x:c r="I4473" s="13" t="n">
        <x:v>0.1799</x:v>
      </x:c>
      <x:c r="J4473" s="2" t="n">
        <x:v>0</x:v>
      </x:c>
      <x:c r="K4473" s="2" t="n">
        <x:v>1</x:v>
      </x:c>
      <x:c r="L4473" s="12" t="n">
        <x:v>941.8958</x:v>
      </x:c>
      <x:c r="M4473" s="13" t="n">
        <x:v>1</x:v>
      </x:c>
      <x:c r="N4473" s="13" t="n">
        <x:f>H4473/G4473</x:f>
        <x:v>0.1799</x:v>
      </x:c>
      <x:c r="O4473" s="13" t="n">
        <x:f>F4473/E4473</x:f>
        <x:v>0</x:v>
      </x:c>
      <x:c r="P4473" s="2" t="str">
        <x:f>IF(AND(E4473&gt;='Итоги'!$F$5,N4473&lt;='Итоги'!$B$5,O4473&gt;='Итоги'!$D$5),"Да","Нет")</x:f>
        <x:v>Нет</x:v>
      </x:c>
    </x:row>
    <x:row r="4474" ht="60" customHeight="1">
      <x:c r="A4474" s="14" t="str">
        <x:v>Автотовары</x:v>
      </x:c>
      <x:c r="B4474" s="14" t="str">
        <x:v>Универсальные авто и мото аксессуары</x:v>
      </x:c>
      <x:c r="C4474" s="14" t="str">
        <x:v>Товары для чистоты автомобиля</x:v>
      </x:c>
      <x:c r="D4474" s="14" t="str">
        <x:v>Портативная минимойка для авто</x:v>
      </x:c>
      <x:c r="E4474" s="2" t="n">
        <x:v>70</x:v>
      </x:c>
      <x:c r="F4474" s="2" t="n">
        <x:v>0</x:v>
      </x:c>
      <x:c r="G4474" s="12" t="n">
        <x:v>13569937.1215</x:v>
      </x:c>
      <x:c r="H4474" s="12" t="n">
        <x:v>2444200.28300884</x:v>
      </x:c>
      <x:c r="I4474" s="13" t="n">
        <x:v>0.17714</x:v>
      </x:c>
      <x:c r="J4474" s="2" t="n">
        <x:v>3</x:v>
      </x:c>
      <x:c r="K4474" s="2" t="n">
        <x:v>39</x:v>
      </x:c>
      <x:c r="L4474" s="12" t="n">
        <x:v>1704.0872</x:v>
      </x:c>
      <x:c r="M4474" s="13" t="n">
        <x:v>0.4048924483072816</x:v>
      </x:c>
      <x:c r="N4474" s="13" t="n">
        <x:f>H4474/G4474</x:f>
        <x:v>0.1801187626091713</x:v>
      </x:c>
      <x:c r="O4474" s="13" t="n">
        <x:f>F4474/E4474</x:f>
        <x:v>0</x:v>
      </x:c>
      <x:c r="P4474" s="2" t="str">
        <x:f>IF(AND(E4474&gt;='Итоги'!$F$5,N4474&lt;='Итоги'!$B$5,O4474&gt;='Итоги'!$D$5),"Да","Нет")</x:f>
        <x:v>Нет</x:v>
      </x:c>
    </x:row>
    <x:row r="4475" ht="60" customHeight="1">
      <x:c r="A4475" s="14" t="str">
        <x:v>Аксессуары</x:v>
      </x:c>
      <x:c r="B4475" s="14" t="str">
        <x:v>Бижутерия и часы бижутерные</x:v>
      </x:c>
      <x:c r="C4475" s="14" t="str">
        <x:v>Бижутерия</x:v>
      </x:c>
      <x:c r="D4475" s="14" t="str">
        <x:v>Бижу серьги</x:v>
      </x:c>
      <x:c r="E4475" s="2" t="n">
        <x:v>10</x:v>
      </x:c>
      <x:c r="F4475" s="2" t="n">
        <x:v>0</x:v>
      </x:c>
      <x:c r="G4475" s="12" t="n">
        <x:v>1329281.5148</x:v>
      </x:c>
      <x:c r="H4475" s="12" t="n">
        <x:v>239524.16487</x:v>
      </x:c>
      <x:c r="I4475" s="13" t="n">
        <x:v>0.18863</x:v>
      </x:c>
      <x:c r="J4475" s="2" t="n">
        <x:v>0</x:v>
      </x:c>
      <x:c r="K4475" s="2" t="n">
        <x:v>5</x:v>
      </x:c>
      <x:c r="L4475" s="12" t="n">
        <x:v>1259.9369</x:v>
      </x:c>
      <x:c r="M4475" s="13" t="n">
        <x:v>0.4724565899755939</x:v>
      </x:c>
      <x:c r="N4475" s="13" t="n">
        <x:f>H4475/G4475</x:f>
        <x:v>0.18019069866177906</x:v>
      </x:c>
      <x:c r="O4475" s="13" t="n">
        <x:f>F4475/E4475</x:f>
        <x:v>0</x:v>
      </x:c>
      <x:c r="P4475" s="2" t="str">
        <x:f>IF(AND(E4475&gt;='Итоги'!$F$5,N4475&lt;='Итоги'!$B$5,O4475&gt;='Итоги'!$D$5),"Да","Нет")</x:f>
        <x:v>Нет</x:v>
      </x:c>
    </x:row>
    <x:row r="4476" ht="60" customHeight="1">
      <x:c r="A4476" s="14" t="str">
        <x:v>Аксессуары</x:v>
      </x:c>
      <x:c r="B4476" s="14" t="str">
        <x:v>Галантерея</x:v>
      </x:c>
      <x:c r="C4476" s="14" t="str">
        <x:v>Галантерея женская</x:v>
      </x:c>
      <x:c r="D4476" s="14" t="str">
        <x:v>Женский Зажим для денежных банкнот</x:v>
      </x:c>
      <x:c r="E4476" s="2" t="n">
        <x:v>2</x:v>
      </x:c>
      <x:c r="F4476" s="2" t="n">
        <x:v>0</x:v>
      </x:c>
      <x:c r="G4476" s="12" t="n">
        <x:v>231018.65</x:v>
      </x:c>
      <x:c r="H4476" s="12" t="n">
        <x:v>41633.308305</x:v>
      </x:c>
      <x:c r="I4476" s="13" t="n">
        <x:v>0.18175</x:v>
      </x:c>
      <x:c r="J4476" s="2" t="n">
        <x:v>0</x:v>
      </x:c>
      <x:c r="K4476" s="2" t="n">
        <x:v>1</x:v>
      </x:c>
      <x:c r="L4476" s="12" t="n">
        <x:v>1022.26445</x:v>
      </x:c>
      <x:c r="M4476" s="13" t="n">
        <x:v>1</x:v>
      </x:c>
      <x:c r="N4476" s="13" t="n">
        <x:f>H4476/G4476</x:f>
        <x:v>0.18021622195870332</x:v>
      </x:c>
      <x:c r="O4476" s="13" t="n">
        <x:f>F4476/E4476</x:f>
        <x:v>0</x:v>
      </x:c>
      <x:c r="P4476" s="2" t="str">
        <x:f>IF(AND(E4476&gt;='Итоги'!$F$5,N4476&lt;='Итоги'!$B$5,O4476&gt;='Итоги'!$D$5),"Да","Нет")</x:f>
        <x:v>Нет</x:v>
      </x:c>
    </x:row>
    <x:row r="4477" ht="60" customHeight="1">
      <x:c r="A4477" s="14" t="str">
        <x:v>Детская одежда</x:v>
      </x:c>
      <x:c r="B4477" s="14" t="str">
        <x:v>Детская одежда</x:v>
      </x:c>
      <x:c r="C4477" s="14" t="str">
        <x:v>Одежда спортивная для девочки</x:v>
      </x:c>
      <x:c r="D4477" s="14" t="str">
        <x:v>Футболка спортивная для девочки</x:v>
      </x:c>
      <x:c r="E4477" s="2" t="n">
        <x:v>4</x:v>
      </x:c>
      <x:c r="F4477" s="2" t="n">
        <x:v>0</x:v>
      </x:c>
      <x:c r="G4477" s="12" t="n">
        <x:v>213410.5682</x:v>
      </x:c>
      <x:c r="H4477" s="12" t="n">
        <x:v>38542.46813854</x:v>
      </x:c>
      <x:c r="I4477" s="13" t="n">
        <x:v>0.1001</x:v>
      </x:c>
      <x:c r="J4477" s="2" t="n">
        <x:v>2</x:v>
      </x:c>
      <x:c r="K4477" s="2" t="n">
        <x:v>4</x:v>
      </x:c>
      <x:c r="L4477" s="12" t="n">
        <x:v>1671.26285</x:v>
      </x:c>
      <x:c r="M4477" s="13" t="n">
        <x:v>0.4613796632963559</x:v>
      </x:c>
      <x:c r="N4477" s="13" t="n">
        <x:f>H4477/G4477</x:f>
        <x:v>0.18060243437625598</x:v>
      </x:c>
      <x:c r="O4477" s="13" t="n">
        <x:f>F4477/E4477</x:f>
        <x:v>0</x:v>
      </x:c>
      <x:c r="P4477" s="2" t="str">
        <x:f>IF(AND(E4477&gt;='Итоги'!$F$5,N4477&lt;='Итоги'!$B$5,O4477&gt;='Итоги'!$D$5),"Да","Нет")</x:f>
        <x:v>Нет</x:v>
      </x:c>
    </x:row>
    <x:row r="4478" ht="60" customHeight="1">
      <x:c r="A4478" s="14" t="str">
        <x:v>Аптека</x:v>
      </x:c>
      <x:c r="B4478" s="14" t="str">
        <x:v>Товары для взрослых</x:v>
      </x:c>
      <x:c r="C4478" s="14" t="str">
        <x:v>Товары для БДСМ</x:v>
      </x:c>
      <x:c r="D4478" s="14" t="str">
        <x:v>Наручники и другая фиксация</x:v>
      </x:c>
      <x:c r="E4478" s="2" t="n">
        <x:v>5</x:v>
      </x:c>
      <x:c r="F4478" s="2" t="n">
        <x:v>0</x:v>
      </x:c>
      <x:c r="G4478" s="12" t="n">
        <x:v>590906.54</x:v>
      </x:c>
      <x:c r="H4478" s="12" t="n">
        <x:v>106814.612172</x:v>
      </x:c>
      <x:c r="I4478" s="13" t="n">
        <x:v>0.189</x:v>
      </x:c>
      <x:c r="J4478" s="2" t="n">
        <x:v>0</x:v>
      </x:c>
      <x:c r="K4478" s="2" t="n">
        <x:v>5</x:v>
      </x:c>
      <x:c r="L4478" s="12" t="n">
        <x:v>982.3088</x:v>
      </x:c>
      <x:c r="M4478" s="13" t="n">
        <x:v>0.2670078249599336</x:v>
      </x:c>
      <x:c r="N4478" s="13" t="n">
        <x:f>H4478/G4478</x:f>
        <x:v>0.18076397017369275</x:v>
      </x:c>
      <x:c r="O4478" s="13" t="n">
        <x:f>F4478/E4478</x:f>
        <x:v>0</x:v>
      </x:c>
      <x:c r="P4478" s="2" t="str">
        <x:f>IF(AND(E4478&gt;='Итоги'!$F$5,N4478&lt;='Итоги'!$B$5,O4478&gt;='Итоги'!$D$5),"Да","Нет")</x:f>
        <x:v>Нет</x:v>
      </x:c>
    </x:row>
    <x:row r="4479" ht="60" customHeight="1">
      <x:c r="A4479" s="14" t="str">
        <x:v>Товары для дома</x:v>
      </x:c>
      <x:c r="B4479" s="14" t="str">
        <x:v>Кухня</x:v>
      </x:c>
      <x:c r="C4479" s="14" t="str">
        <x:v>Подставка для кухонных принадлежностей</x:v>
      </x:c>
      <x:c r="D4479" s="14" t="str">
        <x:v>Подставка под горячее</x:v>
      </x:c>
      <x:c r="E4479" s="2" t="n">
        <x:v>1</x:v>
      </x:c>
      <x:c r="F4479" s="2" t="n">
        <x:v>0</x:v>
      </x:c>
      <x:c r="G4479" s="12" t="n">
        <x:v>72361.5925</x:v>
      </x:c>
      <x:c r="H4479" s="12" t="n">
        <x:v>13082.975923999998</x:v>
      </x:c>
      <x:c r="I4479" s="13" t="n">
        <x:v>0.1808</x:v>
      </x:c>
      <x:c r="J4479" s="2" t="n">
        <x:v>0</x:v>
      </x:c>
      <x:c r="K4479" s="2" t="n">
        <x:v>1</x:v>
      </x:c>
      <x:c r="L4479" s="12" t="n">
        <x:v>1292.1713</x:v>
      </x:c>
      <x:c r="M4479" s="13" t="n">
        <x:v>1</x:v>
      </x:c>
      <x:c r="N4479" s="13" t="n">
        <x:f>H4479/G4479</x:f>
        <x:v>0.1808</x:v>
      </x:c>
      <x:c r="O4479" s="13" t="n">
        <x:f>F4479/E4479</x:f>
        <x:v>0</x:v>
      </x:c>
      <x:c r="P4479" s="2" t="str">
        <x:f>IF(AND(E4479&gt;='Итоги'!$F$5,N4479&lt;='Итоги'!$B$5,O4479&gt;='Итоги'!$D$5),"Да","Нет")</x:f>
        <x:v>Нет</x:v>
      </x:c>
    </x:row>
    <x:row r="4480" ht="60" customHeight="1">
      <x:c r="A4480" s="14" t="str">
        <x:v>Аптека</x:v>
      </x:c>
      <x:c r="B4480" s="14" t="str">
        <x:v>Парафармацевтика</x:v>
      </x:c>
      <x:c r="C4480" s="14" t="str">
        <x:v>Парафармацевтика</x:v>
      </x:c>
      <x:c r="D4480" s="14" t="str">
        <x:v>Средства при храпе</x:v>
      </x:c>
      <x:c r="E4480" s="2" t="n">
        <x:v>2</x:v>
      </x:c>
      <x:c r="F4480" s="2" t="n">
        <x:v>0</x:v>
      </x:c>
      <x:c r="G4480" s="12" t="n">
        <x:v>316751.1154</x:v>
      </x:c>
      <x:c r="H4480" s="12" t="n">
        <x:v>57390.64137566</x:v>
      </x:c>
      <x:c r="I4480" s="13" t="n">
        <x:v>0.18095</x:v>
      </x:c>
      <x:c r="J4480" s="2" t="n">
        <x:v>0</x:v>
      </x:c>
      <x:c r="K4480" s="2" t="n">
        <x:v>2</x:v>
      </x:c>
      <x:c r="L4480" s="12" t="n">
        <x:v>2829.92345</x:v>
      </x:c>
      <x:c r="M4480" s="13" t="n">
        <x:v>0.5090147821465256</x:v>
      </x:c>
      <x:c r="N4480" s="13" t="n">
        <x:f>H4480/G4480</x:f>
        <x:v>0.18118528581402432</x:v>
      </x:c>
      <x:c r="O4480" s="13" t="n">
        <x:f>F4480/E4480</x:f>
        <x:v>0</x:v>
      </x:c>
      <x:c r="P4480" s="2" t="str">
        <x:f>IF(AND(E4480&gt;='Итоги'!$F$5,N4480&lt;='Итоги'!$B$5,O4480&gt;='Итоги'!$D$5),"Да","Нет")</x:f>
        <x:v>Нет</x:v>
      </x:c>
    </x:row>
    <x:row r="4481" ht="60" customHeight="1">
      <x:c r="A4481" s="14" t="str">
        <x:v>Аксессуары</x:v>
      </x:c>
      <x:c r="B4481" s="14" t="str">
        <x:v>Аксессуары</x:v>
      </x:c>
      <x:c r="C4481" s="14" t="str">
        <x:v>Аксессуары и уход для обуви</x:v>
      </x:c>
      <x:c r="D4481" s="14" t="str">
        <x:v>Блеск для обуви</x:v>
      </x:c>
      <x:c r="E4481" s="2" t="n">
        <x:v>1</x:v>
      </x:c>
      <x:c r="F4481" s="2" t="n">
        <x:v>0</x:v>
      </x:c>
      <x:c r="G4481" s="12" t="n">
        <x:v>86710</x:v>
      </x:c>
      <x:c r="H4481" s="12" t="n">
        <x:v>15763.878</x:v>
      </x:c>
      <x:c r="I4481" s="13" t="n">
        <x:v>0.1818</x:v>
      </x:c>
      <x:c r="J4481" s="2" t="n">
        <x:v>0</x:v>
      </x:c>
      <x:c r="K4481" s="2" t="n">
        <x:v>1</x:v>
      </x:c>
      <x:c r="L4481" s="12" t="n">
        <x:v>858.5149</x:v>
      </x:c>
      <x:c r="M4481" s="13" t="n">
        <x:v>1</x:v>
      </x:c>
      <x:c r="N4481" s="13" t="n">
        <x:f>H4481/G4481</x:f>
        <x:v>0.18180000000000002</x:v>
      </x:c>
      <x:c r="O4481" s="13" t="n">
        <x:f>F4481/E4481</x:f>
        <x:v>0</x:v>
      </x:c>
      <x:c r="P4481" s="2" t="str">
        <x:f>IF(AND(E4481&gt;='Итоги'!$F$5,N4481&lt;='Итоги'!$B$5,O4481&gt;='Итоги'!$D$5),"Да","Нет")</x:f>
        <x:v>Нет</x:v>
      </x:c>
    </x:row>
    <x:row r="4482" ht="60" customHeight="1">
      <x:c r="A4482" s="14" t="str">
        <x:v>Товары для красоты и здоровья</x:v>
      </x:c>
      <x:c r="B4482" s="14" t="str">
        <x:v>Косметические аксессуары</x:v>
      </x:c>
      <x:c r="C4482" s="14" t="str">
        <x:v>Аксессуары для маникюра и педикюра</x:v>
      </x:c>
      <x:c r="D4482" s="14" t="str">
        <x:v>Пемза</x:v>
      </x:c>
      <x:c r="E4482" s="2" t="n">
        <x:v>1</x:v>
      </x:c>
      <x:c r="F4482" s="2" t="n">
        <x:v>0</x:v>
      </x:c>
      <x:c r="G4482" s="12" t="n">
        <x:v>165653.6296</x:v>
      </x:c>
      <x:c r="H4482" s="12" t="n">
        <x:v>30331.17957976</x:v>
      </x:c>
      <x:c r="I4482" s="13" t="n">
        <x:v>0.1831</x:v>
      </x:c>
      <x:c r="J4482" s="2" t="n">
        <x:v>0</x:v>
      </x:c>
      <x:c r="K4482" s="2" t="n">
        <x:v>1</x:v>
      </x:c>
      <x:c r="L4482" s="12" t="n">
        <x:v>968.7347</x:v>
      </x:c>
      <x:c r="M4482" s="13" t="n">
        <x:v>1</x:v>
      </x:c>
      <x:c r="N4482" s="13" t="n">
        <x:f>H4482/G4482</x:f>
        <x:v>0.1831</x:v>
      </x:c>
      <x:c r="O4482" s="13" t="n">
        <x:f>F4482/E4482</x:f>
        <x:v>0</x:v>
      </x:c>
      <x:c r="P4482" s="2" t="str">
        <x:f>IF(AND(E4482&gt;='Итоги'!$F$5,N4482&lt;='Итоги'!$B$5,O4482&gt;='Итоги'!$D$5),"Да","Нет")</x:f>
        <x:v>Нет</x:v>
      </x:c>
    </x:row>
    <x:row r="4483" ht="60" customHeight="1">
      <x:c r="A4483" s="14" t="str">
        <x:v>Аптека</x:v>
      </x:c>
      <x:c r="B4483" s="14" t="str">
        <x:v>Товары для взрослых</x:v>
      </x:c>
      <x:c r="C4483" s="14" t="str">
        <x:v>Интимная косметика</x:v>
      </x:c>
      <x:c r="D4483" s="14" t="str">
        <x:v>Пролонгатор 18+</x:v>
      </x:c>
      <x:c r="E4483" s="2" t="n">
        <x:v>15</x:v>
      </x:c>
      <x:c r="F4483" s="2" t="n">
        <x:v>0</x:v>
      </x:c>
      <x:c r="G4483" s="12" t="n">
        <x:v>2765995.1902</x:v>
      </x:c>
      <x:c r="H4483" s="12" t="n">
        <x:v>507316.26557592</x:v>
      </x:c>
      <x:c r="I4483" s="13" t="n">
        <x:v>0.2044866666666666</x:v>
      </x:c>
      <x:c r="J4483" s="2" t="n">
        <x:v>0</x:v>
      </x:c>
      <x:c r="K4483" s="2" t="n">
        <x:v>5</x:v>
      </x:c>
      <x:c r="L4483" s="12" t="n">
        <x:v>1249.605</x:v>
      </x:c>
      <x:c r="M4483" s="13" t="n">
        <x:v>0.5032511789723502</x:v>
      </x:c>
      <x:c r="N4483" s="13" t="n">
        <x:f>H4483/G4483</x:f>
        <x:v>0.18341183938907632</x:v>
      </x:c>
      <x:c r="O4483" s="13" t="n">
        <x:f>F4483/E4483</x:f>
        <x:v>0</x:v>
      </x:c>
      <x:c r="P4483" s="2" t="str">
        <x:f>IF(AND(E4483&gt;='Итоги'!$F$5,N4483&lt;='Итоги'!$B$5,O4483&gt;='Итоги'!$D$5),"Да","Нет")</x:f>
        <x:v>Нет</x:v>
      </x:c>
    </x:row>
    <x:row r="4484" ht="60" customHeight="1">
      <x:c r="A4484" s="14" t="str">
        <x:v>Аптека</x:v>
      </x:c>
      <x:c r="B4484" s="14" t="str">
        <x:v>Медицинские изделия</x:v>
      </x:c>
      <x:c r="C4484" s="14" t="str">
        <x:v>Товары для больных диабетом</x:v>
      </x:c>
      <x:c r="D4484" s="14" t="str">
        <x:v>Чехол для инсулиновой помпы</x:v>
      </x:c>
      <x:c r="E4484" s="2" t="n">
        <x:v>1</x:v>
      </x:c>
      <x:c r="F4484" s="2" t="n">
        <x:v>0</x:v>
      </x:c>
      <x:c r="G4484" s="12" t="n">
        <x:v>29857</x:v>
      </x:c>
      <x:c r="H4484" s="12" t="n">
        <x:v>5481.7452</x:v>
      </x:c>
      <x:c r="I4484" s="13" t="n">
        <x:v>0.1836</x:v>
      </x:c>
      <x:c r="J4484" s="2" t="n">
        <x:v>0</x:v>
      </x:c>
      <x:c r="K4484" s="2" t="n">
        <x:v>1</x:v>
      </x:c>
      <x:c r="L4484" s="12" t="n">
        <x:v>1492.85</x:v>
      </x:c>
      <x:c r="M4484" s="13" t="n">
        <x:v>1</x:v>
      </x:c>
      <x:c r="N4484" s="13" t="n">
        <x:f>H4484/G4484</x:f>
        <x:v>0.1836</x:v>
      </x:c>
      <x:c r="O4484" s="13" t="n">
        <x:f>F4484/E4484</x:f>
        <x:v>0</x:v>
      </x:c>
      <x:c r="P4484" s="2" t="str">
        <x:f>IF(AND(E4484&gt;='Итоги'!$F$5,N4484&lt;='Итоги'!$B$5,O4484&gt;='Итоги'!$D$5),"Да","Нет")</x:f>
        <x:v>Нет</x:v>
      </x:c>
    </x:row>
    <x:row r="4485" ht="60" customHeight="1">
      <x:c r="A4485" s="14" t="str">
        <x:v>Товары для дома</x:v>
      </x:c>
      <x:c r="B4485" s="14" t="str">
        <x:v>Кухня</x:v>
      </x:c>
      <x:c r="C4485" s="14" t="str">
        <x:v>Кухонная утварь и принадлежности</x:v>
      </x:c>
      <x:c r="D4485" s="14" t="str">
        <x:v>Фольга, пленка, бумага для выпечки, пакеты для запекания</x:v>
      </x:c>
      <x:c r="E4485" s="2" t="n">
        <x:v>8</x:v>
      </x:c>
      <x:c r="F4485" s="2" t="n">
        <x:v>0</x:v>
      </x:c>
      <x:c r="G4485" s="12" t="n">
        <x:v>1886272.2006</x:v>
      </x:c>
      <x:c r="H4485" s="12" t="n">
        <x:v>347821.10623966</x:v>
      </x:c>
      <x:c r="I4485" s="13" t="n">
        <x:v>0.154475</x:v>
      </x:c>
      <x:c r="J4485" s="2" t="n">
        <x:v>0</x:v>
      </x:c>
      <x:c r="K4485" s="2" t="n">
        <x:v>3</x:v>
      </x:c>
      <x:c r="L4485" s="12" t="n">
        <x:v>975.62375</x:v>
      </x:c>
      <x:c r="M4485" s="13" t="n">
        <x:v>0.5441185377028452</x:v>
      </x:c>
      <x:c r="N4485" s="13" t="n">
        <x:f>H4485/G4485</x:f>
        <x:v>0.18439603050345668</x:v>
      </x:c>
      <x:c r="O4485" s="13" t="n">
        <x:f>F4485/E4485</x:f>
        <x:v>0</x:v>
      </x:c>
      <x:c r="P4485" s="2" t="str">
        <x:f>IF(AND(E4485&gt;='Итоги'!$F$5,N4485&lt;='Итоги'!$B$5,O4485&gt;='Итоги'!$D$5),"Да","Нет")</x:f>
        <x:v>Нет</x:v>
      </x:c>
    </x:row>
    <x:row r="4486" ht="60" customHeight="1">
      <x:c r="A4486" s="14" t="str">
        <x:v>Товары для дома</x:v>
      </x:c>
      <x:c r="B4486" s="14" t="str">
        <x:v>Домашний текстиль</x:v>
      </x:c>
      <x:c r="C4486" s="14" t="str">
        <x:v>Коврики, покрытия</x:v>
      </x:c>
      <x:c r="D4486" s="14" t="str">
        <x:v>Коврик прикроватный</x:v>
      </x:c>
      <x:c r="E4486" s="2" t="n">
        <x:v>12</x:v>
      </x:c>
      <x:c r="F4486" s="2" t="n">
        <x:v>0</x:v>
      </x:c>
      <x:c r="G4486" s="12" t="n">
        <x:v>1047188.6199</x:v>
      </x:c>
      <x:c r="H4486" s="12" t="n">
        <x:v>193166.98862579</x:v>
      </x:c>
      <x:c r="I4486" s="13" t="n">
        <x:v>0.1644583333333333</x:v>
      </x:c>
      <x:c r="J4486" s="2" t="n">
        <x:v>1</x:v>
      </x:c>
      <x:c r="K4486" s="2" t="n">
        <x:v>6</x:v>
      </x:c>
      <x:c r="L4486" s="12" t="n">
        <x:v>1943.66665</x:v>
      </x:c>
      <x:c r="M4486" s="13" t="n">
        <x:v>0.5748766158836673</x:v>
      </x:c>
      <x:c r="N4486" s="13" t="n">
        <x:f>H4486/G4486</x:f>
        <x:v>0.18446245972787237</x:v>
      </x:c>
      <x:c r="O4486" s="13" t="n">
        <x:f>F4486/E4486</x:f>
        <x:v>0</x:v>
      </x:c>
      <x:c r="P4486" s="2" t="str">
        <x:f>IF(AND(E4486&gt;='Итоги'!$F$5,N4486&lt;='Итоги'!$B$5,O4486&gt;='Итоги'!$D$5),"Да","Нет")</x:f>
        <x:v>Нет</x:v>
      </x:c>
    </x:row>
    <x:row r="4487" ht="60" customHeight="1">
      <x:c r="A4487" s="14" t="str">
        <x:v>Товары для детей и спорта</x:v>
      </x:c>
      <x:c r="B4487" s="14" t="str">
        <x:v>КГТ и аксессуары для детей</x:v>
      </x:c>
      <x:c r="C4487" s="14" t="str">
        <x:v>Детская мебель и аксессуары в дом</x:v>
      </x:c>
      <x:c r="D4487" s="14" t="str">
        <x:v>Фотоальбом детский</x:v>
      </x:c>
      <x:c r="E4487" s="2" t="n">
        <x:v>7</x:v>
      </x:c>
      <x:c r="F4487" s="2" t="n">
        <x:v>0</x:v>
      </x:c>
      <x:c r="G4487" s="12" t="n">
        <x:v>793995.4097</x:v>
      </x:c>
      <x:c r="H4487" s="12" t="n">
        <x:v>146562.51091588</x:v>
      </x:c>
      <x:c r="I4487" s="13" t="n">
        <x:v>0.1926714285714285</x:v>
      </x:c>
      <x:c r="J4487" s="2" t="n">
        <x:v>0</x:v>
      </x:c>
      <x:c r="K4487" s="2" t="n">
        <x:v>4</x:v>
      </x:c>
      <x:c r="L4487" s="12" t="n">
        <x:v>2135.05</x:v>
      </x:c>
      <x:c r="M4487" s="13" t="n">
        <x:v>0.5905563350513159</x:v>
      </x:c>
      <x:c r="N4487" s="13" t="n">
        <x:f>H4487/G4487</x:f>
        <x:v>0.18458861238411517</x:v>
      </x:c>
      <x:c r="O4487" s="13" t="n">
        <x:f>F4487/E4487</x:f>
        <x:v>0</x:v>
      </x:c>
      <x:c r="P4487" s="2" t="str">
        <x:f>IF(AND(E4487&gt;='Итоги'!$F$5,N4487&lt;='Итоги'!$B$5,O4487&gt;='Итоги'!$D$5),"Да","Нет")</x:f>
        <x:v>Нет</x:v>
      </x:c>
    </x:row>
    <x:row r="4488" ht="60" customHeight="1">
      <x:c r="A4488" s="14" t="str">
        <x:v>Товары для животных</x:v>
      </x:c>
      <x:c r="B4488" s="14" t="str">
        <x:v>Гигиена и уход животных</x:v>
      </x:c>
      <x:c r="C4488" s="14" t="str">
        <x:v>Товары для груминга</x:v>
      </x:c>
      <x:c r="D4488" s="14" t="str">
        <x:v>Триммер для животных</x:v>
      </x:c>
      <x:c r="E4488" s="2" t="n">
        <x:v>7</x:v>
      </x:c>
      <x:c r="F4488" s="2" t="n">
        <x:v>0</x:v>
      </x:c>
      <x:c r="G4488" s="12" t="n">
        <x:v>1734878.6001000002</x:v>
      </x:c>
      <x:c r="H4488" s="12" t="n">
        <x:v>321037.42674507</x:v>
      </x:c>
      <x:c r="I4488" s="13" t="n">
        <x:v>0.1722</x:v>
      </x:c>
      <x:c r="J4488" s="2" t="n">
        <x:v>0</x:v>
      </x:c>
      <x:c r="K4488" s="2" t="n">
        <x:v>4</x:v>
      </x:c>
      <x:c r="L4488" s="12" t="n">
        <x:v>1410.0306</x:v>
      </x:c>
      <x:c r="M4488" s="13" t="n">
        <x:v>0.4759599929657349</x:v>
      </x:c>
      <x:c r="N4488" s="13" t="n">
        <x:f>H4488/G4488</x:f>
        <x:v>0.1850489289144296</x:v>
      </x:c>
      <x:c r="O4488" s="13" t="n">
        <x:f>F4488/E4488</x:f>
        <x:v>0</x:v>
      </x:c>
      <x:c r="P4488" s="2" t="str">
        <x:f>IF(AND(E4488&gt;='Итоги'!$F$5,N4488&lt;='Итоги'!$B$5,O4488&gt;='Итоги'!$D$5),"Да","Нет")</x:f>
        <x:v>Нет</x:v>
      </x:c>
    </x:row>
    <x:row r="4489" ht="60" customHeight="1">
      <x:c r="A4489" s="14" t="str">
        <x:v>Аксессуары для электроники</x:v>
      </x:c>
      <x:c r="B4489" s="14" t="str">
        <x:v>Аксессуары для мобильных устройств Access</x:v>
      </x:c>
      <x:c r="C4489" s="14" t="str">
        <x:v>Аксессуары для смартфонов Access</x:v>
      </x:c>
      <x:c r="D4489" s="14" t="str">
        <x:v>Контроллер для смартфона</x:v>
      </x:c>
      <x:c r="E4489" s="2" t="n">
        <x:v>2</x:v>
      </x:c>
      <x:c r="F4489" s="2" t="n">
        <x:v>0</x:v>
      </x:c>
      <x:c r="G4489" s="12" t="n">
        <x:v>188626.59</x:v>
      </x:c>
      <x:c r="H4489" s="12" t="n">
        <x:v>34935.796532</x:v>
      </x:c>
      <x:c r="I4489" s="13" t="n">
        <x:v>0.1872</x:v>
      </x:c>
      <x:c r="J4489" s="2" t="n">
        <x:v>0</x:v>
      </x:c>
      <x:c r="K4489" s="2" t="n">
        <x:v>1</x:v>
      </x:c>
      <x:c r="L4489" s="12" t="n">
        <x:v>1063.5378500000002</x:v>
      </x:c>
      <x:c r="M4489" s="13" t="n">
        <x:v>1</x:v>
      </x:c>
      <x:c r="N4489" s="13" t="n">
        <x:f>H4489/G4489</x:f>
        <x:v>0.18521140912317824</x:v>
      </x:c>
      <x:c r="O4489" s="13" t="n">
        <x:f>F4489/E4489</x:f>
        <x:v>0</x:v>
      </x:c>
      <x:c r="P4489" s="2" t="str">
        <x:f>IF(AND(E4489&gt;='Итоги'!$F$5,N4489&lt;='Итоги'!$B$5,O4489&gt;='Итоги'!$D$5),"Да","Нет")</x:f>
        <x:v>Нет</x:v>
      </x:c>
    </x:row>
    <x:row r="4490" ht="60" customHeight="1">
      <x:c r="A4490" s="14" t="str">
        <x:v>Школьные принадлежности и канцелярия</x:v>
      </x:c>
      <x:c r="B4490" s="14" t="str">
        <x:v>Товары для школы, канцелярия, оборудование</x:v>
      </x:c>
      <x:c r="C4490" s="14" t="str">
        <x:v>Ранец, рюкзак, сумка школьные</x:v>
      </x:c>
      <x:c r="D4490" s="14" t="str">
        <x:v>Сумка для сменной обуви</x:v>
      </x:c>
      <x:c r="E4490" s="2" t="n">
        <x:v>2</x:v>
      </x:c>
      <x:c r="F4490" s="2" t="n">
        <x:v>0</x:v>
      </x:c>
      <x:c r="G4490" s="12" t="n">
        <x:v>155359.34</x:v>
      </x:c>
      <x:c r="H4490" s="12" t="n">
        <x:v>28827.336056</x:v>
      </x:c>
      <x:c r="I4490" s="13" t="n">
        <x:v>0.1909</x:v>
      </x:c>
      <x:c r="J4490" s="2" t="n">
        <x:v>0</x:v>
      </x:c>
      <x:c r="K4490" s="2" t="n">
        <x:v>2</x:v>
      </x:c>
      <x:c r="L4490" s="12" t="n">
        <x:v>928.00165</x:v>
      </x:c>
      <x:c r="M4490" s="13" t="n">
        <x:v>0.5629100896025948</x:v>
      </x:c>
      <x:c r="N4490" s="13" t="n">
        <x:f>H4490/G4490</x:f>
        <x:v>0.18555264238377944</x:v>
      </x:c>
      <x:c r="O4490" s="13" t="n">
        <x:f>F4490/E4490</x:f>
        <x:v>0</x:v>
      </x:c>
      <x:c r="P4490" s="2" t="str">
        <x:f>IF(AND(E4490&gt;='Итоги'!$F$5,N4490&lt;='Итоги'!$B$5,O4490&gt;='Итоги'!$D$5),"Да","Нет")</x:f>
        <x:v>Нет</x:v>
      </x:c>
    </x:row>
    <x:row r="4491" ht="60" customHeight="1">
      <x:c r="A4491" s="14" t="str">
        <x:v>Хобби и творчество</x:v>
      </x:c>
      <x:c r="B4491" s="14" t="str">
        <x:v>Детское творчество и хобби</x:v>
      </x:c>
      <x:c r="C4491" s="14" t="str">
        <x:v>Настольные и обучающие игры</x:v>
      </x:c>
      <x:c r="D4491" s="14" t="str">
        <x:v>Кубики для малышей</x:v>
      </x:c>
      <x:c r="E4491" s="2" t="n">
        <x:v>2</x:v>
      </x:c>
      <x:c r="F4491" s="2" t="n">
        <x:v>0</x:v>
      </x:c>
      <x:c r="G4491" s="12" t="n">
        <x:v>174391</x:v>
      </x:c>
      <x:c r="H4491" s="12" t="n">
        <x:v>32665.0342</x:v>
      </x:c>
      <x:c r="I4491" s="13" t="n">
        <x:v>0.1825</x:v>
      </x:c>
      <x:c r="J4491" s="2" t="n">
        <x:v>0</x:v>
      </x:c>
      <x:c r="K4491" s="2" t="n">
        <x:v>1</x:v>
      </x:c>
      <x:c r="L4491" s="12" t="n">
        <x:v>2707.23305</x:v>
      </x:c>
      <x:c r="M4491" s="13" t="n">
        <x:v>1</x:v>
      </x:c>
      <x:c r="N4491" s="13" t="n">
        <x:f>H4491/G4491</x:f>
        <x:v>0.18730917421197193</x:v>
      </x:c>
      <x:c r="O4491" s="13" t="n">
        <x:f>F4491/E4491</x:f>
        <x:v>0</x:v>
      </x:c>
      <x:c r="P4491" s="2" t="str">
        <x:f>IF(AND(E4491&gt;='Итоги'!$F$5,N4491&lt;='Итоги'!$B$5,O4491&gt;='Итоги'!$D$5),"Да","Нет")</x:f>
        <x:v>Нет</x:v>
      </x:c>
    </x:row>
    <x:row r="4492" ht="60" customHeight="1">
      <x:c r="A4492" s="14" t="str">
        <x:v>Ноутбуки и компьютеры</x:v>
      </x:c>
      <x:c r="B4492" s="14" t="str">
        <x:v>Компьютерная периферия Lap&amp;Comp</x:v>
      </x:c>
      <x:c r="C4492" s="14" t="str">
        <x:v>Периферийное оборудование Lap&amp;Comp</x:v>
      </x:c>
      <x:c r="D4492" s="14" t="str">
        <x:v>Подставка для PC гарнитуры</x:v>
      </x:c>
      <x:c r="E4492" s="2" t="n">
        <x:v>5</x:v>
      </x:c>
      <x:c r="F4492" s="2" t="n">
        <x:v>0</x:v>
      </x:c>
      <x:c r="G4492" s="12" t="n">
        <x:v>581529.45</x:v>
      </x:c>
      <x:c r="H4492" s="12" t="n">
        <x:v>109191.808727</x:v>
      </x:c>
      <x:c r="I4492" s="13" t="n">
        <x:v>0.179</x:v>
      </x:c>
      <x:c r="J4492" s="2" t="n">
        <x:v>0</x:v>
      </x:c>
      <x:c r="K4492" s="2" t="n">
        <x:v>4</x:v>
      </x:c>
      <x:c r="L4492" s="12" t="n">
        <x:v>1006.3784</x:v>
      </x:c>
      <x:c r="M4492" s="13" t="n">
        <x:v>0.6255260675104245</x:v>
      </x:c>
      <x:c r="N4492" s="13" t="n">
        <x:f>H4492/G4492</x:f>
        <x:v>0.18776660189264707</x:v>
      </x:c>
      <x:c r="O4492" s="13" t="n">
        <x:f>F4492/E4492</x:f>
        <x:v>0</x:v>
      </x:c>
      <x:c r="P4492" s="2" t="str">
        <x:f>IF(AND(E4492&gt;='Итоги'!$F$5,N4492&lt;='Итоги'!$B$5,O4492&gt;='Итоги'!$D$5),"Да","Нет")</x:f>
        <x:v>Нет</x:v>
      </x:c>
    </x:row>
    <x:row r="4493" ht="60" customHeight="1">
      <x:c r="A4493" s="14" t="str">
        <x:v>Товары для дома</x:v>
      </x:c>
      <x:c r="B4493" s="14" t="str">
        <x:v>Домашний текстиль</x:v>
      </x:c>
      <x:c r="C4493" s="14" t="str">
        <x:v>Полотенце</x:v>
      </x:c>
      <x:c r="D4493" s="14" t="str">
        <x:v>Полотенце пляжное</x:v>
      </x:c>
      <x:c r="E4493" s="2" t="n">
        <x:v>14</x:v>
      </x:c>
      <x:c r="F4493" s="2" t="n">
        <x:v>0</x:v>
      </x:c>
      <x:c r="G4493" s="12" t="n">
        <x:v>954681.9243</x:v>
      </x:c>
      <x:c r="H4493" s="12" t="n">
        <x:v>179532.53339415</x:v>
      </x:c>
      <x:c r="I4493" s="13" t="n">
        <x:v>0.1738571428571428</x:v>
      </x:c>
      <x:c r="J4493" s="2" t="n">
        <x:v>0</x:v>
      </x:c>
      <x:c r="K4493" s="2" t="n">
        <x:v>5</x:v>
      </x:c>
      <x:c r="L4493" s="12" t="n">
        <x:v>1030.0166</x:v>
      </x:c>
      <x:c r="M4493" s="13" t="n">
        <x:v>0.2358855919107507</x:v>
      </x:c>
      <x:c r="N4493" s="13" t="n">
        <x:f>H4493/G4493</x:f>
        <x:v>0.18805481577101021</x:v>
      </x:c>
      <x:c r="O4493" s="13" t="n">
        <x:f>F4493/E4493</x:f>
        <x:v>0</x:v>
      </x:c>
      <x:c r="P4493" s="2" t="str">
        <x:f>IF(AND(E4493&gt;='Итоги'!$F$5,N4493&lt;='Итоги'!$B$5,O4493&gt;='Итоги'!$D$5),"Да","Нет")</x:f>
        <x:v>Нет</x:v>
      </x:c>
    </x:row>
    <x:row r="4494" ht="60" customHeight="1">
      <x:c r="A4494" s="14" t="str">
        <x:v>Аксессуары</x:v>
      </x:c>
      <x:c r="B4494" s="14" t="str">
        <x:v>Аксессуары</x:v>
      </x:c>
      <x:c r="C4494" s="14" t="str">
        <x:v>Аксессуары для путешествий</x:v>
      </x:c>
      <x:c r="D4494" s="14" t="str">
        <x:v>Ремень для багажа</x:v>
      </x:c>
      <x:c r="E4494" s="2" t="n">
        <x:v>1</x:v>
      </x:c>
      <x:c r="F4494" s="2" t="n">
        <x:v>0</x:v>
      </x:c>
      <x:c r="G4494" s="12" t="n">
        <x:v>99663.4929</x:v>
      </x:c>
      <x:c r="H4494" s="12" t="n">
        <x:v>18756.66936378</x:v>
      </x:c>
      <x:c r="I4494" s="13" t="n">
        <x:v>0.1882</x:v>
      </x:c>
      <x:c r="J4494" s="2" t="n">
        <x:v>0</x:v>
      </x:c>
      <x:c r="K4494" s="2" t="n">
        <x:v>1</x:v>
      </x:c>
      <x:c r="L4494" s="12" t="n">
        <x:v>874.2412</x:v>
      </x:c>
      <x:c r="M4494" s="13" t="n">
        <x:v>1</x:v>
      </x:c>
      <x:c r="N4494" s="13" t="n">
        <x:f>H4494/G4494</x:f>
        <x:v>0.18820000000000003</x:v>
      </x:c>
      <x:c r="O4494" s="13" t="n">
        <x:f>F4494/E4494</x:f>
        <x:v>0</x:v>
      </x:c>
      <x:c r="P4494" s="2" t="str">
        <x:f>IF(AND(E4494&gt;='Итоги'!$F$5,N4494&lt;='Итоги'!$B$5,O4494&gt;='Итоги'!$D$5),"Да","Нет")</x:f>
        <x:v>Нет</x:v>
      </x:c>
    </x:row>
    <x:row r="4495" ht="60" customHeight="1">
      <x:c r="A4495" s="14" t="str">
        <x:v>Товары для дома</x:v>
      </x:c>
      <x:c r="B4495" s="14" t="str">
        <x:v>Антиквариат Хоум Декор</x:v>
      </x:c>
      <x:c r="C4495" s="14" t="str">
        <x:v>Коллекционирование Хоум Декор</x:v>
      </x:c>
      <x:c r="D4495" s="14" t="str">
        <x:v>Альбом для банкнот</x:v>
      </x:c>
      <x:c r="E4495" s="2" t="n">
        <x:v>5</x:v>
      </x:c>
      <x:c r="F4495" s="2" t="n">
        <x:v>0</x:v>
      </x:c>
      <x:c r="G4495" s="12" t="n">
        <x:v>682969.6623</x:v>
      </x:c>
      <x:c r="H4495" s="12" t="n">
        <x:v>128552.32827672</x:v>
      </x:c>
      <x:c r="I4495" s="13" t="n">
        <x:v>0.18832</x:v>
      </x:c>
      <x:c r="J4495" s="2" t="n">
        <x:v>0</x:v>
      </x:c>
      <x:c r="K4495" s="2" t="n">
        <x:v>2</x:v>
      </x:c>
      <x:c r="L4495" s="12" t="n">
        <x:v>960.6145</x:v>
      </x:c>
      <x:c r="M4495" s="13" t="n">
        <x:v>0.5981036285336038</x:v>
      </x:c>
      <x:c r="N4495" s="13" t="n">
        <x:f>H4495/G4495</x:f>
        <x:v>0.18822553236669587</x:v>
      </x:c>
      <x:c r="O4495" s="13" t="n">
        <x:f>F4495/E4495</x:f>
        <x:v>0</x:v>
      </x:c>
      <x:c r="P4495" s="2" t="str">
        <x:f>IF(AND(E4495&gt;='Итоги'!$F$5,N4495&lt;='Итоги'!$B$5,O4495&gt;='Итоги'!$D$5),"Да","Нет")</x:f>
        <x:v>Нет</x:v>
      </x:c>
    </x:row>
    <x:row r="4496" ht="60" customHeight="1">
      <x:c r="A4496" s="14" t="str">
        <x:v>Аксессуары</x:v>
      </x:c>
      <x:c r="B4496" s="14" t="str">
        <x:v>Аксессуары</x:v>
      </x:c>
      <x:c r="C4496" s="14" t="str">
        <x:v>Аксессуары и уход для обуви</x:v>
      </x:c>
      <x:c r="D4496" s="14" t="str">
        <x:v>Крем для обуви</x:v>
      </x:c>
      <x:c r="E4496" s="2" t="n">
        <x:v>1</x:v>
      </x:c>
      <x:c r="F4496" s="2" t="n">
        <x:v>0</x:v>
      </x:c>
      <x:c r="G4496" s="12" t="n">
        <x:v>137738.6342</x:v>
      </x:c>
      <x:c r="H4496" s="12" t="n">
        <x:v>26390.72231272</x:v>
      </x:c>
      <x:c r="I4496" s="13" t="n">
        <x:v>0.1916</x:v>
      </x:c>
      <x:c r="J4496" s="2" t="n">
        <x:v>0</x:v>
      </x:c>
      <x:c r="K4496" s="2" t="n">
        <x:v>1</x:v>
      </x:c>
      <x:c r="L4496" s="12" t="n">
        <x:v>773.8126</x:v>
      </x:c>
      <x:c r="M4496" s="13" t="n">
        <x:v>1</x:v>
      </x:c>
      <x:c r="N4496" s="13" t="n">
        <x:f>H4496/G4496</x:f>
        <x:v>0.19160000000000002</x:v>
      </x:c>
      <x:c r="O4496" s="13" t="n">
        <x:f>F4496/E4496</x:f>
        <x:v>0</x:v>
      </x:c>
      <x:c r="P4496" s="2" t="str">
        <x:f>IF(AND(E4496&gt;='Итоги'!$F$5,N4496&lt;='Итоги'!$B$5,O4496&gt;='Итоги'!$D$5),"Да","Нет")</x:f>
        <x:v>Нет</x:v>
      </x:c>
    </x:row>
    <x:row r="4497" ht="60" customHeight="1">
      <x:c r="A4497" s="14" t="str">
        <x:v>Автотовары</x:v>
      </x:c>
      <x:c r="B4497" s="14" t="str">
        <x:v>Электронные устройства для авто</x:v>
      </x:c>
      <x:c r="C4497" s="14" t="str">
        <x:v>Автоэлектроника</x:v>
      </x:c>
      <x:c r="D4497" s="14" t="str">
        <x:v>Многофункциональное зеркало заднего вида</x:v>
      </x:c>
      <x:c r="E4497" s="2" t="n">
        <x:v>31</x:v>
      </x:c>
      <x:c r="F4497" s="2" t="n">
        <x:v>0</x:v>
      </x:c>
      <x:c r="G4497" s="12" t="n">
        <x:v>6012559.8587</x:v>
      </x:c>
      <x:c r="H4497" s="12" t="n">
        <x:v>1161202.47569332</x:v>
      </x:c>
      <x:c r="I4497" s="13" t="n">
        <x:v>0.1933419354838709</x:v>
      </x:c>
      <x:c r="J4497" s="2" t="n">
        <x:v>2</x:v>
      </x:c>
      <x:c r="K4497" s="2" t="n">
        <x:v>21</x:v>
      </x:c>
      <x:c r="L4497" s="12" t="n">
        <x:v>2562.2491</x:v>
      </x:c>
      <x:c r="M4497" s="13" t="n">
        <x:v>0.336010388849054</x:v>
      </x:c>
      <x:c r="N4497" s="13" t="n">
        <x:f>H4497/G4497</x:f>
        <x:v>0.1931294661479492</x:v>
      </x:c>
      <x:c r="O4497" s="13" t="n">
        <x:f>F4497/E4497</x:f>
        <x:v>0</x:v>
      </x:c>
      <x:c r="P4497" s="2" t="str">
        <x:f>IF(AND(E4497&gt;='Итоги'!$F$5,N4497&lt;='Итоги'!$B$5,O4497&gt;='Итоги'!$D$5),"Да","Нет")</x:f>
        <x:v>Нет</x:v>
      </x:c>
    </x:row>
    <x:row r="4498" ht="60" customHeight="1">
      <x:c r="A4498" s="14" t="str">
        <x:v>Товары для дома</x:v>
      </x:c>
      <x:c r="B4498" s="14" t="str">
        <x:v>Кухня</x:v>
      </x:c>
      <x:c r="C4498" s="14" t="str">
        <x:v>Кухонная навеска</x:v>
      </x:c>
      <x:c r="D4498" s="14" t="str">
        <x:v>Щипцы кулинарные</x:v>
      </x:c>
      <x:c r="E4498" s="2" t="n">
        <x:v>2</x:v>
      </x:c>
      <x:c r="F4498" s="2" t="n">
        <x:v>0</x:v>
      </x:c>
      <x:c r="G4498" s="12" t="n">
        <x:v>369507.54</x:v>
      </x:c>
      <x:c r="H4498" s="12" t="n">
        <x:v>71392.11753</x:v>
      </x:c>
      <x:c r="I4498" s="13" t="n">
        <x:v>0.1735</x:v>
      </x:c>
      <x:c r="J4498" s="2" t="n">
        <x:v>0</x:v>
      </x:c>
      <x:c r="K4498" s="2" t="n">
        <x:v>2</x:v>
      </x:c>
      <x:c r="L4498" s="12" t="n">
        <x:v>230.32675</x:v>
      </x:c>
      <x:c r="M4498" s="13" t="n">
        <x:v>0.6340736375771926</x:v>
      </x:c>
      <x:c r="N4498" s="13" t="n">
        <x:f>H4498/G4498</x:f>
        <x:v>0.19320882472384734</x:v>
      </x:c>
      <x:c r="O4498" s="13" t="n">
        <x:f>F4498/E4498</x:f>
        <x:v>0</x:v>
      </x:c>
      <x:c r="P4498" s="2" t="str">
        <x:f>IF(AND(E4498&gt;='Итоги'!$F$5,N4498&lt;='Итоги'!$B$5,O4498&gt;='Итоги'!$D$5),"Да","Нет")</x:f>
        <x:v>Нет</x:v>
      </x:c>
    </x:row>
    <x:row r="4499" ht="60" customHeight="1">
      <x:c r="A4499" s="14" t="str">
        <x:v>Хобби и творчество</x:v>
      </x:c>
      <x:c r="B4499" s="14" t="str">
        <x:v>Детское творчество и хобби</x:v>
      </x:c>
      <x:c r="C4499" s="14" t="str">
        <x:v>Рукоделие для детей</x:v>
      </x:c>
      <x:c r="D4499" s="14" t="str">
        <x:v>Детский подарочный новогодний набор для творчества</x:v>
      </x:c>
      <x:c r="E4499" s="2" t="n">
        <x:v>2</x:v>
      </x:c>
      <x:c r="F4499" s="2" t="n">
        <x:v>0</x:v>
      </x:c>
      <x:c r="G4499" s="12" t="n">
        <x:v>173053.62</x:v>
      </x:c>
      <x:c r="H4499" s="12" t="n">
        <x:v>33435.55398</x:v>
      </x:c>
      <x:c r="I4499" s="13" t="n">
        <x:v>0.19365</x:v>
      </x:c>
      <x:c r="J4499" s="2" t="n">
        <x:v>0</x:v>
      </x:c>
      <x:c r="K4499" s="2" t="n">
        <x:v>2</x:v>
      </x:c>
      <x:c r="L4499" s="12" t="n">
        <x:v>1064.97115</x:v>
      </x:c>
      <x:c r="M4499" s="13" t="n">
        <x:v>0.5108301114995456</x:v>
      </x:c>
      <x:c r="N4499" s="13" t="n">
        <x:f>H4499/G4499</x:f>
        <x:v>0.19320921446196848</x:v>
      </x:c>
      <x:c r="O4499" s="13" t="n">
        <x:f>F4499/E4499</x:f>
        <x:v>0</x:v>
      </x:c>
      <x:c r="P4499" s="2" t="str">
        <x:f>IF(AND(E4499&gt;='Итоги'!$F$5,N4499&lt;='Итоги'!$B$5,O4499&gt;='Итоги'!$D$5),"Да","Нет")</x:f>
        <x:v>Нет</x:v>
      </x:c>
    </x:row>
    <x:row r="4500" ht="60" customHeight="1">
      <x:c r="A4500" s="14" t="str">
        <x:v>Товары для дома</x:v>
      </x:c>
      <x:c r="B4500" s="14" t="str">
        <x:v>Кухня</x:v>
      </x:c>
      <x:c r="C4500" s="14" t="str">
        <x:v>Нож, ножницы кухонные</x:v>
      </x:c>
      <x:c r="D4500" s="14" t="str">
        <x:v>Нож-топорик</x:v>
      </x:c>
      <x:c r="E4500" s="2" t="n">
        <x:v>8</x:v>
      </x:c>
      <x:c r="F4500" s="2" t="n">
        <x:v>0</x:v>
      </x:c>
      <x:c r="G4500" s="12" t="n">
        <x:v>1144310.6088</x:v>
      </x:c>
      <x:c r="H4500" s="12" t="n">
        <x:v>221341.66907136</x:v>
      </x:c>
      <x:c r="I4500" s="13" t="n">
        <x:v>0.2181875</x:v>
      </x:c>
      <x:c r="J4500" s="2" t="n">
        <x:v>0</x:v>
      </x:c>
      <x:c r="K4500" s="2" t="n">
        <x:v>5</x:v>
      </x:c>
      <x:c r="L4500" s="12" t="n">
        <x:v>1894.23805</x:v>
      </x:c>
      <x:c r="M4500" s="13" t="n">
        <x:v>0.3282060272899569</x:v>
      </x:c>
      <x:c r="N4500" s="13" t="n">
        <x:f>H4500/G4500</x:f>
        <x:v>0.19342796210154298</x:v>
      </x:c>
      <x:c r="O4500" s="13" t="n">
        <x:f>F4500/E4500</x:f>
        <x:v>0</x:v>
      </x:c>
      <x:c r="P4500" s="2" t="str">
        <x:f>IF(AND(E4500&gt;='Итоги'!$F$5,N4500&lt;='Итоги'!$B$5,O4500&gt;='Итоги'!$D$5),"Да","Нет")</x:f>
        <x:v>Нет</x:v>
      </x:c>
    </x:row>
    <x:row r="4501" ht="60" customHeight="1">
      <x:c r="A4501" s="14" t="str">
        <x:v>Ноутбуки и компьютеры</x:v>
      </x:c>
      <x:c r="B4501" s="14" t="str">
        <x:v>Игровые приставки и аксессуары Lap&amp;Comp</x:v>
      </x:c>
      <x:c r="C4501" s="14" t="str">
        <x:v>Аксессуары оригинальные для игровой приставки Lap&amp;Comp</x:v>
      </x:c>
      <x:c r="D4501" s="14" t="str">
        <x:v>Оригинальное зарядное устройство для игровой приставки, геймпада</x:v>
      </x:c>
      <x:c r="E4501" s="2" t="n">
        <x:v>4</x:v>
      </x:c>
      <x:c r="F4501" s="2" t="n">
        <x:v>0</x:v>
      </x:c>
      <x:c r="G4501" s="12" t="n">
        <x:v>1182837.8163</x:v>
      </x:c>
      <x:c r="H4501" s="12" t="n">
        <x:v>229028.50869143003</x:v>
      </x:c>
      <x:c r="I4501" s="13" t="n">
        <x:v>0.21755</x:v>
      </x:c>
      <x:c r="J4501" s="2" t="n">
        <x:v>0</x:v>
      </x:c>
      <x:c r="K4501" s="2" t="n">
        <x:v>2</x:v>
      </x:c>
      <x:c r="L4501" s="12" t="n">
        <x:v>1249.187</x:v>
      </x:c>
      <x:c r="M4501" s="13" t="n">
        <x:v>0.8871254136787442</x:v>
      </x:c>
      <x:c r="N4501" s="13" t="n">
        <x:f>H4501/G4501</x:f>
        <x:v>0.1936262990033979</x:v>
      </x:c>
      <x:c r="O4501" s="13" t="n">
        <x:f>F4501/E4501</x:f>
        <x:v>0</x:v>
      </x:c>
      <x:c r="P4501" s="2" t="str">
        <x:f>IF(AND(E4501&gt;='Итоги'!$F$5,N4501&lt;='Итоги'!$B$5,O4501&gt;='Итоги'!$D$5),"Да","Нет")</x:f>
        <x:v>Нет</x:v>
      </x:c>
    </x:row>
    <x:row r="4502" ht="60" customHeight="1">
      <x:c r="A4502" s="14" t="str">
        <x:v>Аксессуары для электроники</x:v>
      </x:c>
      <x:c r="B4502" s="14" t="str">
        <x:v>Компьютерная периферия Access</x:v>
      </x:c>
      <x:c r="C4502" s="14" t="str">
        <x:v>Периферийное оборудование Access</x:v>
      </x:c>
      <x:c r="D4502" s="14" t="str">
        <x:v>TV тюнер</x:v>
      </x:c>
      <x:c r="E4502" s="2" t="n">
        <x:v>2</x:v>
      </x:c>
      <x:c r="F4502" s="2" t="n">
        <x:v>0</x:v>
      </x:c>
      <x:c r="G4502" s="12" t="n">
        <x:v>122388</x:v>
      </x:c>
      <x:c r="H4502" s="12" t="n">
        <x:v>23708.6781</x:v>
      </x:c>
      <x:c r="I4502" s="13" t="n">
        <x:v>0.18985</x:v>
      </x:c>
      <x:c r="J4502" s="2" t="n">
        <x:v>0</x:v>
      </x:c>
      <x:c r="K4502" s="2" t="n">
        <x:v>1</x:v>
      </x:c>
      <x:c r="L4502" s="12" t="n">
        <x:v>5660.769249999999</x:v>
      </x:c>
      <x:c r="M4502" s="13" t="n">
        <x:v>1</x:v>
      </x:c>
      <x:c r="N4502" s="13" t="n">
        <x:f>H4502/G4502</x:f>
        <x:v>0.19371734238650848</x:v>
      </x:c>
      <x:c r="O4502" s="13" t="n">
        <x:f>F4502/E4502</x:f>
        <x:v>0</x:v>
      </x:c>
      <x:c r="P4502" s="2" t="str">
        <x:f>IF(AND(E4502&gt;='Итоги'!$F$5,N4502&lt;='Итоги'!$B$5,O4502&gt;='Итоги'!$D$5),"Да","Нет")</x:f>
        <x:v>Нет</x:v>
      </x:c>
    </x:row>
    <x:row r="4503" ht="60" customHeight="1">
      <x:c r="A4503" s="14" t="str">
        <x:v>Мелкая бытовая техника</x:v>
      </x:c>
      <x:c r="B4503" s="14" t="str">
        <x:v>SDA Климатическая техника</x:v>
      </x:c>
      <x:c r="C4503" s="14" t="str">
        <x:v>Климатическая техника SDA</x:v>
      </x:c>
      <x:c r="D4503" s="14" t="str">
        <x:v>Радиатор электрический</x:v>
      </x:c>
      <x:c r="E4503" s="2" t="n">
        <x:v>4</x:v>
      </x:c>
      <x:c r="F4503" s="2" t="n">
        <x:v>0</x:v>
      </x:c>
      <x:c r="G4503" s="12" t="n">
        <x:v>361744</x:v>
      </x:c>
      <x:c r="H4503" s="12" t="n">
        <x:v>70103.8422</x:v>
      </x:c>
      <x:c r="I4503" s="13" t="n">
        <x:v>0.1999749999999999</x:v>
      </x:c>
      <x:c r="J4503" s="2" t="n">
        <x:v>0</x:v>
      </x:c>
      <x:c r="K4503" s="2" t="n">
        <x:v>2</x:v>
      </x:c>
      <x:c r="L4503" s="12" t="n">
        <x:v>3169.59165</x:v>
      </x:c>
      <x:c r="M4503" s="13" t="n">
        <x:v>0.8056166791985493</x:v>
      </x:c>
      <x:c r="N4503" s="13" t="n">
        <x:f>H4503/G4503</x:f>
        <x:v>0.19379407039232163</x:v>
      </x:c>
      <x:c r="O4503" s="13" t="n">
        <x:f>F4503/E4503</x:f>
        <x:v>0</x:v>
      </x:c>
      <x:c r="P4503" s="2" t="str">
        <x:f>IF(AND(E4503&gt;='Итоги'!$F$5,N4503&lt;='Итоги'!$B$5,O4503&gt;='Итоги'!$D$5),"Да","Нет")</x:f>
        <x:v>Нет</x:v>
      </x:c>
    </x:row>
    <x:row r="4504" ht="60" customHeight="1">
      <x:c r="A4504" s="14" t="str">
        <x:v>Спорт и отдых</x:v>
      </x:c>
      <x:c r="B4504" s="14" t="str">
        <x:v>Туризм</x:v>
      </x:c>
      <x:c r="C4504" s="14" t="str">
        <x:v>Приготовление пищи, посуда туристическая</x:v>
      </x:c>
      <x:c r="D4504" s="14" t="str">
        <x:v>Столовые приборы для туризма, пикника</x:v>
      </x:c>
      <x:c r="E4504" s="2" t="n">
        <x:v>1</x:v>
      </x:c>
      <x:c r="F4504" s="2" t="n">
        <x:v>0</x:v>
      </x:c>
      <x:c r="G4504" s="12" t="n">
        <x:v>107814.87</x:v>
      </x:c>
      <x:c r="H4504" s="12" t="n">
        <x:v>20948.429241</x:v>
      </x:c>
      <x:c r="I4504" s="13" t="n">
        <x:v>0.1943</x:v>
      </x:c>
      <x:c r="J4504" s="2" t="n">
        <x:v>0</x:v>
      </x:c>
      <x:c r="K4504" s="2" t="n">
        <x:v>1</x:v>
      </x:c>
      <x:c r="L4504" s="12" t="n">
        <x:v>2200.3035</x:v>
      </x:c>
      <x:c r="M4504" s="13" t="n">
        <x:v>1</x:v>
      </x:c>
      <x:c r="N4504" s="13" t="n">
        <x:f>H4504/G4504</x:f>
        <x:v>0.19430000000000003</x:v>
      </x:c>
      <x:c r="O4504" s="13" t="n">
        <x:f>F4504/E4504</x:f>
        <x:v>0</x:v>
      </x:c>
      <x:c r="P4504" s="2" t="str">
        <x:f>IF(AND(E4504&gt;='Итоги'!$F$5,N4504&lt;='Итоги'!$B$5,O4504&gt;='Итоги'!$D$5),"Да","Нет")</x:f>
        <x:v>Нет</x:v>
      </x:c>
    </x:row>
    <x:row r="4505" ht="60" customHeight="1">
      <x:c r="A4505" s="14" t="str">
        <x:v>Хобби и творчество</x:v>
      </x:c>
      <x:c r="B4505" s="14" t="str">
        <x:v>Детское творчество и хобби</x:v>
      </x:c>
      <x:c r="C4505" s="14" t="str">
        <x:v>Лепка для детей</x:v>
      </x:c>
      <x:c r="D4505" s="14" t="str">
        <x:v>Набор для изготовления слайма</x:v>
      </x:c>
      <x:c r="E4505" s="2" t="n">
        <x:v>3</x:v>
      </x:c>
      <x:c r="F4505" s="2" t="n">
        <x:v>0</x:v>
      </x:c>
      <x:c r="G4505" s="12" t="n">
        <x:v>312534.3204</x:v>
      </x:c>
      <x:c r="H4505" s="12" t="n">
        <x:v>60749.98171199999</x:v>
      </x:c>
      <x:c r="I4505" s="13" t="n">
        <x:v>0.1831666666666666</x:v>
      </x:c>
      <x:c r="J4505" s="2" t="n">
        <x:v>1</x:v>
      </x:c>
      <x:c r="K4505" s="2" t="n">
        <x:v>1</x:v>
      </x:c>
      <x:c r="L4505" s="12" t="n">
        <x:v>1389.3291</x:v>
      </x:c>
      <x:c r="M4505" s="13" t="n">
        <x:v>1</x:v>
      </x:c>
      <x:c r="N4505" s="13" t="n">
        <x:f>H4505/G4505</x:f>
        <x:v>0.19437859379491043</x:v>
      </x:c>
      <x:c r="O4505" s="13" t="n">
        <x:f>F4505/E4505</x:f>
        <x:v>0</x:v>
      </x:c>
      <x:c r="P4505" s="2" t="str">
        <x:f>IF(AND(E4505&gt;='Итоги'!$F$5,N4505&lt;='Итоги'!$B$5,O4505&gt;='Итоги'!$D$5),"Да","Нет")</x:f>
        <x:v>Нет</x:v>
      </x:c>
    </x:row>
    <x:row r="4506" ht="60" customHeight="1">
      <x:c r="A4506" s="14" t="str">
        <x:v>Товары для красоты и здоровья</x:v>
      </x:c>
      <x:c r="B4506" s="14" t="str">
        <x:v>Декоративная косметика</x:v>
      </x:c>
      <x:c r="C4506" s="14" t="str">
        <x:v>Глаза, ресницы, брови</x:v>
      </x:c>
      <x:c r="D4506" s="14" t="str">
        <x:v>Карандаш для глаз</x:v>
      </x:c>
      <x:c r="E4506" s="2" t="n">
        <x:v>1</x:v>
      </x:c>
      <x:c r="F4506" s="2" t="n">
        <x:v>0</x:v>
      </x:c>
      <x:c r="G4506" s="12" t="n">
        <x:v>120488.85</x:v>
      </x:c>
      <x:c r="H4506" s="12" t="n">
        <x:v>23555.570175</x:v>
      </x:c>
      <x:c r="I4506" s="13" t="n">
        <x:v>0.1955</x:v>
      </x:c>
      <x:c r="J4506" s="2" t="n">
        <x:v>0</x:v>
      </x:c>
      <x:c r="K4506" s="2" t="n">
        <x:v>1</x:v>
      </x:c>
      <x:c r="L4506" s="12" t="n">
        <x:v>1158.5466</x:v>
      </x:c>
      <x:c r="M4506" s="13" t="n">
        <x:v>1</x:v>
      </x:c>
      <x:c r="N4506" s="13" t="n">
        <x:f>H4506/G4506</x:f>
        <x:v>0.1955</x:v>
      </x:c>
      <x:c r="O4506" s="13" t="n">
        <x:f>F4506/E4506</x:f>
        <x:v>0</x:v>
      </x:c>
      <x:c r="P4506" s="2" t="str">
        <x:f>IF(AND(E4506&gt;='Итоги'!$F$5,N4506&lt;='Итоги'!$B$5,O4506&gt;='Итоги'!$D$5),"Да","Нет")</x:f>
        <x:v>Нет</x:v>
      </x:c>
    </x:row>
    <x:row r="4507" ht="60" customHeight="1">
      <x:c r="A4507" s="14" t="str">
        <x:v>Аксессуары</x:v>
      </x:c>
      <x:c r="B4507" s="14" t="str">
        <x:v>Бижутерия и часы бижутерные</x:v>
      </x:c>
      <x:c r="C4507" s="14" t="str">
        <x:v>Бижутерия</x:v>
      </x:c>
      <x:c r="D4507" s="14" t="str">
        <x:v>Бижу цепочка</x:v>
      </x:c>
      <x:c r="E4507" s="2" t="n">
        <x:v>4</x:v>
      </x:c>
      <x:c r="F4507" s="2" t="n">
        <x:v>0</x:v>
      </x:c>
      <x:c r="G4507" s="12" t="n">
        <x:v>294111.6569</x:v>
      </x:c>
      <x:c r="H4507" s="12" t="n">
        <x:v>57584.87834984</x:v>
      </x:c>
      <x:c r="I4507" s="13" t="n">
        <x:v>0.144575</x:v>
      </x:c>
      <x:c r="J4507" s="2" t="n">
        <x:v>1</x:v>
      </x:c>
      <x:c r="K4507" s="2" t="n">
        <x:v>4</x:v>
      </x:c>
      <x:c r="L4507" s="12" t="n">
        <x:v>1917.8145</x:v>
      </x:c>
      <x:c r="M4507" s="13" t="n">
        <x:v>0.5064466358456668</x:v>
      </x:c>
      <x:c r="N4507" s="13" t="n">
        <x:f>H4507/G4507</x:f>
        <x:v>0.1957925740067462</x:v>
      </x:c>
      <x:c r="O4507" s="13" t="n">
        <x:f>F4507/E4507</x:f>
        <x:v>0</x:v>
      </x:c>
      <x:c r="P4507" s="2" t="str">
        <x:f>IF(AND(E4507&gt;='Итоги'!$F$5,N4507&lt;='Итоги'!$B$5,O4507&gt;='Итоги'!$D$5),"Да","Нет")</x:f>
        <x:v>Нет</x:v>
      </x:c>
    </x:row>
    <x:row r="4508" ht="60" customHeight="1">
      <x:c r="A4508" s="14" t="str">
        <x:v>Аксессуары для электроники</x:v>
      </x:c>
      <x:c r="B4508" s="14" t="str">
        <x:v>Аксессуары для мобильных устройств Access</x:v>
      </x:c>
      <x:c r="C4508" s="14" t="str">
        <x:v>Аксессуары для смарт-часов, фитнес-браслетов Access</x:v>
      </x:c>
      <x:c r="D4508" s="14" t="str">
        <x:v>Защитное стекло, пленка для смарт-часов, фитнес-браслета</x:v>
      </x:c>
      <x:c r="E4508" s="2" t="n">
        <x:v>3</x:v>
      </x:c>
      <x:c r="F4508" s="2" t="n">
        <x:v>0</x:v>
      </x:c>
      <x:c r="G4508" s="12" t="n">
        <x:v>342953.8614</x:v>
      </x:c>
      <x:c r="H4508" s="12" t="n">
        <x:v>67692.84168994</x:v>
      </x:c>
      <x:c r="I4508" s="13" t="n">
        <x:v>0.1965666666666666</x:v>
      </x:c>
      <x:c r="J4508" s="2" t="n">
        <x:v>0</x:v>
      </x:c>
      <x:c r="K4508" s="2" t="n">
        <x:v>1</x:v>
      </x:c>
      <x:c r="L4508" s="12" t="n">
        <x:v>266.1363</x:v>
      </x:c>
      <x:c r="M4508" s="13" t="n">
        <x:v>1</x:v>
      </x:c>
      <x:c r="N4508" s="13" t="n">
        <x:f>H4508/G4508</x:f>
        <x:v>0.19738177436931464</x:v>
      </x:c>
      <x:c r="O4508" s="13" t="n">
        <x:f>F4508/E4508</x:f>
        <x:v>0</x:v>
      </x:c>
      <x:c r="P4508" s="2" t="str">
        <x:f>IF(AND(E4508&gt;='Итоги'!$F$5,N4508&lt;='Итоги'!$B$5,O4508&gt;='Итоги'!$D$5),"Да","Нет")</x:f>
        <x:v>Нет</x:v>
      </x:c>
    </x:row>
    <x:row r="4509" ht="60" customHeight="1">
      <x:c r="A4509" s="14" t="str">
        <x:v>Товары для дома</x:v>
      </x:c>
      <x:c r="B4509" s="14" t="str">
        <x:v>Кухня</x:v>
      </x:c>
      <x:c r="C4509" s="14" t="str">
        <x:v>Кухонная утварь и принадлежности</x:v>
      </x:c>
      <x:c r="D4509" s="14" t="str">
        <x:v>Пресс для чеснока</x:v>
      </x:c>
      <x:c r="E4509" s="2" t="n">
        <x:v>2</x:v>
      </x:c>
      <x:c r="F4509" s="2" t="n">
        <x:v>0</x:v>
      </x:c>
      <x:c r="G4509" s="12" t="n">
        <x:v>165121.6975</x:v>
      </x:c>
      <x:c r="H4509" s="12" t="n">
        <x:v>32598.2184345</x:v>
      </x:c>
      <x:c r="I4509" s="13" t="n">
        <x:v>0.1011</x:v>
      </x:c>
      <x:c r="J4509" s="2" t="n">
        <x:v>1</x:v>
      </x:c>
      <x:c r="K4509" s="2" t="n">
        <x:v>2</x:v>
      </x:c>
      <x:c r="L4509" s="12" t="n">
        <x:v>1385.18195</x:v>
      </x:c>
      <x:c r="M4509" s="13" t="n">
        <x:v>0.9763568322085594</x:v>
      </x:c>
      <x:c r="N4509" s="13" t="n">
        <x:f>H4509/G4509</x:f>
        <x:v>0.1974193514725707</x:v>
      </x:c>
      <x:c r="O4509" s="13" t="n">
        <x:f>F4509/E4509</x:f>
        <x:v>0</x:v>
      </x:c>
      <x:c r="P4509" s="2" t="str">
        <x:f>IF(AND(E4509&gt;='Итоги'!$F$5,N4509&lt;='Итоги'!$B$5,O4509&gt;='Итоги'!$D$5),"Да","Нет")</x:f>
        <x:v>Нет</x:v>
      </x:c>
    </x:row>
    <x:row r="4510" ht="60" customHeight="1">
      <x:c r="A4510" s="14" t="str">
        <x:v>Бакалея и кондитерские изделия</x:v>
      </x:c>
      <x:c r="B4510" s="14" t="str">
        <x:v>Бакалея</x:v>
      </x:c>
      <x:c r="C4510" s="14" t="str">
        <x:v>Консервы</x:v>
      </x:c>
      <x:c r="D4510" s="14" t="str">
        <x:v>Прополис</x:v>
      </x:c>
      <x:c r="E4510" s="2" t="n">
        <x:v>1</x:v>
      </x:c>
      <x:c r="F4510" s="2" t="n">
        <x:v>0</x:v>
      </x:c>
      <x:c r="G4510" s="12" t="n">
        <x:v>40163.8812</x:v>
      </x:c>
      <x:c r="H4510" s="12" t="n">
        <x:v>7932.366537000001</x:v>
      </x:c>
      <x:c r="I4510" s="13" t="n">
        <x:v>0.1975</x:v>
      </x:c>
      <x:c r="J4510" s="2" t="n">
        <x:v>0</x:v>
      </x:c>
      <x:c r="K4510" s="2" t="n">
        <x:v>1</x:v>
      </x:c>
      <x:c r="L4510" s="12" t="n">
        <x:v>979.6069</x:v>
      </x:c>
      <x:c r="M4510" s="13" t="n">
        <x:v>1</x:v>
      </x:c>
      <x:c r="N4510" s="13" t="n">
        <x:f>H4510/G4510</x:f>
        <x:v>0.1975</x:v>
      </x:c>
      <x:c r="O4510" s="13" t="n">
        <x:f>F4510/E4510</x:f>
        <x:v>0</x:v>
      </x:c>
      <x:c r="P4510" s="2" t="str">
        <x:f>IF(AND(E4510&gt;='Итоги'!$F$5,N4510&lt;='Итоги'!$B$5,O4510&gt;='Итоги'!$D$5),"Да","Нет")</x:f>
        <x:v>Нет</x:v>
      </x:c>
    </x:row>
    <x:row r="4511" ht="60" customHeight="1">
      <x:c r="A4511" s="14" t="str">
        <x:v>Товары для дома</x:v>
      </x:c>
      <x:c r="B4511" s="14" t="str">
        <x:v>Интерьер и декор</x:v>
      </x:c>
      <x:c r="C4511" s="14" t="str">
        <x:v>Принадлежности для праздника</x:v>
      </x:c>
      <x:c r="D4511" s="14" t="str">
        <x:v>Набор для проведения праздника</x:v>
      </x:c>
      <x:c r="E4511" s="2" t="n">
        <x:v>1</x:v>
      </x:c>
      <x:c r="F4511" s="2" t="n">
        <x:v>0</x:v>
      </x:c>
      <x:c r="G4511" s="12" t="n">
        <x:v>94354</x:v>
      </x:c>
      <x:c r="H4511" s="12" t="n">
        <x:v>18634.915</x:v>
      </x:c>
      <x:c r="I4511" s="13" t="n">
        <x:v>0.1975</x:v>
      </x:c>
      <x:c r="J4511" s="2" t="n">
        <x:v>0</x:v>
      </x:c>
      <x:c r="K4511" s="2" t="n">
        <x:v>1</x:v>
      </x:c>
      <x:c r="L4511" s="12" t="n">
        <x:v>982.8542</x:v>
      </x:c>
      <x:c r="M4511" s="13" t="n">
        <x:v>1</x:v>
      </x:c>
      <x:c r="N4511" s="13" t="n">
        <x:f>H4511/G4511</x:f>
        <x:v>0.1975</x:v>
      </x:c>
      <x:c r="O4511" s="13" t="n">
        <x:f>F4511/E4511</x:f>
        <x:v>0</x:v>
      </x:c>
      <x:c r="P4511" s="2" t="str">
        <x:f>IF(AND(E4511&gt;='Итоги'!$F$5,N4511&lt;='Итоги'!$B$5,O4511&gt;='Итоги'!$D$5),"Да","Нет")</x:f>
        <x:v>Нет</x:v>
      </x:c>
    </x:row>
    <x:row r="4512" ht="60" customHeight="1">
      <x:c r="A4512" s="14" t="str">
        <x:v>Товары для дома</x:v>
      </x:c>
      <x:c r="B4512" s="14" t="str">
        <x:v>Кухня</x:v>
      </x:c>
      <x:c r="C4512" s="14" t="str">
        <x:v>Кухонная утварь и принадлежности</x:v>
      </x:c>
      <x:c r="D4512" s="14" t="str">
        <x:v>Дуршлаг</x:v>
      </x:c>
      <x:c r="E4512" s="2" t="n">
        <x:v>4</x:v>
      </x:c>
      <x:c r="F4512" s="2" t="n">
        <x:v>0</x:v>
      </x:c>
      <x:c r="G4512" s="12" t="n">
        <x:v>919745.6675</x:v>
      </x:c>
      <x:c r="H4512" s="12" t="n">
        <x:v>182289.00063225</x:v>
      </x:c>
      <x:c r="I4512" s="13" t="n">
        <x:v>0.19145</x:v>
      </x:c>
      <x:c r="J4512" s="2" t="n">
        <x:v>0</x:v>
      </x:c>
      <x:c r="K4512" s="2" t="n">
        <x:v>2</x:v>
      </x:c>
      <x:c r="L4512" s="12" t="n">
        <x:v>1046.2828</x:v>
      </x:c>
      <x:c r="M4512" s="13" t="n">
        <x:v>0.8299043142815348</x:v>
      </x:c>
      <x:c r="N4512" s="13" t="n">
        <x:f>H4512/G4512</x:f>
        <x:v>0.19819500876556184</x:v>
      </x:c>
      <x:c r="O4512" s="13" t="n">
        <x:f>F4512/E4512</x:f>
        <x:v>0</x:v>
      </x:c>
      <x:c r="P4512" s="2" t="str">
        <x:f>IF(AND(E4512&gt;='Итоги'!$F$5,N4512&lt;='Итоги'!$B$5,O4512&gt;='Итоги'!$D$5),"Да","Нет")</x:f>
        <x:v>Нет</x:v>
      </x:c>
    </x:row>
    <x:row r="4513" ht="60" customHeight="1">
      <x:c r="A4513" s="14" t="str">
        <x:v>Товары для дома</x:v>
      </x:c>
      <x:c r="B4513" s="14" t="str">
        <x:v>Интерьер и декор</x:v>
      </x:c>
      <x:c r="C4513" s="14" t="str">
        <x:v>Сувенирная продукция</x:v>
      </x:c>
      <x:c r="D4513" s="14" t="str">
        <x:v>Сувенирные деньги</x:v>
      </x:c>
      <x:c r="E4513" s="2" t="n">
        <x:v>1</x:v>
      </x:c>
      <x:c r="F4513" s="2" t="n">
        <x:v>0</x:v>
      </x:c>
      <x:c r="G4513" s="12" t="n">
        <x:v>104893</x:v>
      </x:c>
      <x:c r="H4513" s="12" t="n">
        <x:v>20842.2391</x:v>
      </x:c>
      <x:c r="I4513" s="13" t="n">
        <x:v>0.1987</x:v>
      </x:c>
      <x:c r="J4513" s="2" t="n">
        <x:v>0</x:v>
      </x:c>
      <x:c r="K4513" s="2" t="n">
        <x:v>1</x:v>
      </x:c>
      <x:c r="L4513" s="12" t="n">
        <x:v>771.2721</x:v>
      </x:c>
      <x:c r="M4513" s="13" t="n">
        <x:v>1</x:v>
      </x:c>
      <x:c r="N4513" s="13" t="n">
        <x:f>H4513/G4513</x:f>
        <x:v>0.1987</x:v>
      </x:c>
      <x:c r="O4513" s="13" t="n">
        <x:f>F4513/E4513</x:f>
        <x:v>0</x:v>
      </x:c>
      <x:c r="P4513" s="2" t="str">
        <x:f>IF(AND(E4513&gt;='Итоги'!$F$5,N4513&lt;='Итоги'!$B$5,O4513&gt;='Итоги'!$D$5),"Да","Нет")</x:f>
        <x:v>Нет</x:v>
      </x:c>
    </x:row>
    <x:row r="4514" ht="60" customHeight="1">
      <x:c r="A4514" s="14" t="str">
        <x:v>Товары для дома</x:v>
      </x:c>
      <x:c r="B4514" s="14" t="str">
        <x:v>Кухня</x:v>
      </x:c>
      <x:c r="C4514" s="14" t="str">
        <x:v>Кухонная утварь и принадлежности</x:v>
      </x:c>
      <x:c r="D4514" s="14" t="str">
        <x:v>Брызгогаситель</x:v>
      </x:c>
      <x:c r="E4514" s="2" t="n">
        <x:v>4</x:v>
      </x:c>
      <x:c r="F4514" s="2" t="n">
        <x:v>0</x:v>
      </x:c>
      <x:c r="G4514" s="12" t="n">
        <x:v>319568.57</x:v>
      </x:c>
      <x:c r="H4514" s="12" t="n">
        <x:v>63759.75235</x:v>
      </x:c>
      <x:c r="I4514" s="13" t="n">
        <x:v>0.1657499999999999</x:v>
      </x:c>
      <x:c r="J4514" s="2" t="n">
        <x:v>0</x:v>
      </x:c>
      <x:c r="K4514" s="2" t="n">
        <x:v>4</x:v>
      </x:c>
      <x:c r="L4514" s="12" t="n">
        <x:v>1139.15925</x:v>
      </x:c>
      <x:c r="M4514" s="13" t="n">
        <x:v>0.3464656427257536</x:v>
      </x:c>
      <x:c r="N4514" s="13" t="n">
        <x:f>H4514/G4514</x:f>
        <x:v>0.19951822029932417</x:v>
      </x:c>
      <x:c r="O4514" s="13" t="n">
        <x:f>F4514/E4514</x:f>
        <x:v>0</x:v>
      </x:c>
      <x:c r="P4514" s="2" t="str">
        <x:f>IF(AND(E4514&gt;='Итоги'!$F$5,N4514&lt;='Итоги'!$B$5,O4514&gt;='Итоги'!$D$5),"Да","Нет")</x:f>
        <x:v>Нет</x:v>
      </x:c>
    </x:row>
    <x:row r="4515" ht="60" customHeight="1">
      <x:c r="A4515" s="14" t="str">
        <x:v>Хобби и творчество</x:v>
      </x:c>
      <x:c r="B4515" s="14" t="str">
        <x:v>Детское творчество и хобби</x:v>
      </x:c>
      <x:c r="C4515" s="14" t="str">
        <x:v>Рисование для детей</x:v>
      </x:c>
      <x:c r="D4515" s="14" t="str">
        <x:v>Планшет для рисования детский</x:v>
      </x:c>
      <x:c r="E4515" s="2" t="n">
        <x:v>3</x:v>
      </x:c>
      <x:c r="F4515" s="2" t="n">
        <x:v>0</x:v>
      </x:c>
      <x:c r="G4515" s="12" t="n">
        <x:v>244536.55</x:v>
      </x:c>
      <x:c r="H4515" s="12" t="n">
        <x:v>48873.79654</x:v>
      </x:c>
      <x:c r="I4515" s="13" t="n">
        <x:v>0.1868999999999999</x:v>
      </x:c>
      <x:c r="J4515" s="2" t="n">
        <x:v>0</x:v>
      </x:c>
      <x:c r="K4515" s="2" t="n">
        <x:v>3</x:v>
      </x:c>
      <x:c r="L4515" s="12" t="n">
        <x:v>1180.8519</x:v>
      </x:c>
      <x:c r="M4515" s="13" t="n">
        <x:v>0.5171110412737892</x:v>
      </x:c>
      <x:c r="N4515" s="13" t="n">
        <x:f>H4515/G4515</x:f>
        <x:v>0.19986295112121277</x:v>
      </x:c>
      <x:c r="O4515" s="13" t="n">
        <x:f>F4515/E4515</x:f>
        <x:v>0</x:v>
      </x:c>
      <x:c r="P4515" s="2" t="str">
        <x:f>IF(AND(E4515&gt;='Итоги'!$F$5,N4515&lt;='Итоги'!$B$5,O4515&gt;='Итоги'!$D$5),"Да","Нет")</x:f>
        <x:v>Нет</x:v>
      </x:c>
    </x:row>
    <x:row r="4516" ht="60" customHeight="1">
      <x:c r="A4516" s="14" t="str">
        <x:v>Товары для дома</x:v>
      </x:c>
      <x:c r="B4516" s="14" t="str">
        <x:v>Интерьер и декор</x:v>
      </x:c>
      <x:c r="C4516" s="14" t="str">
        <x:v>Принадлежности для праздника</x:v>
      </x:c>
      <x:c r="D4516" s="14" t="str">
        <x:v>Подарочный пакет</x:v>
      </x:c>
      <x:c r="E4516" s="2" t="n">
        <x:v>1</x:v>
      </x:c>
      <x:c r="F4516" s="2" t="n">
        <x:v>0</x:v>
      </x:c>
      <x:c r="G4516" s="12" t="n">
        <x:v>83762</x:v>
      </x:c>
      <x:c r="H4516" s="12" t="n">
        <x:v>16827.785799999998</x:v>
      </x:c>
      <x:c r="I4516" s="13" t="n">
        <x:v>0.2009</x:v>
      </x:c>
      <x:c r="J4516" s="2" t="n">
        <x:v>0</x:v>
      </x:c>
      <x:c r="K4516" s="2" t="n">
        <x:v>1</x:v>
      </x:c>
      <x:c r="L4516" s="12" t="n">
        <x:v>863.5258</x:v>
      </x:c>
      <x:c r="M4516" s="13" t="n">
        <x:v>1</x:v>
      </x:c>
      <x:c r="N4516" s="13" t="n">
        <x:f>H4516/G4516</x:f>
        <x:v>0.20089999999999997</x:v>
      </x:c>
      <x:c r="O4516" s="13" t="n">
        <x:f>F4516/E4516</x:f>
        <x:v>0</x:v>
      </x:c>
      <x:c r="P4516" s="2" t="str">
        <x:f>IF(AND(E4516&gt;='Итоги'!$F$5,N4516&lt;='Итоги'!$B$5,O4516&gt;='Итоги'!$D$5),"Да","Нет")</x:f>
        <x:v>Нет</x:v>
      </x:c>
    </x:row>
    <x:row r="4517" ht="60" customHeight="1">
      <x:c r="A4517" s="14" t="str">
        <x:v>Строительство и ремонт (DIY)</x:v>
      </x:c>
      <x:c r="B4517" s="14" t="str">
        <x:v>Ремонт и строительство</x:v>
      </x:c>
      <x:c r="C4517" s="14" t="str">
        <x:v>Готовые дома и проекты домов</x:v>
      </x:c>
      <x:c r="D4517" s="14" t="str">
        <x:v>Проект дома</x:v>
      </x:c>
      <x:c r="E4517" s="2" t="n">
        <x:v>1</x:v>
      </x:c>
      <x:c r="F4517" s="2" t="n">
        <x:v>0</x:v>
      </x:c>
      <x:c r="G4517" s="12" t="n">
        <x:v>90115</x:v>
      </x:c>
      <x:c r="H4517" s="12" t="n">
        <x:v>18113.115</x:v>
      </x:c>
      <x:c r="I4517" s="13" t="n">
        <x:v>0.201</x:v>
      </x:c>
      <x:c r="J4517" s="2" t="n">
        <x:v>0</x:v>
      </x:c>
      <x:c r="K4517" s="2" t="n">
        <x:v>1</x:v>
      </x:c>
      <x:c r="L4517" s="12" t="n">
        <x:v>6007.6667</x:v>
      </x:c>
      <x:c r="M4517" s="13" t="n">
        <x:v>1</x:v>
      </x:c>
      <x:c r="N4517" s="13" t="n">
        <x:f>H4517/G4517</x:f>
        <x:v>0.201</x:v>
      </x:c>
      <x:c r="O4517" s="13" t="n">
        <x:f>F4517/E4517</x:f>
        <x:v>0</x:v>
      </x:c>
      <x:c r="P4517" s="2" t="str">
        <x:f>IF(AND(E4517&gt;='Итоги'!$F$5,N4517&lt;='Итоги'!$B$5,O4517&gt;='Итоги'!$D$5),"Да","Нет")</x:f>
        <x:v>Нет</x:v>
      </x:c>
    </x:row>
    <x:row r="4518" ht="60" customHeight="1">
      <x:c r="A4518" s="14" t="str">
        <x:v>Одежда</x:v>
      </x:c>
      <x:c r="B4518" s="14" t="str">
        <x:v>Спецодежда и одежда для мероприятий</x:v>
      </x:c>
      <x:c r="C4518" s="14" t="str">
        <x:v>Спецодежда женская</x:v>
      </x:c>
      <x:c r="D4518" s="14" t="str">
        <x:v>Медицинская блуза женская</x:v>
      </x:c>
      <x:c r="E4518" s="2" t="n">
        <x:v>1</x:v>
      </x:c>
      <x:c r="F4518" s="2" t="n">
        <x:v>0</x:v>
      </x:c>
      <x:c r="G4518" s="12" t="n">
        <x:v>5057</x:v>
      </x:c>
      <x:c r="H4518" s="12" t="n">
        <x:v>1016.9627</x:v>
      </x:c>
      <x:c r="I4518" s="13" t="n">
        <x:v>0.2011</x:v>
      </x:c>
      <x:c r="J4518" s="2" t="n">
        <x:v>0</x:v>
      </x:c>
      <x:c r="K4518" s="2" t="n">
        <x:v>1</x:v>
      </x:c>
      <x:c r="L4518" s="12" t="n">
        <x:v>1685.6667</x:v>
      </x:c>
      <x:c r="M4518" s="13" t="n">
        <x:v>1</x:v>
      </x:c>
      <x:c r="N4518" s="13" t="n">
        <x:f>H4518/G4518</x:f>
        <x:v>0.2011</x:v>
      </x:c>
      <x:c r="O4518" s="13" t="n">
        <x:f>F4518/E4518</x:f>
        <x:v>0</x:v>
      </x:c>
      <x:c r="P4518" s="2" t="str">
        <x:f>IF(AND(E4518&gt;='Итоги'!$F$5,N4518&lt;='Итоги'!$B$5,O4518&gt;='Итоги'!$D$5),"Да","Нет")</x:f>
        <x:v>Нет</x:v>
      </x:c>
    </x:row>
    <x:row r="4519" ht="60" customHeight="1">
      <x:c r="A4519" s="14" t="str">
        <x:v>Аксессуары для электроники</x:v>
      </x:c>
      <x:c r="B4519" s="14" t="str">
        <x:v>Фото и видео Access</x:v>
      </x:c>
      <x:c r="C4519" s="14" t="str">
        <x:v>Аксессуар к фото и видео Access</x:v>
      </x:c>
      <x:c r="D4519" s="14" t="str">
        <x:v>Фото-штативная голова</x:v>
      </x:c>
      <x:c r="E4519" s="2" t="n">
        <x:v>3</x:v>
      </x:c>
      <x:c r="F4519" s="2" t="n">
        <x:v>0</x:v>
      </x:c>
      <x:c r="G4519" s="12" t="n">
        <x:v>440207.95</x:v>
      </x:c>
      <x:c r="H4519" s="12" t="n">
        <x:v>88774.07227500001</x:v>
      </x:c>
      <x:c r="I4519" s="13" t="n">
        <x:v>0.1764666666666666</x:v>
      </x:c>
      <x:c r="J4519" s="2" t="n">
        <x:v>0</x:v>
      </x:c>
      <x:c r="K4519" s="2" t="n">
        <x:v>3</x:v>
      </x:c>
      <x:c r="L4519" s="12" t="n">
        <x:v>1742.5625</x:v>
      </x:c>
      <x:c r="M4519" s="13" t="n">
        <x:v>0.6568577418922125</x:v>
      </x:c>
      <x:c r="N4519" s="13" t="n">
        <x:f>H4519/G4519</x:f>
        <x:v>0.20166394603959337</x:v>
      </x:c>
      <x:c r="O4519" s="13" t="n">
        <x:f>F4519/E4519</x:f>
        <x:v>0</x:v>
      </x:c>
      <x:c r="P4519" s="2" t="str">
        <x:f>IF(AND(E4519&gt;='Итоги'!$F$5,N4519&lt;='Итоги'!$B$5,O4519&gt;='Итоги'!$D$5),"Да","Нет")</x:f>
        <x:v>Нет</x:v>
      </x:c>
    </x:row>
    <x:row r="4520" ht="60" customHeight="1">
      <x:c r="A4520" s="14" t="str">
        <x:v>Автотовары</x:v>
      </x:c>
      <x:c r="B4520" s="14" t="str">
        <x:v>Универсальные авто и мото аксессуары</x:v>
      </x:c>
      <x:c r="C4520" s="14" t="str">
        <x:v>Автотовары в дорогу</x:v>
      </x:c>
      <x:c r="D4520" s="14" t="str">
        <x:v>Пылесос автомобильный</x:v>
      </x:c>
      <x:c r="E4520" s="2" t="n">
        <x:v>133</x:v>
      </x:c>
      <x:c r="F4520" s="2" t="n">
        <x:v>0</x:v>
      </x:c>
      <x:c r="G4520" s="12" t="n">
        <x:v>24765377.5929</x:v>
      </x:c>
      <x:c r="H4520" s="12" t="n">
        <x:v>4999108.53800824</x:v>
      </x:c>
      <x:c r="I4520" s="13" t="n">
        <x:v>0.2118556390977443</x:v>
      </x:c>
      <x:c r="J4520" s="2" t="n">
        <x:v>12</x:v>
      </x:c>
      <x:c r="K4520" s="2" t="n">
        <x:v>82</x:v>
      </x:c>
      <x:c r="L4520" s="12" t="n">
        <x:v>1560.6355</x:v>
      </x:c>
      <x:c r="M4520" s="13" t="n">
        <x:v>0.3665681164539415</x:v>
      </x:c>
      <x:c r="N4520" s="13" t="n">
        <x:f>H4520/G4520</x:f>
        <x:v>0.20185876509476025</x:v>
      </x:c>
      <x:c r="O4520" s="13" t="n">
        <x:f>F4520/E4520</x:f>
        <x:v>0</x:v>
      </x:c>
      <x:c r="P4520" s="2" t="str">
        <x:f>IF(AND(E4520&gt;='Итоги'!$F$5,N4520&lt;='Итоги'!$B$5,O4520&gt;='Итоги'!$D$5),"Да","Нет")</x:f>
        <x:v>Нет</x:v>
      </x:c>
    </x:row>
    <x:row r="4521" ht="60" customHeight="1">
      <x:c r="A4521" s="14" t="str">
        <x:v>Товары для дома</x:v>
      </x:c>
      <x:c r="B4521" s="14" t="str">
        <x:v>Интерьер и декор</x:v>
      </x:c>
      <x:c r="C4521" s="14" t="str">
        <x:v>Принадлежности для праздника</x:v>
      </x:c>
      <x:c r="D4521" s="14" t="str">
        <x:v>Карнавальный ободок</x:v>
      </x:c>
      <x:c r="E4521" s="2" t="n">
        <x:v>1</x:v>
      </x:c>
      <x:c r="F4521" s="2" t="n">
        <x:v>0</x:v>
      </x:c>
      <x:c r="G4521" s="12" t="n">
        <x:v>76352.5465</x:v>
      </x:c>
      <x:c r="H4521" s="12" t="n">
        <x:v>15461.39066625</x:v>
      </x:c>
      <x:c r="I4521" s="13" t="n">
        <x:v>0.2025</x:v>
      </x:c>
      <x:c r="J4521" s="2" t="n">
        <x:v>0</x:v>
      </x:c>
      <x:c r="K4521" s="2" t="n">
        <x:v>1</x:v>
      </x:c>
      <x:c r="L4521" s="12" t="n">
        <x:v>1294.111</x:v>
      </x:c>
      <x:c r="M4521" s="13" t="n">
        <x:v>1</x:v>
      </x:c>
      <x:c r="N4521" s="13" t="n">
        <x:f>H4521/G4521</x:f>
        <x:v>0.2025</x:v>
      </x:c>
      <x:c r="O4521" s="13" t="n">
        <x:f>F4521/E4521</x:f>
        <x:v>0</x:v>
      </x:c>
      <x:c r="P4521" s="2" t="str">
        <x:f>IF(AND(E4521&gt;='Итоги'!$F$5,N4521&lt;='Итоги'!$B$5,O4521&gt;='Итоги'!$D$5),"Да","Нет")</x:f>
        <x:v>Нет</x:v>
      </x:c>
    </x:row>
    <x:row r="4522" ht="60" customHeight="1">
      <x:c r="A4522" s="14" t="str">
        <x:v>Товары для дома</x:v>
      </x:c>
      <x:c r="B4522" s="14" t="str">
        <x:v>Кухня</x:v>
      </x:c>
      <x:c r="C4522" s="14" t="str">
        <x:v>Кухонная утварь и принадлежности</x:v>
      </x:c>
      <x:c r="D4522" s="14" t="str">
        <x:v>Ложка, форма для мороженого</x:v>
      </x:c>
      <x:c r="E4522" s="2" t="n">
        <x:v>2</x:v>
      </x:c>
      <x:c r="F4522" s="2" t="n">
        <x:v>0</x:v>
      </x:c>
      <x:c r="G4522" s="12" t="n">
        <x:v>114795.79</x:v>
      </x:c>
      <x:c r="H4522" s="12" t="n">
        <x:v>23267.400547</x:v>
      </x:c>
      <x:c r="I4522" s="13" t="n">
        <x:v>0.2036</x:v>
      </x:c>
      <x:c r="J4522" s="2" t="n">
        <x:v>0</x:v>
      </x:c>
      <x:c r="K4522" s="2" t="n">
        <x:v>2</x:v>
      </x:c>
      <x:c r="L4522" s="12" t="n">
        <x:v>1059.8583</x:v>
      </x:c>
      <x:c r="M4522" s="13" t="n">
        <x:v>0.6063792931779118</x:v>
      </x:c>
      <x:c r="N4522" s="13" t="n">
        <x:f>H4522/G4522</x:f>
        <x:v>0.20268513807866997</x:v>
      </x:c>
      <x:c r="O4522" s="13" t="n">
        <x:f>F4522/E4522</x:f>
        <x:v>0</x:v>
      </x:c>
      <x:c r="P4522" s="2" t="str">
        <x:f>IF(AND(E4522&gt;='Итоги'!$F$5,N4522&lt;='Итоги'!$B$5,O4522&gt;='Итоги'!$D$5),"Да","Нет")</x:f>
        <x:v>Нет</x:v>
      </x:c>
    </x:row>
    <x:row r="4523" ht="60" customHeight="1">
      <x:c r="A4523" s="14" t="str">
        <x:v>Хобби и творчество</x:v>
      </x:c>
      <x:c r="B4523" s="14" t="str">
        <x:v>Детское творчество и хобби</x:v>
      </x:c>
      <x:c r="C4523" s="14" t="str">
        <x:v>Рисование для детей</x:v>
      </x:c>
      <x:c r="D4523" s="14" t="str">
        <x:v>Набор для рисования в технике эбру</x:v>
      </x:c>
      <x:c r="E4523" s="2" t="n">
        <x:v>2</x:v>
      </x:c>
      <x:c r="F4523" s="2" t="n">
        <x:v>0</x:v>
      </x:c>
      <x:c r="G4523" s="12" t="n">
        <x:v>203618</x:v>
      </x:c>
      <x:c r="H4523" s="12" t="n">
        <x:v>41312.78279999999</x:v>
      </x:c>
      <x:c r="I4523" s="13" t="n">
        <x:v>0.2007</x:v>
      </x:c>
      <x:c r="J4523" s="2" t="n">
        <x:v>0</x:v>
      </x:c>
      <x:c r="K4523" s="2" t="n">
        <x:v>1</x:v>
      </x:c>
      <x:c r="L4523" s="12" t="n">
        <x:v>1587.25305</x:v>
      </x:c>
      <x:c r="M4523" s="13" t="n">
        <x:v>1</x:v>
      </x:c>
      <x:c r="N4523" s="13" t="n">
        <x:f>H4523/G4523</x:f>
        <x:v>0.20289356933080568</x:v>
      </x:c>
      <x:c r="O4523" s="13" t="n">
        <x:f>F4523/E4523</x:f>
        <x:v>0</x:v>
      </x:c>
      <x:c r="P4523" s="2" t="str">
        <x:f>IF(AND(E4523&gt;='Итоги'!$F$5,N4523&lt;='Итоги'!$B$5,O4523&gt;='Итоги'!$D$5),"Да","Нет")</x:f>
        <x:v>Нет</x:v>
      </x:c>
    </x:row>
    <x:row r="4524" ht="60" customHeight="1">
      <x:c r="A4524" s="14" t="str">
        <x:v>Хобби и творчество</x:v>
      </x:c>
      <x:c r="B4524" s="14" t="str">
        <x:v>Взрослое творчество и хобби</x:v>
      </x:c>
      <x:c r="C4524" s="14" t="str">
        <x:v>Живопись и аэрография</x:v>
      </x:c>
      <x:c r="D4524" s="14" t="str">
        <x:v>Картина по номерам</x:v>
      </x:c>
      <x:c r="E4524" s="2" t="n">
        <x:v>13</x:v>
      </x:c>
      <x:c r="F4524" s="2" t="n">
        <x:v>0</x:v>
      </x:c>
      <x:c r="G4524" s="12" t="n">
        <x:v>1155165.893</x:v>
      </x:c>
      <x:c r="H4524" s="12" t="n">
        <x:v>234546.5649903</x:v>
      </x:c>
      <x:c r="I4524" s="13" t="n">
        <x:v>0.2012846153846153</x:v>
      </x:c>
      <x:c r="J4524" s="2" t="n">
        <x:v>1</x:v>
      </x:c>
      <x:c r="K4524" s="2" t="n">
        <x:v>5</x:v>
      </x:c>
      <x:c r="L4524" s="12" t="n">
        <x:v>806.592</x:v>
      </x:c>
      <x:c r="M4524" s="13" t="n">
        <x:v>0.5616473887703332</x:v>
      </x:c>
      <x:c r="N4524" s="13" t="n">
        <x:f>H4524/G4524</x:f>
        <x:v>0.20304145613334865</x:v>
      </x:c>
      <x:c r="O4524" s="13" t="n">
        <x:f>F4524/E4524</x:f>
        <x:v>0</x:v>
      </x:c>
      <x:c r="P4524" s="2" t="str">
        <x:f>IF(AND(E4524&gt;='Итоги'!$F$5,N4524&lt;='Итоги'!$B$5,O4524&gt;='Итоги'!$D$5),"Да","Нет")</x:f>
        <x:v>Нет</x:v>
      </x:c>
    </x:row>
    <x:row r="4525" ht="60" customHeight="1">
      <x:c r="A4525" s="14" t="str">
        <x:v>Товары для дома</x:v>
      </x:c>
      <x:c r="B4525" s="14" t="str">
        <x:v>Домашний текстиль</x:v>
      </x:c>
      <x:c r="C4525" s="14" t="str">
        <x:v>Шторы</x:v>
      </x:c>
      <x:c r="D4525" s="14" t="str">
        <x:v>Занавеска</x:v>
      </x:c>
      <x:c r="E4525" s="2" t="n">
        <x:v>1</x:v>
      </x:c>
      <x:c r="F4525" s="2" t="n">
        <x:v>0</x:v>
      </x:c>
      <x:c r="G4525" s="12" t="n">
        <x:v>104398.74</x:v>
      </x:c>
      <x:c r="H4525" s="12" t="n">
        <x:v>21245.14359</x:v>
      </x:c>
      <x:c r="I4525" s="13" t="n">
        <x:v>0.2035</x:v>
      </x:c>
      <x:c r="J4525" s="2" t="n">
        <x:v>0</x:v>
      </x:c>
      <x:c r="K4525" s="2" t="n">
        <x:v>1</x:v>
      </x:c>
      <x:c r="L4525" s="12" t="n">
        <x:v>1122.5671</x:v>
      </x:c>
      <x:c r="M4525" s="13" t="n">
        <x:v>1</x:v>
      </x:c>
      <x:c r="N4525" s="13" t="n">
        <x:f>H4525/G4525</x:f>
        <x:v>0.2035</x:v>
      </x:c>
      <x:c r="O4525" s="13" t="n">
        <x:f>F4525/E4525</x:f>
        <x:v>0</x:v>
      </x:c>
      <x:c r="P4525" s="2" t="str">
        <x:f>IF(AND(E4525&gt;='Итоги'!$F$5,N4525&lt;='Итоги'!$B$5,O4525&gt;='Итоги'!$D$5),"Да","Нет")</x:f>
        <x:v>Нет</x:v>
      </x:c>
    </x:row>
    <x:row r="4526" ht="60" customHeight="1">
      <x:c r="A4526" s="14" t="str">
        <x:v>Товары для дома</x:v>
      </x:c>
      <x:c r="B4526" s="14" t="str">
        <x:v>Интерьер и декор</x:v>
      </x:c>
      <x:c r="C4526" s="14" t="str">
        <x:v>Принадлежности, аксессуары для курения</x:v>
      </x:c>
      <x:c r="D4526" s="14" t="str">
        <x:v>Портсигар</x:v>
      </x:c>
      <x:c r="E4526" s="2" t="n">
        <x:v>1</x:v>
      </x:c>
      <x:c r="F4526" s="2" t="n">
        <x:v>0</x:v>
      </x:c>
      <x:c r="G4526" s="12" t="n">
        <x:v>109923.21</x:v>
      </x:c>
      <x:c r="H4526" s="12" t="n">
        <x:v>22523.265729</x:v>
      </x:c>
      <x:c r="I4526" s="13" t="n">
        <x:v>0.2049</x:v>
      </x:c>
      <x:c r="J4526" s="2" t="n">
        <x:v>0</x:v>
      </x:c>
      <x:c r="K4526" s="2" t="n">
        <x:v>1</x:v>
      </x:c>
      <x:c r="L4526" s="12" t="n">
        <x:v>1235.0922</x:v>
      </x:c>
      <x:c r="M4526" s="13" t="n">
        <x:v>1</x:v>
      </x:c>
      <x:c r="N4526" s="13" t="n">
        <x:f>H4526/G4526</x:f>
        <x:v>0.20489999999999997</x:v>
      </x:c>
      <x:c r="O4526" s="13" t="n">
        <x:f>F4526/E4526</x:f>
        <x:v>0</x:v>
      </x:c>
      <x:c r="P4526" s="2" t="str">
        <x:f>IF(AND(E4526&gt;='Итоги'!$F$5,N4526&lt;='Итоги'!$B$5,O4526&gt;='Итоги'!$D$5),"Да","Нет")</x:f>
        <x:v>Нет</x:v>
      </x:c>
    </x:row>
    <x:row r="4527" ht="60" customHeight="1">
      <x:c r="A4527" s="14" t="str">
        <x:v>Аптека</x:v>
      </x:c>
      <x:c r="B4527" s="14" t="str">
        <x:v>Товары для взрослых</x:v>
      </x:c>
      <x:c r="C4527" s="14" t="str">
        <x:v>Товары для БДСМ</x:v>
      </x:c>
      <x:c r="D4527" s="14" t="str">
        <x:v>Плетки, кнуты и стеки БДСМ</x:v>
      </x:c>
      <x:c r="E4527" s="2" t="n">
        <x:v>3</x:v>
      </x:c>
      <x:c r="F4527" s="2" t="n">
        <x:v>0</x:v>
      </x:c>
      <x:c r="G4527" s="12" t="n">
        <x:v>259227.46</x:v>
      </x:c>
      <x:c r="H4527" s="12" t="n">
        <x:v>53156.96194</x:v>
      </x:c>
      <x:c r="I4527" s="13" t="n">
        <x:v>0.2056</x:v>
      </x:c>
      <x:c r="J4527" s="2" t="n">
        <x:v>0</x:v>
      </x:c>
      <x:c r="K4527" s="2" t="n">
        <x:v>2</x:v>
      </x:c>
      <x:c r="L4527" s="12" t="n">
        <x:v>1668.336</x:v>
      </x:c>
      <x:c r="M4527" s="13" t="n">
        <x:v>0.7611364166435145</x:v>
      </x:c>
      <x:c r="N4527" s="13" t="n">
        <x:f>H4527/G4527</x:f>
        <x:v>0.20505914743754386</x:v>
      </x:c>
      <x:c r="O4527" s="13" t="n">
        <x:f>F4527/E4527</x:f>
        <x:v>0</x:v>
      </x:c>
      <x:c r="P4527" s="2" t="str">
        <x:f>IF(AND(E4527&gt;='Итоги'!$F$5,N4527&lt;='Итоги'!$B$5,O4527&gt;='Итоги'!$D$5),"Да","Нет")</x:f>
        <x:v>Нет</x:v>
      </x:c>
    </x:row>
    <x:row r="4528" ht="60" customHeight="1">
      <x:c r="A4528" s="14" t="str">
        <x:v>Спорт и отдых</x:v>
      </x:c>
      <x:c r="B4528" s="14" t="str">
        <x:v>Единоборства</x:v>
      </x:c>
      <x:c r="C4528" s="14" t="str">
        <x:v>Самооборона</x:v>
      </x:c>
      <x:c r="D4528" s="14" t="str">
        <x:v>Тактические перчатки</x:v>
      </x:c>
      <x:c r="E4528" s="2" t="n">
        <x:v>5</x:v>
      </x:c>
      <x:c r="F4528" s="2" t="n">
        <x:v>0</x:v>
      </x:c>
      <x:c r="G4528" s="12" t="n">
        <x:v>453319.7895</x:v>
      </x:c>
      <x:c r="H4528" s="12" t="n">
        <x:v>93568.8165</x:v>
      </x:c>
      <x:c r="I4528" s="13" t="n">
        <x:v>0.18508</x:v>
      </x:c>
      <x:c r="J4528" s="2" t="n">
        <x:v>2</x:v>
      </x:c>
      <x:c r="K4528" s="2" t="n">
        <x:v>2</x:v>
      </x:c>
      <x:c r="L4528" s="12" t="n">
        <x:v>1645</x:v>
      </x:c>
      <x:c r="M4528" s="13" t="n">
        <x:v>0.860602182027617</x:v>
      </x:c>
      <x:c r="N4528" s="13" t="n">
        <x:f>H4528/G4528</x:f>
        <x:v>0.2064079677686341</x:v>
      </x:c>
      <x:c r="O4528" s="13" t="n">
        <x:f>F4528/E4528</x:f>
        <x:v>0</x:v>
      </x:c>
      <x:c r="P4528" s="2" t="str">
        <x:f>IF(AND(E4528&gt;='Итоги'!$F$5,N4528&lt;='Итоги'!$B$5,O4528&gt;='Итоги'!$D$5),"Да","Нет")</x:f>
        <x:v>Нет</x:v>
      </x:c>
    </x:row>
    <x:row r="4529" ht="60" customHeight="1">
      <x:c r="A4529" s="14" t="str">
        <x:v>Товары для дома</x:v>
      </x:c>
      <x:c r="B4529" s="14" t="str">
        <x:v>Интерьер и декор</x:v>
      </x:c>
      <x:c r="C4529" s="14" t="str">
        <x:v>Украшение интерьера</x:v>
      </x:c>
      <x:c r="D4529" s="14" t="str">
        <x:v>Держатель для украшений</x:v>
      </x:c>
      <x:c r="E4529" s="2" t="n">
        <x:v>2</x:v>
      </x:c>
      <x:c r="F4529" s="2" t="n">
        <x:v>0</x:v>
      </x:c>
      <x:c r="G4529" s="12" t="n">
        <x:v>212896.1812</x:v>
      </x:c>
      <x:c r="H4529" s="12" t="n">
        <x:v>44052.35897496</x:v>
      </x:c>
      <x:c r="I4529" s="13" t="n">
        <x:v>0.20495</x:v>
      </x:c>
      <x:c r="J4529" s="2" t="n">
        <x:v>0</x:v>
      </x:c>
      <x:c r="K4529" s="2" t="n">
        <x:v>2</x:v>
      </x:c>
      <x:c r="L4529" s="12" t="n">
        <x:v>1155.6417</x:v>
      </x:c>
      <x:c r="M4529" s="13" t="n">
        <x:v>0.5421722012550595</x:v>
      </x:c>
      <x:c r="N4529" s="13" t="n">
        <x:f>H4529/G4529</x:f>
        <x:v>0.20691944179861127</x:v>
      </x:c>
      <x:c r="O4529" s="13" t="n">
        <x:f>F4529/E4529</x:f>
        <x:v>0</x:v>
      </x:c>
      <x:c r="P4529" s="2" t="str">
        <x:f>IF(AND(E4529&gt;='Итоги'!$F$5,N4529&lt;='Итоги'!$B$5,O4529&gt;='Итоги'!$D$5),"Да","Нет")</x:f>
        <x:v>Нет</x:v>
      </x:c>
    </x:row>
    <x:row r="4530" ht="60" customHeight="1">
      <x:c r="A4530" s="14" t="str">
        <x:v>Аксессуары для электроники</x:v>
      </x:c>
      <x:c r="B4530" s="14" t="str">
        <x:v>Фото и видео Access</x:v>
      </x:c>
      <x:c r="C4530" s="14" t="str">
        <x:v>Аксессуар к фото и видео Access</x:v>
      </x:c>
      <x:c r="D4530" s="14" t="str">
        <x:v>Фотоотражатель</x:v>
      </x:c>
      <x:c r="E4530" s="2" t="n">
        <x:v>2</x:v>
      </x:c>
      <x:c r="F4530" s="2" t="n">
        <x:v>0</x:v>
      </x:c>
      <x:c r="G4530" s="12" t="n">
        <x:v>327248.11</x:v>
      </x:c>
      <x:c r="H4530" s="12" t="n">
        <x:v>67778.0215</x:v>
      </x:c>
      <x:c r="I4530" s="13" t="n">
        <x:v>0.20775</x:v>
      </x:c>
      <x:c r="J4530" s="2" t="n">
        <x:v>0</x:v>
      </x:c>
      <x:c r="K4530" s="2" t="n">
        <x:v>1</x:v>
      </x:c>
      <x:c r="L4530" s="12" t="n">
        <x:v>1527.5019</x:v>
      </x:c>
      <x:c r="M4530" s="13" t="n">
        <x:v>1</x:v>
      </x:c>
      <x:c r="N4530" s="13" t="n">
        <x:f>H4530/G4530</x:f>
        <x:v>0.20711508922083616</x:v>
      </x:c>
      <x:c r="O4530" s="13" t="n">
        <x:f>F4530/E4530</x:f>
        <x:v>0</x:v>
      </x:c>
      <x:c r="P4530" s="2" t="str">
        <x:f>IF(AND(E4530&gt;='Итоги'!$F$5,N4530&lt;='Итоги'!$B$5,O4530&gt;='Итоги'!$D$5),"Да","Нет")</x:f>
        <x:v>Нет</x:v>
      </x:c>
    </x:row>
    <x:row r="4531" ht="60" customHeight="1">
      <x:c r="A4531" s="14" t="str">
        <x:v>Товары для дома</x:v>
      </x:c>
      <x:c r="B4531" s="14" t="str">
        <x:v>Хранение</x:v>
      </x:c>
      <x:c r="C4531" s="14" t="str">
        <x:v>Товары для хранения</x:v>
      </x:c>
      <x:c r="D4531" s="14" t="str">
        <x:v>Подставка для зонтов, сумок</x:v>
      </x:c>
      <x:c r="E4531" s="2" t="n">
        <x:v>1</x:v>
      </x:c>
      <x:c r="F4531" s="2" t="n">
        <x:v>0</x:v>
      </x:c>
      <x:c r="G4531" s="12" t="n">
        <x:v>33277</x:v>
      </x:c>
      <x:c r="H4531" s="12" t="n">
        <x:v>6898.3221</x:v>
      </x:c>
      <x:c r="I4531" s="13" t="n">
        <x:v>0.2073</x:v>
      </x:c>
      <x:c r="J4531" s="2" t="n">
        <x:v>0</x:v>
      </x:c>
      <x:c r="K4531" s="2" t="n">
        <x:v>1</x:v>
      </x:c>
      <x:c r="L4531" s="12" t="n">
        <x:v>2773.0833</x:v>
      </x:c>
      <x:c r="M4531" s="13" t="n">
        <x:v>1</x:v>
      </x:c>
      <x:c r="N4531" s="13" t="n">
        <x:f>H4531/G4531</x:f>
        <x:v>0.2073</x:v>
      </x:c>
      <x:c r="O4531" s="13" t="n">
        <x:f>F4531/E4531</x:f>
        <x:v>0</x:v>
      </x:c>
      <x:c r="P4531" s="2" t="str">
        <x:f>IF(AND(E4531&gt;='Итоги'!$F$5,N4531&lt;='Итоги'!$B$5,O4531&gt;='Итоги'!$D$5),"Да","Нет")</x:f>
        <x:v>Нет</x:v>
      </x:c>
    </x:row>
    <x:row r="4532" ht="60" customHeight="1">
      <x:c r="A4532" s="14" t="str">
        <x:v>Школьные принадлежности и канцелярия</x:v>
      </x:c>
      <x:c r="B4532" s="14" t="str">
        <x:v>Товары для школы, канцелярия, оборудование</x:v>
      </x:c>
      <x:c r="C4532" s="14" t="str">
        <x:v>Письменные принадлежности</x:v>
      </x:c>
      <x:c r="D4532" s="14" t="str">
        <x:v>Набор ручек подарочный</x:v>
      </x:c>
      <x:c r="E4532" s="2" t="n">
        <x:v>2</x:v>
      </x:c>
      <x:c r="F4532" s="2" t="n">
        <x:v>0</x:v>
      </x:c>
      <x:c r="G4532" s="12" t="n">
        <x:v>198617.3879</x:v>
      </x:c>
      <x:c r="H4532" s="12" t="n">
        <x:v>41271.67602554</x:v>
      </x:c>
      <x:c r="I4532" s="13" t="n">
        <x:v>0.1573</x:v>
      </x:c>
      <x:c r="J4532" s="2" t="n">
        <x:v>0</x:v>
      </x:c>
      <x:c r="K4532" s="2" t="n">
        <x:v>2</x:v>
      </x:c>
      <x:c r="L4532" s="12" t="n">
        <x:v>2109.7097</x:v>
      </x:c>
      <x:c r="M4532" s="13" t="n">
        <x:v>0.8352913592012857</x:v>
      </x:c>
      <x:c r="N4532" s="13" t="n">
        <x:f>H4532/G4532</x:f>
        <x:v>0.20779487869571364</x:v>
      </x:c>
      <x:c r="O4532" s="13" t="n">
        <x:f>F4532/E4532</x:f>
        <x:v>0</x:v>
      </x:c>
      <x:c r="P4532" s="2" t="str">
        <x:f>IF(AND(E4532&gt;='Итоги'!$F$5,N4532&lt;='Итоги'!$B$5,O4532&gt;='Итоги'!$D$5),"Да","Нет")</x:f>
        <x:v>Нет</x:v>
      </x:c>
    </x:row>
    <x:row r="4533" ht="60" customHeight="1">
      <x:c r="A4533" s="14" t="str">
        <x:v>Детская одежда</x:v>
      </x:c>
      <x:c r="B4533" s="14" t="str">
        <x:v>Детская обувь</x:v>
      </x:c>
      <x:c r="C4533" s="14" t="str">
        <x:v>Обувь для девочки</x:v>
      </x:c>
      <x:c r="D4533" s="14" t="str">
        <x:v>Мокасины для девочки</x:v>
      </x:c>
      <x:c r="E4533" s="2" t="n">
        <x:v>2</x:v>
      </x:c>
      <x:c r="F4533" s="2" t="n">
        <x:v>0</x:v>
      </x:c>
      <x:c r="G4533" s="12" t="n">
        <x:v>62111.4164</x:v>
      </x:c>
      <x:c r="H4533" s="12" t="n">
        <x:v>12921.82871556</x:v>
      </x:c>
      <x:c r="I4533" s="13" t="n">
        <x:v>0.11145</x:v>
      </x:c>
      <x:c r="J4533" s="2" t="n">
        <x:v>1</x:v>
      </x:c>
      <x:c r="K4533" s="2" t="n">
        <x:v>2</x:v>
      </x:c>
      <x:c r="L4533" s="12" t="n">
        <x:v>3184.83495</x:v>
      </x:c>
      <x:c r="M4533" s="13" t="n">
        <x:v>0.9333455870119232</x:v>
      </x:c>
      <x:c r="N4533" s="13" t="n">
        <x:f>H4533/G4533</x:f>
        <x:v>0.20804273134495768</x:v>
      </x:c>
      <x:c r="O4533" s="13" t="n">
        <x:f>F4533/E4533</x:f>
        <x:v>0</x:v>
      </x:c>
      <x:c r="P4533" s="2" t="str">
        <x:f>IF(AND(E4533&gt;='Итоги'!$F$5,N4533&lt;='Итоги'!$B$5,O4533&gt;='Итоги'!$D$5),"Да","Нет")</x:f>
        <x:v>Нет</x:v>
      </x:c>
    </x:row>
    <x:row r="4534" ht="60" customHeight="1">
      <x:c r="A4534" s="14" t="str">
        <x:v>Аптека</x:v>
      </x:c>
      <x:c r="B4534" s="14" t="str">
        <x:v>Медицинская техника</x:v>
      </x:c>
      <x:c r="C4534" s="14" t="str">
        <x:v>Медицинская техника</x:v>
      </x:c>
      <x:c r="D4534" s="14" t="str">
        <x:v>Слуховой аппарат</x:v>
      </x:c>
      <x:c r="E4534" s="2" t="n">
        <x:v>24</x:v>
      </x:c>
      <x:c r="F4534" s="2" t="n">
        <x:v>0</x:v>
      </x:c>
      <x:c r="G4534" s="12" t="n">
        <x:v>4871414.36</x:v>
      </x:c>
      <x:c r="H4534" s="12" t="n">
        <x:v>1013790.279056</x:v>
      </x:c>
      <x:c r="I4534" s="13" t="n">
        <x:v>0.2078333333333333</x:v>
      </x:c>
      <x:c r="J4534" s="2" t="n">
        <x:v>0</x:v>
      </x:c>
      <x:c r="K4534" s="2" t="n">
        <x:v>12</x:v>
      </x:c>
      <x:c r="L4534" s="12" t="n">
        <x:v>2049.67205</x:v>
      </x:c>
      <x:c r="M4534" s="13" t="n">
        <x:v>0.5795002850055234</x:v>
      </x:c>
      <x:c r="N4534" s="13" t="n">
        <x:f>H4534/G4534</x:f>
        <x:v>0.20811004856831763</x:v>
      </x:c>
      <x:c r="O4534" s="13" t="n">
        <x:f>F4534/E4534</x:f>
        <x:v>0</x:v>
      </x:c>
      <x:c r="P4534" s="2" t="str">
        <x:f>IF(AND(E4534&gt;='Итоги'!$F$5,N4534&lt;='Итоги'!$B$5,O4534&gt;='Итоги'!$D$5),"Да","Нет")</x:f>
        <x:v>Нет</x:v>
      </x:c>
    </x:row>
    <x:row r="4535" ht="60" customHeight="1">
      <x:c r="A4535" s="14" t="str">
        <x:v>Товары для дома</x:v>
      </x:c>
      <x:c r="B4535" s="14" t="str">
        <x:v>Кухня</x:v>
      </x:c>
      <x:c r="C4535" s="14" t="str">
        <x:v>Кухонная навеска</x:v>
      </x:c>
      <x:c r="D4535" s="14" t="str">
        <x:v>Лопатка кулинарная</x:v>
      </x:c>
      <x:c r="E4535" s="2" t="n">
        <x:v>2</x:v>
      </x:c>
      <x:c r="F4535" s="2" t="n">
        <x:v>0</x:v>
      </x:c>
      <x:c r="G4535" s="12" t="n">
        <x:v>196249.2311</x:v>
      </x:c>
      <x:c r="H4535" s="12" t="n">
        <x:v>41119.96479872</x:v>
      </x:c>
      <x:c r="I4535" s="13" t="n">
        <x:v>0.2077999999999999</x:v>
      </x:c>
      <x:c r="J4535" s="2" t="n">
        <x:v>0</x:v>
      </x:c>
      <x:c r="K4535" s="2" t="n">
        <x:v>2</x:v>
      </x:c>
      <x:c r="L4535" s="12" t="n">
        <x:v>1731.5857</x:v>
      </x:c>
      <x:c r="M4535" s="13" t="n">
        <x:v>0.5128286645297333</x:v>
      </x:c>
      <x:c r="N4535" s="13" t="n">
        <x:f>H4535/G4535</x:f>
        <x:v>0.20952930397860806</x:v>
      </x:c>
      <x:c r="O4535" s="13" t="n">
        <x:f>F4535/E4535</x:f>
        <x:v>0</x:v>
      </x:c>
      <x:c r="P4535" s="2" t="str">
        <x:f>IF(AND(E4535&gt;='Итоги'!$F$5,N4535&lt;='Итоги'!$B$5,O4535&gt;='Итоги'!$D$5),"Да","Нет")</x:f>
        <x:v>Нет</x:v>
      </x:c>
    </x:row>
    <x:row r="4536" ht="60" customHeight="1">
      <x:c r="A4536" s="14" t="str">
        <x:v>Аптека</x:v>
      </x:c>
      <x:c r="B4536" s="14" t="str">
        <x:v>Спортивное питание</x:v>
      </x:c>
      <x:c r="C4536" s="14" t="str">
        <x:v>Специальные препараты для спортивного питания</x:v>
      </x:c>
      <x:c r="D4536" s="14" t="str">
        <x:v>Релаксант (антистресс) для спортивного питания</x:v>
      </x:c>
      <x:c r="E4536" s="2" t="n">
        <x:v>9</x:v>
      </x:c>
      <x:c r="F4536" s="2" t="n">
        <x:v>0</x:v>
      </x:c>
      <x:c r="G4536" s="12" t="n">
        <x:v>1821017.23</x:v>
      </x:c>
      <x:c r="H4536" s="12" t="n">
        <x:v>381844.596547</x:v>
      </x:c>
      <x:c r="I4536" s="13" t="n">
        <x:v>0.2018222222222222</x:v>
      </x:c>
      <x:c r="J4536" s="2" t="n">
        <x:v>1</x:v>
      </x:c>
      <x:c r="K4536" s="2" t="n">
        <x:v>7</x:v>
      </x:c>
      <x:c r="L4536" s="12" t="n">
        <x:v>1817.69</x:v>
      </x:c>
      <x:c r="M4536" s="13" t="n">
        <x:v>0.3507677958653911</x:v>
      </x:c>
      <x:c r="N4536" s="13" t="n">
        <x:f>H4536/G4536</x:f>
        <x:v>0.20968752533275042</x:v>
      </x:c>
      <x:c r="O4536" s="13" t="n">
        <x:f>F4536/E4536</x:f>
        <x:v>0</x:v>
      </x:c>
      <x:c r="P4536" s="2" t="str">
        <x:f>IF(AND(E4536&gt;='Итоги'!$F$5,N4536&lt;='Итоги'!$B$5,O4536&gt;='Итоги'!$D$5),"Да","Нет")</x:f>
        <x:v>Нет</x:v>
      </x:c>
    </x:row>
    <x:row r="4537" ht="60" customHeight="1">
      <x:c r="A4537" s="14" t="str">
        <x:v>Аксессуары для электроники</x:v>
      </x:c>
      <x:c r="B4537" s="14" t="str">
        <x:v>Аксессуары для мобильных устройств Access</x:v>
      </x:c>
      <x:c r="C4537" s="14" t="str">
        <x:v>Аксессуары для смартфонов Access</x:v>
      </x:c>
      <x:c r="D4537" s="14" t="str">
        <x:v>Очки виртуальной реальности для смартфона</x:v>
      </x:c>
      <x:c r="E4537" s="2" t="n">
        <x:v>26</x:v>
      </x:c>
      <x:c r="F4537" s="2" t="n">
        <x:v>0</x:v>
      </x:c>
      <x:c r="G4537" s="12" t="n">
        <x:v>3915002.7881</x:v>
      </x:c>
      <x:c r="H4537" s="12" t="n">
        <x:v>821046.08466556</x:v>
      </x:c>
      <x:c r="I4537" s="13" t="n">
        <x:v>0.20975</x:v>
      </x:c>
      <x:c r="J4537" s="2" t="n">
        <x:v>1</x:v>
      </x:c>
      <x:c r="K4537" s="2" t="n">
        <x:v>16</x:v>
      </x:c>
      <x:c r="L4537" s="12" t="n">
        <x:v>2484.43585</x:v>
      </x:c>
      <x:c r="M4537" s="13" t="n">
        <x:v>0.3075626208389928</x:v>
      </x:c>
      <x:c r="N4537" s="13" t="n">
        <x:f>H4537/G4537</x:f>
        <x:v>0.20971787993643398</x:v>
      </x:c>
      <x:c r="O4537" s="13" t="n">
        <x:f>F4537/E4537</x:f>
        <x:v>0</x:v>
      </x:c>
      <x:c r="P4537" s="2" t="str">
        <x:f>IF(AND(E4537&gt;='Итоги'!$F$5,N4537&lt;='Итоги'!$B$5,O4537&gt;='Итоги'!$D$5),"Да","Нет")</x:f>
        <x:v>Нет</x:v>
      </x:c>
    </x:row>
    <x:row r="4538" ht="60" customHeight="1">
      <x:c r="A4538" s="14" t="str">
        <x:v>Мелкая бытовая техника</x:v>
      </x:c>
      <x:c r="B4538" s="14" t="str">
        <x:v>Мелкая бытовая техника SDA</x:v>
      </x:c>
      <x:c r="C4538" s="14" t="str">
        <x:v>Электронная техника для дома SDA</x:v>
      </x:c>
      <x:c r="D4538" s="14" t="str">
        <x:v>Миниклинер и расходные материалы</x:v>
      </x:c>
      <x:c r="E4538" s="2" t="n">
        <x:v>2</x:v>
      </x:c>
      <x:c r="F4538" s="2" t="n">
        <x:v>0</x:v>
      </x:c>
      <x:c r="G4538" s="12" t="n">
        <x:v>214366</x:v>
      </x:c>
      <x:c r="H4538" s="12" t="n">
        <x:v>45018.098</x:v>
      </x:c>
      <x:c r="I4538" s="13" t="n">
        <x:v>0.2017999999999999</x:v>
      </x:c>
      <x:c r="J4538" s="2" t="n">
        <x:v>0</x:v>
      </x:c>
      <x:c r="K4538" s="2" t="n">
        <x:v>1</x:v>
      </x:c>
      <x:c r="L4538" s="12" t="n">
        <x:v>1804.2796</x:v>
      </x:c>
      <x:c r="M4538" s="13" t="n">
        <x:v>1</x:v>
      </x:c>
      <x:c r="N4538" s="13" t="n">
        <x:f>H4538/G4538</x:f>
        <x:v>0.21000577516956978</x:v>
      </x:c>
      <x:c r="O4538" s="13" t="n">
        <x:f>F4538/E4538</x:f>
        <x:v>0</x:v>
      </x:c>
      <x:c r="P4538" s="2" t="str">
        <x:f>IF(AND(E4538&gt;='Итоги'!$F$5,N4538&lt;='Итоги'!$B$5,O4538&gt;='Итоги'!$D$5),"Да","Нет")</x:f>
        <x:v>Нет</x:v>
      </x:c>
    </x:row>
    <x:row r="4539" ht="60" customHeight="1">
      <x:c r="A4539" s="14" t="str">
        <x:v>Одежда</x:v>
      </x:c>
      <x:c r="B4539" s="14" t="str">
        <x:v>Основная одежда мужская</x:v>
      </x:c>
      <x:c r="C4539" s="14" t="str">
        <x:v>Головные уборы, перчатки, шарфы мужские</x:v>
      </x:c>
      <x:c r="D4539" s="14" t="str">
        <x:v>Мужской шарф</x:v>
      </x:c>
      <x:c r="E4539" s="2" t="n">
        <x:v>1</x:v>
      </x:c>
      <x:c r="F4539" s="2" t="n">
        <x:v>0</x:v>
      </x:c>
      <x:c r="G4539" s="12" t="n">
        <x:v>83505.6634</x:v>
      </x:c>
      <x:c r="H4539" s="12" t="n">
        <x:v>17611.344411060003</x:v>
      </x:c>
      <x:c r="I4539" s="13" t="n">
        <x:v>0.2109</x:v>
      </x:c>
      <x:c r="J4539" s="2" t="n">
        <x:v>0</x:v>
      </x:c>
      <x:c r="K4539" s="2" t="n">
        <x:v>1</x:v>
      </x:c>
      <x:c r="L4539" s="12" t="n">
        <x:v>938.2659</x:v>
      </x:c>
      <x:c r="M4539" s="13" t="n">
        <x:v>1</x:v>
      </x:c>
      <x:c r="N4539" s="13" t="n">
        <x:f>H4539/G4539</x:f>
        <x:v>0.21090000000000003</x:v>
      </x:c>
      <x:c r="O4539" s="13" t="n">
        <x:f>F4539/E4539</x:f>
        <x:v>0</x:v>
      </x:c>
      <x:c r="P4539" s="2" t="str">
        <x:f>IF(AND(E4539&gt;='Итоги'!$F$5,N4539&lt;='Итоги'!$B$5,O4539&gt;='Итоги'!$D$5),"Да","Нет")</x:f>
        <x:v>Нет</x:v>
      </x:c>
    </x:row>
    <x:row r="4540" ht="60" customHeight="1">
      <x:c r="A4540" s="14" t="str">
        <x:v>Хобби и творчество</x:v>
      </x:c>
      <x:c r="B4540" s="14" t="str">
        <x:v>Взрослое творчество и хобби</x:v>
      </x:c>
      <x:c r="C4540" s="14" t="str">
        <x:v>Создание игрушек, украшений, косметики, кухонных аксессуаров</x:v>
      </x:c>
      <x:c r="D4540" s="14" t="str">
        <x:v>Набор для изготовления куклы, игрушки</x:v>
      </x:c>
      <x:c r="E4540" s="2" t="n">
        <x:v>1</x:v>
      </x:c>
      <x:c r="F4540" s="2" t="n">
        <x:v>0</x:v>
      </x:c>
      <x:c r="G4540" s="12" t="n">
        <x:v>24115</x:v>
      </x:c>
      <x:c r="H4540" s="12" t="n">
        <x:v>5097.911</x:v>
      </x:c>
      <x:c r="I4540" s="13" t="n">
        <x:v>0.2114</x:v>
      </x:c>
      <x:c r="J4540" s="2" t="n">
        <x:v>0</x:v>
      </x:c>
      <x:c r="K4540" s="2" t="n">
        <x:v>1</x:v>
      </x:c>
      <x:c r="L4540" s="12" t="n">
        <x:v>1269.2105</x:v>
      </x:c>
      <x:c r="M4540" s="13" t="n">
        <x:v>1</x:v>
      </x:c>
      <x:c r="N4540" s="13" t="n">
        <x:f>H4540/G4540</x:f>
        <x:v>0.2114</x:v>
      </x:c>
      <x:c r="O4540" s="13" t="n">
        <x:f>F4540/E4540</x:f>
        <x:v>0</x:v>
      </x:c>
      <x:c r="P4540" s="2" t="str">
        <x:f>IF(AND(E4540&gt;='Итоги'!$F$5,N4540&lt;='Итоги'!$B$5,O4540&gt;='Итоги'!$D$5),"Да","Нет")</x:f>
        <x:v>Нет</x:v>
      </x:c>
    </x:row>
    <x:row r="4541" ht="60" customHeight="1">
      <x:c r="A4541" s="14" t="str">
        <x:v>Товары для дома</x:v>
      </x:c>
      <x:c r="B4541" s="14" t="str">
        <x:v>Интерьер и декор</x:v>
      </x:c>
      <x:c r="C4541" s="14" t="str">
        <x:v>Картина, постер, панно</x:v>
      </x:c>
      <x:c r="D4541" s="14" t="str">
        <x:v>Картина интерьерная</x:v>
      </x:c>
      <x:c r="E4541" s="2" t="n">
        <x:v>9</x:v>
      </x:c>
      <x:c r="F4541" s="2" t="n">
        <x:v>0</x:v>
      </x:c>
      <x:c r="G4541" s="12" t="n">
        <x:v>872094.073</x:v>
      </x:c>
      <x:c r="H4541" s="12" t="n">
        <x:v>184464.46173205</x:v>
      </x:c>
      <x:c r="I4541" s="13" t="n">
        <x:v>0.2101666666666666</x:v>
      </x:c>
      <x:c r="J4541" s="2" t="n">
        <x:v>0</x:v>
      </x:c>
      <x:c r="K4541" s="2" t="n">
        <x:v>4</x:v>
      </x:c>
      <x:c r="L4541" s="12" t="n">
        <x:v>1492.9916</x:v>
      </x:c>
      <x:c r="M4541" s="13" t="n">
        <x:v>0.3909786018004505</x:v>
      </x:c>
      <x:c r="N4541" s="13" t="n">
        <x:f>H4541/G4541</x:f>
        <x:v>0.21151899484592646</x:v>
      </x:c>
      <x:c r="O4541" s="13" t="n">
        <x:f>F4541/E4541</x:f>
        <x:v>0</x:v>
      </x:c>
      <x:c r="P4541" s="2" t="str">
        <x:f>IF(AND(E4541&gt;='Итоги'!$F$5,N4541&lt;='Итоги'!$B$5,O4541&gt;='Итоги'!$D$5),"Да","Нет")</x:f>
        <x:v>Нет</x:v>
      </x:c>
    </x:row>
    <x:row r="4542" ht="60" customHeight="1">
      <x:c r="A4542" s="14" t="str">
        <x:v>Хобби и творчество</x:v>
      </x:c>
      <x:c r="B4542" s="14" t="str">
        <x:v>Взрослое творчество и хобби</x:v>
      </x:c>
      <x:c r="C4542" s="14" t="str">
        <x:v>Живопись и аэрография</x:v>
      </x:c>
      <x:c r="D4542" s="14" t="str">
        <x:v>Маркеры для художников</x:v>
      </x:c>
      <x:c r="E4542" s="2" t="n">
        <x:v>5</x:v>
      </x:c>
      <x:c r="F4542" s="2" t="n">
        <x:v>0</x:v>
      </x:c>
      <x:c r="G4542" s="12" t="n">
        <x:v>500797.3145</x:v>
      </x:c>
      <x:c r="H4542" s="12" t="n">
        <x:v>106517.82556554</x:v>
      </x:c>
      <x:c r="I4542" s="13" t="n">
        <x:v>0.21624</x:v>
      </x:c>
      <x:c r="J4542" s="2" t="n">
        <x:v>0</x:v>
      </x:c>
      <x:c r="K4542" s="2" t="n">
        <x:v>5</x:v>
      </x:c>
      <x:c r="L4542" s="12" t="n">
        <x:v>1018.4893</x:v>
      </x:c>
      <x:c r="M4542" s="13" t="n">
        <x:v>0.2264888343365907</x:v>
      </x:c>
      <x:c r="N4542" s="13" t="n">
        <x:f>H4542/G4542</x:f>
        <x:v>0.212696479157218</x:v>
      </x:c>
      <x:c r="O4542" s="13" t="n">
        <x:f>F4542/E4542</x:f>
        <x:v>0</x:v>
      </x:c>
      <x:c r="P4542" s="2" t="str">
        <x:f>IF(AND(E4542&gt;='Итоги'!$F$5,N4542&lt;='Итоги'!$B$5,O4542&gt;='Итоги'!$D$5),"Да","Нет")</x:f>
        <x:v>Нет</x:v>
      </x:c>
    </x:row>
    <x:row r="4543" ht="60" customHeight="1">
      <x:c r="A4543" s="14" t="str">
        <x:v>Хобби и творчество</x:v>
      </x:c>
      <x:c r="B4543" s="14" t="str">
        <x:v>Детское творчество и хобби</x:v>
      </x:c>
      <x:c r="C4543" s="14" t="str">
        <x:v>Настольные и обучающие игры</x:v>
      </x:c>
      <x:c r="D4543" s="14" t="str">
        <x:v>Принадлежности для пазлов</x:v>
      </x:c>
      <x:c r="E4543" s="2" t="n">
        <x:v>1</x:v>
      </x:c>
      <x:c r="F4543" s="2" t="n">
        <x:v>0</x:v>
      </x:c>
      <x:c r="G4543" s="12" t="n">
        <x:v>111612.58</x:v>
      </x:c>
      <x:c r="H4543" s="12" t="n">
        <x:v>23773.47954</x:v>
      </x:c>
      <x:c r="I4543" s="13" t="n">
        <x:v>0.213</x:v>
      </x:c>
      <x:c r="J4543" s="2" t="n">
        <x:v>0</x:v>
      </x:c>
      <x:c r="K4543" s="2" t="n">
        <x:v>1</x:v>
      </x:c>
      <x:c r="L4543" s="12" t="n">
        <x:v>1005.5187</x:v>
      </x:c>
      <x:c r="M4543" s="13" t="n">
        <x:v>1</x:v>
      </x:c>
      <x:c r="N4543" s="13" t="n">
        <x:f>H4543/G4543</x:f>
        <x:v>0.213</x:v>
      </x:c>
      <x:c r="O4543" s="13" t="n">
        <x:f>F4543/E4543</x:f>
        <x:v>0</x:v>
      </x:c>
      <x:c r="P4543" s="2" t="str">
        <x:f>IF(AND(E4543&gt;='Итоги'!$F$5,N4543&lt;='Итоги'!$B$5,O4543&gt;='Итоги'!$D$5),"Да","Нет")</x:f>
        <x:v>Нет</x:v>
      </x:c>
    </x:row>
    <x:row r="4544" ht="60" customHeight="1">
      <x:c r="A4544" s="14" t="str">
        <x:v>Детская одежда</x:v>
      </x:c>
      <x:c r="B4544" s="14" t="str">
        <x:v>Детская одежда</x:v>
      </x:c>
      <x:c r="C4544" s="14" t="str">
        <x:v>Верхняя одежда для мальчика</x:v>
      </x:c>
      <x:c r="D4544" s="14" t="str">
        <x:v>Ветровка для мальчика</x:v>
      </x:c>
      <x:c r="E4544" s="2" t="n">
        <x:v>20</x:v>
      </x:c>
      <x:c r="F4544" s="2" t="n">
        <x:v>0</x:v>
      </x:c>
      <x:c r="G4544" s="12" t="n">
        <x:v>1539335.3983</x:v>
      </x:c>
      <x:c r="H4544" s="12" t="n">
        <x:v>327948.16943127</x:v>
      </x:c>
      <x:c r="I4544" s="13" t="n">
        <x:v>0.159445</x:v>
      </x:c>
      <x:c r="J4544" s="2" t="n">
        <x:v>6</x:v>
      </x:c>
      <x:c r="K4544" s="2" t="n">
        <x:v>4</x:v>
      </x:c>
      <x:c r="L4544" s="12" t="n">
        <x:v>1544.38095</x:v>
      </x:c>
      <x:c r="M4544" s="13" t="n">
        <x:v>0.8836613448909343</x:v>
      </x:c>
      <x:c r="N4544" s="13" t="n">
        <x:f>H4544/G4544</x:f>
        <x:v>0.2130452985057363</x:v>
      </x:c>
      <x:c r="O4544" s="13" t="n">
        <x:f>F4544/E4544</x:f>
        <x:v>0</x:v>
      </x:c>
      <x:c r="P4544" s="2" t="str">
        <x:f>IF(AND(E4544&gt;='Итоги'!$F$5,N4544&lt;='Итоги'!$B$5,O4544&gt;='Итоги'!$D$5),"Да","Нет")</x:f>
        <x:v>Нет</x:v>
      </x:c>
    </x:row>
    <x:row r="4545" ht="60" customHeight="1">
      <x:c r="A4545" s="14" t="str">
        <x:v>Спорт и отдых</x:v>
      </x:c>
      <x:c r="B4545" s="14" t="str">
        <x:v>Тренажеры и фитнес</x:v>
      </x:c>
      <x:c r="C4545" s="14" t="str">
        <x:v>Спортивная защита универсальная</x:v>
      </x:c>
      <x:c r="D4545" s="14" t="str">
        <x:v>Спортивный суппорт, бандаж</x:v>
      </x:c>
      <x:c r="E4545" s="2" t="n">
        <x:v>2</x:v>
      </x:c>
      <x:c r="F4545" s="2" t="n">
        <x:v>0</x:v>
      </x:c>
      <x:c r="G4545" s="12" t="n">
        <x:v>236107.6144</x:v>
      </x:c>
      <x:c r="H4545" s="12" t="n">
        <x:v>50520.2570304</x:v>
      </x:c>
      <x:c r="I4545" s="13" t="n">
        <x:v>0.21495</x:v>
      </x:c>
      <x:c r="J4545" s="2" t="n">
        <x:v>0</x:v>
      </x:c>
      <x:c r="K4545" s="2" t="n">
        <x:v>2</x:v>
      </x:c>
      <x:c r="L4545" s="12" t="n">
        <x:v>1204.72265</x:v>
      </x:c>
      <x:c r="M4545" s="13" t="n">
        <x:v>0.5169030008207985</x:v>
      </x:c>
      <x:c r="N4545" s="13" t="n">
        <x:f>H4545/G4545</x:f>
        <x:v>0.21397131625247576</x:v>
      </x:c>
      <x:c r="O4545" s="13" t="n">
        <x:f>F4545/E4545</x:f>
        <x:v>0</x:v>
      </x:c>
      <x:c r="P4545" s="2" t="str">
        <x:f>IF(AND(E4545&gt;='Итоги'!$F$5,N4545&lt;='Итоги'!$B$5,O4545&gt;='Итоги'!$D$5),"Да","Нет")</x:f>
        <x:v>Нет</x:v>
      </x:c>
    </x:row>
    <x:row r="4546" ht="60" customHeight="1">
      <x:c r="A4546" s="14" t="str">
        <x:v>Товары для дома</x:v>
      </x:c>
      <x:c r="B4546" s="14" t="str">
        <x:v>Интерьер и декор</x:v>
      </x:c>
      <x:c r="C4546" s="14" t="str">
        <x:v>Домашние растения</x:v>
      </x:c>
      <x:c r="D4546" s="14" t="str">
        <x:v>Поддон для горшка</x:v>
      </x:c>
      <x:c r="E4546" s="2" t="n">
        <x:v>1</x:v>
      </x:c>
      <x:c r="F4546" s="2" t="n">
        <x:v>0</x:v>
      </x:c>
      <x:c r="G4546" s="12" t="n">
        <x:v>90258</x:v>
      </x:c>
      <x:c r="H4546" s="12" t="n">
        <x:v>19477.6764</x:v>
      </x:c>
      <x:c r="I4546" s="13" t="n">
        <x:v>0.2158</x:v>
      </x:c>
      <x:c r="J4546" s="2" t="n">
        <x:v>0</x:v>
      </x:c>
      <x:c r="K4546" s="2" t="n">
        <x:v>1</x:v>
      </x:c>
      <x:c r="L4546" s="12" t="n">
        <x:v>1172.1818</x:v>
      </x:c>
      <x:c r="M4546" s="13" t="n">
        <x:v>1</x:v>
      </x:c>
      <x:c r="N4546" s="13" t="n">
        <x:f>H4546/G4546</x:f>
        <x:v>0.2158</x:v>
      </x:c>
      <x:c r="O4546" s="13" t="n">
        <x:f>F4546/E4546</x:f>
        <x:v>0</x:v>
      </x:c>
      <x:c r="P4546" s="2" t="str">
        <x:f>IF(AND(E4546&gt;='Итоги'!$F$5,N4546&lt;='Итоги'!$B$5,O4546&gt;='Итоги'!$D$5),"Да","Нет")</x:f>
        <x:v>Нет</x:v>
      </x:c>
    </x:row>
    <x:row r="4547" ht="60" customHeight="1">
      <x:c r="A4547" s="14" t="str">
        <x:v>Аптека</x:v>
      </x:c>
      <x:c r="B4547" s="14" t="str">
        <x:v>Тату</x:v>
      </x:c>
      <x:c r="C4547" s="14" t="str">
        <x:v>Тату силовое оборудование</x:v>
      </x:c>
      <x:c r="D4547" s="14" t="str">
        <x:v>Блок питания для тату машинки</x:v>
      </x:c>
      <x:c r="E4547" s="2" t="n">
        <x:v>1</x:v>
      </x:c>
      <x:c r="F4547" s="2" t="n">
        <x:v>0</x:v>
      </x:c>
      <x:c r="G4547" s="12" t="n">
        <x:v>94181.53</x:v>
      </x:c>
      <x:c r="H4547" s="12" t="n">
        <x:v>20456.228316</x:v>
      </x:c>
      <x:c r="I4547" s="13" t="n">
        <x:v>0.2172</x:v>
      </x:c>
      <x:c r="J4547" s="2" t="n">
        <x:v>0</x:v>
      </x:c>
      <x:c r="K4547" s="2" t="n">
        <x:v>1</x:v>
      </x:c>
      <x:c r="L4547" s="12" t="n">
        <x:v>2770.045</x:v>
      </x:c>
      <x:c r="M4547" s="13" t="n">
        <x:v>1</x:v>
      </x:c>
      <x:c r="N4547" s="13" t="n">
        <x:f>H4547/G4547</x:f>
        <x:v>0.2172</x:v>
      </x:c>
      <x:c r="O4547" s="13" t="n">
        <x:f>F4547/E4547</x:f>
        <x:v>0</x:v>
      </x:c>
      <x:c r="P4547" s="2" t="str">
        <x:f>IF(AND(E4547&gt;='Итоги'!$F$5,N4547&lt;='Итоги'!$B$5,O4547&gt;='Итоги'!$D$5),"Да","Нет")</x:f>
        <x:v>Нет</x:v>
      </x:c>
    </x:row>
    <x:row r="4548" ht="60" customHeight="1">
      <x:c r="A4548" s="14" t="str">
        <x:v>Хобби и творчество</x:v>
      </x:c>
      <x:c r="B4548" s="14" t="str">
        <x:v>Детское творчество и хобби</x:v>
      </x:c>
      <x:c r="C4548" s="14" t="str">
        <x:v>Лепка для детей</x:v>
      </x:c>
      <x:c r="D4548" s="14" t="str">
        <x:v>Лепка из теста для детей</x:v>
      </x:c>
      <x:c r="E4548" s="2" t="n">
        <x:v>1</x:v>
      </x:c>
      <x:c r="F4548" s="2" t="n">
        <x:v>0</x:v>
      </x:c>
      <x:c r="G4548" s="12" t="n">
        <x:v>103698</x:v>
      </x:c>
      <x:c r="H4548" s="12" t="n">
        <x:v>22523.2056</x:v>
      </x:c>
      <x:c r="I4548" s="13" t="n">
        <x:v>0.2172</x:v>
      </x:c>
      <x:c r="J4548" s="2" t="n">
        <x:v>0</x:v>
      </x:c>
      <x:c r="K4548" s="2" t="n">
        <x:v>1</x:v>
      </x:c>
      <x:c r="L4548" s="12" t="n">
        <x:v>1420.5205</x:v>
      </x:c>
      <x:c r="M4548" s="13" t="n">
        <x:v>1</x:v>
      </x:c>
      <x:c r="N4548" s="13" t="n">
        <x:f>H4548/G4548</x:f>
        <x:v>0.2172</x:v>
      </x:c>
      <x:c r="O4548" s="13" t="n">
        <x:f>F4548/E4548</x:f>
        <x:v>0</x:v>
      </x:c>
      <x:c r="P4548" s="2" t="str">
        <x:f>IF(AND(E4548&gt;='Итоги'!$F$5,N4548&lt;='Итоги'!$B$5,O4548&gt;='Итоги'!$D$5),"Да","Нет")</x:f>
        <x:v>Нет</x:v>
      </x:c>
    </x:row>
    <x:row r="4549" ht="60" customHeight="1">
      <x:c r="A4549" s="14" t="str">
        <x:v>Товары для красоты и здоровья</x:v>
      </x:c>
      <x:c r="B4549" s="14" t="str">
        <x:v>Косметическая техника</x:v>
      </x:c>
      <x:c r="C4549" s="14" t="str">
        <x:v>Приборы для косметических процедур</x:v>
      </x:c>
      <x:c r="D4549" s="14" t="str">
        <x:v>Увлажнитель для лица</x:v>
      </x:c>
      <x:c r="E4549" s="2" t="n">
        <x:v>1</x:v>
      </x:c>
      <x:c r="F4549" s="2" t="n">
        <x:v>0</x:v>
      </x:c>
      <x:c r="G4549" s="12" t="n">
        <x:v>3196</x:v>
      </x:c>
      <x:c r="H4549" s="12" t="n">
        <x:v>701.2024</x:v>
      </x:c>
      <x:c r="I4549" s="13" t="n">
        <x:v>0.2194</x:v>
      </x:c>
      <x:c r="J4549" s="2" t="n">
        <x:v>0</x:v>
      </x:c>
      <x:c r="K4549" s="2" t="n">
        <x:v>1</x:v>
      </x:c>
      <x:c r="L4549" s="12" t="n">
        <x:v>1065.3333</x:v>
      </x:c>
      <x:c r="M4549" s="13" t="n">
        <x:v>1</x:v>
      </x:c>
      <x:c r="N4549" s="13" t="n">
        <x:f>H4549/G4549</x:f>
        <x:v>0.2194</x:v>
      </x:c>
      <x:c r="O4549" s="13" t="n">
        <x:f>F4549/E4549</x:f>
        <x:v>0</x:v>
      </x:c>
      <x:c r="P4549" s="2" t="str">
        <x:f>IF(AND(E4549&gt;='Итоги'!$F$5,N4549&lt;='Итоги'!$B$5,O4549&gt;='Итоги'!$D$5),"Да","Нет")</x:f>
        <x:v>Нет</x:v>
      </x:c>
    </x:row>
    <x:row r="4550" ht="60" customHeight="1">
      <x:c r="A4550" s="14" t="str">
        <x:v>Аудио и видеотехника</x:v>
      </x:c>
      <x:c r="B4550" s="14" t="str">
        <x:v>Портативная аудиотехника TV&amp;Audio</x:v>
      </x:c>
      <x:c r="C4550" s="14" t="str">
        <x:v>Портативная акустика TV&amp;Audio</x:v>
      </x:c>
      <x:c r="D4550" s="14" t="str">
        <x:v>Умные очки</x:v>
      </x:c>
      <x:c r="E4550" s="2" t="n">
        <x:v>1</x:v>
      </x:c>
      <x:c r="F4550" s="2" t="n">
        <x:v>0</x:v>
      </x:c>
      <x:c r="G4550" s="12" t="n">
        <x:v>104629</x:v>
      </x:c>
      <x:c r="H4550" s="12" t="n">
        <x:v>23342.7299</x:v>
      </x:c>
      <x:c r="I4550" s="13" t="n">
        <x:v>0.2231</x:v>
      </x:c>
      <x:c r="J4550" s="2" t="n">
        <x:v>0</x:v>
      </x:c>
      <x:c r="K4550" s="2" t="n">
        <x:v>1</x:v>
      </x:c>
      <x:c r="L4550" s="12" t="n">
        <x:v>1715.2295</x:v>
      </x:c>
      <x:c r="M4550" s="13" t="n">
        <x:v>1</x:v>
      </x:c>
      <x:c r="N4550" s="13" t="n">
        <x:f>H4550/G4550</x:f>
        <x:v>0.2231</x:v>
      </x:c>
      <x:c r="O4550" s="13" t="n">
        <x:f>F4550/E4550</x:f>
        <x:v>0</x:v>
      </x:c>
      <x:c r="P4550" s="2" t="str">
        <x:f>IF(AND(E4550&gt;='Итоги'!$F$5,N4550&lt;='Итоги'!$B$5,O4550&gt;='Итоги'!$D$5),"Да","Нет")</x:f>
        <x:v>Нет</x:v>
      </x:c>
    </x:row>
    <x:row r="4551" ht="60" customHeight="1">
      <x:c r="A4551" s="14" t="str">
        <x:v>Аксессуары</x:v>
      </x:c>
      <x:c r="B4551" s="14" t="str">
        <x:v>Аксессуары</x:v>
      </x:c>
      <x:c r="C4551" s="14" t="str">
        <x:v>Аксессуары и уход для обуви</x:v>
      </x:c>
      <x:c r="D4551" s="14" t="str">
        <x:v>Стельки</x:v>
      </x:c>
      <x:c r="E4551" s="2" t="n">
        <x:v>13</x:v>
      </x:c>
      <x:c r="F4551" s="2" t="n">
        <x:v>0</x:v>
      </x:c>
      <x:c r="G4551" s="12" t="n">
        <x:v>2261771.9233</x:v>
      </x:c>
      <x:c r="H4551" s="12" t="n">
        <x:v>506393.30974794</x:v>
      </x:c>
      <x:c r="I4551" s="13" t="n">
        <x:v>0.2258307692307692</x:v>
      </x:c>
      <x:c r="J4551" s="2" t="n">
        <x:v>0</x:v>
      </x:c>
      <x:c r="K4551" s="2" t="n">
        <x:v>2</x:v>
      </x:c>
      <x:c r="L4551" s="12" t="n">
        <x:v>820.1543</x:v>
      </x:c>
      <x:c r="M4551" s="13" t="n">
        <x:v>0.8037243091901636</x:v>
      </x:c>
      <x:c r="N4551" s="13" t="n">
        <x:f>H4551/G4551</x:f>
        <x:v>0.22389229635899602</x:v>
      </x:c>
      <x:c r="O4551" s="13" t="n">
        <x:f>F4551/E4551</x:f>
        <x:v>0</x:v>
      </x:c>
      <x:c r="P4551" s="2" t="str">
        <x:f>IF(AND(E4551&gt;='Итоги'!$F$5,N4551&lt;='Итоги'!$B$5,O4551&gt;='Итоги'!$D$5),"Да","Нет")</x:f>
        <x:v>Нет</x:v>
      </x:c>
    </x:row>
    <x:row r="4552" ht="60" customHeight="1">
      <x:c r="A4552" s="14" t="str">
        <x:v>Аптека</x:v>
      </x:c>
      <x:c r="B4552" s="14" t="str">
        <x:v>Товары для взрослых</x:v>
      </x:c>
      <x:c r="C4552" s="14" t="str">
        <x:v>Товары для БДСМ</x:v>
      </x:c>
      <x:c r="D4552" s="14" t="str">
        <x:v>БДСМ электростимуляция</x:v>
      </x:c>
      <x:c r="E4552" s="2" t="n">
        <x:v>2</x:v>
      </x:c>
      <x:c r="F4552" s="2" t="n">
        <x:v>0</x:v>
      </x:c>
      <x:c r="G4552" s="12" t="n">
        <x:v>323093</x:v>
      </x:c>
      <x:c r="H4552" s="12" t="n">
        <x:v>72363.24429999999</x:v>
      </x:c>
      <x:c r="I4552" s="13" t="n">
        <x:v>0.21405</x:v>
      </x:c>
      <x:c r="J4552" s="2" t="n">
        <x:v>0</x:v>
      </x:c>
      <x:c r="K4552" s="2" t="n">
        <x:v>2</x:v>
      </x:c>
      <x:c r="L4552" s="12" t="n">
        <x:v>2008.7209</x:v>
      </x:c>
      <x:c r="M4552" s="13" t="n">
        <x:v>0.688241466079426</x:v>
      </x:c>
      <x:c r="N4552" s="13" t="n">
        <x:f>H4552/G4552</x:f>
        <x:v>0.22397032526238572</x:v>
      </x:c>
      <x:c r="O4552" s="13" t="n">
        <x:f>F4552/E4552</x:f>
        <x:v>0</x:v>
      </x:c>
      <x:c r="P4552" s="2" t="str">
        <x:f>IF(AND(E4552&gt;='Итоги'!$F$5,N4552&lt;='Итоги'!$B$5,O4552&gt;='Итоги'!$D$5),"Да","Нет")</x:f>
        <x:v>Нет</x:v>
      </x:c>
    </x:row>
    <x:row r="4553" ht="60" customHeight="1">
      <x:c r="A4553" s="14" t="str">
        <x:v>Товары для дома</x:v>
      </x:c>
      <x:c r="B4553" s="14" t="str">
        <x:v>Домашний текстиль</x:v>
      </x:c>
      <x:c r="C4553" s="14" t="str">
        <x:v>Халат, тюрбан, чалма банные</x:v>
      </x:c>
      <x:c r="D4553" s="14" t="str">
        <x:v>Халат банный женский</x:v>
      </x:c>
      <x:c r="E4553" s="2" t="n">
        <x:v>3</x:v>
      </x:c>
      <x:c r="F4553" s="2" t="n">
        <x:v>0</x:v>
      </x:c>
      <x:c r="G4553" s="12" t="n">
        <x:v>343573.21</x:v>
      </x:c>
      <x:c r="H4553" s="12" t="n">
        <x:v>77088.602841</x:v>
      </x:c>
      <x:c r="I4553" s="13" t="n">
        <x:v>0.2341</x:v>
      </x:c>
      <x:c r="J4553" s="2" t="n">
        <x:v>0</x:v>
      </x:c>
      <x:c r="K4553" s="2" t="n">
        <x:v>1</x:v>
      </x:c>
      <x:c r="L4553" s="12" t="n">
        <x:v>771.5929</x:v>
      </x:c>
      <x:c r="M4553" s="13" t="n">
        <x:v>1</x:v>
      </x:c>
      <x:c r="N4553" s="13" t="n">
        <x:f>H4553/G4553</x:f>
        <x:v>0.22437314842155473</x:v>
      </x:c>
      <x:c r="O4553" s="13" t="n">
        <x:f>F4553/E4553</x:f>
        <x:v>0</x:v>
      </x:c>
      <x:c r="P4553" s="2" t="str">
        <x:f>IF(AND(E4553&gt;='Итоги'!$F$5,N4553&lt;='Итоги'!$B$5,O4553&gt;='Итоги'!$D$5),"Да","Нет")</x:f>
        <x:v>Нет</x:v>
      </x:c>
    </x:row>
    <x:row r="4554" ht="60" customHeight="1">
      <x:c r="A4554" s="14" t="str">
        <x:v>Одежда</x:v>
      </x:c>
      <x:c r="B4554" s="14" t="str">
        <x:v>Основная одежда мужская</x:v>
      </x:c>
      <x:c r="C4554" s="14" t="str">
        <x:v>Головные уборы, перчатки, шарфы мужские</x:v>
      </x:c>
      <x:c r="D4554" s="14" t="str">
        <x:v>Мужские перчатки авто</x:v>
      </x:c>
      <x:c r="E4554" s="2" t="n">
        <x:v>1</x:v>
      </x:c>
      <x:c r="F4554" s="2" t="n">
        <x:v>0</x:v>
      </x:c>
      <x:c r="G4554" s="12" t="n">
        <x:v>3925</x:v>
      </x:c>
      <x:c r="H4554" s="12" t="n">
        <x:v>881.1625</x:v>
      </x:c>
      <x:c r="I4554" s="13" t="n">
        <x:v>0.2245</x:v>
      </x:c>
      <x:c r="J4554" s="2" t="n">
        <x:v>0</x:v>
      </x:c>
      <x:c r="K4554" s="2" t="n">
        <x:v>1</x:v>
      </x:c>
      <x:c r="L4554" s="12" t="n">
        <x:v>3925</x:v>
      </x:c>
      <x:c r="M4554" s="13" t="n">
        <x:v>1</x:v>
      </x:c>
      <x:c r="N4554" s="13" t="n">
        <x:f>H4554/G4554</x:f>
        <x:v>0.2245</x:v>
      </x:c>
      <x:c r="O4554" s="13" t="n">
        <x:f>F4554/E4554</x:f>
        <x:v>0</x:v>
      </x:c>
      <x:c r="P4554" s="2" t="str">
        <x:f>IF(AND(E4554&gt;='Итоги'!$F$5,N4554&lt;='Итоги'!$B$5,O4554&gt;='Итоги'!$D$5),"Да","Нет")</x:f>
        <x:v>Нет</x:v>
      </x:c>
    </x:row>
    <x:row r="4555" ht="60" customHeight="1">
      <x:c r="A4555" s="14" t="str">
        <x:v>Аптека</x:v>
      </x:c>
      <x:c r="B4555" s="14" t="str">
        <x:v>Спортивное питание</x:v>
      </x:c>
      <x:c r="C4555" s="14" t="str">
        <x:v>Тренировочные комплексы</x:v>
      </x:c>
      <x:c r="D4555" s="14" t="str">
        <x:v>Послетренировочный комплекс</x:v>
      </x:c>
      <x:c r="E4555" s="2" t="n">
        <x:v>1</x:v>
      </x:c>
      <x:c r="F4555" s="2" t="n">
        <x:v>0</x:v>
      </x:c>
      <x:c r="G4555" s="12" t="n">
        <x:v>77785.6</x:v>
      </x:c>
      <x:c r="H4555" s="12" t="n">
        <x:v>17618.438400000003</x:v>
      </x:c>
      <x:c r="I4555" s="13" t="n">
        <x:v>0.2265</x:v>
      </x:c>
      <x:c r="J4555" s="2" t="n">
        <x:v>0</x:v>
      </x:c>
      <x:c r="K4555" s="2" t="n">
        <x:v>1</x:v>
      </x:c>
      <x:c r="L4555" s="12" t="n">
        <x:v>2778.0571</x:v>
      </x:c>
      <x:c r="M4555" s="13" t="n">
        <x:v>1</x:v>
      </x:c>
      <x:c r="N4555" s="13" t="n">
        <x:f>H4555/G4555</x:f>
        <x:v>0.2265</x:v>
      </x:c>
      <x:c r="O4555" s="13" t="n">
        <x:f>F4555/E4555</x:f>
        <x:v>0</x:v>
      </x:c>
      <x:c r="P4555" s="2" t="str">
        <x:f>IF(AND(E4555&gt;='Итоги'!$F$5,N4555&lt;='Итоги'!$B$5,O4555&gt;='Итоги'!$D$5),"Да","Нет")</x:f>
        <x:v>Нет</x:v>
      </x:c>
    </x:row>
    <x:row r="4556" ht="60" customHeight="1">
      <x:c r="A4556" s="14" t="str">
        <x:v>Аптека</x:v>
      </x:c>
      <x:c r="B4556" s="14" t="str">
        <x:v>Товары для взрослых</x:v>
      </x:c>
      <x:c r="C4556" s="14" t="str">
        <x:v>Интимная косметика</x:v>
      </x:c>
      <x:c r="D4556" s="14" t="str">
        <x:v>Возбуждающее средство 18+</x:v>
      </x:c>
      <x:c r="E4556" s="2" t="n">
        <x:v>48</x:v>
      </x:c>
      <x:c r="F4556" s="2" t="n">
        <x:v>0</x:v>
      </x:c>
      <x:c r="G4556" s="12" t="n">
        <x:v>7603036.6652</x:v>
      </x:c>
      <x:c r="H4556" s="12" t="n">
        <x:v>1725567.00926415</x:v>
      </x:c>
      <x:c r="I4556" s="13" t="n">
        <x:v>0.227975</x:v>
      </x:c>
      <x:c r="J4556" s="2" t="n">
        <x:v>0</x:v>
      </x:c>
      <x:c r="K4556" s="2" t="n">
        <x:v>8</x:v>
      </x:c>
      <x:c r="L4556" s="12" t="n">
        <x:v>877.1239</x:v>
      </x:c>
      <x:c r="M4556" s="13" t="n">
        <x:v>0.8207316361318447</x:v>
      </x:c>
      <x:c r="N4556" s="13" t="n">
        <x:f>H4556/G4556</x:f>
        <x:v>0.2269576072363658</x:v>
      </x:c>
      <x:c r="O4556" s="13" t="n">
        <x:f>F4556/E4556</x:f>
        <x:v>0</x:v>
      </x:c>
      <x:c r="P4556" s="2" t="str">
        <x:f>IF(AND(E4556&gt;='Итоги'!$F$5,N4556&lt;='Итоги'!$B$5,O4556&gt;='Итоги'!$D$5),"Да","Нет")</x:f>
        <x:v>Нет</x:v>
      </x:c>
    </x:row>
    <x:row r="4557" ht="60" customHeight="1">
      <x:c r="A4557" s="14" t="str">
        <x:v>Детская одежда</x:v>
      </x:c>
      <x:c r="B4557" s="14" t="str">
        <x:v>Детская одежда</x:v>
      </x:c>
      <x:c r="C4557" s="14" t="str">
        <x:v>Белье и ЧНИ для девочек</x:v>
      </x:c>
      <x:c r="D4557" s="14" t="str">
        <x:v>Майка бельевая для девочки</x:v>
      </x:c>
      <x:c r="E4557" s="2" t="n">
        <x:v>1</x:v>
      </x:c>
      <x:c r="F4557" s="2" t="n">
        <x:v>0</x:v>
      </x:c>
      <x:c r="G4557" s="12" t="n">
        <x:v>34580.39</x:v>
      </x:c>
      <x:c r="H4557" s="12" t="n">
        <x:v>7863.580685999999</x:v>
      </x:c>
      <x:c r="I4557" s="13" t="n">
        <x:v>0.2274</x:v>
      </x:c>
      <x:c r="J4557" s="2" t="n">
        <x:v>0</x:v>
      </x:c>
      <x:c r="K4557" s="2" t="n">
        <x:v>1</x:v>
      </x:c>
      <x:c r="L4557" s="12" t="n">
        <x:v>691.6078</x:v>
      </x:c>
      <x:c r="M4557" s="13" t="n">
        <x:v>1</x:v>
      </x:c>
      <x:c r="N4557" s="13" t="n">
        <x:f>H4557/G4557</x:f>
        <x:v>0.2274</x:v>
      </x:c>
      <x:c r="O4557" s="13" t="n">
        <x:f>F4557/E4557</x:f>
        <x:v>0</x:v>
      </x:c>
      <x:c r="P4557" s="2" t="str">
        <x:f>IF(AND(E4557&gt;='Итоги'!$F$5,N4557&lt;='Итоги'!$B$5,O4557&gt;='Итоги'!$D$5),"Да","Нет")</x:f>
        <x:v>Нет</x:v>
      </x:c>
    </x:row>
    <x:row r="4558" ht="60" customHeight="1">
      <x:c r="A4558" s="14" t="str">
        <x:v>Товары для животных</x:v>
      </x:c>
      <x:c r="B4558" s="14" t="str">
        <x:v>Гигиена и уход животных</x:v>
      </x:c>
      <x:c r="C4558" s="14" t="str">
        <x:v>Товары для груминга</x:v>
      </x:c>
      <x:c r="D4558" s="14" t="str">
        <x:v>Пилка для груминга</x:v>
      </x:c>
      <x:c r="E4558" s="2" t="n">
        <x:v>1</x:v>
      </x:c>
      <x:c r="F4558" s="2" t="n">
        <x:v>0</x:v>
      </x:c>
      <x:c r="G4558" s="12" t="n">
        <x:v>88005.71</x:v>
      </x:c>
      <x:c r="H4558" s="12" t="n">
        <x:v>20038.900167000003</x:v>
      </x:c>
      <x:c r="I4558" s="13" t="n">
        <x:v>0.2277</x:v>
      </x:c>
      <x:c r="J4558" s="2" t="n">
        <x:v>0</x:v>
      </x:c>
      <x:c r="K4558" s="2" t="n">
        <x:v>1</x:v>
      </x:c>
      <x:c r="L4558" s="12" t="n">
        <x:v>1239.517</x:v>
      </x:c>
      <x:c r="M4558" s="13" t="n">
        <x:v>1</x:v>
      </x:c>
      <x:c r="N4558" s="13" t="n">
        <x:f>H4558/G4558</x:f>
        <x:v>0.2277</x:v>
      </x:c>
      <x:c r="O4558" s="13" t="n">
        <x:f>F4558/E4558</x:f>
        <x:v>0</x:v>
      </x:c>
      <x:c r="P4558" s="2" t="str">
        <x:f>IF(AND(E4558&gt;='Итоги'!$F$5,N4558&lt;='Итоги'!$B$5,O4558&gt;='Итоги'!$D$5),"Да","Нет")</x:f>
        <x:v>Нет</x:v>
      </x:c>
    </x:row>
    <x:row r="4559" ht="60" customHeight="1">
      <x:c r="A4559" s="14" t="str">
        <x:v>Аптека</x:v>
      </x:c>
      <x:c r="B4559" s="14" t="str">
        <x:v>Товары для взрослых</x:v>
      </x:c>
      <x:c r="C4559" s="14" t="str">
        <x:v>Интимная косметика</x:v>
      </x:c>
      <x:c r="D4559" s="14" t="str">
        <x:v>Интимные средства для массажа</x:v>
      </x:c>
      <x:c r="E4559" s="2" t="n">
        <x:v>15</x:v>
      </x:c>
      <x:c r="F4559" s="2" t="n">
        <x:v>0</x:v>
      </x:c>
      <x:c r="G4559" s="12" t="n">
        <x:v>2611810.6618</x:v>
      </x:c>
      <x:c r="H4559" s="12" t="n">
        <x:v>595084.03076315</x:v>
      </x:c>
      <x:c r="I4559" s="13" t="n">
        <x:v>0.2213866666666666</x:v>
      </x:c>
      <x:c r="J4559" s="2" t="n">
        <x:v>1</x:v>
      </x:c>
      <x:c r="K4559" s="2" t="n">
        <x:v>5</x:v>
      </x:c>
      <x:c r="L4559" s="12" t="n">
        <x:v>1267.9156</x:v>
      </x:c>
      <x:c r="M4559" s="13" t="n">
        <x:v>0.644112285513299</x:v>
      </x:c>
      <x:c r="N4559" s="13" t="n">
        <x:f>H4559/G4559</x:f>
        <x:v>0.22784348018283673</x:v>
      </x:c>
      <x:c r="O4559" s="13" t="n">
        <x:f>F4559/E4559</x:f>
        <x:v>0</x:v>
      </x:c>
      <x:c r="P4559" s="2" t="str">
        <x:f>IF(AND(E4559&gt;='Итоги'!$F$5,N4559&lt;='Итоги'!$B$5,O4559&gt;='Итоги'!$D$5),"Да","Нет")</x:f>
        <x:v>Нет</x:v>
      </x:c>
    </x:row>
    <x:row r="4560" ht="60" customHeight="1">
      <x:c r="A4560" s="14" t="str">
        <x:v>Товары для красоты и здоровья</x:v>
      </x:c>
      <x:c r="B4560" s="14" t="str">
        <x:v>Косметика для ухода за кожей</x:v>
      </x:c>
      <x:c r="C4560" s="14" t="str">
        <x:v>Тело</x:v>
      </x:c>
      <x:c r="D4560" s="14" t="str">
        <x:v>Бомбочка для ванны</x:v>
      </x:c>
      <x:c r="E4560" s="2" t="n">
        <x:v>13</x:v>
      </x:c>
      <x:c r="F4560" s="2" t="n">
        <x:v>0</x:v>
      </x:c>
      <x:c r="G4560" s="12" t="n">
        <x:v>1351699.4246</x:v>
      </x:c>
      <x:c r="H4560" s="12" t="n">
        <x:v>311587.61118084</x:v>
      </x:c>
      <x:c r="I4560" s="13" t="n">
        <x:v>0.2342923076923077</x:v>
      </x:c>
      <x:c r="J4560" s="2" t="n">
        <x:v>1</x:v>
      </x:c>
      <x:c r="K4560" s="2" t="n">
        <x:v>7</x:v>
      </x:c>
      <x:c r="L4560" s="12" t="n">
        <x:v>1072.0538</x:v>
      </x:c>
      <x:c r="M4560" s="13" t="n">
        <x:v>0.2233052327364288</x:v>
      </x:c>
      <x:c r="N4560" s="13" t="n">
        <x:f>H4560/G4560</x:f>
        <x:v>0.23051545743836221</x:v>
      </x:c>
      <x:c r="O4560" s="13" t="n">
        <x:f>F4560/E4560</x:f>
        <x:v>0</x:v>
      </x:c>
      <x:c r="P4560" s="2" t="str">
        <x:f>IF(AND(E4560&gt;='Итоги'!$F$5,N4560&lt;='Итоги'!$B$5,O4560&gt;='Итоги'!$D$5),"Да","Нет")</x:f>
        <x:v>Нет</x:v>
      </x:c>
    </x:row>
    <x:row r="4561" ht="60" customHeight="1">
      <x:c r="A4561" s="14" t="str">
        <x:v>Аптека</x:v>
      </x:c>
      <x:c r="B4561" s="14" t="str">
        <x:v>Товары для взрослых</x:v>
      </x:c>
      <x:c r="C4561" s="14" t="str">
        <x:v>Секс игрушки</x:v>
      </x:c>
      <x:c r="D4561" s="14" t="str">
        <x:v>Виброяйцо</x:v>
      </x:c>
      <x:c r="E4561" s="2" t="n">
        <x:v>22</x:v>
      </x:c>
      <x:c r="F4561" s="2" t="n">
        <x:v>0</x:v>
      </x:c>
      <x:c r="G4561" s="12" t="n">
        <x:v>3911950.5434</x:v>
      </x:c>
      <x:c r="H4561" s="12" t="n">
        <x:v>908232.38498866</x:v>
      </x:c>
      <x:c r="I4561" s="13" t="n">
        <x:v>0.2174227272727272</x:v>
      </x:c>
      <x:c r="J4561" s="2" t="n">
        <x:v>2</x:v>
      </x:c>
      <x:c r="K4561" s="2" t="n">
        <x:v>15</x:v>
      </x:c>
      <x:c r="L4561" s="12" t="n">
        <x:v>1123.36455</x:v>
      </x:c>
      <x:c r="M4561" s="13" t="n">
        <x:v>0.2898933541768047</x:v>
      </x:c>
      <x:c r="N4561" s="13" t="n">
        <x:f>H4561/G4561</x:f>
        <x:v>0.23216867772548233</x:v>
      </x:c>
      <x:c r="O4561" s="13" t="n">
        <x:f>F4561/E4561</x:f>
        <x:v>0</x:v>
      </x:c>
      <x:c r="P4561" s="2" t="str">
        <x:f>IF(AND(E4561&gt;='Итоги'!$F$5,N4561&lt;='Итоги'!$B$5,O4561&gt;='Итоги'!$D$5),"Да","Нет")</x:f>
        <x:v>Нет</x:v>
      </x:c>
    </x:row>
    <x:row r="4562" ht="60" customHeight="1">
      <x:c r="A4562" s="14" t="str">
        <x:v>Детская одежда</x:v>
      </x:c>
      <x:c r="B4562" s="14" t="str">
        <x:v>Детская одежда</x:v>
      </x:c>
      <x:c r="C4562" s="14" t="str">
        <x:v>Карнавальные костюмы детские</x:v>
      </x:c>
      <x:c r="D4562" s="14" t="str">
        <x:v>Кигуруми для мальчика</x:v>
      </x:c>
      <x:c r="E4562" s="2" t="n">
        <x:v>1</x:v>
      </x:c>
      <x:c r="F4562" s="2" t="n">
        <x:v>0</x:v>
      </x:c>
      <x:c r="G4562" s="12" t="n">
        <x:v>3084.1</x:v>
      </x:c>
      <x:c r="H4562" s="12" t="n">
        <x:v>731.85693</x:v>
      </x:c>
      <x:c r="I4562" s="13" t="n">
        <x:v>0.2373</x:v>
      </x:c>
      <x:c r="J4562" s="2" t="n">
        <x:v>0</x:v>
      </x:c>
      <x:c r="K4562" s="2" t="n">
        <x:v>1</x:v>
      </x:c>
      <x:c r="L4562" s="12" t="n">
        <x:v>1542.05</x:v>
      </x:c>
      <x:c r="M4562" s="13" t="n">
        <x:v>1</x:v>
      </x:c>
      <x:c r="N4562" s="13" t="n">
        <x:f>H4562/G4562</x:f>
        <x:v>0.2373</x:v>
      </x:c>
      <x:c r="O4562" s="13" t="n">
        <x:f>F4562/E4562</x:f>
        <x:v>0</x:v>
      </x:c>
      <x:c r="P4562" s="2" t="str">
        <x:f>IF(AND(E4562&gt;='Итоги'!$F$5,N4562&lt;='Итоги'!$B$5,O4562&gt;='Итоги'!$D$5),"Да","Нет")</x:f>
        <x:v>Нет</x:v>
      </x:c>
    </x:row>
    <x:row r="4563" ht="60" customHeight="1">
      <x:c r="A4563" s="14" t="str">
        <x:v>Хобби и творчество</x:v>
      </x:c>
      <x:c r="B4563" s="14" t="str">
        <x:v>Детское творчество и хобби</x:v>
      </x:c>
      <x:c r="C4563" s="14" t="str">
        <x:v>Настольные и обучающие игры</x:v>
      </x:c>
      <x:c r="D4563" s="14" t="str">
        <x:v>Пазлы</x:v>
      </x:c>
      <x:c r="E4563" s="2" t="n">
        <x:v>10</x:v>
      </x:c>
      <x:c r="F4563" s="2" t="n">
        <x:v>0</x:v>
      </x:c>
      <x:c r="G4563" s="12" t="n">
        <x:v>878379.7397</x:v>
      </x:c>
      <x:c r="H4563" s="12" t="n">
        <x:v>208761.53304832</x:v>
      </x:c>
      <x:c r="I4563" s="13" t="n">
        <x:v>0.20465</x:v>
      </x:c>
      <x:c r="J4563" s="2" t="n">
        <x:v>1</x:v>
      </x:c>
      <x:c r="K4563" s="2" t="n">
        <x:v>5</x:v>
      </x:c>
      <x:c r="L4563" s="12" t="n">
        <x:v>1581.2511</x:v>
      </x:c>
      <x:c r="M4563" s="13" t="n">
        <x:v>0.6120191481005763</x:v>
      </x:c>
      <x:c r="N4563" s="13" t="n">
        <x:f>H4563/G4563</x:f>
        <x:v>0.23766660774714587</x:v>
      </x:c>
      <x:c r="O4563" s="13" t="n">
        <x:f>F4563/E4563</x:f>
        <x:v>0</x:v>
      </x:c>
      <x:c r="P4563" s="2" t="str">
        <x:f>IF(AND(E4563&gt;='Итоги'!$F$5,N4563&lt;='Итоги'!$B$5,O4563&gt;='Итоги'!$D$5),"Да","Нет")</x:f>
        <x:v>Нет</x:v>
      </x:c>
    </x:row>
    <x:row r="4564" ht="60" customHeight="1">
      <x:c r="A4564" s="14" t="str">
        <x:v>Аксессуары</x:v>
      </x:c>
      <x:c r="B4564" s="14" t="str">
        <x:v>Галантерея</x:v>
      </x:c>
      <x:c r="C4564" s="14" t="str">
        <x:v>Галантерея женская</x:v>
      </x:c>
      <x:c r="D4564" s="14" t="str">
        <x:v>Сумка, конверт, чехол для документов</x:v>
      </x:c>
      <x:c r="E4564" s="2" t="n">
        <x:v>1</x:v>
      </x:c>
      <x:c r="F4564" s="2" t="n">
        <x:v>0</x:v>
      </x:c>
      <x:c r="G4564" s="12" t="n">
        <x:v>185706.09</x:v>
      </x:c>
      <x:c r="H4564" s="12" t="n">
        <x:v>44365.184901</x:v>
      </x:c>
      <x:c r="I4564" s="13" t="n">
        <x:v>0.2389</x:v>
      </x:c>
      <x:c r="J4564" s="2" t="n">
        <x:v>0</x:v>
      </x:c>
      <x:c r="K4564" s="2" t="n">
        <x:v>1</x:v>
      </x:c>
      <x:c r="L4564" s="12" t="n">
        <x:v>914.8083</x:v>
      </x:c>
      <x:c r="M4564" s="13" t="n">
        <x:v>1</x:v>
      </x:c>
      <x:c r="N4564" s="13" t="n">
        <x:f>H4564/G4564</x:f>
        <x:v>0.2389</x:v>
      </x:c>
      <x:c r="O4564" s="13" t="n">
        <x:f>F4564/E4564</x:f>
        <x:v>0</x:v>
      </x:c>
      <x:c r="P4564" s="2" t="str">
        <x:f>IF(AND(E4564&gt;='Итоги'!$F$5,N4564&lt;='Итоги'!$B$5,O4564&gt;='Итоги'!$D$5),"Да","Нет")</x:f>
        <x:v>Нет</x:v>
      </x:c>
    </x:row>
    <x:row r="4565" ht="60" customHeight="1">
      <x:c r="A4565" s="14" t="str">
        <x:v>Товары для животных</x:v>
      </x:c>
      <x:c r="B4565" s="14" t="str">
        <x:v>Гигиена и уход животных</x:v>
      </x:c>
      <x:c r="C4565" s="14" t="str">
        <x:v>Расческа, щетка для животных</x:v>
      </x:c>
      <x:c r="D4565" s="14" t="str">
        <x:v>Расческа для животных</x:v>
      </x:c>
      <x:c r="E4565" s="2" t="n">
        <x:v>1</x:v>
      </x:c>
      <x:c r="F4565" s="2" t="n">
        <x:v>0</x:v>
      </x:c>
      <x:c r="G4565" s="12" t="n">
        <x:v>104570</x:v>
      </x:c>
      <x:c r="H4565" s="12" t="n">
        <x:v>25494.166</x:v>
      </x:c>
      <x:c r="I4565" s="13" t="n">
        <x:v>0.2438</x:v>
      </x:c>
      <x:c r="J4565" s="2" t="n">
        <x:v>0</x:v>
      </x:c>
      <x:c r="K4565" s="2" t="n">
        <x:v>1</x:v>
      </x:c>
      <x:c r="L4565" s="12" t="n">
        <x:v>757.7536</x:v>
      </x:c>
      <x:c r="M4565" s="13" t="n">
        <x:v>1</x:v>
      </x:c>
      <x:c r="N4565" s="13" t="n">
        <x:f>H4565/G4565</x:f>
        <x:v>0.24380000000000002</x:v>
      </x:c>
      <x:c r="O4565" s="13" t="n">
        <x:f>F4565/E4565</x:f>
        <x:v>0</x:v>
      </x:c>
      <x:c r="P4565" s="2" t="str">
        <x:f>IF(AND(E4565&gt;='Итоги'!$F$5,N4565&lt;='Итоги'!$B$5,O4565&gt;='Итоги'!$D$5),"Да","Нет")</x:f>
        <x:v>Нет</x:v>
      </x:c>
    </x:row>
    <x:row r="4566" ht="60" customHeight="1">
      <x:c r="A4566" s="14" t="str">
        <x:v>Детская одежда</x:v>
      </x:c>
      <x:c r="B4566" s="14" t="str">
        <x:v>Одежда для новорожденных</x:v>
      </x:c>
      <x:c r="C4566" s="14" t="str">
        <x:v>Одежда для новорожденных</x:v>
      </x:c>
      <x:c r="D4566" s="14" t="str">
        <x:v>Ползунки для новорожденных</x:v>
      </x:c>
      <x:c r="E4566" s="2" t="n">
        <x:v>3</x:v>
      </x:c>
      <x:c r="F4566" s="2" t="n">
        <x:v>0</x:v>
      </x:c>
      <x:c r="G4566" s="12" t="n">
        <x:v>300789.90390000003</x:v>
      </x:c>
      <x:c r="H4566" s="12" t="n">
        <x:v>73878.06890273</x:v>
      </x:c>
      <x:c r="I4566" s="13" t="n">
        <x:v>0.2588666666666666</x:v>
      </x:c>
      <x:c r="J4566" s="2" t="n">
        <x:v>0</x:v>
      </x:c>
      <x:c r="K4566" s="2" t="n">
        <x:v>1</x:v>
      </x:c>
      <x:c r="L4566" s="12" t="n">
        <x:v>995.4372</x:v>
      </x:c>
      <x:c r="M4566" s="13" t="n">
        <x:v>1</x:v>
      </x:c>
      <x:c r="N4566" s="13" t="n">
        <x:f>H4566/G4566</x:f>
        <x:v>0.24561352606865203</x:v>
      </x:c>
      <x:c r="O4566" s="13" t="n">
        <x:f>F4566/E4566</x:f>
        <x:v>0</x:v>
      </x:c>
      <x:c r="P4566" s="2" t="str">
        <x:f>IF(AND(E4566&gt;='Итоги'!$F$5,N4566&lt;='Итоги'!$B$5,O4566&gt;='Итоги'!$D$5),"Да","Нет")</x:f>
        <x:v>Нет</x:v>
      </x:c>
    </x:row>
    <x:row r="4567" ht="60" customHeight="1">
      <x:c r="A4567" s="14" t="str">
        <x:v>Мебель</x:v>
      </x:c>
      <x:c r="B4567" s="14" t="str">
        <x:v>Корпусная мебель и мебель для хранения</x:v>
      </x:c>
      <x:c r="C4567" s="14" t="str">
        <x:v>Мебель для кухни</x:v>
      </x:c>
      <x:c r="D4567" s="14" t="str">
        <x:v>Цоколь для  кухонной мебели, комплектующие к нему</x:v>
      </x:c>
      <x:c r="E4567" s="2" t="n">
        <x:v>1</x:v>
      </x:c>
      <x:c r="F4567" s="2" t="n">
        <x:v>0</x:v>
      </x:c>
      <x:c r="G4567" s="12" t="n">
        <x:v>68535</x:v>
      </x:c>
      <x:c r="H4567" s="12" t="n">
        <x:v>16907.5845</x:v>
      </x:c>
      <x:c r="I4567" s="13" t="n">
        <x:v>0.2467</x:v>
      </x:c>
      <x:c r="J4567" s="2" t="n">
        <x:v>0</x:v>
      </x:c>
      <x:c r="K4567" s="2" t="n">
        <x:v>1</x:v>
      </x:c>
      <x:c r="L4567" s="12" t="n">
        <x:v>1427.8125</x:v>
      </x:c>
      <x:c r="M4567" s="13" t="n">
        <x:v>1</x:v>
      </x:c>
      <x:c r="N4567" s="13" t="n">
        <x:f>H4567/G4567</x:f>
        <x:v>0.2467</x:v>
      </x:c>
      <x:c r="O4567" s="13" t="n">
        <x:f>F4567/E4567</x:f>
        <x:v>0</x:v>
      </x:c>
      <x:c r="P4567" s="2" t="str">
        <x:f>IF(AND(E4567&gt;='Итоги'!$F$5,N4567&lt;='Итоги'!$B$5,O4567&gt;='Итоги'!$D$5),"Да","Нет")</x:f>
        <x:v>Нет</x:v>
      </x:c>
    </x:row>
    <x:row r="4568" ht="60" customHeight="1">
      <x:c r="A4568" s="14" t="str">
        <x:v>Аптека</x:v>
      </x:c>
      <x:c r="B4568" s="14" t="str">
        <x:v>Медицинские изделия</x:v>
      </x:c>
      <x:c r="C4568" s="14" t="str">
        <x:v>Расходные медицинские материалы</x:v>
      </x:c>
      <x:c r="D4568" s="14" t="str">
        <x:v>Спринцовка</x:v>
      </x:c>
      <x:c r="E4568" s="2" t="n">
        <x:v>1</x:v>
      </x:c>
      <x:c r="F4568" s="2" t="n">
        <x:v>0</x:v>
      </x:c>
      <x:c r="G4568" s="12" t="n">
        <x:v>111157</x:v>
      </x:c>
      <x:c r="H4568" s="12" t="n">
        <x:v>27433.5476</x:v>
      </x:c>
      <x:c r="I4568" s="13" t="n">
        <x:v>0.2468</x:v>
      </x:c>
      <x:c r="J4568" s="2" t="n">
        <x:v>0</x:v>
      </x:c>
      <x:c r="K4568" s="2" t="n">
        <x:v>1</x:v>
      </x:c>
      <x:c r="L4568" s="12" t="n">
        <x:v>2021.0364</x:v>
      </x:c>
      <x:c r="M4568" s="13" t="n">
        <x:v>1</x:v>
      </x:c>
      <x:c r="N4568" s="13" t="n">
        <x:f>H4568/G4568</x:f>
        <x:v>0.24680000000000002</x:v>
      </x:c>
      <x:c r="O4568" s="13" t="n">
        <x:f>F4568/E4568</x:f>
        <x:v>0</x:v>
      </x:c>
      <x:c r="P4568" s="2" t="str">
        <x:f>IF(AND(E4568&gt;='Итоги'!$F$5,N4568&lt;='Итоги'!$B$5,O4568&gt;='Итоги'!$D$5),"Да","Нет")</x:f>
        <x:v>Нет</x:v>
      </x:c>
    </x:row>
    <x:row r="4569" ht="60" customHeight="1">
      <x:c r="A4569" s="14" t="str">
        <x:v>Спорт и отдых</x:v>
      </x:c>
      <x:c r="B4569" s="14" t="str">
        <x:v>Товары для рыбалки</x:v>
      </x:c>
      <x:c r="C4569" s="14" t="str">
        <x:v>Лодки</x:v>
      </x:c>
      <x:c r="D4569" s="14" t="str">
        <x:v>Средства для ремонта лодок</x:v>
      </x:c>
      <x:c r="E4569" s="2" t="n">
        <x:v>5</x:v>
      </x:c>
      <x:c r="F4569" s="2" t="n">
        <x:v>0</x:v>
      </x:c>
      <x:c r="G4569" s="12" t="n">
        <x:v>1099360.5408</x:v>
      </x:c>
      <x:c r="H4569" s="12" t="n">
        <x:v>271544.77065684</x:v>
      </x:c>
      <x:c r="I4569" s="13" t="n">
        <x:v>0.2089599999999999</x:v>
      </x:c>
      <x:c r="J4569" s="2" t="n">
        <x:v>0</x:v>
      </x:c>
      <x:c r="K4569" s="2" t="n">
        <x:v>2</x:v>
      </x:c>
      <x:c r="L4569" s="12" t="n">
        <x:v>1070.8364</x:v>
      </x:c>
      <x:c r="M4569" s="13" t="n">
        <x:v>0.5663177526336771</x:v>
      </x:c>
      <x:c r="N4569" s="13" t="n">
        <x:f>H4569/G4569</x:f>
        <x:v>0.24700247150879</x:v>
      </x:c>
      <x:c r="O4569" s="13" t="n">
        <x:f>F4569/E4569</x:f>
        <x:v>0</x:v>
      </x:c>
      <x:c r="P4569" s="2" t="str">
        <x:f>IF(AND(E4569&gt;='Итоги'!$F$5,N4569&lt;='Итоги'!$B$5,O4569&gt;='Итоги'!$D$5),"Да","Нет")</x:f>
        <x:v>Нет</x:v>
      </x:c>
    </x:row>
    <x:row r="4570" ht="60" customHeight="1">
      <x:c r="A4570" s="14" t="str">
        <x:v>Школьные принадлежности и канцелярия</x:v>
      </x:c>
      <x:c r="B4570" s="14" t="str">
        <x:v>Товары для школы, канцелярия, оборудование</x:v>
      </x:c>
      <x:c r="C4570" s="14" t="str">
        <x:v>Папка</x:v>
      </x:c>
      <x:c r="D4570" s="14" t="str">
        <x:v>Папка - регистратор</x:v>
      </x:c>
      <x:c r="E4570" s="2" t="n">
        <x:v>2</x:v>
      </x:c>
      <x:c r="F4570" s="2" t="n">
        <x:v>0</x:v>
      </x:c>
      <x:c r="G4570" s="12" t="n">
        <x:v>218951.6308</x:v>
      </x:c>
      <x:c r="H4570" s="12" t="n">
        <x:v>54093.8345797</x:v>
      </x:c>
      <x:c r="I4570" s="13" t="n">
        <x:v>0.2445999999999999</x:v>
      </x:c>
      <x:c r="J4570" s="2" t="n">
        <x:v>0</x:v>
      </x:c>
      <x:c r="K4570" s="2" t="n">
        <x:v>1</x:v>
      </x:c>
      <x:c r="L4570" s="12" t="n">
        <x:v>1727.1762</x:v>
      </x:c>
      <x:c r="M4570" s="13" t="n">
        <x:v>1</x:v>
      </x:c>
      <x:c r="N4570" s="13" t="n">
        <x:f>H4570/G4570</x:f>
        <x:v>0.24705837714957088</x:v>
      </x:c>
      <x:c r="O4570" s="13" t="n">
        <x:f>F4570/E4570</x:f>
        <x:v>0</x:v>
      </x:c>
      <x:c r="P4570" s="2" t="str">
        <x:f>IF(AND(E4570&gt;='Итоги'!$F$5,N4570&lt;='Итоги'!$B$5,O4570&gt;='Итоги'!$D$5),"Да","Нет")</x:f>
        <x:v>Нет</x:v>
      </x:c>
    </x:row>
    <x:row r="4571" ht="60" customHeight="1">
      <x:c r="A4571" s="14" t="str">
        <x:v>Игрушки</x:v>
      </x:c>
      <x:c r="B4571" s="14" t="str">
        <x:v>Игрушки</x:v>
      </x:c>
      <x:c r="C4571" s="14" t="str">
        <x:v>Игрушечное оружие</x:v>
      </x:c>
      <x:c r="D4571" s="14" t="str">
        <x:v>Боевое снаряжение, доспехи игрушечные</x:v>
      </x:c>
      <x:c r="E4571" s="2" t="n">
        <x:v>1</x:v>
      </x:c>
      <x:c r="F4571" s="2" t="n">
        <x:v>0</x:v>
      </x:c>
      <x:c r="G4571" s="12" t="n">
        <x:v>94855.6556</x:v>
      </x:c>
      <x:c r="H4571" s="12" t="n">
        <x:v>23609.57267884</x:v>
      </x:c>
      <x:c r="I4571" s="13" t="n">
        <x:v>0.2489</x:v>
      </x:c>
      <x:c r="J4571" s="2" t="n">
        <x:v>0</x:v>
      </x:c>
      <x:c r="K4571" s="2" t="n">
        <x:v>1</x:v>
      </x:c>
      <x:c r="L4571" s="12" t="n">
        <x:v>920.9287</x:v>
      </x:c>
      <x:c r="M4571" s="13" t="n">
        <x:v>1</x:v>
      </x:c>
      <x:c r="N4571" s="13" t="n">
        <x:f>H4571/G4571</x:f>
        <x:v>0.24889999999999998</x:v>
      </x:c>
      <x:c r="O4571" s="13" t="n">
        <x:f>F4571/E4571</x:f>
        <x:v>0</x:v>
      </x:c>
      <x:c r="P4571" s="2" t="str">
        <x:f>IF(AND(E4571&gt;='Итоги'!$F$5,N4571&lt;='Итоги'!$B$5,O4571&gt;='Итоги'!$D$5),"Да","Нет")</x:f>
        <x:v>Нет</x:v>
      </x:c>
    </x:row>
    <x:row r="4572" ht="60" customHeight="1">
      <x:c r="A4572" s="14" t="str">
        <x:v>Школьные принадлежности и канцелярия</x:v>
      </x:c>
      <x:c r="B4572" s="14" t="str">
        <x:v>Товары для школы, канцелярия, оборудование</x:v>
      </x:c>
      <x:c r="C4572" s="14" t="str">
        <x:v>Офисные принадлежности</x:v>
      </x:c>
      <x:c r="D4572" s="14" t="str">
        <x:v>Нож канцелярский</x:v>
      </x:c>
      <x:c r="E4572" s="2" t="n">
        <x:v>1</x:v>
      </x:c>
      <x:c r="F4572" s="2" t="n">
        <x:v>0</x:v>
      </x:c>
      <x:c r="G4572" s="12" t="n">
        <x:v>86358</x:v>
      </x:c>
      <x:c r="H4572" s="12" t="n">
        <x:v>22099.0122</x:v>
      </x:c>
      <x:c r="I4572" s="13" t="n">
        <x:v>0.2559</x:v>
      </x:c>
      <x:c r="J4572" s="2" t="n">
        <x:v>0</x:v>
      </x:c>
      <x:c r="K4572" s="2" t="n">
        <x:v>1</x:v>
      </x:c>
      <x:c r="L4572" s="12" t="n">
        <x:v>814.6981</x:v>
      </x:c>
      <x:c r="M4572" s="13" t="n">
        <x:v>1</x:v>
      </x:c>
      <x:c r="N4572" s="13" t="n">
        <x:f>H4572/G4572</x:f>
        <x:v>0.2559</x:v>
      </x:c>
      <x:c r="O4572" s="13" t="n">
        <x:f>F4572/E4572</x:f>
        <x:v>0</x:v>
      </x:c>
      <x:c r="P4572" s="2" t="str">
        <x:f>IF(AND(E4572&gt;='Итоги'!$F$5,N4572&lt;='Итоги'!$B$5,O4572&gt;='Итоги'!$D$5),"Да","Нет")</x:f>
        <x:v>Нет</x:v>
      </x:c>
    </x:row>
    <x:row r="4573" ht="60" customHeight="1">
      <x:c r="A4573" s="14" t="str">
        <x:v>Товары для животных</x:v>
      </x:c>
      <x:c r="B4573" s="14" t="str">
        <x:v>Гигиена и уход животных</x:v>
      </x:c>
      <x:c r="C4573" s="14" t="str">
        <x:v>Уход за животными</x:v>
      </x:c>
      <x:c r="D4573" s="14" t="str">
        <x:v>Дезодорант для животных</x:v>
      </x:c>
      <x:c r="E4573" s="2" t="n">
        <x:v>1</x:v>
      </x:c>
      <x:c r="F4573" s="2" t="n">
        <x:v>0</x:v>
      </x:c>
      <x:c r="G4573" s="12" t="n">
        <x:v>83539</x:v>
      </x:c>
      <x:c r="H4573" s="12" t="n">
        <x:v>21385.984</x:v>
      </x:c>
      <x:c r="I4573" s="13" t="n">
        <x:v>0.256</x:v>
      </x:c>
      <x:c r="J4573" s="2" t="n">
        <x:v>0</x:v>
      </x:c>
      <x:c r="K4573" s="2" t="n">
        <x:v>1</x:v>
      </x:c>
      <x:c r="L4573" s="12" t="n">
        <x:v>553.2384</x:v>
      </x:c>
      <x:c r="M4573" s="13" t="n">
        <x:v>1</x:v>
      </x:c>
      <x:c r="N4573" s="13" t="n">
        <x:f>H4573/G4573</x:f>
        <x:v>0.256</x:v>
      </x:c>
      <x:c r="O4573" s="13" t="n">
        <x:f>F4573/E4573</x:f>
        <x:v>0</x:v>
      </x:c>
      <x:c r="P4573" s="2" t="str">
        <x:f>IF(AND(E4573&gt;='Итоги'!$F$5,N4573&lt;='Итоги'!$B$5,O4573&gt;='Итоги'!$D$5),"Да","Нет")</x:f>
        <x:v>Нет</x:v>
      </x:c>
    </x:row>
    <x:row r="4574" ht="60" customHeight="1">
      <x:c r="A4574" s="14" t="str">
        <x:v>Автотовары</x:v>
      </x:c>
      <x:c r="B4574" s="14" t="str">
        <x:v>Электронные устройства для авто</x:v>
      </x:c>
      <x:c r="C4574" s="14" t="str">
        <x:v>Бытовая техника для авто</x:v>
      </x:c>
      <x:c r="D4574" s="14" t="str">
        <x:v>Термокружка для авто</x:v>
      </x:c>
      <x:c r="E4574" s="2" t="n">
        <x:v>1</x:v>
      </x:c>
      <x:c r="F4574" s="2" t="n">
        <x:v>0</x:v>
      </x:c>
      <x:c r="G4574" s="12" t="n">
        <x:v>127619.21</x:v>
      </x:c>
      <x:c r="H4574" s="12" t="n">
        <x:v>32900.232338</x:v>
      </x:c>
      <x:c r="I4574" s="13" t="n">
        <x:v>0.2578</x:v>
      </x:c>
      <x:c r="J4574" s="2" t="n">
        <x:v>0</x:v>
      </x:c>
      <x:c r="K4574" s="2" t="n">
        <x:v>1</x:v>
      </x:c>
      <x:c r="L4574" s="12" t="n">
        <x:v>905.1008</x:v>
      </x:c>
      <x:c r="M4574" s="13" t="n">
        <x:v>1</x:v>
      </x:c>
      <x:c r="N4574" s="13" t="n">
        <x:f>H4574/G4574</x:f>
        <x:v>0.2578</x:v>
      </x:c>
      <x:c r="O4574" s="13" t="n">
        <x:f>F4574/E4574</x:f>
        <x:v>0</x:v>
      </x:c>
      <x:c r="P4574" s="2" t="str">
        <x:f>IF(AND(E4574&gt;='Итоги'!$F$5,N4574&lt;='Итоги'!$B$5,O4574&gt;='Итоги'!$D$5),"Да","Нет")</x:f>
        <x:v>Нет</x:v>
      </x:c>
    </x:row>
    <x:row r="4575" ht="60" customHeight="1">
      <x:c r="A4575" s="14" t="str">
        <x:v>Школьные принадлежности и канцелярия</x:v>
      </x:c>
      <x:c r="B4575" s="14" t="str">
        <x:v>Товары для школы, канцелярия, оборудование</x:v>
      </x:c>
      <x:c r="C4575" s="14" t="str">
        <x:v>Ранец, рюкзак, сумка школьные</x:v>
      </x:c>
      <x:c r="D4575" s="14" t="str">
        <x:v>Пенал без наполнения</x:v>
      </x:c>
      <x:c r="E4575" s="2" t="n">
        <x:v>2</x:v>
      </x:c>
      <x:c r="F4575" s="2" t="n">
        <x:v>0</x:v>
      </x:c>
      <x:c r="G4575" s="12" t="n">
        <x:v>195718.9997</x:v>
      </x:c>
      <x:c r="H4575" s="12" t="n">
        <x:v>50952.46367709</x:v>
      </x:c>
      <x:c r="I4575" s="13" t="n">
        <x:v>0.2402999999999999</x:v>
      </x:c>
      <x:c r="J4575" s="2" t="n">
        <x:v>0</x:v>
      </x:c>
      <x:c r="K4575" s="2" t="n">
        <x:v>2</x:v>
      </x:c>
      <x:c r="L4575" s="12" t="n">
        <x:v>810.7519500000001</x:v>
      </x:c>
      <x:c r="M4575" s="13" t="n">
        <x:v>0.827365765450517</x:v>
      </x:c>
      <x:c r="N4575" s="13" t="n">
        <x:f>H4575/G4575</x:f>
        <x:v>0.26033478484557165</x:v>
      </x:c>
      <x:c r="O4575" s="13" t="n">
        <x:f>F4575/E4575</x:f>
        <x:v>0</x:v>
      </x:c>
      <x:c r="P4575" s="2" t="str">
        <x:f>IF(AND(E4575&gt;='Итоги'!$F$5,N4575&lt;='Итоги'!$B$5,O4575&gt;='Итоги'!$D$5),"Да","Нет")</x:f>
        <x:v>Нет</x:v>
      </x:c>
    </x:row>
    <x:row r="4576" ht="60" customHeight="1">
      <x:c r="A4576" s="14" t="str">
        <x:v>Аптека</x:v>
      </x:c>
      <x:c r="B4576" s="14" t="str">
        <x:v>Ортопедия и компрессионный трикотаж</x:v>
      </x:c>
      <x:c r="C4576" s="14" t="str">
        <x:v>Аппликаторы и массажеры</x:v>
      </x:c>
      <x:c r="D4576" s="14" t="str">
        <x:v>Рефлекторные тапочки и стельки</x:v>
      </x:c>
      <x:c r="E4576" s="2" t="n">
        <x:v>3</x:v>
      </x:c>
      <x:c r="F4576" s="2" t="n">
        <x:v>0</x:v>
      </x:c>
      <x:c r="G4576" s="12" t="n">
        <x:v>748021.2446999999</x:v>
      </x:c>
      <x:c r="H4576" s="12" t="n">
        <x:v>197274.47531677</x:v>
      </x:c>
      <x:c r="I4576" s="13" t="n">
        <x:v>0.2663666666666667</x:v>
      </x:c>
      <x:c r="J4576" s="2" t="n">
        <x:v>0</x:v>
      </x:c>
      <x:c r="K4576" s="2" t="n">
        <x:v>1</x:v>
      </x:c>
      <x:c r="L4576" s="12" t="n">
        <x:v>1126.5869</x:v>
      </x:c>
      <x:c r="M4576" s="13" t="n">
        <x:v>1</x:v>
      </x:c>
      <x:c r="N4576" s="13" t="n">
        <x:f>H4576/G4576</x:f>
        <x:v>0.26372843915133526</x:v>
      </x:c>
      <x:c r="O4576" s="13" t="n">
        <x:f>F4576/E4576</x:f>
        <x:v>0</x:v>
      </x:c>
      <x:c r="P4576" s="2" t="str">
        <x:f>IF(AND(E4576&gt;='Итоги'!$F$5,N4576&lt;='Итоги'!$B$5,O4576&gt;='Итоги'!$D$5),"Да","Нет")</x:f>
        <x:v>Нет</x:v>
      </x:c>
    </x:row>
    <x:row r="4577" ht="60" customHeight="1">
      <x:c r="A4577" s="14" t="str">
        <x:v>Мебель</x:v>
      </x:c>
      <x:c r="B4577" s="14" t="str">
        <x:v>Корпусная мебель и мебель для хранения</x:v>
      </x:c>
      <x:c r="C4577" s="14" t="str">
        <x:v>Мебель для ванной комнаты</x:v>
      </x:c>
      <x:c r="D4577" s="14" t="str">
        <x:v>Комплект мебели для ванной</x:v>
      </x:c>
      <x:c r="E4577" s="2" t="n">
        <x:v>4</x:v>
      </x:c>
      <x:c r="F4577" s="2" t="n">
        <x:v>0</x:v>
      </x:c>
      <x:c r="G4577" s="12" t="n">
        <x:v>764307.2289999999</x:v>
      </x:c>
      <x:c r="H4577" s="12" t="n">
        <x:v>203494.27236234</x:v>
      </x:c>
      <x:c r="I4577" s="13" t="n">
        <x:v>0.15235</x:v>
      </x:c>
      <x:c r="J4577" s="2" t="n">
        <x:v>2</x:v>
      </x:c>
      <x:c r="K4577" s="2" t="n">
        <x:v>2</x:v>
      </x:c>
      <x:c r="L4577" s="12" t="n">
        <x:v>2504.7013500000003</x:v>
      </x:c>
      <x:c r="M4577" s="13" t="n">
        <x:v>0.6218809225733491</x:v>
      </x:c>
      <x:c r="N4577" s="13" t="n">
        <x:f>H4577/G4577</x:f>
        <x:v>0.26624669326834277</x:v>
      </x:c>
      <x:c r="O4577" s="13" t="n">
        <x:f>F4577/E4577</x:f>
        <x:v>0</x:v>
      </x:c>
      <x:c r="P4577" s="2" t="str">
        <x:f>IF(AND(E4577&gt;='Итоги'!$F$5,N4577&lt;='Итоги'!$B$5,O4577&gt;='Итоги'!$D$5),"Да","Нет")</x:f>
        <x:v>Нет</x:v>
      </x:c>
    </x:row>
    <x:row r="4578" ht="60" customHeight="1">
      <x:c r="A4578" s="14" t="str">
        <x:v>Товары для дома</x:v>
      </x:c>
      <x:c r="B4578" s="14" t="str">
        <x:v>Кухня</x:v>
      </x:c>
      <x:c r="C4578" s="14" t="str">
        <x:v>Термопосуда</x:v>
      </x:c>
      <x:c r="D4578" s="14" t="str">
        <x:v>Термокастрюля</x:v>
      </x:c>
      <x:c r="E4578" s="2" t="n">
        <x:v>11</x:v>
      </x:c>
      <x:c r="F4578" s="2" t="n">
        <x:v>0</x:v>
      </x:c>
      <x:c r="G4578" s="12" t="n">
        <x:v>2012779.5531</x:v>
      </x:c>
      <x:c r="H4578" s="12" t="n">
        <x:v>548721.61846095</x:v>
      </x:c>
      <x:c r="I4578" s="13" t="n">
        <x:v>0.2211727272727272</x:v>
      </x:c>
      <x:c r="J4578" s="2" t="n">
        <x:v>2</x:v>
      </x:c>
      <x:c r="K4578" s="2" t="n">
        <x:v>3</x:v>
      </x:c>
      <x:c r="L4578" s="12" t="n">
        <x:v>2972.9654</x:v>
      </x:c>
      <x:c r="M4578" s="13" t="n">
        <x:v>0.6300530840781026</x:v>
      </x:c>
      <x:c r="N4578" s="13" t="n">
        <x:f>H4578/G4578</x:f>
        <x:v>0.2726188357864783</x:v>
      </x:c>
      <x:c r="O4578" s="13" t="n">
        <x:f>F4578/E4578</x:f>
        <x:v>0</x:v>
      </x:c>
      <x:c r="P4578" s="2" t="str">
        <x:f>IF(AND(E4578&gt;='Итоги'!$F$5,N4578&lt;='Итоги'!$B$5,O4578&gt;='Итоги'!$D$5),"Да","Нет")</x:f>
        <x:v>Нет</x:v>
      </x:c>
    </x:row>
    <x:row r="4579" ht="60" customHeight="1">
      <x:c r="A4579" s="14" t="str">
        <x:v>Товары для дома</x:v>
      </x:c>
      <x:c r="B4579" s="14" t="str">
        <x:v>Принадлежности для Нового года</x:v>
      </x:c>
      <x:c r="C4579" s="14" t="str">
        <x:v>Украшение интерьера новогодние</x:v>
      </x:c>
      <x:c r="D4579" s="14" t="str">
        <x:v>Шишки, ветки и цветы декоративные новогодние</x:v>
      </x:c>
      <x:c r="E4579" s="2" t="n">
        <x:v>1</x:v>
      </x:c>
      <x:c r="F4579" s="2" t="n">
        <x:v>0</x:v>
      </x:c>
      <x:c r="G4579" s="12" t="n">
        <x:v>99817.7784</x:v>
      </x:c>
      <x:c r="H4579" s="12" t="n">
        <x:v>28088.72284176</x:v>
      </x:c>
      <x:c r="I4579" s="13" t="n">
        <x:v>0.2814</x:v>
      </x:c>
      <x:c r="J4579" s="2" t="n">
        <x:v>0</x:v>
      </x:c>
      <x:c r="K4579" s="2" t="n">
        <x:v>1</x:v>
      </x:c>
      <x:c r="L4579" s="12" t="n">
        <x:v>1663.6296</x:v>
      </x:c>
      <x:c r="M4579" s="13" t="n">
        <x:v>1</x:v>
      </x:c>
      <x:c r="N4579" s="13" t="n">
        <x:f>H4579/G4579</x:f>
        <x:v>0.28140000000000004</x:v>
      </x:c>
      <x:c r="O4579" s="13" t="n">
        <x:f>F4579/E4579</x:f>
        <x:v>0</x:v>
      </x:c>
      <x:c r="P4579" s="2" t="str">
        <x:f>IF(AND(E4579&gt;='Итоги'!$F$5,N4579&lt;='Итоги'!$B$5,O4579&gt;='Итоги'!$D$5),"Да","Нет")</x:f>
        <x:v>Нет</x:v>
      </x:c>
    </x:row>
    <x:row r="4580" ht="60" customHeight="1">
      <x:c r="A4580" s="14" t="str">
        <x:v>Автотовары</x:v>
      </x:c>
      <x:c r="B4580" s="14" t="str">
        <x:v>Масла и автохимия</x:v>
      </x:c>
      <x:c r="C4580" s="14" t="str">
        <x:v>Товары для детейлинга</x:v>
      </x:c>
      <x:c r="D4580" s="14" t="str">
        <x:v>Жидкая кожа для салона авто</x:v>
      </x:c>
      <x:c r="E4580" s="2" t="n">
        <x:v>1</x:v>
      </x:c>
      <x:c r="F4580" s="2" t="n">
        <x:v>0</x:v>
      </x:c>
      <x:c r="G4580" s="12" t="n">
        <x:v>102486.1177</x:v>
      </x:c>
      <x:c r="H4580" s="12" t="n">
        <x:v>29679.979685920003</x:v>
      </x:c>
      <x:c r="I4580" s="13" t="n">
        <x:v>0.2896</x:v>
      </x:c>
      <x:c r="J4580" s="2" t="n">
        <x:v>0</x:v>
      </x:c>
      <x:c r="K4580" s="2" t="n">
        <x:v>1</x:v>
      </x:c>
      <x:c r="L4580" s="12" t="n">
        <x:v>1403.9194</x:v>
      </x:c>
      <x:c r="M4580" s="13" t="n">
        <x:v>1</x:v>
      </x:c>
      <x:c r="N4580" s="13" t="n">
        <x:f>H4580/G4580</x:f>
        <x:v>0.2896</x:v>
      </x:c>
      <x:c r="O4580" s="13" t="n">
        <x:f>F4580/E4580</x:f>
        <x:v>0</x:v>
      </x:c>
      <x:c r="P4580" s="2" t="str">
        <x:f>IF(AND(E4580&gt;='Итоги'!$F$5,N4580&lt;='Итоги'!$B$5,O4580&gt;='Итоги'!$D$5),"Да","Нет")</x:f>
        <x:v>Нет</x:v>
      </x:c>
    </x:row>
    <x:row r="4581" ht="60" customHeight="1">
      <x:c r="A4581" s="14" t="str">
        <x:v>Обувь</x:v>
      </x:c>
      <x:c r="B4581" s="14" t="str">
        <x:v>Обувь женская</x:v>
      </x:c>
      <x:c r="C4581" s="14" t="str">
        <x:v>Спортивная обувь женская</x:v>
      </x:c>
      <x:c r="D4581" s="14" t="str">
        <x:v>Спортивные сапоги, полусапоги женские</x:v>
      </x:c>
      <x:c r="E4581" s="2" t="n">
        <x:v>1</x:v>
      </x:c>
      <x:c r="F4581" s="2" t="n">
        <x:v>0</x:v>
      </x:c>
      <x:c r="G4581" s="12" t="n">
        <x:v>77295.63</x:v>
      </x:c>
      <x:c r="H4581" s="12" t="n">
        <x:v>22485.298767</x:v>
      </x:c>
      <x:c r="I4581" s="13" t="n">
        <x:v>0.2909</x:v>
      </x:c>
      <x:c r="J4581" s="2" t="n">
        <x:v>0</x:v>
      </x:c>
      <x:c r="K4581" s="2" t="n">
        <x:v>1</x:v>
      </x:c>
      <x:c r="L4581" s="12" t="n">
        <x:v>8588.4033</x:v>
      </x:c>
      <x:c r="M4581" s="13" t="n">
        <x:v>1</x:v>
      </x:c>
      <x:c r="N4581" s="13" t="n">
        <x:f>H4581/G4581</x:f>
        <x:v>0.2909</x:v>
      </x:c>
      <x:c r="O4581" s="13" t="n">
        <x:f>F4581/E4581</x:f>
        <x:v>0</x:v>
      </x:c>
      <x:c r="P4581" s="2" t="str">
        <x:f>IF(AND(E4581&gt;='Итоги'!$F$5,N4581&lt;='Итоги'!$B$5,O4581&gt;='Итоги'!$D$5),"Да","Нет")</x:f>
        <x:v>Нет</x:v>
      </x:c>
    </x:row>
    <x:row r="4582" ht="60" customHeight="1">
      <x:c r="A4582" s="14" t="str">
        <x:v>Одежда</x:v>
      </x:c>
      <x:c r="B4582" s="14" t="str">
        <x:v>Основная одежда мужская</x:v>
      </x:c>
      <x:c r="C4582" s="14" t="str">
        <x:v>Спортивная основная одежда мужская верха</x:v>
      </x:c>
      <x:c r="D4582" s="14" t="str">
        <x:v>Спортивная толстовка флисовая мужская</x:v>
      </x:c>
      <x:c r="E4582" s="2" t="n">
        <x:v>3</x:v>
      </x:c>
      <x:c r="F4582" s="2" t="n">
        <x:v>0</x:v>
      </x:c>
      <x:c r="G4582" s="12" t="n">
        <x:v>176381.37</x:v>
      </x:c>
      <x:c r="H4582" s="12" t="n">
        <x:v>51314.22560799999</x:v>
      </x:c>
      <x:c r="I4582" s="13" t="n">
        <x:v>0.1925666666666666</x:v>
      </x:c>
      <x:c r="J4582" s="2" t="n">
        <x:v>2</x:v>
      </x:c>
      <x:c r="K4582" s="2" t="n">
        <x:v>2</x:v>
      </x:c>
      <x:c r="L4582" s="12" t="n">
        <x:v>2285.3332</x:v>
      </x:c>
      <x:c r="M4582" s="13" t="n">
        <x:v>0.9829970704955971</x:v>
      </x:c>
      <x:c r="N4582" s="13" t="n">
        <x:f>H4582/G4582</x:f>
        <x:v>0.2909276960939809</x:v>
      </x:c>
      <x:c r="O4582" s="13" t="n">
        <x:f>F4582/E4582</x:f>
        <x:v>0</x:v>
      </x:c>
      <x:c r="P4582" s="2" t="str">
        <x:f>IF(AND(E4582&gt;='Итоги'!$F$5,N4582&lt;='Итоги'!$B$5,O4582&gt;='Итоги'!$D$5),"Да","Нет")</x:f>
        <x:v>Нет</x:v>
      </x:c>
    </x:row>
    <x:row r="4583" ht="60" customHeight="1">
      <x:c r="A4583" s="14" t="str">
        <x:v>Мебель</x:v>
      </x:c>
      <x:c r="B4583" s="14" t="str">
        <x:v>Столы и стулья</x:v>
      </x:c>
      <x:c r="C4583" s="14" t="str">
        <x:v>Журнальный столик</x:v>
      </x:c>
      <x:c r="D4583" s="14" t="str">
        <x:v>Журнальные столики под заказ</x:v>
      </x:c>
      <x:c r="E4583" s="2" t="n">
        <x:v>1</x:v>
      </x:c>
      <x:c r="F4583" s="2" t="n">
        <x:v>0</x:v>
      </x:c>
      <x:c r="G4583" s="12" t="n">
        <x:v>134829</x:v>
      </x:c>
      <x:c r="H4583" s="12" t="n">
        <x:v>39329.6193</x:v>
      </x:c>
      <x:c r="I4583" s="13" t="n">
        <x:v>0.2917</x:v>
      </x:c>
      <x:c r="J4583" s="2" t="n">
        <x:v>0</x:v>
      </x:c>
      <x:c r="K4583" s="2" t="n">
        <x:v>1</x:v>
      </x:c>
      <x:c r="L4583" s="12" t="n">
        <x:v>5862.1304</x:v>
      </x:c>
      <x:c r="M4583" s="13" t="n">
        <x:v>1</x:v>
      </x:c>
      <x:c r="N4583" s="13" t="n">
        <x:f>H4583/G4583</x:f>
        <x:v>0.2917</x:v>
      </x:c>
      <x:c r="O4583" s="13" t="n">
        <x:f>F4583/E4583</x:f>
        <x:v>0</x:v>
      </x:c>
      <x:c r="P4583" s="2" t="str">
        <x:f>IF(AND(E4583&gt;='Итоги'!$F$5,N4583&lt;='Итоги'!$B$5,O4583&gt;='Итоги'!$D$5),"Да","Нет")</x:f>
        <x:v>Нет</x:v>
      </x:c>
    </x:row>
    <x:row r="4584" ht="60" customHeight="1">
      <x:c r="A4584" s="14" t="str">
        <x:v>Аксессуары</x:v>
      </x:c>
      <x:c r="B4584" s="14" t="str">
        <x:v>Аксессуары</x:v>
      </x:c>
      <x:c r="C4584" s="14" t="str">
        <x:v>Средства, принадлежности для ухода за одеждой</x:v>
      </x:c>
      <x:c r="D4584" s="14" t="str">
        <x:v>Щетка для одежды</x:v>
      </x:c>
      <x:c r="E4584" s="2" t="n">
        <x:v>1</x:v>
      </x:c>
      <x:c r="F4584" s="2" t="n">
        <x:v>0</x:v>
      </x:c>
      <x:c r="G4584" s="12" t="n">
        <x:v>65531</x:v>
      </x:c>
      <x:c r="H4584" s="12" t="n">
        <x:v>19220.2423</x:v>
      </x:c>
      <x:c r="I4584" s="13" t="n">
        <x:v>0.2933</x:v>
      </x:c>
      <x:c r="J4584" s="2" t="n">
        <x:v>0</x:v>
      </x:c>
      <x:c r="K4584" s="2" t="n">
        <x:v>1</x:v>
      </x:c>
      <x:c r="L4584" s="12" t="n">
        <x:v>507.9922</x:v>
      </x:c>
      <x:c r="M4584" s="13" t="n">
        <x:v>1</x:v>
      </x:c>
      <x:c r="N4584" s="13" t="n">
        <x:f>H4584/G4584</x:f>
        <x:v>0.2933</x:v>
      </x:c>
      <x:c r="O4584" s="13" t="n">
        <x:f>F4584/E4584</x:f>
        <x:v>0</x:v>
      </x:c>
      <x:c r="P4584" s="2" t="str">
        <x:f>IF(AND(E4584&gt;='Итоги'!$F$5,N4584&lt;='Итоги'!$B$5,O4584&gt;='Итоги'!$D$5),"Да","Нет")</x:f>
        <x:v>Нет</x:v>
      </x:c>
    </x:row>
    <x:row r="4585" ht="60" customHeight="1">
      <x:c r="A4585" s="14" t="str">
        <x:v>Одежда</x:v>
      </x:c>
      <x:c r="B4585" s="14" t="str">
        <x:v>Основная одежда женская</x:v>
      </x:c>
      <x:c r="C4585" s="14" t="str">
        <x:v>Головные уборы, перчатки, шарфы женские</x:v>
      </x:c>
      <x:c r="D4585" s="14" t="str">
        <x:v>Спортивные ремни</x:v>
      </x:c>
      <x:c r="E4585" s="2" t="n">
        <x:v>1</x:v>
      </x:c>
      <x:c r="F4585" s="2" t="n">
        <x:v>0</x:v>
      </x:c>
      <x:c r="G4585" s="12" t="n">
        <x:v>106427</x:v>
      </x:c>
      <x:c r="H4585" s="12" t="n">
        <x:v>31502.392</x:v>
      </x:c>
      <x:c r="I4585" s="13" t="n">
        <x:v>0.296</x:v>
      </x:c>
      <x:c r="J4585" s="2" t="n">
        <x:v>0</x:v>
      </x:c>
      <x:c r="K4585" s="2" t="n">
        <x:v>1</x:v>
      </x:c>
      <x:c r="L4585" s="12" t="n">
        <x:v>1120.2842</x:v>
      </x:c>
      <x:c r="M4585" s="13" t="n">
        <x:v>1</x:v>
      </x:c>
      <x:c r="N4585" s="13" t="n">
        <x:f>H4585/G4585</x:f>
        <x:v>0.296</x:v>
      </x:c>
      <x:c r="O4585" s="13" t="n">
        <x:f>F4585/E4585</x:f>
        <x:v>0</x:v>
      </x:c>
      <x:c r="P4585" s="2" t="str">
        <x:f>IF(AND(E4585&gt;='Итоги'!$F$5,N4585&lt;='Итоги'!$B$5,O4585&gt;='Итоги'!$D$5),"Да","Нет")</x:f>
        <x:v>Нет</x:v>
      </x:c>
    </x:row>
    <x:row r="4586" ht="60" customHeight="1">
      <x:c r="A4586" s="14" t="str">
        <x:v>Школьные принадлежности и канцелярия</x:v>
      </x:c>
      <x:c r="B4586" s="14" t="str">
        <x:v>Товары для школы, канцелярия, оборудование</x:v>
      </x:c>
      <x:c r="C4586" s="14" t="str">
        <x:v>Письменные принадлежности</x:v>
      </x:c>
      <x:c r="D4586" s="14" t="str">
        <x:v>Ручка гелевая</x:v>
      </x:c>
      <x:c r="E4586" s="2" t="n">
        <x:v>2</x:v>
      </x:c>
      <x:c r="F4586" s="2" t="n">
        <x:v>0</x:v>
      </x:c>
      <x:c r="G4586" s="12" t="n">
        <x:v>161203.4604</x:v>
      </x:c>
      <x:c r="H4586" s="12" t="n">
        <x:v>48680.63222652</x:v>
      </x:c>
      <x:c r="I4586" s="13" t="n">
        <x:v>0.16065</x:v>
      </x:c>
      <x:c r="J4586" s="2" t="n">
        <x:v>1</x:v>
      </x:c>
      <x:c r="K4586" s="2" t="n">
        <x:v>2</x:v>
      </x:c>
      <x:c r="L4586" s="12" t="n">
        <x:v>1738.9153</x:v>
      </x:c>
      <x:c r="M4586" s="13" t="n">
        <x:v>0.9398772211467986</x:v>
      </x:c>
      <x:c r="N4586" s="13" t="n">
        <x:f>H4586/G4586</x:f>
        <x:v>0.30198255115446637</x:v>
      </x:c>
      <x:c r="O4586" s="13" t="n">
        <x:f>F4586/E4586</x:f>
        <x:v>0</x:v>
      </x:c>
      <x:c r="P4586" s="2" t="str">
        <x:f>IF(AND(E4586&gt;='Итоги'!$F$5,N4586&lt;='Итоги'!$B$5,O4586&gt;='Итоги'!$D$5),"Да","Нет")</x:f>
        <x:v>Нет</x:v>
      </x:c>
    </x:row>
    <x:row r="4587" ht="60" customHeight="1">
      <x:c r="A4587" s="14" t="str">
        <x:v>Товары для дома</x:v>
      </x:c>
      <x:c r="B4587" s="14" t="str">
        <x:v>Кухня</x:v>
      </x:c>
      <x:c r="C4587" s="14" t="str">
        <x:v>Кухонная навеска</x:v>
      </x:c>
      <x:c r="D4587" s="14" t="str">
        <x:v>Ложка кулинарная</x:v>
      </x:c>
      <x:c r="E4587" s="2" t="n">
        <x:v>1</x:v>
      </x:c>
      <x:c r="F4587" s="2" t="n">
        <x:v>0</x:v>
      </x:c>
      <x:c r="G4587" s="12" t="n">
        <x:v>30317</x:v>
      </x:c>
      <x:c r="H4587" s="12" t="n">
        <x:v>9786.3276</x:v>
      </x:c>
      <x:c r="I4587" s="13" t="n">
        <x:v>0.3228</x:v>
      </x:c>
      <x:c r="J4587" s="2" t="n">
        <x:v>0</x:v>
      </x:c>
      <x:c r="K4587" s="2" t="n">
        <x:v>1</x:v>
      </x:c>
      <x:c r="L4587" s="12" t="n">
        <x:v>1212.68</x:v>
      </x:c>
      <x:c r="M4587" s="13" t="n">
        <x:v>1</x:v>
      </x:c>
      <x:c r="N4587" s="13" t="n">
        <x:f>H4587/G4587</x:f>
        <x:v>0.32280000000000003</x:v>
      </x:c>
      <x:c r="O4587" s="13" t="n">
        <x:f>F4587/E4587</x:f>
        <x:v>0</x:v>
      </x:c>
      <x:c r="P4587" s="2" t="str">
        <x:f>IF(AND(E4587&gt;='Итоги'!$F$5,N4587&lt;='Итоги'!$B$5,O4587&gt;='Итоги'!$D$5),"Да","Нет")</x:f>
        <x:v>Нет</x:v>
      </x:c>
    </x:row>
    <x:row r="4588" ht="60" customHeight="1">
      <x:c r="A4588" s="14" t="str">
        <x:v>Хобби и творчество</x:v>
      </x:c>
      <x:c r="B4588" s="14" t="str">
        <x:v>Детское творчество и хобби</x:v>
      </x:c>
      <x:c r="C4588" s="14" t="str">
        <x:v>Лепка для детей</x:v>
      </x:c>
      <x:c r="D4588" s="14" t="str">
        <x:v>Лепка из пластилина для детей</x:v>
      </x:c>
      <x:c r="E4588" s="2" t="n">
        <x:v>3</x:v>
      </x:c>
      <x:c r="F4588" s="2" t="n">
        <x:v>0</x:v>
      </x:c>
      <x:c r="G4588" s="12" t="n">
        <x:v>198415.35</x:v>
      </x:c>
      <x:c r="H4588" s="12" t="n">
        <x:v>66355.667519</x:v>
      </x:c>
      <x:c r="I4588" s="13" t="n">
        <x:v>0.2312666666666666</x:v>
      </x:c>
      <x:c r="J4588" s="2" t="n">
        <x:v>1</x:v>
      </x:c>
      <x:c r="K4588" s="2" t="n">
        <x:v>2</x:v>
      </x:c>
      <x:c r="L4588" s="12" t="n">
        <x:v>912.6182</x:v>
      </x:c>
      <x:c r="M4588" s="13" t="n">
        <x:v>0.976453434676299</x:v>
      </x:c>
      <x:c r="N4588" s="13" t="n">
        <x:f>H4588/G4588</x:f>
        <x:v>0.3344280949986984</x:v>
      </x:c>
      <x:c r="O4588" s="13" t="n">
        <x:f>F4588/E4588</x:f>
        <x:v>0</x:v>
      </x:c>
      <x:c r="P4588" s="2" t="str">
        <x:f>IF(AND(E4588&gt;='Итоги'!$F$5,N4588&lt;='Итоги'!$B$5,O4588&gt;='Итоги'!$D$5),"Да","Нет")</x:f>
        <x:v>Нет</x:v>
      </x:c>
    </x:row>
    <x:row r="4589" ht="60" customHeight="1">
      <x:c r="A4589" s="14" t="str">
        <x:v>Аксессуары</x:v>
      </x:c>
      <x:c r="B4589" s="14" t="str">
        <x:v>Бижутерия и часы бижутерные</x:v>
      </x:c>
      <x:c r="C4589" s="14" t="str">
        <x:v>Бижутерия</x:v>
      </x:c>
      <x:c r="D4589" s="14" t="str">
        <x:v>Бусы авторские</x:v>
      </x:c>
      <x:c r="E4589" s="2" t="n">
        <x:v>1</x:v>
      </x:c>
      <x:c r="F4589" s="2" t="n">
        <x:v>0</x:v>
      </x:c>
      <x:c r="G4589" s="12" t="n">
        <x:v>53830</x:v>
      </x:c>
      <x:c r="H4589" s="12" t="n">
        <x:v>18560.584</x:v>
      </x:c>
      <x:c r="I4589" s="13" t="n">
        <x:v>0.3448</x:v>
      </x:c>
      <x:c r="J4589" s="2" t="n">
        <x:v>0</x:v>
      </x:c>
      <x:c r="K4589" s="2" t="n">
        <x:v>1</x:v>
      </x:c>
      <x:c r="L4589" s="12" t="n">
        <x:v>17943.3333</x:v>
      </x:c>
      <x:c r="M4589" s="13" t="n">
        <x:v>1</x:v>
      </x:c>
      <x:c r="N4589" s="13" t="n">
        <x:f>H4589/G4589</x:f>
        <x:v>0.3448</x:v>
      </x:c>
      <x:c r="O4589" s="13" t="n">
        <x:f>F4589/E4589</x:f>
        <x:v>0</x:v>
      </x:c>
      <x:c r="P4589" s="2" t="str">
        <x:f>IF(AND(E4589&gt;='Итоги'!$F$5,N4589&lt;='Итоги'!$B$5,O4589&gt;='Итоги'!$D$5),"Да","Нет")</x:f>
        <x:v>Нет</x:v>
      </x:c>
    </x:row>
    <x:row r="4590" ht="60" customHeight="1">
      <x:c r="A4590" s="14" t="str">
        <x:v>Аксессуары</x:v>
      </x:c>
      <x:c r="B4590" s="14" t="str">
        <x:v>Аксессуары</x:v>
      </x:c>
      <x:c r="C4590" s="14" t="str">
        <x:v>Аксессуары для путешествий</x:v>
      </x:c>
      <x:c r="D4590" s="14" t="str">
        <x:v>Емкости дорожные</x:v>
      </x:c>
      <x:c r="E4590" s="2" t="n">
        <x:v>2</x:v>
      </x:c>
      <x:c r="F4590" s="2" t="n">
        <x:v>0</x:v>
      </x:c>
      <x:c r="G4590" s="12" t="n">
        <x:v>313324.3359</x:v>
      </x:c>
      <x:c r="H4590" s="12" t="n">
        <x:v>117101.03538531</x:v>
      </x:c>
      <x:c r="I4590" s="13" t="n">
        <x:v>0.39115</x:v>
      </x:c>
      <x:c r="J4590" s="2" t="n">
        <x:v>0</x:v>
      </x:c>
      <x:c r="K4590" s="2" t="n">
        <x:v>1</x:v>
      </x:c>
      <x:c r="L4590" s="12" t="n">
        <x:v>1030.9735</x:v>
      </x:c>
      <x:c r="M4590" s="13" t="n">
        <x:v>1</x:v>
      </x:c>
      <x:c r="N4590" s="13" t="n">
        <x:f>H4590/G4590</x:f>
        <x:v>0.37373744062664743</x:v>
      </x:c>
      <x:c r="O4590" s="13" t="n">
        <x:f>F4590/E4590</x:f>
        <x:v>0</x:v>
      </x:c>
      <x:c r="P4590" s="2" t="str">
        <x:f>IF(AND(E4590&gt;='Итоги'!$F$5,N4590&lt;='Итоги'!$B$5,O4590&gt;='Итоги'!$D$5),"Да","Нет")</x:f>
        <x:v>Нет</x:v>
      </x:c>
    </x:row>
    <x:row r="4591" ht="60" customHeight="1">
      <x:c r="A4591" s="14" t="str">
        <x:v>Школьные принадлежности и канцелярия</x:v>
      </x:c>
      <x:c r="B4591" s="14" t="str">
        <x:v>Товары для школы, канцелярия, оборудование</x:v>
      </x:c>
      <x:c r="C4591" s="14" t="str">
        <x:v>Офисные принадлежности</x:v>
      </x:c>
      <x:c r="D4591" s="14" t="str">
        <x:v>Бизнес-тетрадь, органайзер</x:v>
      </x:c>
      <x:c r="E4591" s="2" t="n">
        <x:v>1</x:v>
      </x:c>
      <x:c r="F4591" s="2" t="n">
        <x:v>0</x:v>
      </x:c>
      <x:c r="G4591" s="12" t="n">
        <x:v>10920</x:v>
      </x:c>
      <x:c r="H4591" s="12" t="n">
        <x:v>4472.832</x:v>
      </x:c>
      <x:c r="I4591" s="13" t="n">
        <x:v>0.4096</x:v>
      </x:c>
      <x:c r="J4591" s="2" t="n">
        <x:v>0</x:v>
      </x:c>
      <x:c r="K4591" s="2" t="n">
        <x:v>1</x:v>
      </x:c>
      <x:c r="L4591" s="12" t="n">
        <x:v>1092</x:v>
      </x:c>
      <x:c r="M4591" s="13" t="n">
        <x:v>1</x:v>
      </x:c>
      <x:c r="N4591" s="13" t="n">
        <x:f>H4591/G4591</x:f>
        <x:v>0.4096</x:v>
      </x:c>
      <x:c r="O4591" s="13" t="n">
        <x:f>F4591/E4591</x:f>
        <x:v>0</x:v>
      </x:c>
      <x:c r="P4591" s="2" t="str">
        <x:f>IF(AND(E4591&gt;='Итоги'!$F$5,N4591&lt;='Итоги'!$B$5,O4591&gt;='Итоги'!$D$5),"Да","Нет")</x:f>
        <x:v>Нет</x:v>
      </x:c>
    </x:row>
    <x:row r="4592" ht="60" customHeight="1">
      <x:c r="A4592" s="14" t="str">
        <x:v>Хобби и творчество</x:v>
      </x:c>
      <x:c r="B4592" s="14" t="str">
        <x:v>Детское творчество и хобби</x:v>
      </x:c>
      <x:c r="C4592" s="14" t="str">
        <x:v>Настольные и обучающие игры</x:v>
      </x:c>
      <x:c r="D4592" s="14" t="str">
        <x:v>Викторина</x:v>
      </x:c>
      <x:c r="E4592" s="2" t="n">
        <x:v>1</x:v>
      </x:c>
      <x:c r="F4592" s="2" t="n">
        <x:v>0</x:v>
      </x:c>
      <x:c r="G4592" s="12" t="n">
        <x:v>97208.8925</x:v>
      </x:c>
      <x:c r="H4592" s="12" t="n">
        <x:v>40837.45573925</x:v>
      </x:c>
      <x:c r="I4592" s="13" t="n">
        <x:v>0.4201</x:v>
      </x:c>
      <x:c r="J4592" s="2" t="n">
        <x:v>0</x:v>
      </x:c>
      <x:c r="K4592" s="2" t="n">
        <x:v>1</x:v>
      </x:c>
      <x:c r="L4592" s="12" t="n">
        <x:v>823.8042</x:v>
      </x:c>
      <x:c r="M4592" s="13" t="n">
        <x:v>1</x:v>
      </x:c>
      <x:c r="N4592" s="13" t="n">
        <x:f>H4592/G4592</x:f>
        <x:v>0.4201</x:v>
      </x:c>
      <x:c r="O4592" s="13" t="n">
        <x:f>F4592/E4592</x:f>
        <x:v>0</x:v>
      </x:c>
      <x:c r="P4592" s="2" t="str">
        <x:f>IF(AND(E4592&gt;='Итоги'!$F$5,N4592&lt;='Итоги'!$B$5,O4592&gt;='Итоги'!$D$5),"Да","Нет")</x:f>
        <x:v>Нет</x:v>
      </x:c>
    </x:row>
    <x:row r="4593" ht="60" customHeight="1">
      <x:c r="A4593" s="14" t="str">
        <x:v>Товары для красоты и здоровья</x:v>
      </x:c>
      <x:c r="B4593" s="14" t="str">
        <x:v>Декоративная косметика</x:v>
      </x:c>
      <x:c r="C4593" s="14" t="str">
        <x:v>Маникюр и педикюр</x:v>
      </x:c>
      <x:c r="D4593" s="14" t="str">
        <x:v>Карандаш для ногтей</x:v>
      </x:c>
      <x:c r="E4593" s="2" t="n">
        <x:v>1</x:v>
      </x:c>
      <x:c r="F4593" s="2" t="n">
        <x:v>0</x:v>
      </x:c>
      <x:c r="G4593" s="12" t="n">
        <x:v>136801.42</x:v>
      </x:c>
      <x:c r="H4593" s="12" t="n">
        <x:v>61861.602124000005</x:v>
      </x:c>
      <x:c r="I4593" s="13" t="n">
        <x:v>0.4522</x:v>
      </x:c>
      <x:c r="J4593" s="2" t="n">
        <x:v>0</x:v>
      </x:c>
      <x:c r="K4593" s="2" t="n">
        <x:v>1</x:v>
      </x:c>
      <x:c r="L4593" s="12" t="n">
        <x:v>2171.4511</x:v>
      </x:c>
      <x:c r="M4593" s="13" t="n">
        <x:v>1</x:v>
      </x:c>
      <x:c r="N4593" s="13" t="n">
        <x:f>H4593/G4593</x:f>
        <x:v>0.4522</x:v>
      </x:c>
      <x:c r="O4593" s="13" t="n">
        <x:f>F4593/E4593</x:f>
        <x:v>0</x:v>
      </x:c>
      <x:c r="P4593" s="2" t="str">
        <x:f>IF(AND(E4593&gt;='Итоги'!$F$5,N4593&lt;='Итоги'!$B$5,O4593&gt;='Итоги'!$D$5),"Да","Нет")</x:f>
        <x:v>Нет</x:v>
      </x:c>
    </x:row>
  </x:sheetData>
  <x:conditionalFormatting sqref="P6:P4593">
    <x:cfRule type="containsText" dxfId="0" priority="1" operator="containsText" text="Да"/>
  </x:conditionalFormatting>
  <x:pageMargins left="0.7" right="0.7" top="0.75" bottom="0.75" header="0.3" footer="0.3"/>
  <x:tableParts count="1">
    <x:tablePart xmlns:r="http://schemas.openxmlformats.org/officeDocument/2006/relationships" r:id="R1a542a3e921948a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72" hidden="0" customWidth="1"/>
    <x:col min="3" max="3" width="48" hidden="0" customWidth="1"/>
    <x:col min="4" max="4" width="22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Примеры товаров для проверки поставки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3" customHeight="1">
      <x:c r="A4" s="2" t="str">
        <x:v>Исторические примеры: заказы &gt;1 млн ₽, ДРР ≤3%. Строка указывает на исходный Excel.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46" customHeight="1">
      <x:c r="A5" s="11" t="str">
        <x:v>Категория</x:v>
      </x:c>
      <x:c r="B5" s="11" t="str">
        <x:v>Название товара</x:v>
      </x:c>
      <x:c r="C5" s="11" t="str">
        <x:v>Ссылка</x:v>
      </x:c>
      <x:c r="D5" s="11" t="str">
        <x:v>Продавец</x:v>
      </x:c>
      <x:c r="E5" s="11" t="str">
        <x:v>Заказы, ₽</x:v>
      </x:c>
      <x:c r="F5" s="11" t="str">
        <x:v>ДРР</x:v>
      </x:c>
      <x:c r="G5" s="11" t="str">
        <x:v>Цена, ₽</x:v>
      </x:c>
      <x:c r="H5" s="11" t="str">
        <x:v>Доступность</x:v>
      </x:c>
      <x:c r="I5" s="11" t="str">
        <x:v>Строка источника</x:v>
      </x:c>
      <x:c r="J5" s="11" t="str">
        <x:v>Схема</x:v>
      </x:c>
    </x:row>
    <x:row r="6" ht="72" customHeight="1">
      <x:c r="A6" s="14" t="str">
        <x:v>Смеси и заменители грудного молока для детей до 3 лет</x:v>
      </x:c>
      <x:c r="B6" s="14" t="str">
        <x:v>Молочная смесь Nutricia Nutrilon Пепти Аллергия PronutriPlus 1, с рождения, 800 г</x:v>
      </x:c>
      <x:c r="C6" s="2" t="str">
        <x:v>https://www.ozon.ru/product/146508395</x:v>
      </x:c>
      <x:c r="D6" s="2" t="str">
        <x:v>Ozon</x:v>
      </x:c>
      <x:c r="E6" s="12" t="n">
        <x:v>3770639.3603</x:v>
      </x:c>
      <x:c r="F6" s="13" t="n">
        <x:v>0</x:v>
      </x:c>
      <x:c r="G6" s="12" t="n">
        <x:v>3134.3636</x:v>
      </x:c>
      <x:c r="H6" s="13" t="n">
        <x:v>1</x:v>
      </x:c>
      <x:c r="I6" s="2" t="n">
        <x:v>328</x:v>
      </x:c>
      <x:c r="J6" s="2" t="str">
        <x:v>FBO</x:v>
      </x:c>
    </x:row>
    <x:row r="7" ht="72" customHeight="1">
      <x:c r="A7" s="14" t="str">
        <x:v>Смеси и заменители грудного молока для детей до 3 лет</x:v>
      </x:c>
      <x:c r="B7" s="14" t="str">
        <x:v>Cмесь Similac Gold 1 с 2'-FL для иммунитета и комфортного пищеварения, с рождения, 800 г</x:v>
      </x:c>
      <x:c r="C7" s="2" t="str">
        <x:v>https://www.ozon.ru/product/148001508</x:v>
      </x:c>
      <x:c r="D7" s="2" t="str">
        <x:v>Ozon</x:v>
      </x:c>
      <x:c r="E7" s="12" t="n">
        <x:v>3027882.3097</x:v>
      </x:c>
      <x:c r="F7" s="13" t="n">
        <x:v>0</x:v>
      </x:c>
      <x:c r="G7" s="12" t="n">
        <x:v>1110.7419</x:v>
      </x:c>
      <x:c r="H7" s="13" t="n">
        <x:v>1</x:v>
      </x:c>
      <x:c r="I7" s="2" t="n">
        <x:v>516</x:v>
      </x:c>
      <x:c r="J7" s="2" t="str">
        <x:v>FBO</x:v>
      </x:c>
    </x:row>
    <x:row r="8" ht="72" customHeight="1">
      <x:c r="A8" s="14" t="str">
        <x:v>Смеси и заменители грудного молока для детей до 3 лет</x:v>
      </x:c>
      <x:c r="B8" s="14" t="str">
        <x:v>Смесь Similac Gold 2 с 2'-FL для иммунитета и комфортного пищеварения, 6-12 мес, 800 г</x:v>
      </x:c>
      <x:c r="C8" s="2" t="str">
        <x:v>https://www.ozon.ru/product/148001509</x:v>
      </x:c>
      <x:c r="D8" s="2" t="str">
        <x:v>Ozon</x:v>
      </x:c>
      <x:c r="E8" s="12" t="n">
        <x:v>2161692.6557</x:v>
      </x:c>
      <x:c r="F8" s="13" t="n">
        <x:v>0</x:v>
      </x:c>
      <x:c r="G8" s="12" t="n">
        <x:v>1144.3582</x:v>
      </x:c>
      <x:c r="H8" s="13" t="n">
        <x:v>1</x:v>
      </x:c>
      <x:c r="I8" s="2" t="n">
        <x:v>977</x:v>
      </x:c>
      <x:c r="J8" s="2" t="str">
        <x:v>FBO</x:v>
      </x:c>
    </x:row>
    <x:row r="9" ht="72" customHeight="1">
      <x:c r="A9" s="14" t="str">
        <x:v>Смартфон</x:v>
      </x:c>
      <x:c r="B9" s="14" t="str">
        <x:v>Смартфон realme 11 8/256 ГБ, золотой</x:v>
      </x:c>
      <x:c r="C9" s="2" t="str">
        <x:v>https://www.ozon.ru/product/1208221659</x:v>
      </x:c>
      <x:c r="D9" s="2" t="str">
        <x:v>Ozon</x:v>
      </x:c>
      <x:c r="E9" s="12" t="n">
        <x:v>1835468.61</x:v>
      </x:c>
      <x:c r="F9" s="13" t="n">
        <x:v>0</x:v>
      </x:c>
      <x:c r="G9" s="12" t="n">
        <x:v>16995.0797</x:v>
      </x:c>
      <x:c r="H9" s="13" t="n">
        <x:v>1</x:v>
      </x:c>
      <x:c r="I9" s="2" t="n">
        <x:v>1329</x:v>
      </x:c>
      <x:c r="J9" s="2" t="str">
        <x:v>FBO</x:v>
      </x:c>
    </x:row>
    <x:row r="10" ht="72" customHeight="1">
      <x:c r="A10" s="14" t="str">
        <x:v>Смартфон</x:v>
      </x:c>
      <x:c r="B10" s="14" t="str">
        <x:v>Смартфон Vivo Y27s 8+256 ГБ, зеленая мята</x:v>
      </x:c>
      <x:c r="C10" s="2" t="str">
        <x:v>https://www.ozon.ru/product/1451783833</x:v>
      </x:c>
      <x:c r="D10" s="2" t="str">
        <x:v>Тech Pulse</x:v>
      </x:c>
      <x:c r="E10" s="12" t="n">
        <x:v>1834052.3771</x:v>
      </x:c>
      <x:c r="F10" s="13" t="n">
        <x:v>0</x:v>
      </x:c>
      <x:c r="G10" s="12" t="n">
        <x:v>13007.4637</x:v>
      </x:c>
      <x:c r="H10" s="13" t="n">
        <x:v>1</x:v>
      </x:c>
      <x:c r="I10" s="2" t="n">
        <x:v>1333</x:v>
      </x:c>
      <x:c r="J10" s="2" t="str">
        <x:v>FBO</x:v>
      </x:c>
    </x:row>
    <x:row r="11" ht="72" customHeight="1">
      <x:c r="A11" s="14" t="str">
        <x:v>Смартфон</x:v>
      </x:c>
      <x:c r="B11" s="14" t="str">
        <x:v>Смартфон HUAWEI nova Y72 8+128, (MGA-LX3), Зеленый, (51097SEB)</x:v>
      </x:c>
      <x:c r="C11" s="2" t="str">
        <x:v>https://www.ozon.ru/product/1482976307</x:v>
      </x:c>
      <x:c r="D11" s="2" t="str">
        <x:v>Premium Plus</x:v>
      </x:c>
      <x:c r="E11" s="12" t="n">
        <x:v>1785534.457</x:v>
      </x:c>
      <x:c r="F11" s="13" t="n">
        <x:v>0</x:v>
      </x:c>
      <x:c r="G11" s="12" t="n">
        <x:v>9397.5498</x:v>
      </x:c>
      <x:c r="H11" s="13" t="n">
        <x:v>0.464285714285714</x:v>
      </x:c>
      <x:c r="I11" s="2" t="n">
        <x:v>307</x:v>
      </x:c>
      <x:c r="J11" s="2" t="str">
        <x:v>FBO</x:v>
      </x:c>
    </x:row>
    <x:row r="12" ht="72" customHeight="1">
      <x:c r="A12" s="14" t="str">
        <x:v>Фитнес-браслет</x:v>
      </x:c>
      <x:c r="B12" s="14" t="str">
        <x:v>Фитнес-браслет HUAWEI Band 8 Ahsoka-B19 Pink</x:v>
      </x:c>
      <x:c r="C12" s="2" t="str">
        <x:v>https://www.ozon.ru/product/1045497131</x:v>
      </x:c>
      <x:c r="D12" s="2" t="str">
        <x:v>Ozon</x:v>
      </x:c>
      <x:c r="E12" s="12" t="n">
        <x:v>1659760.4519</x:v>
      </x:c>
      <x:c r="F12" s="13" t="n">
        <x:v>0</x:v>
      </x:c>
      <x:c r="G12" s="12" t="n">
        <x:v>2518.6046</x:v>
      </x:c>
      <x:c r="H12" s="13" t="n">
        <x:v>1</x:v>
      </x:c>
      <x:c r="I12" s="2" t="n">
        <x:v>1616</x:v>
      </x:c>
      <x:c r="J12" s="2" t="str">
        <x:v>FBO</x:v>
      </x:c>
    </x:row>
    <x:row r="13" ht="72" customHeight="1">
      <x:c r="A13" s="14" t="str">
        <x:v>Смартфон Samsung</x:v>
      </x:c>
      <x:c r="B13" s="14" t="str">
        <x:v>Samsung Смартфон Galaxy S24 8/128 GB, черный</x:v>
      </x:c>
      <x:c r="C13" s="2" t="str">
        <x:v>https://www.ozon.ru/product/1392546253</x:v>
      </x:c>
      <x:c r="D13" s="2" t="str">
        <x:v>Ozon</x:v>
      </x:c>
      <x:c r="E13" s="12" t="n">
        <x:v>1645934</x:v>
      </x:c>
      <x:c r="F13" s="13" t="n">
        <x:v>0</x:v>
      </x:c>
      <x:c r="G13" s="12" t="n">
        <x:v>65837.36</x:v>
      </x:c>
      <x:c r="H13" s="13" t="n">
        <x:v>1</x:v>
      </x:c>
      <x:c r="I13" s="2" t="n">
        <x:v>1644</x:v>
      </x:c>
      <x:c r="J13" s="2" t="str">
        <x:v>FBO</x:v>
      </x:c>
    </x:row>
    <x:row r="14" ht="72" customHeight="1">
      <x:c r="A14" s="14" t="str">
        <x:v>Смартфон Samsung</x:v>
      </x:c>
      <x:c r="B14" s="14" t="str">
        <x:v>Смартфон Samsung Galaxy A05 4/64 ГБ, черный</x:v>
      </x:c>
      <x:c r="C14" s="2" t="str">
        <x:v>https://www.ozon.ru/product/1343032164</x:v>
      </x:c>
      <x:c r="D14" s="2" t="str">
        <x:v>Ozon</x:v>
      </x:c>
      <x:c r="E14" s="12" t="n">
        <x:v>1631100.3927</x:v>
      </x:c>
      <x:c r="F14" s="13" t="n">
        <x:v>0</x:v>
      </x:c>
      <x:c r="G14" s="12" t="n">
        <x:v>8630.1608</x:v>
      </x:c>
      <x:c r="H14" s="13" t="n">
        <x:v>1</x:v>
      </x:c>
      <x:c r="I14" s="2" t="n">
        <x:v>1675</x:v>
      </x:c>
      <x:c r="J14" s="2" t="str">
        <x:v>FBO</x:v>
      </x:c>
    </x:row>
    <x:row r="15" ht="72" customHeight="1">
      <x:c r="A15" s="14" t="str">
        <x:v>Смартфон Apple</x:v>
      </x:c>
      <x:c r="B15" s="14" t="str">
        <x:v>iPhone 13 128GB Blue (MLPK3LZ/A)</x:v>
      </x:c>
      <x:c r="C15" s="2" t="str">
        <x:v>https://www.ozon.ru/product/315311000</x:v>
      </x:c>
      <x:c r="D15" s="2" t="str">
        <x:v>Ozon</x:v>
      </x:c>
      <x:c r="E15" s="12" t="n">
        <x:v>1628789.57</x:v>
      </x:c>
      <x:c r="F15" s="13" t="n">
        <x:v>0</x:v>
      </x:c>
      <x:c r="G15" s="12" t="n">
        <x:v>58171.0561</x:v>
      </x:c>
      <x:c r="H15" s="13" t="n">
        <x:v>1</x:v>
      </x:c>
      <x:c r="I15" s="2" t="n">
        <x:v>1678</x:v>
      </x:c>
      <x:c r="J15" s="2" t="str">
        <x:v>FBO</x:v>
      </x:c>
    </x:row>
    <x:row r="16" ht="72" customHeight="1">
      <x:c r="A16" s="14" t="str">
        <x:v>Смартфон Samsung</x:v>
      </x:c>
      <x:c r="B16" s="14" t="str">
        <x:v>Смартфон Samsung Galaxy A55 5G 8/256 ГБ, голубой</x:v>
      </x:c>
      <x:c r="C16" s="2" t="str">
        <x:v>https://www.ozon.ru/product/1487458056</x:v>
      </x:c>
      <x:c r="D16" s="2" t="str">
        <x:v>Ozon</x:v>
      </x:c>
      <x:c r="E16" s="12" t="n">
        <x:v>1603302.79</x:v>
      </x:c>
      <x:c r="F16" s="13" t="n">
        <x:v>0</x:v>
      </x:c>
      <x:c r="G16" s="12" t="n">
        <x:v>37286.1114</x:v>
      </x:c>
      <x:c r="H16" s="13" t="n">
        <x:v>1</x:v>
      </x:c>
      <x:c r="I16" s="2" t="n">
        <x:v>1746</x:v>
      </x:c>
      <x:c r="J16" s="2" t="str">
        <x:v>FBO</x:v>
      </x:c>
    </x:row>
    <x:row r="17" ht="72" customHeight="1">
      <x:c r="A17" s="14" t="str">
        <x:v>Iphone Apple 15</x:v>
      </x:c>
      <x:c r="B17" s="14" t="str">
        <x:v>Смартфон Apple iPhone 15 Pro 8/128 ГБ, черный, Dual SIM</x:v>
      </x:c>
      <x:c r="C17" s="2" t="str">
        <x:v>https://www.ozon.ru/product/1224043057</x:v>
      </x:c>
      <x:c r="D17" s="2" t="str">
        <x:v>Ozon</x:v>
      </x:c>
      <x:c r="E17" s="12" t="n">
        <x:v>1537794.8593</x:v>
      </x:c>
      <x:c r="F17" s="13" t="n">
        <x:v>0</x:v>
      </x:c>
      <x:c r="G17" s="12" t="n">
        <x:v>102519.6573</x:v>
      </x:c>
      <x:c r="H17" s="13" t="n">
        <x:v>1</x:v>
      </x:c>
      <x:c r="I17" s="2" t="n">
        <x:v>1908</x:v>
      </x:c>
      <x:c r="J17" s="2" t="str">
        <x:v>FBO</x:v>
      </x:c>
    </x:row>
    <x:row r="18" ht="72" customHeight="1">
      <x:c r="A18" s="14" t="str">
        <x:v>Iphone Apple 15</x:v>
      </x:c>
      <x:c r="B18" s="14" t="str">
        <x:v>Смартфон Apple iPhone 15 Pro Max 256 ГБ, Black Titanium, SIM+eSIM</x:v>
      </x:c>
      <x:c r="C18" s="2" t="str">
        <x:v>https://www.ozon.ru/product/1187150313</x:v>
      </x:c>
      <x:c r="D18" s="2" t="str">
        <x:v>Ozon</x:v>
      </x:c>
      <x:c r="E18" s="12" t="n">
        <x:v>1509037.7855</x:v>
      </x:c>
      <x:c r="F18" s="13" t="n">
        <x:v>0</x:v>
      </x:c>
      <x:c r="G18" s="12" t="n">
        <x:v>137185.2532</x:v>
      </x:c>
      <x:c r="H18" s="13" t="n">
        <x:v>1</x:v>
      </x:c>
      <x:c r="I18" s="2" t="n">
        <x:v>1978</x:v>
      </x:c>
      <x:c r="J18" s="2" t="str">
        <x:v>FBO</x:v>
      </x:c>
    </x:row>
    <x:row r="19" ht="72" customHeight="1">
      <x:c r="A19" s="14" t="str">
        <x:v>Iphone Apple 15</x:v>
      </x:c>
      <x:c r="B19" s="14" t="str">
        <x:v>Смартфон Apple iPhone 15 Pro 128 ГБ, Black Titanium, SIM+eSIM</x:v>
      </x:c>
      <x:c r="C19" s="2" t="str">
        <x:v>https://www.ozon.ru/product/1187150901</x:v>
      </x:c>
      <x:c r="D19" s="2" t="str">
        <x:v>Ozon</x:v>
      </x:c>
      <x:c r="E19" s="12" t="n">
        <x:v>1439546</x:v>
      </x:c>
      <x:c r="F19" s="13" t="n">
        <x:v>0</x:v>
      </x:c>
      <x:c r="G19" s="12" t="n">
        <x:v>102824.7143</x:v>
      </x:c>
      <x:c r="H19" s="13" t="n">
        <x:v>1</x:v>
      </x:c>
      <x:c r="I19" s="2" t="n">
        <x:v>2176</x:v>
      </x:c>
      <x:c r="J19" s="2" t="str">
        <x:v>FBO</x:v>
      </x:c>
    </x:row>
    <x:row r="20" ht="72" customHeight="1">
      <x:c r="A20" s="14" t="str">
        <x:v>Телевизор Samsung</x:v>
      </x:c>
      <x:c r="B20" s="14" t="str">
        <x:v>Телевизор Samsung QE65Q70CAU</x:v>
      </x:c>
      <x:c r="C20" s="2" t="str">
        <x:v>https://www.ozon.ru/product/1492516795</x:v>
      </x:c>
      <x:c r="D20" s="2" t="str">
        <x:v>Ozon</x:v>
      </x:c>
      <x:c r="E20" s="12" t="n">
        <x:v>1432750</x:v>
      </x:c>
      <x:c r="F20" s="13" t="n">
        <x:v>0</x:v>
      </x:c>
      <x:c r="G20" s="12" t="n">
        <x:v>119395.8333</x:v>
      </x:c>
      <x:c r="H20" s="13" t="n">
        <x:v>1</x:v>
      </x:c>
      <x:c r="I20" s="2" t="n">
        <x:v>2192</x:v>
      </x:c>
      <x:c r="J20" s="2" t="str">
        <x:v>FBO</x:v>
      </x:c>
    </x:row>
    <x:row r="21" ht="72" customHeight="1">
      <x:c r="A21" s="14" t="str">
        <x:v>Телевизор</x:v>
      </x:c>
      <x:c r="B21" s="14" t="str">
        <x:v>Телевизор HISENSE 55A6K 55" 4K UHD, черный</x:v>
      </x:c>
      <x:c r="C21" s="2" t="str">
        <x:v>https://www.ozon.ru/product/1157401589</x:v>
      </x:c>
      <x:c r="D21" s="2" t="str">
        <x:v>Premium Plus</x:v>
      </x:c>
      <x:c r="E21" s="12" t="n">
        <x:v>1428552.4215</x:v>
      </x:c>
      <x:c r="F21" s="13" t="n">
        <x:v>0</x:v>
      </x:c>
      <x:c r="G21" s="12" t="n">
        <x:v>29761.5088</x:v>
      </x:c>
      <x:c r="H21" s="13" t="n">
        <x:v>1</x:v>
      </x:c>
      <x:c r="I21" s="2" t="n">
        <x:v>2210</x:v>
      </x:c>
      <x:c r="J21" s="2" t="str">
        <x:v>FBO</x:v>
      </x:c>
    </x:row>
    <x:row r="22" ht="72" customHeight="1">
      <x:c r="A22" s="14" t="str">
        <x:v>Телевизор Samsung</x:v>
      </x:c>
      <x:c r="B22" s="14" t="str">
        <x:v>Телевизор Samsung UE43CU7100U</x:v>
      </x:c>
      <x:c r="C22" s="2" t="str">
        <x:v>https://www.ozon.ru/product/1492516805</x:v>
      </x:c>
      <x:c r="D22" s="2" t="str">
        <x:v>Ozon</x:v>
      </x:c>
      <x:c r="E22" s="12" t="n">
        <x:v>1416899</x:v>
      </x:c>
      <x:c r="F22" s="13" t="n">
        <x:v>0</x:v>
      </x:c>
      <x:c r="G22" s="12" t="n">
        <x:v>33735.6905</x:v>
      </x:c>
      <x:c r="H22" s="13" t="n">
        <x:v>1</x:v>
      </x:c>
      <x:c r="I22" s="2" t="n">
        <x:v>2245</x:v>
      </x:c>
      <x:c r="J22" s="2" t="str">
        <x:v>FBO</x:v>
      </x:c>
    </x:row>
    <x:row r="23" ht="72" customHeight="1">
      <x:c r="A23" s="14" t="str">
        <x:v>Телевизор Samsung</x:v>
      </x:c>
      <x:c r="B23" s="14" t="str">
        <x:v>Телевизор Samsung, UE43CU7100UXUZ, 3840?2160 4K, Direct LED, черный</x:v>
      </x:c>
      <x:c r="C23" s="2" t="str">
        <x:v>https://www.ozon.ru/product/1606565814</x:v>
      </x:c>
      <x:c r="D23" s="2" t="str">
        <x:v>Ozon</x:v>
      </x:c>
      <x:c r="E23" s="12" t="n">
        <x:v>1412758</x:v>
      </x:c>
      <x:c r="F23" s="13" t="n">
        <x:v>0</x:v>
      </x:c>
      <x:c r="G23" s="12" t="n">
        <x:v>29432.4583</x:v>
      </x:c>
      <x:c r="H23" s="13" t="n">
        <x:v>0.464285714285714</x:v>
      </x:c>
      <x:c r="I23" s="2" t="n">
        <x:v>512</x:v>
      </x:c>
      <x:c r="J23" s="2" t="str">
        <x:v>FBO</x:v>
      </x:c>
    </x:row>
    <x:row r="24" ht="72" customHeight="1">
      <x:c r="A24" s="14" t="str">
        <x:v>Телевизор</x:v>
      </x:c>
      <x:c r="B24" s="14" t="str">
        <x:v>Телевизор LED Hyundai 75" H-LED75BU7005 Smart Яндекс.ТВ Frameless черный/4K Ultra HD/DVB-T/60Hz</x:v>
      </x:c>
      <x:c r="C24" s="2" t="str">
        <x:v>https://www.ozon.ru/product/1029675085</x:v>
      </x:c>
      <x:c r="D24" s="2" t="str">
        <x:v>Premium Plus</x:v>
      </x:c>
      <x:c r="E24" s="12" t="n">
        <x:v>1394254</x:v>
      </x:c>
      <x:c r="F24" s="13" t="n">
        <x:v>0</x:v>
      </x:c>
      <x:c r="G24" s="12" t="n">
        <x:v>63375.1818</x:v>
      </x:c>
      <x:c r="H24" s="13" t="n">
        <x:v>0.964285714285714</x:v>
      </x:c>
      <x:c r="I24" s="2" t="n">
        <x:v>2152</x:v>
      </x:c>
      <x:c r="J24" s="2" t="str">
        <x:v>FBO</x:v>
      </x:c>
    </x:row>
    <x:row r="25" ht="72" customHeight="1">
      <x:c r="A25" s="14" t="str">
        <x:v>Фитнес-браслет</x:v>
      </x:c>
      <x:c r="B25" s="14" t="str">
        <x:v>Фитнес-браслет HUAWEI Band 9</x:v>
      </x:c>
      <x:c r="C25" s="2" t="str">
        <x:v>https://www.ozon.ru/product/1566790101</x:v>
      </x:c>
      <x:c r="D25" s="2" t="str">
        <x:v>Ozon</x:v>
      </x:c>
      <x:c r="E25" s="12" t="n">
        <x:v>1390655.1141</x:v>
      </x:c>
      <x:c r="F25" s="13" t="n">
        <x:v>0</x:v>
      </x:c>
      <x:c r="G25" s="12" t="n">
        <x:v>3433.7163</x:v>
      </x:c>
      <x:c r="H25" s="13" t="n">
        <x:v>1</x:v>
      </x:c>
      <x:c r="I25" s="2" t="n">
        <x:v>2348</x:v>
      </x:c>
      <x:c r="J25" s="2" t="str">
        <x:v>FBO</x:v>
      </x:c>
    </x:row>
    <x:row r="26" ht="72" customHeight="1">
      <x:c r="A26" s="14" t="str">
        <x:v>Телевизор</x:v>
      </x:c>
      <x:c r="B26" s="14" t="str">
        <x:v>Телевизор Xiaomi MI TV Q2 50" 4K UHD, серый</x:v>
      </x:c>
      <x:c r="C26" s="2" t="str">
        <x:v>https://www.ozon.ru/product/1082862937</x:v>
      </x:c>
      <x:c r="D26" s="2" t="str">
        <x:v>Ozon</x:v>
      </x:c>
      <x:c r="E26" s="12" t="n">
        <x:v>1352525</x:v>
      </x:c>
      <x:c r="F26" s="13" t="n">
        <x:v>0</x:v>
      </x:c>
      <x:c r="G26" s="12" t="n">
        <x:v>40985.6061</x:v>
      </x:c>
      <x:c r="H26" s="13" t="n">
        <x:v>1</x:v>
      </x:c>
      <x:c r="I26" s="2" t="n">
        <x:v>2480</x:v>
      </x:c>
      <x:c r="J26" s="2" t="str">
        <x:v>FBO</x:v>
      </x:c>
    </x:row>
    <x:row r="27" ht="72" customHeight="1">
      <x:c r="A27" s="14" t="str">
        <x:v>Смартфон Apple</x:v>
      </x:c>
      <x:c r="B27" s="14" t="str">
        <x:v>Смартфон Apple iPhone 13 128GB Midnight</x:v>
      </x:c>
      <x:c r="C27" s="2" t="str">
        <x:v>https://www.ozon.ru/product/315311205</x:v>
      </x:c>
      <x:c r="D27" s="2" t="str">
        <x:v>Ozon</x:v>
      </x:c>
      <x:c r="E27" s="12" t="n">
        <x:v>1307255</x:v>
      </x:c>
      <x:c r="F27" s="13" t="n">
        <x:v>0</x:v>
      </x:c>
      <x:c r="G27" s="12" t="n">
        <x:v>59420.6818</x:v>
      </x:c>
      <x:c r="H27" s="13" t="n">
        <x:v>1</x:v>
      </x:c>
      <x:c r="I27" s="2" t="n">
        <x:v>2650</x:v>
      </x:c>
      <x:c r="J27" s="2" t="str">
        <x:v>FBO</x:v>
      </x:c>
    </x:row>
    <x:row r="28" ht="72" customHeight="1">
      <x:c r="A28" s="14" t="str">
        <x:v>Смартфон Apple</x:v>
      </x:c>
      <x:c r="B28" s="14" t="str">
        <x:v>iPhone 13 128GB Starlight (MLPG3LZ/A)</x:v>
      </x:c>
      <x:c r="C28" s="2" t="str">
        <x:v>https://www.ozon.ru/product/315311299</x:v>
      </x:c>
      <x:c r="D28" s="2" t="str">
        <x:v>Ozon</x:v>
      </x:c>
      <x:c r="E28" s="12" t="n">
        <x:v>1300555.31</x:v>
      </x:c>
      <x:c r="F28" s="13" t="n">
        <x:v>0</x:v>
      </x:c>
      <x:c r="G28" s="12" t="n">
        <x:v>59116.1505</x:v>
      </x:c>
      <x:c r="H28" s="13" t="n">
        <x:v>1</x:v>
      </x:c>
      <x:c r="I28" s="2" t="n">
        <x:v>2666</x:v>
      </x:c>
      <x:c r="J28" s="2" t="str">
        <x:v>FBO</x:v>
      </x:c>
    </x:row>
    <x:row r="29" ht="72" customHeight="1">
      <x:c r="A29" s="14" t="str">
        <x:v>Фитнес-браслет</x:v>
      </x:c>
      <x:c r="B29" s="14" t="str">
        <x:v>WHOOP 4.0 персонализированный цифровой тренер по фитнесу и здоровью</x:v>
      </x:c>
      <x:c r="C29" s="2" t="str">
        <x:v>https://www.ozon.ru/product/709868368</x:v>
      </x:c>
      <x:c r="D29" s="2" t="str">
        <x:v>whoop</x:v>
      </x:c>
      <x:c r="E29" s="12" t="n">
        <x:v>1285772</x:v>
      </x:c>
      <x:c r="F29" s="13" t="n">
        <x:v>0</x:v>
      </x:c>
      <x:c r="G29" s="12" t="n">
        <x:v>17375.2973</x:v>
      </x:c>
      <x:c r="H29" s="13" t="n">
        <x:v>0.75</x:v>
      </x:c>
      <x:c r="I29" s="2" t="n">
        <x:v>1509</x:v>
      </x:c>
      <x:c r="J29" s="2" t="str">
        <x:v>FBO</x:v>
      </x:c>
    </x:row>
    <x:row r="30" ht="72" customHeight="1">
      <x:c r="A30" s="14" t="str">
        <x:v>Встраиваемая стиральная машина</x:v>
      </x:c>
      <x:c r="B30" s="14" t="str">
        <x:v>Стиральная машина BEKO WSRE6512ZSS, до 6 кг, серебристый</x:v>
      </x:c>
      <x:c r="C30" s="2" t="str">
        <x:v>https://www.ozon.ru/product/642756161</x:v>
      </x:c>
      <x:c r="D30" s="2" t="str">
        <x:v>Premium Plus</x:v>
      </x:c>
      <x:c r="E30" s="12" t="n">
        <x:v>1100844.65</x:v>
      </x:c>
      <x:c r="F30" s="13" t="n">
        <x:v>0</x:v>
      </x:c>
      <x:c r="G30" s="12" t="n">
        <x:v>21585.1892</x:v>
      </x:c>
      <x:c r="H30" s="13" t="n">
        <x:v>1</x:v>
      </x:c>
      <x:c r="I30" s="2" t="n">
        <x:v>3816</x:v>
      </x:c>
      <x:c r="J30" s="2" t="str">
        <x:v>FBO</x:v>
      </x:c>
    </x:row>
    <x:row r="31" ht="72" customHeight="1">
      <x:c r="A31" s="14" t="str">
        <x:v>Встраиваемая стиральная машина</x:v>
      </x:c>
      <x:c r="B31" s="14" t="str">
        <x:v>Стиральная машина BEKO RSPE78612S, серая</x:v>
      </x:c>
      <x:c r="C31" s="2" t="str">
        <x:v>https://www.ozon.ru/product/261297302</x:v>
      </x:c>
      <x:c r="D31" s="2" t="str">
        <x:v>Premium Plus</x:v>
      </x:c>
      <x:c r="E31" s="12" t="n">
        <x:v>1069598</x:v>
      </x:c>
      <x:c r="F31" s="13" t="n">
        <x:v>0</x:v>
      </x:c>
      <x:c r="G31" s="12" t="n">
        <x:v>24309.0455</x:v>
      </x:c>
      <x:c r="H31" s="13" t="n">
        <x:v>0.464285714285714</x:v>
      </x:c>
      <x:c r="I31" s="2" t="n">
        <x:v>872</x:v>
      </x:c>
      <x:c r="J31" s="2" t="str">
        <x:v>FBO</x:v>
      </x:c>
    </x:row>
    <x:row r="32" ht="72" customHeight="1">
      <x:c r="A32" s="14" t="str">
        <x:v>Сушильная машина</x:v>
      </x:c>
      <x:c r="B32" s="14" t="str">
        <x:v>Сушильная машина Beko DF7412GA (Цвет: White)</x:v>
      </x:c>
      <x:c r="C32" s="2" t="str">
        <x:v>https://www.ozon.ru/product/1381736896</x:v>
      </x:c>
      <x:c r="D32" s="2" t="str">
        <x:v>Premium Plus</x:v>
      </x:c>
      <x:c r="E32" s="12" t="n">
        <x:v>1267651.76</x:v>
      </x:c>
      <x:c r="F32" s="13" t="n">
        <x:v>0.0001</x:v>
      </x:c>
      <x:c r="G32" s="12" t="n">
        <x:v>32503.8913</x:v>
      </x:c>
      <x:c r="H32" s="13" t="n">
        <x:v>0.392857142857143</x:v>
      </x:c>
      <x:c r="I32" s="2" t="n">
        <x:v>466</x:v>
      </x:c>
      <x:c r="J32" s="2" t="str">
        <x:v>FBO</x:v>
      </x:c>
    </x:row>
    <x:row r="33" ht="72" customHeight="1">
      <x:c r="A33" s="14" t="str">
        <x:v>Сушильная машина</x:v>
      </x:c>
      <x:c r="B33" s="14" t="str">
        <x:v>Сушильная машина Hotpoint-Ariston DSH 725 H (Цвет: White)</x:v>
      </x:c>
      <x:c r="C33" s="2" t="str">
        <x:v>https://www.ozon.ru/product/1381739581</x:v>
      </x:c>
      <x:c r="D33" s="2" t="str">
        <x:v>Premium Plus</x:v>
      </x:c>
      <x:c r="E33" s="12" t="n">
        <x:v>1182924</x:v>
      </x:c>
      <x:c r="F33" s="13" t="n">
        <x:v>0.0003</x:v>
      </x:c>
      <x:c r="G33" s="12" t="n">
        <x:v>40790.4828</x:v>
      </x:c>
      <x:c r="H33" s="13" t="n">
        <x:v>0.821428571428571</x:v>
      </x:c>
      <x:c r="I33" s="2" t="n">
        <x:v>2175</x:v>
      </x:c>
      <x:c r="J33" s="2" t="str">
        <x:v>FBO</x:v>
      </x:c>
    </x:row>
    <x:row r="34" ht="72" customHeight="1">
      <x:c r="A34" s="14" t="str">
        <x:v>Встраиваемая стиральная машина</x:v>
      </x:c>
      <x:c r="B34" s="14" t="str">
        <x:v>Стиральная машина Weissgauff WMI 6147 Inverter Steam</x:v>
      </x:c>
      <x:c r="C34" s="2" t="str">
        <x:v>https://www.ozon.ru/product/1547409480</x:v>
      </x:c>
      <x:c r="D34" s="2" t="str">
        <x:v>Premium Plus</x:v>
      </x:c>
      <x:c r="E34" s="12" t="n">
        <x:v>1430132.44</x:v>
      </x:c>
      <x:c r="F34" s="13" t="n">
        <x:v>0.0099</x:v>
      </x:c>
      <x:c r="G34" s="12" t="n">
        <x:v>36670.0626</x:v>
      </x:c>
      <x:c r="H34" s="13" t="n">
        <x:v>1</x:v>
      </x:c>
      <x:c r="I34" s="2" t="n">
        <x:v>2205</x:v>
      </x:c>
      <x:c r="J34" s="2" t="str">
        <x:v>FBO</x:v>
      </x:c>
    </x:row>
    <x:row r="35" ht="72" customHeight="1">
      <x:c r="A35" s="14" t="str">
        <x:v>Сушильная машина</x:v>
      </x:c>
      <x:c r="B35" s="14" t="str">
        <x:v>Сушильная машина Beko (7кг) с тепловым насосом, бесшумная, отложенный старт, электронное управление</x:v>
      </x:c>
      <x:c r="C35" s="2" t="str">
        <x:v>https://www.ozon.ru/product/1474600446</x:v>
      </x:c>
      <x:c r="D35" s="2" t="str">
        <x:v>Premium Plus</x:v>
      </x:c>
      <x:c r="E35" s="12" t="n">
        <x:v>1446025.04</x:v>
      </x:c>
      <x:c r="F35" s="13" t="n">
        <x:v>0.0234</x:v>
      </x:c>
      <x:c r="G35" s="12" t="n">
        <x:v>38053.2905</x:v>
      </x:c>
      <x:c r="H35" s="13" t="n">
        <x:v>1</x:v>
      </x:c>
      <x:c r="I35" s="2" t="n">
        <x:v>2149</x:v>
      </x:c>
      <x:c r="J35" s="2" t="str">
        <x:v>FBO</x:v>
      </x:c>
    </x:row>
  </x:sheetData>
  <x:pageMargins left="0.7" right="0.7" top="0.75" bottom="0.75" header="0.3" footer="0.3"/>
  <x:tableParts count="1">
    <x:tablePart xmlns:r="http://schemas.openxmlformats.org/officeDocument/2006/relationships" r:id="R15915779b26f4f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05" hidden="0" customWidth="1"/>
  </x:cols>
  <x:sheetData>
    <x:row r="1" ht="23" customHeight="1">
      <x:c r="A1" s="2"/>
      <x:c r="B1" s="2"/>
      <x:c r="C1" s="2"/>
    </x:row>
    <x:row r="2" ht="23" customHeight="1">
      <x:c r="A2" s="3" t="str">
        <x:v>Источник и контрольные показатели</x:v>
      </x:c>
      <x:c r="B2" s="2"/>
      <x:c r="C2" s="2"/>
    </x:row>
    <x:row r="3" ht="23" customHeight="1">
      <x:c r="A3" s="4"/>
      <x:c r="B3" s="4"/>
      <x:c r="C3" s="4"/>
    </x:row>
    <x:row r="4" ht="23" customHeight="1">
      <x:c r="A4" s="2"/>
      <x:c r="B4" s="2"/>
      <x:c r="C4" s="2"/>
    </x:row>
    <x:row r="5" ht="46" customHeight="1">
      <x:c r="A5" s="11" t="str">
        <x:v>Показатель</x:v>
      </x:c>
      <x:c r="B5" s="11" t="str">
        <x:v>Источник и значение</x:v>
      </x:c>
      <x:c r="C5" s="2"/>
    </x:row>
    <x:row r="6" ht="23" customHeight="1">
      <x:c r="A6" s="2" t="str">
        <x:v>Исходный файл</x:v>
      </x:c>
      <x:c r="B6" s="2" t="str">
        <x:v>Все категории - Семён Яшин.xlsx</x:v>
      </x:c>
      <x:c r="C6" s="2"/>
    </x:row>
    <x:row r="7" ht="23" customHeight="1">
      <x:c r="A7" s="2" t="str">
        <x:v>Лист и строки</x:v>
      </x:c>
      <x:c r="B7" s="2" t="str">
        <x:v>ТОП товаров, 10–300009, заголовки 9</x:v>
      </x:c>
      <x:c r="C7" s="2"/>
    </x:row>
    <x:row r="8" ht="23" customHeight="1">
      <x:c r="A8" s="2" t="str">
        <x:v>Период</x:v>
      </x:c>
      <x:c r="B8" s="2" t="str">
        <x:v>03.07.2024–30.07.2024</x:v>
      </x:c>
      <x:c r="C8" s="2"/>
    </x:row>
    <x:row r="9" ht="23" customHeight="1">
      <x:c r="A9" s="2" t="str">
        <x:v>Число исходных строк</x:v>
      </x:c>
      <x:c r="B9" s="2" t="n">
        <x:v>300000</x:v>
      </x:c>
      <x:c r="C9" s="2"/>
    </x:row>
    <x:row r="10" ht="23" customHeight="1">
      <x:c r="A10" s="2" t="str">
        <x:v>Уникальных ссылок</x:v>
      </x:c>
      <x:c r="B10" s="2" t="n">
        <x:v>300000</x:v>
      </x:c>
      <x:c r="C10" s="2"/>
    </x:row>
    <x:row r="11" ht="23" customHeight="1">
      <x:c r="A11" s="2" t="str">
        <x:v>Исключённых строк</x:v>
      </x:c>
      <x:c r="B11" s="2" t="n">
        <x:v>0</x:v>
      </x:c>
      <x:c r="C11" s="2"/>
    </x:row>
    <x:row r="12" ht="23" customHeight="1">
      <x:c r="A12" s="2" t="str">
        <x:v>Пропусков бренда</x:v>
      </x:c>
      <x:c r="B12" s="2" t="n">
        <x:v>23177</x:v>
      </x:c>
      <x:c r="C12" s="2"/>
    </x:row>
    <x:row r="13" ht="23" customHeight="1">
      <x:c r="A13" s="2" t="str">
        <x:v>ДРР свыше 100%, сохранены</x:v>
      </x:c>
      <x:c r="B13" s="2" t="n">
        <x:v>37</x:v>
      </x:c>
      <x:c r="C13" s="2"/>
    </x:row>
    <x:row r="14" ht="23" customHeight="1">
      <x:c r="A14" s="2" t="str">
        <x:v>ДРР равна нулю</x:v>
      </x:c>
      <x:c r="B14" s="2" t="n">
        <x:v>130331</x:v>
      </x:c>
      <x:c r="C14" s="2"/>
    </x:row>
    <x:row r="15" ht="23" customHeight="1">
      <x:c r="A15" s="2" t="str">
        <x:v>SHA-256 оригинала</x:v>
      </x:c>
      <x:c r="B15" s="2" t="str">
        <x:v>78967920afaa25b1c93e8b3b0ad7819163f952cac0e166fe7d274848f39e63ea</x:v>
      </x:c>
      <x:c r="C15" s="2"/>
    </x:row>
    <x:row r="16" ht="23" customHeight="1">
      <x:c r="A16" s="2" t="str">
        <x:v>Показатель выручки</x:v>
      </x:c>
      <x:c r="B16" s="2" t="str">
        <x:v>Сумма заказов, без вычета возвратов</x:v>
      </x:c>
      <x:c r="C16" s="2"/>
    </x:row>
    <x:row r="17" ht="23" customHeight="1">
      <x:c r="A17" s="2" t="str">
        <x:v>Расходы для ДРР</x:v>
      </x:c>
      <x:c r="B17" s="2" t="str">
        <x:v>Оценка: заказы × ДРР карточки</x:v>
      </x:c>
      <x:c r="C17" s="2"/>
    </x:row>
    <x:row r="18" ht="23" customHeight="1">
      <x:c r="A18" s="2"/>
      <x:c r="B18" s="2"/>
      <x:c r="C18" s="2"/>
    </x:row>
    <x:row r="19" ht="46" customHeight="1">
      <x:c r="A19" s="11" t="str">
        <x:v>Контроль по категориям</x:v>
      </x:c>
      <x:c r="B19" s="11" t="str">
        <x:v>Значение</x:v>
      </x:c>
      <x:c r="C19" s="2"/>
    </x:row>
    <x:row r="20" ht="23" customHeight="1">
      <x:c r="A20" s="2" t="str">
        <x:v>Товары</x:v>
      </x:c>
      <x:c r="B20" s="15" t="n">
        <x:f>SUM('Категории'!E6:E4593)</x:f>
        <x:v>300000</x:v>
      </x:c>
      <x:c r="C20" s="2"/>
    </x:row>
    <x:row r="21" ht="23" customHeight="1">
      <x:c r="A21" s="2" t="str">
        <x:v>Товары &gt;1 млн</x:v>
      </x:c>
      <x:c r="B21" s="15" t="n">
        <x:f>SUM('Категории'!F6:F4593)</x:f>
        <x:v>1476</x:v>
      </x:c>
      <x:c r="C21" s="2"/>
    </x:row>
    <x:row r="22" ht="23" customHeight="1">
      <x:c r="A22" s="2" t="str">
        <x:v>Сумма заказов, ₽</x:v>
      </x:c>
      <x:c r="B22" s="15" t="n">
        <x:f>SUM('Категории'!G6:G4593)</x:f>
        <x:v>45402453723.14248</x:v>
      </x:c>
      <x:c r="C22" s="2"/>
    </x:row>
    <x:row r="23" ht="23" customHeight="1">
      <x:c r="A23" s="2"/>
      <x:c r="B23" s="2"/>
      <x:c r="C23" s="2"/>
    </x:row>
    <x:row r="24" ht="23" customHeight="1">
      <x:c r="A24" s="2"/>
      <x:c r="B24" s="2"/>
      <x:c r="C24" s="2"/>
    </x:row>
    <x:row r="25" ht="23" customHeight="1">
      <x:c r="A25" s="2"/>
      <x:c r="B25" s="2"/>
      <x:c r="C25" s="2"/>
    </x:row>
  </x:sheetData>
  <x:pageMargins left="0.7" right="0.7" top="0.75" bottom="0.75" header="0.3" footer="0.3"/>
</x:worksheet>
</file>